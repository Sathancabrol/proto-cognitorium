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27.xml" ContentType="application/vnd.openxmlformats-officedocument.drawing+xml"/>
  <Override PartName="/xl/drawings/drawing28.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626"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C:\Users\ncabrol\Downloads\"/>
    </mc:Choice>
  </mc:AlternateContent>
  <xr:revisionPtr revIDLastSave="0" documentId="8_{B35E2A2F-1217-40F8-B3EA-7AC4AED213AD}" xr6:coauthVersionLast="47" xr6:coauthVersionMax="47" xr10:uidLastSave="{00000000-0000-0000-0000-000000000000}"/>
  <bookViews>
    <workbookView xWindow="-120" yWindow="-120" windowWidth="29040" windowHeight="15840" tabRatio="934" firstSheet="1" activeTab="3" xr2:uid="{00000000-000D-0000-FFFF-FFFF00000000}"/>
  </bookViews>
  <sheets>
    <sheet name="Feuil2" sheetId="70" state="hidden" r:id="rId1"/>
    <sheet name="NOTICE" sheetId="3" r:id="rId2"/>
    <sheet name="MISE A JOUR" sheetId="332" r:id="rId3"/>
    <sheet name="Impression" sheetId="289" r:id="rId4"/>
    <sheet name="Page de Garde" sheetId="302" r:id="rId5"/>
    <sheet name="Croisement réseaux" sheetId="278" r:id="rId6"/>
    <sheet name="Déroulage" sheetId="290" r:id="rId7"/>
    <sheet name="Fiche prépa" sheetId="18" r:id="rId8"/>
    <sheet name="Compactage" sheetId="9" r:id="rId9"/>
    <sheet name="1.Ch" sheetId="10" r:id="rId10"/>
    <sheet name="1.2.Ch" sheetId="77" r:id="rId11"/>
    <sheet name="1.3.Ch" sheetId="12" r:id="rId12"/>
    <sheet name="2.Ch" sheetId="14" r:id="rId13"/>
    <sheet name="3.Ch" sheetId="15" r:id="rId14"/>
    <sheet name="4.Ch" sheetId="16" r:id="rId15"/>
    <sheet name="5.Ch" sheetId="17" r:id="rId16"/>
    <sheet name="5.2.Ch" sheetId="20" r:id="rId17"/>
    <sheet name="5.6.Ch" sheetId="71" r:id="rId18"/>
    <sheet name="5.8.Ch" sheetId="25" r:id="rId19"/>
    <sheet name="5.9.Ch" sheetId="26" r:id="rId20"/>
    <sheet name="5.11.Ch" sheetId="28" r:id="rId21"/>
    <sheet name="5.14.Ch" sheetId="68" r:id="rId22"/>
    <sheet name="5.15.Ch" sheetId="32" r:id="rId23"/>
    <sheet name="5.16.Ch" sheetId="72" r:id="rId24"/>
    <sheet name="5.17.Ch" sheetId="34" r:id="rId25"/>
    <sheet name="5.18.Ch" sheetId="35" r:id="rId26"/>
    <sheet name="5.18.B.Ch" sheetId="192" r:id="rId27"/>
    <sheet name="5.23.Ch" sheetId="43" r:id="rId28"/>
    <sheet name="5.58.Ch" sheetId="306" r:id="rId29"/>
    <sheet name="5.59.Ch" sheetId="76" r:id="rId30"/>
    <sheet name="5.67.Ch" sheetId="334" r:id="rId31"/>
    <sheet name="6.Ch" sheetId="54" r:id="rId32"/>
    <sheet name="6.4.Ch" sheetId="330" r:id="rId33"/>
    <sheet name="6.5.Ch" sheetId="333" r:id="rId34"/>
    <sheet name="6.10.Ch" sheetId="336" r:id="rId35"/>
    <sheet name="6.16.Ch" sheetId="335" r:id="rId36"/>
    <sheet name="7.Ch" sheetId="61" r:id="rId37"/>
    <sheet name="7.3.Ch" sheetId="62" r:id="rId38"/>
    <sheet name="10.15.Ch" sheetId="331" r:id="rId39"/>
    <sheet name="13.6.Ch" sheetId="311" r:id="rId40"/>
  </sheets>
  <externalReferences>
    <externalReference r:id="rId41"/>
    <externalReference r:id="rId42"/>
    <externalReference r:id="rId43"/>
    <externalReference r:id="rId44"/>
  </externalReferences>
  <definedNames>
    <definedName name="_xlnm._FilterDatabase" localSheetId="0" hidden="1">Feuil2!$A$1:$A$65</definedName>
    <definedName name="_xlnm._FilterDatabase" localSheetId="4" hidden="1">'Page de Garde'!$B$61:$D$114</definedName>
    <definedName name="CaseACocher1" localSheetId="39">'13.6.Ch'!$A$11</definedName>
    <definedName name="CaseACocher12" localSheetId="39">'13.6.Ch'!$A$16</definedName>
    <definedName name="CaseACocher16" localSheetId="39">'13.6.Ch'!$F$16</definedName>
    <definedName name="CaseACocher2" localSheetId="39">'13.6.Ch'!$F$11</definedName>
    <definedName name="CaseACocher54" localSheetId="39">'13.6.Ch'!$B$19</definedName>
    <definedName name="CaseACocher57" localSheetId="39">'13.6.Ch'!$A$19</definedName>
    <definedName name="CaseACocher62" localSheetId="39">'13.6.Ch'!$A$23</definedName>
    <definedName name="CaseACocher65" localSheetId="39">'13.6.Ch'!$I$23</definedName>
    <definedName name="CaseACocher68" localSheetId="39">'13.6.Ch'!$E$23</definedName>
    <definedName name="CaseACocher75" localSheetId="39">'13.6.Ch'!$A$56</definedName>
    <definedName name="CaseACocher77" localSheetId="39">'13.6.Ch'!$D$57</definedName>
    <definedName name="CaseACocher78" localSheetId="39">'13.6.Ch'!$H$57</definedName>
    <definedName name="CaseACocher79" localSheetId="39">'13.6.Ch'!$H$56</definedName>
    <definedName name="Contrôles">'[1]5.2.Ch'!$C$37:$C$65</definedName>
    <definedName name="Equipement">'[1]5.2.Ch'!$J$37:$J$56</definedName>
    <definedName name="Fréquence">'[1]5.2.Ch'!$H$37:$H$51</definedName>
    <definedName name="Liste_Agences" localSheetId="38">#REF!</definedName>
    <definedName name="Liste_Agences" localSheetId="39">'[2]Page de Garde'!$B$62:$B$119</definedName>
    <definedName name="Liste_Agences">'Page de Garde'!$B$62:$B$116</definedName>
    <definedName name="Logo" localSheetId="38">OFFSET(INDIRECT("Page2garde!$B$60"),MATCH(#REF!,#REF!,0)-1,)</definedName>
    <definedName name="Logo" localSheetId="39">OFFSET(INDIRECT("Page2garde!$B$60"),MATCH('[2]Page de Garde'!$K$14,'[2]Page de Garde'!$B$62:$B$142,0)-1,)</definedName>
    <definedName name="Logo" localSheetId="34">OFFSET(INDIRECT("Page2garde!$B$60"),MATCH('Page de Garde'!$K$14,'Page de Garde'!$B$62:$B$139,0)-1,)</definedName>
    <definedName name="Logo" localSheetId="35">OFFSET(INDIRECT("Page2garde!$B$60"),MATCH('[3]Page de Garde'!$K$14,'[3]Page de Garde'!$B$62:$B$142,0)-1,)</definedName>
    <definedName name="Logo">OFFSET(INDIRECT("Page2garde!$B$60"),MATCH('Page de Garde'!$K$14,'Page de Garde'!$B$62:$B$139,0)-1,)</definedName>
    <definedName name="oAdresseChantier" localSheetId="38">#REF!</definedName>
    <definedName name="oAdresseChantier" localSheetId="39">'[2]Page de Garde'!$B$16</definedName>
    <definedName name="oAdresseChantier" localSheetId="34">'Page de Garde'!$B$16</definedName>
    <definedName name="oAdresseChantier" localSheetId="35">'[3]Page de Garde'!$B$16</definedName>
    <definedName name="oAdresseChantier">'Page de Garde'!$B$16</definedName>
    <definedName name="oAgence" localSheetId="38">#REF!</definedName>
    <definedName name="oAgence">'Page de Garde'!$K$14</definedName>
    <definedName name="oDebut_travaux" localSheetId="38">#REF!</definedName>
    <definedName name="oDebut_travaux" localSheetId="39">'[2]Page de Garde'!$D$13</definedName>
    <definedName name="oDebut_travaux" localSheetId="34">'Page de Garde'!$D$13</definedName>
    <definedName name="oDebut_travaux" localSheetId="35">'[3]Page de Garde'!$D$13</definedName>
    <definedName name="oDebut_travaux">'Page de Garde'!$D$13</definedName>
    <definedName name="oeOTP" localSheetId="38">#REF!</definedName>
    <definedName name="oeOTP" localSheetId="39">'[2]Page de Garde'!$K$6</definedName>
    <definedName name="oeOTP" localSheetId="34">'Page de Garde'!$K$6</definedName>
    <definedName name="oeOTP" localSheetId="35">'[3]Page de Garde'!$K$6</definedName>
    <definedName name="oeOTP" localSheetId="32">'[4]1.2.Ch'!$Q$4</definedName>
    <definedName name="oeOTP">'Page de Garde'!$K$6</definedName>
    <definedName name="oFinTravaux" localSheetId="38">#REF!</definedName>
    <definedName name="oFinTravaux" localSheetId="39">'[2]Page de Garde'!$D$14</definedName>
    <definedName name="oFinTravaux" localSheetId="34">'Page de Garde'!$D$14</definedName>
    <definedName name="oFinTravaux" localSheetId="35">'[3]Page de Garde'!$D$14</definedName>
    <definedName name="oFinTravaux">'Page de Garde'!$D$14</definedName>
    <definedName name="oLibelleOTP" localSheetId="38">#REF!</definedName>
    <definedName name="oLibelleOTP" localSheetId="39">'[2]Page de Garde'!$D$19</definedName>
    <definedName name="oLibelleOTP" localSheetId="34">'Page de Garde'!$D$19</definedName>
    <definedName name="oLibelleOTP" localSheetId="35">'[3]Page de Garde'!$D$19</definedName>
    <definedName name="oLibelleOTP" localSheetId="32">'[4]Petites Interv.'!$R$25</definedName>
    <definedName name="oLibelleOTP">'Page de Garde'!$D$19</definedName>
    <definedName name="oMOE" localSheetId="38">#REF!</definedName>
    <definedName name="oMOE" localSheetId="39">'[2]Page de Garde'!$A$24</definedName>
    <definedName name="oMOE" localSheetId="34">'Page de Garde'!$A$24</definedName>
    <definedName name="oMOE" localSheetId="35">'[3]Page de Garde'!$A$24</definedName>
    <definedName name="oMOE" localSheetId="32">'[4]Petites Interv.'!$U$14</definedName>
    <definedName name="oMOE">'Page de Garde'!$A$24</definedName>
    <definedName name="oN°MARCHE" localSheetId="38">#REF!</definedName>
    <definedName name="oN°MARCHE" localSheetId="39">'[2]Page de Garde'!$B$8</definedName>
    <definedName name="oN°MARCHE" localSheetId="34">'Page de Garde'!$B$8</definedName>
    <definedName name="oN°MARCHE" localSheetId="35">'[3]Page de Garde'!$B$8</definedName>
    <definedName name="oN°MARCHE">'Page de Garde'!$B$8</definedName>
    <definedName name="oReferenceCommande" localSheetId="38">#REF!</definedName>
    <definedName name="oReferenceCommande" localSheetId="39">'[2]Page de Garde'!$B$9</definedName>
    <definedName name="oReferenceCommande" localSheetId="34">'Page de Garde'!$B$9</definedName>
    <definedName name="oReferenceCommande" localSheetId="35">'[3]Page de Garde'!$B$9</definedName>
    <definedName name="oReferenceCommande">'Page de Garde'!$B$9</definedName>
    <definedName name="oRespAffaire" localSheetId="38">#REF!</definedName>
    <definedName name="oRespAffaire" localSheetId="39">'[2]Page de Garde'!$C$28</definedName>
    <definedName name="oRespAffaire" localSheetId="34">'Page de Garde'!$C$28</definedName>
    <definedName name="oRespAffaire" localSheetId="35">'[3]Page de Garde'!$C$28</definedName>
    <definedName name="oRespAffaire">'Page de Garde'!$C$28</definedName>
    <definedName name="oRespChantier" localSheetId="38">#REF!</definedName>
    <definedName name="oRespChantier" localSheetId="39">'[2]Page de Garde'!$L$28</definedName>
    <definedName name="oRespChantier" localSheetId="34">'Page de Garde'!$L$28</definedName>
    <definedName name="oRespChantier" localSheetId="35">'[3]Page de Garde'!$L$28</definedName>
    <definedName name="oRespChantier">'Page de Garde'!$L$28</definedName>
    <definedName name="oTelRespAff" localSheetId="38">#REF!</definedName>
    <definedName name="oTelRespAff" localSheetId="39">'[2]Page de Garde'!$C$29</definedName>
    <definedName name="oTelRespAff" localSheetId="34">'Page de Garde'!$C$29</definedName>
    <definedName name="oTelRespAff" localSheetId="35">'[3]Page de Garde'!$C$29</definedName>
    <definedName name="oTelRespAff" localSheetId="32">'[4]Petites Interv.'!$U$33</definedName>
    <definedName name="oTelRespAff">'Page de Garde'!$C$29</definedName>
    <definedName name="oTelRespChantier" localSheetId="38">#REF!</definedName>
    <definedName name="oTelRespChantier">'Page de Garde'!$L$29</definedName>
    <definedName name="oVille" localSheetId="38">#REF!</definedName>
    <definedName name="oVille" localSheetId="39">'[2]Page de Garde'!$J$17</definedName>
    <definedName name="oVille" localSheetId="34">'Page de Garde'!$J$17</definedName>
    <definedName name="oVille" localSheetId="35">'[3]Page de Garde'!$J$17</definedName>
    <definedName name="oVille" localSheetId="32">'[4]Petites Interv.'!$S$22</definedName>
    <definedName name="oVille">'Page de Garde'!$J$17</definedName>
    <definedName name="POINT" localSheetId="38">#REF!</definedName>
    <definedName name="POINT" localSheetId="34">#REF!</definedName>
    <definedName name="POINT" localSheetId="2">#REF!</definedName>
    <definedName name="POINT">#REF!</definedName>
    <definedName name="Responsable">'[1]5.2.Ch'!$G$37:$G$50</definedName>
    <definedName name="Support">'[1]5.2.Ch'!$M$37:$M$52</definedName>
    <definedName name="_xlnm.Print_Area" localSheetId="10">'1.2.Ch'!$A$1:$S$69</definedName>
    <definedName name="_xlnm.Print_Area" localSheetId="11">'1.3.Ch'!$A$1:$M$103</definedName>
    <definedName name="_xlnm.Print_Area" localSheetId="9">'1.Ch'!$A$1:$F$47</definedName>
    <definedName name="_xlnm.Print_Area" localSheetId="38">'10.15.Ch'!$A$1:$M$27</definedName>
    <definedName name="_xlnm.Print_Area" localSheetId="39">'13.6.Ch'!$A$1:$J$63</definedName>
    <definedName name="_xlnm.Print_Area" localSheetId="12">'2.Ch'!$A$1:$F$29</definedName>
    <definedName name="_xlnm.Print_Area" localSheetId="13">'3.Ch'!$A$1:$G$24</definedName>
    <definedName name="_xlnm.Print_Area" localSheetId="22">'5.15.Ch'!$A$1:$H$37</definedName>
    <definedName name="_xlnm.Print_Area" localSheetId="23">'5.16.Ch'!$A$1:$O$63</definedName>
    <definedName name="_xlnm.Print_Area" localSheetId="24">'5.17.Ch'!$A$1:$H$51</definedName>
    <definedName name="_xlnm.Print_Area" localSheetId="26">'5.18.B.Ch'!$A$1:$K$59</definedName>
    <definedName name="_xlnm.Print_Area" localSheetId="25">'5.18.Ch'!$A$1:$AN$89</definedName>
    <definedName name="_xlnm.Print_Area" localSheetId="27">'5.23.Ch'!$A$1:$E$43</definedName>
    <definedName name="_xlnm.Print_Area" localSheetId="28">'5.58.Ch'!$A$1:$F$38</definedName>
    <definedName name="_xlnm.Print_Area" localSheetId="29">'5.59.Ch'!$A$1:$M$35</definedName>
    <definedName name="_xlnm.Print_Area" localSheetId="17">'5.6.Ch'!$A$1:$H$24</definedName>
    <definedName name="_xlnm.Print_Area" localSheetId="30">'5.67.Ch'!$A$1:$T$73</definedName>
    <definedName name="_xlnm.Print_Area" localSheetId="34">'6.10.Ch'!$A$1:$H$21,'6.10.Ch'!$I$22:$M$31</definedName>
    <definedName name="_xlnm.Print_Area" localSheetId="35">'6.16.Ch'!$A$1:$I$55</definedName>
    <definedName name="_xlnm.Print_Area" localSheetId="32">'6.4.Ch'!$A$1:$K$72</definedName>
    <definedName name="_xlnm.Print_Area" localSheetId="33">'6.5.Ch'!$A$1:$G$124</definedName>
    <definedName name="_xlnm.Print_Area" localSheetId="31">'6.Ch'!$A$1:$H$27</definedName>
    <definedName name="_xlnm.Print_Area" localSheetId="37">'7.3.Ch'!$A$1:$M$22</definedName>
    <definedName name="_xlnm.Print_Area" localSheetId="36">'7.Ch'!$A$1:$F$28</definedName>
    <definedName name="_xlnm.Print_Area" localSheetId="8">Compactage!$A$1:$I$124</definedName>
    <definedName name="_xlnm.Print_Area" localSheetId="5">'Croisement réseaux'!$A$1:$I$59</definedName>
    <definedName name="_xlnm.Print_Area" localSheetId="6">Déroulage!$A$1:$N$38</definedName>
    <definedName name="_xlnm.Print_Area" localSheetId="7">'Fiche prépa'!$A$1:$N$77</definedName>
    <definedName name="_xlnm.Print_Area" localSheetId="3">Impression!$A$1:$F$78</definedName>
    <definedName name="_xlnm.Print_Area" localSheetId="4">'Page de Garde'!$A$1:$N$55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37" i="289" l="1"/>
  <c r="A32" i="289"/>
  <c r="A16" i="289"/>
  <c r="A15" i="289"/>
  <c r="A14" i="289"/>
  <c r="A13" i="289"/>
  <c r="A10" i="289"/>
  <c r="E8" i="331"/>
  <c r="F7" i="331"/>
  <c r="J42" i="311" l="1"/>
  <c r="D11" i="20" l="1"/>
  <c r="B10" i="306" l="1"/>
  <c r="B11" i="306"/>
  <c r="E11" i="306"/>
  <c r="D4" i="306"/>
  <c r="B12" i="306"/>
  <c r="D8" i="306"/>
  <c r="F16" i="62" l="1"/>
  <c r="C9" i="62"/>
  <c r="D9" i="76" l="1"/>
  <c r="F5" i="28"/>
  <c r="D11" i="12"/>
  <c r="I9" i="192" l="1"/>
  <c r="D10" i="76"/>
  <c r="L5" i="20" l="1"/>
  <c r="B7" i="20"/>
  <c r="B5" i="20"/>
  <c r="D7" i="192" l="1"/>
  <c r="B18" i="62"/>
  <c r="B16" i="62"/>
  <c r="E10" i="62"/>
  <c r="C8" i="62"/>
  <c r="I8" i="76" l="1"/>
  <c r="D8" i="76"/>
  <c r="E5" i="43" l="1"/>
  <c r="B5" i="43"/>
  <c r="D9" i="192"/>
  <c r="B6" i="192"/>
  <c r="E4" i="35"/>
  <c r="E3" i="35"/>
  <c r="G5" i="34"/>
  <c r="C5" i="34"/>
  <c r="L4" i="72"/>
  <c r="E4" i="72"/>
  <c r="H5" i="32" l="1"/>
  <c r="C5" i="32"/>
  <c r="AA2" i="68"/>
  <c r="W2" i="68"/>
  <c r="K5" i="28"/>
  <c r="K7" i="28"/>
  <c r="F7" i="28"/>
  <c r="C7" i="28"/>
  <c r="B5" i="28"/>
  <c r="J5" i="26"/>
  <c r="F5" i="26"/>
  <c r="C7" i="26"/>
  <c r="B5" i="26"/>
  <c r="B8" i="25"/>
  <c r="K6" i="25"/>
  <c r="K4" i="25"/>
  <c r="B4" i="25"/>
  <c r="G5" i="71"/>
  <c r="K11" i="12"/>
  <c r="J6" i="12"/>
  <c r="B6" i="12"/>
  <c r="K4" i="12"/>
  <c r="D7" i="77"/>
  <c r="D4" i="77"/>
  <c r="J5" i="18"/>
  <c r="J6" i="18"/>
  <c r="C6" i="18"/>
  <c r="C5" i="18"/>
  <c r="Q4" i="77" l="1"/>
  <c r="S6" i="77"/>
  <c r="R6" i="77"/>
  <c r="Q6" i="77"/>
  <c r="P6" i="77"/>
  <c r="O6" i="77"/>
  <c r="N6" i="77"/>
  <c r="M6" i="77"/>
  <c r="L6" i="77"/>
  <c r="K6" i="77"/>
  <c r="J6" i="77"/>
  <c r="I6" i="77"/>
  <c r="H6" i="77"/>
  <c r="G6" i="77"/>
  <c r="F6" i="77"/>
  <c r="E6" i="77"/>
  <c r="D6" i="77"/>
  <c r="S5" i="77"/>
  <c r="R5" i="77"/>
  <c r="Q5" i="77"/>
  <c r="P5" i="77"/>
  <c r="O5" i="77"/>
  <c r="N5" i="77"/>
  <c r="M5" i="77"/>
  <c r="L5" i="77"/>
  <c r="K5" i="77"/>
  <c r="J5" i="77"/>
  <c r="I5" i="77"/>
  <c r="H5" i="77"/>
  <c r="G5" i="77"/>
  <c r="F5" i="77"/>
  <c r="E5" i="77"/>
  <c r="S4" i="77"/>
  <c r="R4" i="77"/>
  <c r="D10" i="192"/>
  <c r="F7" i="76"/>
  <c r="D6" i="25"/>
  <c r="B7" i="43"/>
  <c r="W3" i="35"/>
  <c r="D9" i="20"/>
  <c r="D8" i="12"/>
  <c r="C6" i="26"/>
  <c r="C6" i="34"/>
  <c r="E2" i="68"/>
  <c r="C6" i="32"/>
  <c r="D5" i="77"/>
  <c r="B6" i="28"/>
  <c r="C7" i="18"/>
  <c r="E6" i="72"/>
</calcChain>
</file>

<file path=xl/sharedStrings.xml><?xml version="1.0" encoding="utf-8"?>
<sst xmlns="http://schemas.openxmlformats.org/spreadsheetml/2006/main" count="2036" uniqueCount="1469">
  <si>
    <t>FICHES DE PROGRES DU CHANTIER</t>
  </si>
  <si>
    <t>RECEPTION INTERNE</t>
  </si>
  <si>
    <t>N° de Fiche de Progrès:</t>
  </si>
  <si>
    <t>Visas:</t>
  </si>
  <si>
    <t>le,</t>
  </si>
  <si>
    <r>
      <t xml:space="preserve"> : Si </t>
    </r>
    <r>
      <rPr>
        <b/>
        <sz val="10"/>
        <rFont val="Arial"/>
        <family val="2"/>
      </rPr>
      <t>les trvx</t>
    </r>
    <r>
      <rPr>
        <sz val="10"/>
        <rFont val="Arial"/>
        <family val="2"/>
      </rPr>
      <t xml:space="preserve"> ne sont pas à faire (Sans Objet)</t>
    </r>
  </si>
  <si>
    <r>
      <t xml:space="preserve"> : Si </t>
    </r>
    <r>
      <rPr>
        <b/>
        <sz val="10"/>
        <rFont val="Arial"/>
        <family val="2"/>
      </rPr>
      <t>le contrôle</t>
    </r>
    <r>
      <rPr>
        <sz val="10"/>
        <rFont val="Arial"/>
        <family val="2"/>
      </rPr>
      <t xml:space="preserve"> des trvx en cours est </t>
    </r>
    <r>
      <rPr>
        <u/>
        <sz val="10"/>
        <rFont val="Arial"/>
        <family val="2"/>
      </rPr>
      <t>conforme</t>
    </r>
  </si>
  <si>
    <r>
      <t xml:space="preserve"> : Si </t>
    </r>
    <r>
      <rPr>
        <b/>
        <sz val="10"/>
        <rFont val="Arial"/>
        <family val="2"/>
      </rPr>
      <t>le contrôle</t>
    </r>
    <r>
      <rPr>
        <sz val="10"/>
        <rFont val="Arial"/>
        <family val="2"/>
      </rPr>
      <t xml:space="preserve"> des trvx en cours est </t>
    </r>
    <r>
      <rPr>
        <u/>
        <sz val="10"/>
        <rFont val="Arial"/>
        <family val="2"/>
      </rPr>
      <t>non conforme</t>
    </r>
  </si>
  <si>
    <t>DAZSQ008 I Indice b</t>
  </si>
  <si>
    <t>ISOLEMENT DES CABLES</t>
  </si>
  <si>
    <t>Valeur mesurée (ohms)</t>
  </si>
  <si>
    <t>Conforme</t>
  </si>
  <si>
    <t>Non-Conforme</t>
  </si>
  <si>
    <t>Objet de la non-conformité</t>
  </si>
  <si>
    <t>Mesure de l'isolement entre N et Phase 1</t>
  </si>
  <si>
    <t>Mesure de l'isolement entre N et Phase 2</t>
  </si>
  <si>
    <t>Mesure de l'isolement entre N et Phase 3</t>
  </si>
  <si>
    <t>Mesure de l'isolement entre Phase 1 et Phase 2</t>
  </si>
  <si>
    <t>Mesure de l'isolement entre Phase 2 et Phase 3</t>
  </si>
  <si>
    <t>Mesure de l'isolement entre Phase 1 et Phase 3</t>
  </si>
  <si>
    <t>TELEREPORT</t>
  </si>
  <si>
    <t>Sans Objet</t>
  </si>
  <si>
    <t>Conformité du téléreport aux plans du projet (circuits, raccordement)</t>
  </si>
  <si>
    <t>Nombre d'appareils raccordés sur chaque bus (compteurs électroniques + concentrateurs de téléreport) inférieur à 100</t>
  </si>
  <si>
    <t>Contrôle de l'isolement des conducteurs par rapport à la terre</t>
  </si>
  <si>
    <t>Contrôle de l'isolement entre conducteurs</t>
  </si>
  <si>
    <t>Contrôle de la continuité du circuit téléreport</t>
  </si>
  <si>
    <t>Programmation des compteurs électroniques (fournis par le fournisseur d'électricité) sur demande du service local de distribution</t>
  </si>
  <si>
    <t>ENGAGEMENTS ADMINISTRATIFS ET COMMERCIAUX</t>
  </si>
  <si>
    <t>Remise du plan de récolement (ou disquette(s) lisible(s))</t>
  </si>
  <si>
    <t>Signature des engagements administratifs</t>
  </si>
  <si>
    <t>Respect des engagements commerciaux éventuels</t>
  </si>
  <si>
    <t>Remise des fiches de confection d'accessoires BT</t>
  </si>
  <si>
    <t>Entreprise réalisatrice:</t>
  </si>
  <si>
    <t>Cachet:</t>
  </si>
  <si>
    <t>Signature:</t>
  </si>
  <si>
    <t>FICHE DE BRANCHEMENTS</t>
  </si>
  <si>
    <t>ABONNE:</t>
  </si>
  <si>
    <t>n° :</t>
  </si>
  <si>
    <t>Rue:</t>
  </si>
  <si>
    <t>ETAT DU BRANCHEMENT EXTERIEUR EXISTANT</t>
  </si>
  <si>
    <t>Monophasé</t>
  </si>
  <si>
    <t>Coffret existant</t>
  </si>
  <si>
    <t>PRC</t>
  </si>
  <si>
    <t>Triphasé</t>
  </si>
  <si>
    <t>Coffret type</t>
  </si>
  <si>
    <t>NU</t>
  </si>
  <si>
    <t>Aéro-souterrain</t>
  </si>
  <si>
    <t>Souterrain</t>
  </si>
  <si>
    <t>INSTALLATION INTERIEURE</t>
  </si>
  <si>
    <t>Disjoncteur monophasé ND</t>
  </si>
  <si>
    <t>Disjoncteur triphasé ND</t>
  </si>
  <si>
    <t>Disjoncteur monophasé différentiel ……………… mA</t>
  </si>
  <si>
    <t>Disjoncteur triphasé différentiel ……………… mA</t>
  </si>
  <si>
    <t xml:space="preserve">Coupe circuit existant: </t>
  </si>
  <si>
    <t xml:space="preserve">      A remplacer:</t>
  </si>
  <si>
    <t>REPRISE DU BRANCHEMENT (Nature du coffret)</t>
  </si>
  <si>
    <t>S300</t>
  </si>
  <si>
    <t>S2000</t>
  </si>
  <si>
    <t>S22</t>
  </si>
  <si>
    <t>400 A</t>
  </si>
  <si>
    <t>Grille de réseaux</t>
  </si>
  <si>
    <t>Coffret de groupement</t>
  </si>
  <si>
    <t>MESURE DES TENSIONS</t>
  </si>
  <si>
    <t>AVANT COUPURE</t>
  </si>
  <si>
    <t>MONOPHASE</t>
  </si>
  <si>
    <t>TRIPHASE</t>
  </si>
  <si>
    <t xml:space="preserve">N-Ph:
</t>
  </si>
  <si>
    <t>N-Ph1:</t>
  </si>
  <si>
    <t>N-Ph2:</t>
  </si>
  <si>
    <t>N-Ph3:</t>
  </si>
  <si>
    <t>Ph1-Ph2:</t>
  </si>
  <si>
    <t>Ph1-Ph3:</t>
  </si>
  <si>
    <t>Ph2-Ph3:</t>
  </si>
  <si>
    <t>ROTATION DE PHASE</t>
  </si>
  <si>
    <t>A LA MISE EN SERVICE</t>
  </si>
  <si>
    <t>OBSERVATIONS EVENTUELLES:</t>
  </si>
  <si>
    <t>DAZSQ008 J Indice b</t>
  </si>
  <si>
    <t>CONFECTION DES TRANCHEES ET DES ACCESSOIRES 
POSE DES CABLES ET DES COFFRETS</t>
  </si>
  <si>
    <t>Respect du Cahier des Charges et de l'article 49</t>
  </si>
  <si>
    <t>Situation du (des) câble(s) dans la (les) fouille(s)</t>
  </si>
  <si>
    <t>Ecarts entre câbles de concessionnaires différents</t>
  </si>
  <si>
    <t>Couche de sablon en fond de fouille (épaisseur de 10cm sur toute la largeur de la tranchée)</t>
  </si>
  <si>
    <t>Couche de terre fine ou de sable au dessus de la génératrice supérieure des câbles (épaisseur de 10cm)</t>
  </si>
  <si>
    <t>Dispositif avertisseur situé au minimum à 20cm au dessus de la génératrice supérieure des câbles</t>
  </si>
  <si>
    <t>Extrémités des câbles non raccordés (câbles puissance ou téléreport): repérage de chaque extrémité indiquant son aboutissant, extrémités capuchonnées au moyen d'embouts thermo rétractables</t>
  </si>
  <si>
    <t>Fourreau distinct pour chaque câble aux traversées de chaussées, parkings et croisements d'obstacles</t>
  </si>
  <si>
    <t>Forces maximales de traction respectées au déroulage en fonction de la nature des câbles</t>
  </si>
  <si>
    <t>Conformité de la réalisation des accessoires et notamment des boites souterraines</t>
  </si>
  <si>
    <t>Repérage des boîtes par étiquettes</t>
  </si>
  <si>
    <t>Serrage des raccordements dans les coffrets</t>
  </si>
  <si>
    <t>Réalisation des accessoires par des monteurs qualifiés (voir carte de qualification délivrée par l'employeur)</t>
  </si>
  <si>
    <t>Extrémités des extensions de réseau aboutissant dans une grille de raccordement ou coffret 400 A</t>
  </si>
  <si>
    <t>Conformité raccordement du neutre dans les coffrets</t>
  </si>
  <si>
    <t>Equilibrage des phases</t>
  </si>
  <si>
    <t>Elagage</t>
  </si>
  <si>
    <t>Surplomb (convention)</t>
  </si>
  <si>
    <t>Réalisation des fiches de confections d'accessoires BT</t>
  </si>
  <si>
    <t>POSTE</t>
  </si>
  <si>
    <t>Conformité des raccordements</t>
  </si>
  <si>
    <t>Repérage des directions</t>
  </si>
  <si>
    <t>Fourniture des fusibles B.T.A. adaptés</t>
  </si>
  <si>
    <t>MISE A LA TERRE</t>
  </si>
  <si>
    <t>Signature :</t>
  </si>
  <si>
    <t>GUIDE DE COMPACTAGE</t>
  </si>
  <si>
    <t>CLASSIFICATION DES MATERIAUX</t>
  </si>
  <si>
    <t>Type des Matériaux</t>
  </si>
  <si>
    <t>Classe</t>
  </si>
  <si>
    <t>Définition de la classe</t>
  </si>
  <si>
    <t>* Sablons et sables</t>
  </si>
  <si>
    <t>D1</t>
  </si>
  <si>
    <t>D2</t>
  </si>
  <si>
    <t>Alluvionnaires propres et insensibles à l'eau</t>
  </si>
  <si>
    <t>D3</t>
  </si>
  <si>
    <t>DC2</t>
  </si>
  <si>
    <t>concassés avec fines</t>
  </si>
  <si>
    <t>Matériaux pour assise de chaussée</t>
  </si>
  <si>
    <t>OBJECTIFS DE COMPACTAGE A RESPECTER (q4, q3, q2)</t>
  </si>
  <si>
    <t>METHODE A EMPLOYER EN FONCTION DU MATERIEL</t>
  </si>
  <si>
    <t>Objectifs :</t>
  </si>
  <si>
    <t>q4</t>
  </si>
  <si>
    <t>q3</t>
  </si>
  <si>
    <t>q2</t>
  </si>
  <si>
    <t>MATERIEL (FIRALP)</t>
  </si>
  <si>
    <t>D1, D2, D3,</t>
  </si>
  <si>
    <t>D2, D3</t>
  </si>
  <si>
    <t>DC1, DC2</t>
  </si>
  <si>
    <t>PN2</t>
  </si>
  <si>
    <t>nbre passe</t>
  </si>
  <si>
    <t>PN3</t>
  </si>
  <si>
    <t>Waker SRX 65R-2</t>
  </si>
  <si>
    <t>Rouleaux vivrants de type :</t>
  </si>
  <si>
    <t>PV2</t>
  </si>
  <si>
    <t>Delmag J65, V60, V65, V70</t>
  </si>
  <si>
    <t>Niveau Topographique</t>
  </si>
  <si>
    <t>Profondeur de tranchée</t>
  </si>
  <si>
    <t>Rebouchage entre le fourreau et la canalisation</t>
  </si>
  <si>
    <t>Relevé d'alvéoles de PVC France télécoms ou autre</t>
  </si>
  <si>
    <t>Relevé de profil</t>
  </si>
  <si>
    <t>Relevé des prises de terre</t>
  </si>
  <si>
    <t>Respect des coupes types</t>
  </si>
  <si>
    <t>Rotation de phase</t>
  </si>
  <si>
    <t>Test d'isolement  d'un câble électrique</t>
  </si>
  <si>
    <t>Test d'isolement d'une canalisation acier</t>
  </si>
  <si>
    <r>
      <t xml:space="preserve">Waker BS 65Y </t>
    </r>
    <r>
      <rPr>
        <sz val="9"/>
        <rFont val="Arial Narrow"/>
        <family val="2"/>
      </rPr>
      <t>&amp;</t>
    </r>
    <r>
      <rPr>
        <sz val="9"/>
        <rFont val="Arial"/>
        <family val="2"/>
      </rPr>
      <t xml:space="preserve"> DS 72Y</t>
    </r>
  </si>
  <si>
    <r>
      <t xml:space="preserve">Bomag BW 65H </t>
    </r>
    <r>
      <rPr>
        <sz val="9"/>
        <rFont val="Arial Narrow"/>
        <family val="2"/>
      </rPr>
      <t>&amp;</t>
    </r>
    <r>
      <rPr>
        <sz val="9"/>
        <rFont val="Arial"/>
        <family val="2"/>
      </rPr>
      <t xml:space="preserve"> 75H</t>
    </r>
  </si>
  <si>
    <r>
      <t xml:space="preserve">Waker DPU 4045 </t>
    </r>
    <r>
      <rPr>
        <sz val="9"/>
        <rFont val="Arial Narrow"/>
        <family val="2"/>
      </rPr>
      <t>&amp;</t>
    </r>
    <r>
      <rPr>
        <sz val="9"/>
        <rFont val="Arial"/>
        <family val="2"/>
      </rPr>
      <t xml:space="preserve"> 7060</t>
    </r>
  </si>
  <si>
    <r>
      <t xml:space="preserve">Exemple : Le matériau utilisé : </t>
    </r>
    <r>
      <rPr>
        <b/>
        <sz val="9"/>
        <rFont val="Arial"/>
        <family val="2"/>
      </rPr>
      <t>GRH 0/31,5</t>
    </r>
  </si>
  <si>
    <r>
      <t xml:space="preserve">Classification : </t>
    </r>
    <r>
      <rPr>
        <b/>
        <sz val="9"/>
        <rFont val="Arial"/>
        <family val="2"/>
      </rPr>
      <t>DC2</t>
    </r>
  </si>
  <si>
    <r>
      <t xml:space="preserve">Exemple : Compactage de la couche en </t>
    </r>
    <r>
      <rPr>
        <b/>
        <sz val="9"/>
        <rFont val="Arial"/>
        <family val="2"/>
      </rPr>
      <t>q3</t>
    </r>
    <r>
      <rPr>
        <sz val="9"/>
        <rFont val="Arial"/>
        <family val="2"/>
      </rPr>
      <t xml:space="preserve"> (voir tableau ci-dessous)</t>
    </r>
  </si>
  <si>
    <r>
      <t>soit sur les étiquettes signalétiques du matériel qui définit la catégorie (</t>
    </r>
    <r>
      <rPr>
        <b/>
        <sz val="9"/>
        <rFont val="Arial"/>
        <family val="2"/>
      </rPr>
      <t>PN, PV, PQ</t>
    </r>
    <r>
      <rPr>
        <sz val="9"/>
        <rFont val="Arial"/>
        <family val="2"/>
      </rPr>
      <t>).</t>
    </r>
  </si>
  <si>
    <r>
      <t xml:space="preserve">Catégorie : </t>
    </r>
    <r>
      <rPr>
        <b/>
        <sz val="9"/>
        <rFont val="Arial"/>
        <family val="2"/>
      </rPr>
      <t>PN3</t>
    </r>
  </si>
  <si>
    <t>FICHE CONTRÔLE TEST ECRAN</t>
  </si>
  <si>
    <t>DAZSQ008 O 
Indice a</t>
  </si>
  <si>
    <t>NATURE DU CABLE</t>
  </si>
  <si>
    <t>CONTRÔLE</t>
  </si>
  <si>
    <t>Résultats</t>
  </si>
  <si>
    <t>Anomalies:</t>
  </si>
  <si>
    <t>N° Appareil:</t>
  </si>
  <si>
    <t>REPARATION</t>
  </si>
  <si>
    <t>Type</t>
  </si>
  <si>
    <t>Nom</t>
  </si>
  <si>
    <t xml:space="preserve"> - Constat d'huissier</t>
  </si>
  <si>
    <t xml:space="preserve"> - Fiche d'accueil chantier</t>
  </si>
  <si>
    <t>Sites stockage matériel, matériaux, base vie</t>
  </si>
  <si>
    <t>N° de téléphone client(s) et des intervenants sur le chantier</t>
  </si>
  <si>
    <t>CLIENT :</t>
  </si>
  <si>
    <t>A</t>
  </si>
  <si>
    <t>Nom :</t>
  </si>
  <si>
    <r>
      <t>Rappel:</t>
    </r>
    <r>
      <rPr>
        <sz val="12"/>
        <rFont val="Arial"/>
        <family val="2"/>
      </rPr>
      <t xml:space="preserve"> ces dossiers chantiers doivent impérativement être remis au chef d'équipe 48h minimum avant le début des travaux</t>
    </r>
  </si>
  <si>
    <r>
      <t xml:space="preserve">Ce fichier est placé sur le portail dans le processus "Préparation/Dossier Chantier". </t>
    </r>
    <r>
      <rPr>
        <b/>
        <sz val="12"/>
        <color indexed="10"/>
        <rFont val="Arial"/>
        <family val="2"/>
      </rPr>
      <t>Seule la version du portail est à jour</t>
    </r>
  </si>
  <si>
    <t>Description</t>
  </si>
  <si>
    <t>Fiche de progrès</t>
  </si>
  <si>
    <t>Fiche technique de prise de terre</t>
  </si>
  <si>
    <t>Le</t>
  </si>
  <si>
    <t xml:space="preserve">Commencé le: </t>
  </si>
  <si>
    <t>Bout perdu dans coffret existant</t>
  </si>
  <si>
    <t>Mise sous tension</t>
  </si>
  <si>
    <t>PROFONDEUR</t>
  </si>
  <si>
    <t>=</t>
  </si>
  <si>
    <t>LARGEUR =</t>
  </si>
  <si>
    <t>Commande ou OS client</t>
  </si>
  <si>
    <t>DICT</t>
  </si>
  <si>
    <t>ARRETES DE CIRCULATION/ AUTORISATIONS DE TRAVAIL</t>
  </si>
  <si>
    <t>Plans de circulation et prescriptions voiries</t>
  </si>
  <si>
    <t>Arrêté de circulation</t>
  </si>
  <si>
    <t>APPROVISIONNEMENTS</t>
  </si>
  <si>
    <t>Bons jaunes agrégats</t>
  </si>
  <si>
    <t xml:space="preserve">Liste des contrôles à réaliser </t>
  </si>
  <si>
    <t>HYGIENE, SECURITE ET ENVIRONNEMENT</t>
  </si>
  <si>
    <t>Constat d'huissier</t>
  </si>
  <si>
    <t>Echange de courrier avec le client</t>
  </si>
  <si>
    <t>TRONCON</t>
  </si>
  <si>
    <t>Mandrin ou gabarit</t>
  </si>
  <si>
    <t>Contrôle soudure</t>
  </si>
  <si>
    <t>Tout tuyau FT</t>
  </si>
  <si>
    <t>Fiche Disconnecteurs</t>
  </si>
  <si>
    <t>Contrôles HTB</t>
  </si>
  <si>
    <t xml:space="preserve">Tout tuyau gaz acier </t>
  </si>
  <si>
    <t>Mousse synthétique</t>
  </si>
  <si>
    <t xml:space="preserve">Effort de tirage </t>
  </si>
  <si>
    <t>Tout type de tuyau</t>
  </si>
  <si>
    <t>Niveau optique</t>
  </si>
  <si>
    <t>Formulaire de profil</t>
  </si>
  <si>
    <t>Epaisseur du lit de sable</t>
  </si>
  <si>
    <t>Tout type de tuyau d'assainissement</t>
  </si>
  <si>
    <t>Nivelette</t>
  </si>
  <si>
    <t>Plan de contrôle réseau aérien</t>
  </si>
  <si>
    <t>Epaisseur du radier béton</t>
  </si>
  <si>
    <t>Releveur</t>
  </si>
  <si>
    <t>Toute mise à la terre</t>
  </si>
  <si>
    <t xml:space="preserve">Pénétromètre panda ou PG 1000 </t>
  </si>
  <si>
    <t>Essai de compactage</t>
  </si>
  <si>
    <t>Soudeur</t>
  </si>
  <si>
    <t>Pompe à essai</t>
  </si>
  <si>
    <t>Plan minute (profil)</t>
  </si>
  <si>
    <t>Essai de conduite GAZ</t>
  </si>
  <si>
    <t>Règle au mercure ou DPI</t>
  </si>
  <si>
    <t>Procès verbal d'essai d'étanchéité de conduite GAZ</t>
  </si>
  <si>
    <t>Essai de mandrinage</t>
  </si>
  <si>
    <t>Relevé Graphique</t>
  </si>
  <si>
    <t>Essai de portance</t>
  </si>
  <si>
    <t>Rotorphase</t>
  </si>
  <si>
    <t>Relevé Graphique ou plan minute</t>
  </si>
  <si>
    <t>Essai de pression</t>
  </si>
  <si>
    <t>Sarbacane ou drainage</t>
  </si>
  <si>
    <t>Vie de chantier</t>
  </si>
  <si>
    <t>Essai d'étanchéité à l'air</t>
  </si>
  <si>
    <t>Telluromètre ou ohmmètre</t>
  </si>
  <si>
    <t>Visuel</t>
  </si>
  <si>
    <t>Essai d'étanchéité à l'eau</t>
  </si>
  <si>
    <t>Mesure de la protection cathodique</t>
  </si>
  <si>
    <t>Mise en place d'évents</t>
  </si>
  <si>
    <t>Nettoyage d'un tuyau GAZ</t>
  </si>
  <si>
    <r>
      <t xml:space="preserve">Suivant le </t>
    </r>
    <r>
      <rPr>
        <b/>
        <sz val="9"/>
        <rFont val="Arial"/>
        <family val="2"/>
      </rPr>
      <t>guide technique</t>
    </r>
    <r>
      <rPr>
        <sz val="9"/>
        <rFont val="Arial"/>
        <family val="2"/>
      </rPr>
      <t xml:space="preserve"> "</t>
    </r>
    <r>
      <rPr>
        <u/>
        <sz val="9"/>
        <rFont val="Arial"/>
        <family val="2"/>
      </rPr>
      <t>REMBLAYAGE DES TRANCHEES ET REFECTION DES CHAUSSEES</t>
    </r>
    <r>
      <rPr>
        <sz val="9"/>
        <rFont val="Arial"/>
        <family val="2"/>
      </rPr>
      <t>" de mai 1994</t>
    </r>
  </si>
  <si>
    <r>
      <t xml:space="preserve">SETRA/LCPC </t>
    </r>
    <r>
      <rPr>
        <sz val="9"/>
        <rFont val="Arial Narrow"/>
        <family val="2"/>
      </rPr>
      <t>&amp;</t>
    </r>
    <r>
      <rPr>
        <sz val="9"/>
        <rFont val="Arial"/>
        <family val="2"/>
      </rPr>
      <t xml:space="preserve"> la norme NF P 98-331 septembre 94</t>
    </r>
  </si>
  <si>
    <r>
      <t xml:space="preserve">Les </t>
    </r>
    <r>
      <rPr>
        <u/>
        <sz val="9"/>
        <rFont val="Arial"/>
        <family val="2"/>
      </rPr>
      <t>Sables alluvionnaires</t>
    </r>
    <r>
      <rPr>
        <sz val="9"/>
        <rFont val="Arial"/>
        <family val="2"/>
      </rPr>
      <t xml:space="preserve"> insensibles à l'eau</t>
    </r>
  </si>
  <si>
    <r>
      <t xml:space="preserve">* TV </t>
    </r>
    <r>
      <rPr>
        <b/>
        <sz val="9"/>
        <rFont val="Arial"/>
        <family val="2"/>
      </rPr>
      <t>0/20</t>
    </r>
    <r>
      <rPr>
        <sz val="9"/>
        <rFont val="Arial"/>
        <family val="2"/>
      </rPr>
      <t xml:space="preserve"> jusqu'à TV </t>
    </r>
    <r>
      <rPr>
        <b/>
        <sz val="9"/>
        <rFont val="Arial"/>
        <family val="2"/>
      </rPr>
      <t>0/50</t>
    </r>
  </si>
  <si>
    <r>
      <t xml:space="preserve">Les TV </t>
    </r>
    <r>
      <rPr>
        <sz val="9"/>
        <rFont val="Arial Narrow"/>
        <family val="2"/>
      </rPr>
      <t xml:space="preserve">≤ </t>
    </r>
    <r>
      <rPr>
        <sz val="9"/>
        <rFont val="Arial"/>
        <family val="2"/>
      </rPr>
      <t xml:space="preserve">50 mm </t>
    </r>
    <r>
      <rPr>
        <i/>
        <sz val="9"/>
        <rFont val="Arial"/>
        <family val="2"/>
      </rPr>
      <t xml:space="preserve">Sables et </t>
    </r>
    <r>
      <rPr>
        <i/>
        <u/>
        <sz val="9"/>
        <rFont val="Arial"/>
        <family val="2"/>
      </rPr>
      <t>Graves Naturelles</t>
    </r>
  </si>
  <si>
    <r>
      <t xml:space="preserve">* TV </t>
    </r>
    <r>
      <rPr>
        <b/>
        <sz val="9"/>
        <rFont val="Arial"/>
        <family val="2"/>
      </rPr>
      <t>0/60</t>
    </r>
    <r>
      <rPr>
        <sz val="9"/>
        <rFont val="Arial"/>
        <family val="2"/>
      </rPr>
      <t xml:space="preserve">, </t>
    </r>
    <r>
      <rPr>
        <b/>
        <sz val="9"/>
        <rFont val="Arial"/>
        <family val="2"/>
      </rPr>
      <t>0/100</t>
    </r>
    <r>
      <rPr>
        <sz val="9"/>
        <rFont val="Arial"/>
        <family val="2"/>
      </rPr>
      <t xml:space="preserve"> et plus</t>
    </r>
  </si>
  <si>
    <r>
      <t xml:space="preserve">Les T.V &gt; 50 mm </t>
    </r>
    <r>
      <rPr>
        <i/>
        <sz val="9"/>
        <rFont val="Arial"/>
        <family val="2"/>
      </rPr>
      <t>Graves Naturelles</t>
    </r>
  </si>
  <si>
    <r>
      <t xml:space="preserve">* </t>
    </r>
    <r>
      <rPr>
        <b/>
        <sz val="9"/>
        <rFont val="Arial"/>
        <family val="2"/>
      </rPr>
      <t>GNT</t>
    </r>
    <r>
      <rPr>
        <sz val="9"/>
        <rFont val="Arial"/>
        <family val="2"/>
      </rPr>
      <t xml:space="preserve"> (type B) </t>
    </r>
    <r>
      <rPr>
        <b/>
        <sz val="9"/>
        <rFont val="Arial"/>
        <family val="2"/>
      </rPr>
      <t>0/14</t>
    </r>
    <r>
      <rPr>
        <sz val="9"/>
        <rFont val="Arial"/>
        <family val="2"/>
      </rPr>
      <t xml:space="preserve"> jusqu'à </t>
    </r>
    <r>
      <rPr>
        <b/>
        <sz val="9"/>
        <rFont val="Arial"/>
        <family val="2"/>
      </rPr>
      <t>0/63</t>
    </r>
  </si>
  <si>
    <r>
      <t xml:space="preserve">GRH 0/31,5 ; 0/40 </t>
    </r>
    <r>
      <rPr>
        <i/>
        <sz val="9"/>
        <rFont val="Arial"/>
        <family val="2"/>
      </rPr>
      <t>Matériaux faiblement</t>
    </r>
  </si>
  <si>
    <r>
      <t xml:space="preserve">* </t>
    </r>
    <r>
      <rPr>
        <b/>
        <sz val="9"/>
        <rFont val="Arial"/>
        <family val="2"/>
      </rPr>
      <t>G</t>
    </r>
    <r>
      <rPr>
        <sz val="9"/>
        <rFont val="Arial"/>
        <family val="2"/>
      </rPr>
      <t xml:space="preserve">rave </t>
    </r>
    <r>
      <rPr>
        <b/>
        <sz val="9"/>
        <rFont val="Arial"/>
        <family val="2"/>
      </rPr>
      <t>C</t>
    </r>
    <r>
      <rPr>
        <sz val="9"/>
        <rFont val="Arial"/>
        <family val="2"/>
      </rPr>
      <t xml:space="preserve">iment </t>
    </r>
    <r>
      <rPr>
        <sz val="9"/>
        <rFont val="Arial Narrow"/>
        <family val="2"/>
      </rPr>
      <t xml:space="preserve">&amp; </t>
    </r>
    <r>
      <rPr>
        <b/>
        <sz val="9"/>
        <rFont val="Arial"/>
        <family val="2"/>
      </rPr>
      <t>G</t>
    </r>
    <r>
      <rPr>
        <sz val="9"/>
        <rFont val="Arial"/>
        <family val="2"/>
      </rPr>
      <t xml:space="preserve">rave </t>
    </r>
    <r>
      <rPr>
        <b/>
        <sz val="9"/>
        <rFont val="Arial"/>
        <family val="2"/>
      </rPr>
      <t>B</t>
    </r>
    <r>
      <rPr>
        <sz val="9"/>
        <rFont val="Arial"/>
        <family val="2"/>
      </rPr>
      <t>itume</t>
    </r>
  </si>
  <si>
    <r>
      <t>Type de matériaux</t>
    </r>
    <r>
      <rPr>
        <i/>
        <sz val="9"/>
        <rFont val="Arial"/>
        <family val="2"/>
      </rPr>
      <t xml:space="preserve"> :</t>
    </r>
  </si>
  <si>
    <r>
      <t>Pilonneuses vibrantes de type</t>
    </r>
    <r>
      <rPr>
        <sz val="9"/>
        <rFont val="Arial"/>
        <family val="2"/>
      </rPr>
      <t xml:space="preserve"> :</t>
    </r>
  </si>
  <si>
    <r>
      <t xml:space="preserve">ép. </t>
    </r>
    <r>
      <rPr>
        <i/>
        <sz val="9"/>
        <rFont val="Arial"/>
        <family val="2"/>
      </rPr>
      <t>Compactée</t>
    </r>
    <r>
      <rPr>
        <sz val="9"/>
        <rFont val="Arial"/>
        <family val="2"/>
      </rPr>
      <t xml:space="preserve"> (cm)</t>
    </r>
  </si>
  <si>
    <r>
      <t xml:space="preserve">Waker BS 60Y </t>
    </r>
    <r>
      <rPr>
        <sz val="9"/>
        <rFont val="Arial Narrow"/>
        <family val="2"/>
      </rPr>
      <t>&amp;</t>
    </r>
    <r>
      <rPr>
        <sz val="9"/>
        <rFont val="Arial"/>
        <family val="2"/>
      </rPr>
      <t xml:space="preserve"> BS 62Y</t>
    </r>
  </si>
  <si>
    <r>
      <t xml:space="preserve">Waker BS 60Y </t>
    </r>
    <r>
      <rPr>
        <sz val="6"/>
        <rFont val="Arial Narrow"/>
        <family val="2"/>
      </rPr>
      <t>&amp;</t>
    </r>
    <r>
      <rPr>
        <sz val="6"/>
        <rFont val="Arial"/>
        <family val="2"/>
      </rPr>
      <t xml:space="preserve"> BS 62Y</t>
    </r>
  </si>
  <si>
    <r>
      <t xml:space="preserve">Waker BS 65Y </t>
    </r>
    <r>
      <rPr>
        <sz val="6"/>
        <rFont val="Arial Narrow"/>
        <family val="2"/>
      </rPr>
      <t>&amp;</t>
    </r>
    <r>
      <rPr>
        <sz val="6"/>
        <rFont val="Arial"/>
        <family val="2"/>
      </rPr>
      <t xml:space="preserve"> DS 72Y</t>
    </r>
  </si>
  <si>
    <r>
      <t>Rouleaux vibrantes de type</t>
    </r>
    <r>
      <rPr>
        <sz val="6"/>
        <rFont val="Arial"/>
        <family val="2"/>
      </rPr>
      <t xml:space="preserve"> :</t>
    </r>
  </si>
  <si>
    <r>
      <t xml:space="preserve">Bomag BW 65H </t>
    </r>
    <r>
      <rPr>
        <sz val="6"/>
        <rFont val="Arial Narrow"/>
        <family val="2"/>
      </rPr>
      <t>&amp;</t>
    </r>
    <r>
      <rPr>
        <sz val="6"/>
        <rFont val="Arial"/>
        <family val="2"/>
      </rPr>
      <t xml:space="preserve"> 75H</t>
    </r>
  </si>
  <si>
    <r>
      <t>Plaques vibrantes de type</t>
    </r>
    <r>
      <rPr>
        <sz val="6"/>
        <rFont val="Arial"/>
        <family val="2"/>
      </rPr>
      <t xml:space="preserve"> :</t>
    </r>
  </si>
  <si>
    <r>
      <t xml:space="preserve">Waker DPU 4045 </t>
    </r>
    <r>
      <rPr>
        <sz val="6"/>
        <rFont val="Arial Narrow"/>
        <family val="2"/>
      </rPr>
      <t>&amp;</t>
    </r>
    <r>
      <rPr>
        <sz val="6"/>
        <rFont val="Arial"/>
        <family val="2"/>
      </rPr>
      <t xml:space="preserve"> 7060</t>
    </r>
  </si>
  <si>
    <t>DOSSIER CHANTIER</t>
  </si>
  <si>
    <t>DOCUMENTS D'EXECUTION / PROJET</t>
  </si>
  <si>
    <t xml:space="preserve"> - Plans de Travaux</t>
  </si>
  <si>
    <t xml:space="preserve"> - Compte rendu de la réunion d'ouverture de chantier</t>
  </si>
  <si>
    <t xml:space="preserve"> - Comptes rendus des réunions de chantier</t>
  </si>
  <si>
    <t xml:space="preserve"> - Modes Opératoires</t>
  </si>
  <si>
    <t xml:space="preserve"> - Commande ou OS Client</t>
  </si>
  <si>
    <t>CLIENT:</t>
  </si>
  <si>
    <t>Début prévu des travaux:</t>
  </si>
  <si>
    <t>Fin des travaux:</t>
  </si>
  <si>
    <t>Coupes Types jointes ci-dessous</t>
  </si>
  <si>
    <t>e1 = épaisseur du lit de pose en cm (sable ou béton)</t>
  </si>
  <si>
    <t>e2 = épaisseur de la protection sur l'ouvrage en cm (sable ou béton)</t>
  </si>
  <si>
    <t>REUNION DE CHANTIER</t>
  </si>
  <si>
    <t>DAZSQ007 B Indice a</t>
  </si>
  <si>
    <t>Réunion du:</t>
  </si>
  <si>
    <t>Désignation des travaux:</t>
  </si>
  <si>
    <t>Début réel des travaux:</t>
  </si>
  <si>
    <t>Noms</t>
  </si>
  <si>
    <t>Fonctions</t>
  </si>
  <si>
    <t>Coordonnées</t>
  </si>
  <si>
    <t>Visas</t>
  </si>
  <si>
    <t>Tél:
Fax:</t>
  </si>
  <si>
    <t>Compte rendu de la réunion d'ouverture de chantier</t>
  </si>
  <si>
    <t>Les comptes rendus des réunions suivantes (si existantes) sont à joindre au présent document</t>
  </si>
  <si>
    <t xml:space="preserve">Guide pour la visite de site
</t>
  </si>
  <si>
    <t>Terrassements</t>
  </si>
  <si>
    <t>Largeur des voies</t>
  </si>
  <si>
    <t>Stockage et manutention des matériaux</t>
  </si>
  <si>
    <t>Tonnage ou hauteur des ponts</t>
  </si>
  <si>
    <t xml:space="preserve">Carrière </t>
  </si>
  <si>
    <t>Décharge</t>
  </si>
  <si>
    <t>Circulation</t>
  </si>
  <si>
    <t>Fournisseurs divers</t>
  </si>
  <si>
    <t>Sens unique</t>
  </si>
  <si>
    <t>Double sens</t>
  </si>
  <si>
    <t>Dépose et repose de bordures</t>
  </si>
  <si>
    <t>Stationnement</t>
  </si>
  <si>
    <t>Feux tricolores</t>
  </si>
  <si>
    <t>Création d'une piste</t>
  </si>
  <si>
    <t>Environnement</t>
  </si>
  <si>
    <t>Indemnité dégâts de cultures</t>
  </si>
  <si>
    <t>Habitations</t>
  </si>
  <si>
    <t>ZI, Usines</t>
  </si>
  <si>
    <t>Dépose et repose de clôtures</t>
  </si>
  <si>
    <t>Les accès (pompiers, usines, écoles…)</t>
  </si>
  <si>
    <t>Bois</t>
  </si>
  <si>
    <t>Etat du site</t>
  </si>
  <si>
    <t>Mobilier urbain (abris bus, lampadaires, panneaux de signalisation…)</t>
  </si>
  <si>
    <t>Mur détérioré
Propriété privée</t>
  </si>
  <si>
    <t>Cultures</t>
  </si>
  <si>
    <t>Zone de stockage de matériel ou de matériaux à déplacer</t>
  </si>
  <si>
    <t>Forte pente</t>
  </si>
  <si>
    <t>Etat des haies et des clôtures</t>
  </si>
  <si>
    <t>Nivellement du terrain</t>
  </si>
  <si>
    <t>Revêtements Chaussées ou Trottoirs</t>
  </si>
  <si>
    <t>Epaisseur des revêtements</t>
  </si>
  <si>
    <t>Poste</t>
  </si>
  <si>
    <t>Asphalte (noir, rouge)</t>
  </si>
  <si>
    <t>Piste d'accès</t>
  </si>
  <si>
    <t>Enrobé chaud (noir, rouge)</t>
  </si>
  <si>
    <t>Proximité d'ouvrages sous tension (travail à la main)</t>
  </si>
  <si>
    <t>Bicouche</t>
  </si>
  <si>
    <t>Pavé</t>
  </si>
  <si>
    <t>Balisage du poste</t>
  </si>
  <si>
    <t>Dalle béton</t>
  </si>
  <si>
    <t>Gazon, terre de culture</t>
  </si>
  <si>
    <t>Galerie</t>
  </si>
  <si>
    <t>Trappes d'accès (nombre, dimension…)</t>
  </si>
  <si>
    <t>Encombrement visible du sous-sol</t>
  </si>
  <si>
    <t>Eclairage de la galerie</t>
  </si>
  <si>
    <t>Présence de concessionnaires non portés sur les plans</t>
  </si>
  <si>
    <t>Dimension de la galerie</t>
  </si>
  <si>
    <t>Présence d'eau</t>
  </si>
  <si>
    <t>Présence d'eau nécessitant du pompage</t>
  </si>
  <si>
    <t>Présence de câble sous tension</t>
  </si>
  <si>
    <t>Caniveaux techniques (dépose des dalles ou dalots)</t>
  </si>
  <si>
    <t>Présence de rocher</t>
  </si>
  <si>
    <t>Positionnement des tourets pour le déroulage</t>
  </si>
  <si>
    <t>Lignes aériennes</t>
  </si>
  <si>
    <t>Position de la grue</t>
  </si>
  <si>
    <t>Sens de déroulage</t>
  </si>
  <si>
    <t xml:space="preserve">Accès pour livraison des tourets </t>
  </si>
  <si>
    <t>Nécessité d'une dérouleuse</t>
  </si>
  <si>
    <t xml:space="preserve"> - Plans de circulation et prescriptions voiries</t>
  </si>
  <si>
    <t xml:space="preserve"> - Arrêté de circulation</t>
  </si>
  <si>
    <t xml:space="preserve"> - Plans de signalisation</t>
  </si>
  <si>
    <t xml:space="preserve"> - Bons jaunes agrégats</t>
  </si>
  <si>
    <t xml:space="preserve"> - Plan de situation des sites agrégats et identification des sites de stockage</t>
  </si>
  <si>
    <t xml:space="preserve"> - Liste des contrôles à réaliser</t>
  </si>
  <si>
    <t xml:space="preserve"> - Vie de chantier (ou Vie de chantier journalière)</t>
  </si>
  <si>
    <t xml:space="preserve"> - Fiche de progrès</t>
  </si>
  <si>
    <t xml:space="preserve"> - Relevé graphique du génie civil exécuté</t>
  </si>
  <si>
    <t xml:space="preserve"> - Fiche de déroulage ou de pose</t>
  </si>
  <si>
    <t xml:space="preserve"> - Fiche technique de prise de terre, test écran, de branchements</t>
  </si>
  <si>
    <t xml:space="preserve"> - Relevé d'alvéoles Chambres France Télecom // Fiche de mandrinage France Telecom</t>
  </si>
  <si>
    <t xml:space="preserve"> - Bon de commande et de réception des végétaux</t>
  </si>
  <si>
    <t xml:space="preserve"> - Fiche de confection de boites</t>
  </si>
  <si>
    <t xml:space="preserve"> - Pose de câbles et coffrets</t>
  </si>
  <si>
    <t xml:space="preserve"> - Formulaire profil forage</t>
  </si>
  <si>
    <t xml:space="preserve"> - Isolement des câbles</t>
  </si>
  <si>
    <t xml:space="preserve"> - Carnet de relevé de pente</t>
  </si>
  <si>
    <t xml:space="preserve"> - Carnet de soudure</t>
  </si>
  <si>
    <t xml:space="preserve"> - Points convocation et arrêt</t>
  </si>
  <si>
    <t xml:space="preserve"> - Réunion, livraison, contrôle, constat défauts, stockage des tourets</t>
  </si>
  <si>
    <t xml:space="preserve"> - Réception pose anticipée de fourreaux</t>
  </si>
  <si>
    <t xml:space="preserve"> - Réception d'ouvrages fournis par le client ou autres</t>
  </si>
  <si>
    <t>SO</t>
  </si>
  <si>
    <t>COMMENTAIRES</t>
  </si>
  <si>
    <t>Points d'arrêts client ou FIRALP</t>
  </si>
  <si>
    <t>RdV avec les gestionnaires de voiries pour faire l'état des lieux</t>
  </si>
  <si>
    <t>Valeur de couplage entre………… et ………… neutre  RMN  = …………………. Ohms.                 Rc = (RN +RM - RMN) /2 = . . . . . . .  .. . Ohms</t>
  </si>
  <si>
    <t xml:space="preserve">c = Rc/ RM &lt; 0,15 ou 0,05 (+ télécom) = …………………. </t>
  </si>
  <si>
    <t>Observations éventuelles:</t>
  </si>
  <si>
    <t>Le,</t>
  </si>
  <si>
    <t>DAZSA007 A Indice a</t>
  </si>
  <si>
    <t>N° Marché:</t>
  </si>
  <si>
    <t>Resp. d'Affaires:</t>
  </si>
  <si>
    <t>Description de l'ouvrage:</t>
  </si>
  <si>
    <t>Si NC, n° Fiche de Progrès:</t>
  </si>
  <si>
    <t>NC levée</t>
  </si>
  <si>
    <t>Tranchée</t>
  </si>
  <si>
    <t>Fourreaux</t>
  </si>
  <si>
    <t>Fonçages</t>
  </si>
  <si>
    <t>Câble</t>
  </si>
  <si>
    <t>Caniveaux</t>
  </si>
  <si>
    <t>Conduites à tuber</t>
  </si>
  <si>
    <t>Massif EP</t>
  </si>
  <si>
    <t>Autres (à préciser):</t>
  </si>
  <si>
    <t>SO:  Sans Objet                 C:  Conforme                    NC:  Non-Conforme</t>
  </si>
  <si>
    <t>Réceptionné le ………………………………</t>
  </si>
  <si>
    <t>Pour FIRALP</t>
  </si>
  <si>
    <t>Représentant du client</t>
  </si>
  <si>
    <t>Nom du représentant du client:</t>
  </si>
  <si>
    <t>Visa:</t>
  </si>
  <si>
    <t>Terminer de compléter manuellement les éléments manquants (ex: liste des contrôles à réaliser par le chef d'équipe)</t>
  </si>
  <si>
    <t>Intégrer les documents manquants (plans, commande, ordre de service, retours DICT…) dans les pochettes adéquates</t>
  </si>
  <si>
    <r>
      <t xml:space="preserve">Les cellules </t>
    </r>
    <r>
      <rPr>
        <b/>
        <sz val="12"/>
        <rFont val="Arial"/>
        <family val="2"/>
      </rPr>
      <t>BLEUES</t>
    </r>
    <r>
      <rPr>
        <sz val="12"/>
        <rFont val="Arial"/>
        <family val="2"/>
      </rPr>
      <t xml:space="preserve"> contiennent des formules et sont complétées automatiquement</t>
    </r>
  </si>
  <si>
    <r>
      <t>CE TABLEAU EST UN GUIDE, SEULS LES RESULTATS DES ESSAIS DE COMPACTAGE VALIDENT LA METHODE EMPLOYEE</t>
    </r>
    <r>
      <rPr>
        <b/>
        <i/>
        <sz val="9"/>
        <rFont val="Arial"/>
        <family val="2"/>
      </rPr>
      <t>.</t>
    </r>
  </si>
  <si>
    <t>Cocher SO si le point ne concerne pas le chantier</t>
  </si>
  <si>
    <t>Fiche de déroulage</t>
  </si>
  <si>
    <t>Contrôle d'écoulement des murs (soutènement)</t>
  </si>
  <si>
    <t>Maçon</t>
  </si>
  <si>
    <t>Tout câble en triphasé</t>
  </si>
  <si>
    <t>Dynaplaque</t>
  </si>
  <si>
    <t xml:space="preserve">Fiche de mandrinage FT </t>
  </si>
  <si>
    <t>Contrôle pente altimétrie</t>
  </si>
  <si>
    <t>Organisme de contrôle</t>
  </si>
  <si>
    <t>Tout déroulage réalisé au treuil</t>
  </si>
  <si>
    <t>Events</t>
  </si>
  <si>
    <t xml:space="preserve">Fiche de mandrinage FT ou relevé d'alvéole </t>
  </si>
  <si>
    <t>Contrôle programmation</t>
  </si>
  <si>
    <t>PREPARATION</t>
  </si>
  <si>
    <t>Fiche d'intervention/ pompe</t>
  </si>
  <si>
    <t>Carnet de relevé de pente</t>
  </si>
  <si>
    <t>COUPE TYPE :</t>
  </si>
  <si>
    <t>CHARGE :</t>
  </si>
  <si>
    <t>Types d'agrégats + épaisseurs</t>
  </si>
  <si>
    <t>Echange de courrier avec divers organismes</t>
  </si>
  <si>
    <t>Lettre d'information aux riverains</t>
  </si>
  <si>
    <r>
      <t xml:space="preserve">Documents produits fournis par le client (DMR, bons de livraison…) </t>
    </r>
    <r>
      <rPr>
        <sz val="10"/>
        <rFont val="Arial"/>
        <family val="2"/>
      </rPr>
      <t>réceptionnés sur chantier</t>
    </r>
  </si>
  <si>
    <t xml:space="preserve"> </t>
  </si>
  <si>
    <t>Date :</t>
  </si>
  <si>
    <t>Date</t>
  </si>
  <si>
    <t>Date:</t>
  </si>
  <si>
    <t>NC</t>
  </si>
  <si>
    <t>…………………..</t>
  </si>
  <si>
    <t>Client :</t>
  </si>
  <si>
    <t>Actions immédiates</t>
  </si>
  <si>
    <t>Responsables</t>
  </si>
  <si>
    <t>Délais</t>
  </si>
  <si>
    <t>Réalisé</t>
  </si>
  <si>
    <t>Efficacité</t>
  </si>
  <si>
    <t>DAZSQ008 C 
Indice a</t>
  </si>
  <si>
    <t>N°   Météo:</t>
  </si>
  <si>
    <t>C: Conforme                  NC: non-conforme</t>
  </si>
  <si>
    <t xml:space="preserve">Marque, Type ,  N° touret </t>
  </si>
  <si>
    <t>T°
 (relevé météo)</t>
  </si>
  <si>
    <t>Canalisation</t>
  </si>
  <si>
    <t>Effort constaté kg (Voir valeur type ds guide technique)</t>
  </si>
  <si>
    <t>Identification          (n° ou couleur) des câbles</t>
  </si>
  <si>
    <t>Obturation et protection des extrémités</t>
  </si>
  <si>
    <t>Longueur déroulée ou posée (m)</t>
  </si>
  <si>
    <t>Nature (Ø)</t>
  </si>
  <si>
    <t>Treuil</t>
  </si>
  <si>
    <t>Manuel</t>
  </si>
  <si>
    <t>C</t>
  </si>
  <si>
    <t>FICHE TECHNIQUE DE PRISE DE TERRE</t>
  </si>
  <si>
    <t>DAZSQ008 D
Indice b</t>
  </si>
  <si>
    <t>N° de Chantier:</t>
  </si>
  <si>
    <t>Résistivité du sol (si demandée ou connu):</t>
  </si>
  <si>
    <t>Distances entre bornes:</t>
  </si>
  <si>
    <t>Résistivité en ohms:</t>
  </si>
  <si>
    <t>Organe relié à la prise de terre</t>
  </si>
  <si>
    <t>Identification de la borne</t>
  </si>
  <si>
    <t>Piquet enfoncé</t>
  </si>
  <si>
    <t>Fil Horizontal</t>
  </si>
  <si>
    <t>Grille Horizontale</t>
  </si>
  <si>
    <t>Autres (Forage, grille panier)</t>
  </si>
  <si>
    <t>Date de l'essai</t>
  </si>
  <si>
    <t>Valeur de la terre interconnectée du départ</t>
  </si>
  <si>
    <t>Résistance de la prise de terre</t>
  </si>
  <si>
    <t>N° d'Appareil</t>
  </si>
  <si>
    <t>Inter. Aérien</t>
  </si>
  <si>
    <t>Nbre élect.:</t>
  </si>
  <si>
    <t>Long. élect.:</t>
  </si>
  <si>
    <t>H61</t>
  </si>
  <si>
    <t>BT</t>
  </si>
  <si>
    <t>Aérien</t>
  </si>
  <si>
    <t>Comment utiliser ce dossier Chantier?</t>
  </si>
  <si>
    <t>1- Description du dossier</t>
  </si>
  <si>
    <t>L'onglet "Impression" (à ne pas renommer) contient:</t>
  </si>
  <si>
    <t>La liste de tous les documents contenus dans le fichier Excel</t>
  </si>
  <si>
    <t>Les boutons de commande : pour afficher un onglet ou pour imprimer les documents</t>
  </si>
  <si>
    <t>L'onglet "Sommaire" contient:</t>
  </si>
  <si>
    <t>Comment se déplacer d'un onglet à l'autre ?</t>
  </si>
  <si>
    <t>2- Réalisation d'un dossier chantier</t>
  </si>
  <si>
    <t xml:space="preserve"> - Fiche de suivi du port des EPI</t>
  </si>
  <si>
    <t>SECURITE ET ENVIRONNEMENT</t>
  </si>
  <si>
    <t>Mesures spécifiques de sécurité pour ce chantier (au vu de l'environnement, de notre travail, du travail de l'entreprise)</t>
  </si>
  <si>
    <t>PHASES DE TRAVAIL</t>
  </si>
  <si>
    <t>RISQUES ENGENDRES</t>
  </si>
  <si>
    <t>MESURES DE PROTECTION</t>
  </si>
  <si>
    <t>RAPPEL:</t>
  </si>
  <si>
    <t>En cas d'accident, alerter les secours en téléphonant aux numéros suivants:</t>
  </si>
  <si>
    <t>SERVICES D'URGENCE</t>
  </si>
  <si>
    <t>NUMEROS TELEPHONES</t>
  </si>
  <si>
    <t>SAMU</t>
  </si>
  <si>
    <t>SECOURS</t>
  </si>
  <si>
    <t>SECOURS DEPUIS UN PORTABLE</t>
  </si>
  <si>
    <t>GENDARMERIE</t>
  </si>
  <si>
    <t>CENTRE HOSPITALIER:……………………………………</t>
  </si>
  <si>
    <t>RESPONSABLE D'AFFAIRES</t>
  </si>
  <si>
    <t>DAZSQ008 B Indice b</t>
  </si>
  <si>
    <t>Liste des points et opérations sensibles retenus:</t>
  </si>
  <si>
    <t>Description des contrôles et enregistrements</t>
  </si>
  <si>
    <t>Responsable</t>
  </si>
  <si>
    <t>Fréquence ou situation</t>
  </si>
  <si>
    <t>Avec quel équipement?</t>
  </si>
  <si>
    <t>Support d'enregistrement (rapport journalier,relevé graphique,  plan de récolement, ou fiche spécifique)</t>
  </si>
  <si>
    <t>Mètre ruban</t>
  </si>
  <si>
    <t>Plan minute</t>
  </si>
  <si>
    <t>Calpinage</t>
  </si>
  <si>
    <t>APAVE</t>
  </si>
  <si>
    <t>Bordure et voirie</t>
  </si>
  <si>
    <t>Balai électrique</t>
  </si>
  <si>
    <t>Carnet de soudure</t>
  </si>
  <si>
    <t>Contrôle de la flèche</t>
  </si>
  <si>
    <t>Fourreaux acier pour tuyau gaz</t>
  </si>
  <si>
    <t>Balle en mousse</t>
  </si>
  <si>
    <t>Certificat du laboratoire annexe</t>
  </si>
  <si>
    <t>Contrôle de régularité du profil (profil en long)</t>
  </si>
  <si>
    <t>Electricien</t>
  </si>
  <si>
    <t>Parking et voirie</t>
  </si>
  <si>
    <t>Détecteur de fréquences</t>
  </si>
  <si>
    <t>Fiche de contrôle Arrosage</t>
  </si>
  <si>
    <t>Contrôle de stabilité des murs (soutènement)</t>
  </si>
  <si>
    <t>Laboratoire annexe</t>
  </si>
  <si>
    <t>Tout  type de canalisation</t>
  </si>
  <si>
    <t>Dynamomètre</t>
  </si>
  <si>
    <t>Non</t>
  </si>
  <si>
    <t>Oui</t>
  </si>
  <si>
    <t>Levée</t>
  </si>
  <si>
    <t>MODE D'EMPLOI</t>
  </si>
  <si>
    <t>Cocher les cases</t>
  </si>
  <si>
    <t>Remise de réseaux à l'exploitant</t>
  </si>
  <si>
    <t>Confection RAS BT</t>
  </si>
  <si>
    <t>Isolement des câbles</t>
  </si>
  <si>
    <t>Pose des câbles et coffrets</t>
  </si>
  <si>
    <r>
      <t xml:space="preserve">Les </t>
    </r>
    <r>
      <rPr>
        <b/>
        <sz val="10"/>
        <rFont val="Arial"/>
        <family val="2"/>
      </rPr>
      <t>opérations en gras</t>
    </r>
    <r>
      <rPr>
        <sz val="10"/>
        <rFont val="Arial"/>
        <family val="2"/>
      </rPr>
      <t xml:space="preserve"> nécessitent une fiche de Contrôle</t>
    </r>
  </si>
  <si>
    <t>Client</t>
  </si>
  <si>
    <t>Déroulage</t>
  </si>
  <si>
    <t xml:space="preserve">N° CHANTIER: </t>
  </si>
  <si>
    <t>N° MARCHE:</t>
  </si>
  <si>
    <t>N° COMMANDE:</t>
  </si>
  <si>
    <t>N° AFFAIRE CLIENT:</t>
  </si>
  <si>
    <t>N° DEVIS FIRALP:</t>
  </si>
  <si>
    <t>ADRESSE:</t>
  </si>
  <si>
    <t>COMMUNE:</t>
  </si>
  <si>
    <t>DESIGNATION DES TRAVAUX:</t>
  </si>
  <si>
    <t xml:space="preserve">Tél:  </t>
  </si>
  <si>
    <t xml:space="preserve">LISTE DES INTERLOCUTEURS
(exploitants, maître d'œuvre…) </t>
  </si>
  <si>
    <t>NOMS</t>
  </si>
  <si>
    <t>RESPONSABLE(S)</t>
  </si>
  <si>
    <t>TELEPHONE</t>
  </si>
  <si>
    <t>LISTE DES FOURNISSEURS</t>
  </si>
  <si>
    <t>NATURE DES FOURNITURES</t>
  </si>
  <si>
    <t>CORRESPONDANTS</t>
  </si>
  <si>
    <t>N° Chantier:</t>
  </si>
  <si>
    <t>N° Commande:</t>
  </si>
  <si>
    <t>Client:</t>
  </si>
  <si>
    <t>Commune:</t>
  </si>
  <si>
    <t>Désignation:</t>
  </si>
  <si>
    <t>X</t>
  </si>
  <si>
    <t>DOCUMENTS D'EXÉCUTION/ PROJET</t>
  </si>
  <si>
    <t>Mise à la terre du neutre effectuée sur chaque départ basse tension au premier et dernier accessoire de jonction ou de dérivation ou grille de réseaux</t>
  </si>
  <si>
    <t>Accessoires de raccordement mis à la terre</t>
  </si>
  <si>
    <t>Réalisation d'une mesure individuelle de chaque prise de terre</t>
  </si>
  <si>
    <t>Mise à la terre en aérien sur le premier support et le support de chaque extrémité ainsi que tous les 200 mètres</t>
  </si>
  <si>
    <t>Mise à la terre du circuit téléreport</t>
  </si>
  <si>
    <t>Valeur de chaque prise de terre (A indiquer sur une fiche en annexe ou sur le plan de recolement)</t>
  </si>
  <si>
    <t>Valeur maximale de chaque prise de terre inférieure à …….. ohms</t>
  </si>
  <si>
    <t xml:space="preserve">                  PLAN DE CONTRÔLE RESEAUX AERIENS</t>
  </si>
  <si>
    <t>DAZSQ008 E Indice a</t>
  </si>
  <si>
    <t>DEROULAGE</t>
  </si>
  <si>
    <t>Flèche (température/ longueur portée)</t>
  </si>
  <si>
    <t xml:space="preserve">Contrôle de la flèche par rapport à l'ancrage des fils </t>
  </si>
  <si>
    <t>Capots aux extrémités</t>
  </si>
  <si>
    <t>La levée de la NC vaut validation du contrôle portant le même n° de</t>
  </si>
  <si>
    <t>Fiche de Progrès</t>
  </si>
  <si>
    <t>FINITIONS</t>
  </si>
  <si>
    <t>REMBLAI</t>
  </si>
  <si>
    <t>Se référer aux conditions particulières du chantier ou aux Notes</t>
  </si>
  <si>
    <t>Terminé le:</t>
  </si>
  <si>
    <t>Techniques pour connaître les valeurs limites acceptables.</t>
  </si>
  <si>
    <t>Chape en pieds de poteaux</t>
  </si>
  <si>
    <t>Affiches réglementaires</t>
  </si>
  <si>
    <t>Signalisation/ Balisage</t>
  </si>
  <si>
    <t>Remise en état Terrain/ Cultures le</t>
  </si>
  <si>
    <t>Traçage des conduites existantes (repérage)</t>
  </si>
  <si>
    <t>Implantation (piquetage)</t>
  </si>
  <si>
    <t>Raccordements des antennes</t>
  </si>
  <si>
    <t>TERRASSEMENT</t>
  </si>
  <si>
    <t>Remblai/ Réfections des trous pour les raccordements</t>
  </si>
  <si>
    <t>OUVERTURE</t>
  </si>
  <si>
    <t>Terminés le:</t>
  </si>
  <si>
    <t>Profondeur (Décret 08/01/65)</t>
  </si>
  <si>
    <t>Respect des plans et abaques</t>
  </si>
  <si>
    <r>
      <t>PLAN DE RECOLEMENT</t>
    </r>
    <r>
      <rPr>
        <sz val="10"/>
        <rFont val="Arial"/>
        <family val="2"/>
      </rPr>
      <t xml:space="preserve"> (Minute)</t>
    </r>
  </si>
  <si>
    <t>Respect des portées</t>
  </si>
  <si>
    <t>Envoyé le:</t>
  </si>
  <si>
    <t>Respect des distances entre réseaux</t>
  </si>
  <si>
    <t>Propreté du fond</t>
  </si>
  <si>
    <t>TRAVAUX ELECTRIQUES</t>
  </si>
  <si>
    <t>Raccordements</t>
  </si>
  <si>
    <t>IMPLANTATION</t>
  </si>
  <si>
    <t>POTEAUX</t>
  </si>
  <si>
    <t>le:</t>
  </si>
  <si>
    <t>Voisinage électrique</t>
  </si>
  <si>
    <t xml:space="preserve">POSE commencée le </t>
  </si>
  <si>
    <t>Orientation</t>
  </si>
  <si>
    <t>Haubanage</t>
  </si>
  <si>
    <t>FACADE</t>
  </si>
  <si>
    <t>EQUIPEMENT commencé le</t>
  </si>
  <si>
    <t>Attestation de fin de travaux</t>
  </si>
  <si>
    <t>Colliers (écartement)</t>
  </si>
  <si>
    <t>Zones de sécurité</t>
  </si>
  <si>
    <t>CORRESPONDANCES DIVERSES</t>
  </si>
  <si>
    <t xml:space="preserve"> - Echanges de courriers avec divers organismes</t>
  </si>
  <si>
    <t xml:space="preserve"> - Lettres d'information aux riverains</t>
  </si>
  <si>
    <t>, le</t>
  </si>
  <si>
    <t>….</t>
  </si>
  <si>
    <t>Madame, Monsieur,</t>
  </si>
  <si>
    <t>au</t>
  </si>
  <si>
    <t>Vous remerciant par avance de votre compréhension, nous vous prions d'agréer, Madame, Monsieur, 
nos salutations distinguées.</t>
  </si>
  <si>
    <t>Tout mur en éléments préfabriqués</t>
  </si>
  <si>
    <t>Plaques vibrantes de type :</t>
  </si>
  <si>
    <t>PQ3</t>
  </si>
  <si>
    <t>Delmag SV(F) 2511</t>
  </si>
  <si>
    <t>PQ4</t>
  </si>
  <si>
    <t>Dynapac LG 140</t>
  </si>
  <si>
    <t>Delmag SV(H) 3511</t>
  </si>
  <si>
    <t>Se référer à l'étiquette signalétique du matériel de FIRALP pour vérifier la CATEGORIE du matériel (PQ, PN, PV)</t>
  </si>
  <si>
    <t>NOTICE D'UTILISATION</t>
  </si>
  <si>
    <t>1° ETAPE</t>
  </si>
  <si>
    <t xml:space="preserve">   Connaître le matériau à mettre en œuvre :</t>
  </si>
  <si>
    <t>Déterminer sa classification suivant le tableau ou le Bon de Livraison du fournisseur.</t>
  </si>
  <si>
    <t>2° ETAPE</t>
  </si>
  <si>
    <t xml:space="preserve">   Connaître les objectifs de compactage à respecter (q2,q3 ou q4) :</t>
  </si>
  <si>
    <t>A déterminer en fonction de la ou des coupe(s) type(s) du guide</t>
  </si>
  <si>
    <t xml:space="preserve">ou fournie(s) par le gestionnaire de voirie ; puis définir les épaisseurs </t>
  </si>
  <si>
    <t>des différentes couches.</t>
  </si>
  <si>
    <t>Exemple : à partir de la coupe type suivante :</t>
  </si>
  <si>
    <t>3° ETAPE</t>
  </si>
  <si>
    <t xml:space="preserve">   Connaître son matériel de compactage, indiqué :</t>
  </si>
  <si>
    <t>soit sur le tableau en première colonne</t>
  </si>
  <si>
    <t>Exemple : si le matériel utilisé est une WAKER DS 72Y</t>
  </si>
  <si>
    <t>4° ETAPE</t>
  </si>
  <si>
    <t>Interprétation du tableau :</t>
  </si>
  <si>
    <t>MATERIEL (SOBECA)</t>
  </si>
  <si>
    <t>Type de matériaux</t>
  </si>
  <si>
    <t>D1, D2, D3</t>
  </si>
  <si>
    <t>Pilonneuses vibrantes de type</t>
  </si>
  <si>
    <t>ép. Compactée (cm)</t>
  </si>
  <si>
    <t>Weber SRX 65R-2</t>
  </si>
  <si>
    <t>Rapport de causerie</t>
  </si>
  <si>
    <t xml:space="preserve"> - Rapport de Causerie</t>
  </si>
  <si>
    <t>Fonction</t>
  </si>
  <si>
    <t>-
-
-</t>
  </si>
  <si>
    <t>sans réserve, en retenant pour l'achèvement de travaux la date du ………………………………………………….</t>
  </si>
  <si>
    <t>sous réserve qu'il soit remédié aux imperfections ou malfaçons citées ci-dessus avant le ……………………………</t>
  </si>
  <si>
    <t>Dressé le</t>
  </si>
  <si>
    <t>……………………………</t>
  </si>
  <si>
    <t>Accepté le</t>
  </si>
  <si>
    <t>………………………….</t>
  </si>
  <si>
    <t>l'Entrepreneur</t>
  </si>
  <si>
    <t>A …………………….……………..</t>
  </si>
  <si>
    <t>Le ……………………………….</t>
  </si>
  <si>
    <t>Carrosserie: Peinture matériel neuf</t>
  </si>
  <si>
    <t>Carrosserie: Rénovation et peinture matériel occasion</t>
  </si>
  <si>
    <t>Eclairage Public: Feux tricolores</t>
  </si>
  <si>
    <t>Eclairage Public: Illuminations festives</t>
  </si>
  <si>
    <t>Eclairage Public: Maintenance, Entretien</t>
  </si>
  <si>
    <t>Eclairage Public: Mise en lumière</t>
  </si>
  <si>
    <t>Eclairage Public: Travaux neufs</t>
  </si>
  <si>
    <t>Electricité Industrielle: Bâtiment technique</t>
  </si>
  <si>
    <t>Electricité Industrielle: Chimie/ Pharma</t>
  </si>
  <si>
    <t>Electricité Industrielle: Divers</t>
  </si>
  <si>
    <t>Electricité Industrielle: Hydraulique</t>
  </si>
  <si>
    <t>Electricité Industrielle: Incinérateur</t>
  </si>
  <si>
    <t>Electricité Industrielle: Salle blanche</t>
  </si>
  <si>
    <t>Electricité Tertiaire: Bâtiment institutionnel</t>
  </si>
  <si>
    <t>Electricité Tertiaire: Bureau</t>
  </si>
  <si>
    <t>Electricité Tertiaire: Distribution (transfo, TGBT)</t>
  </si>
  <si>
    <t>Electricité Tertiaire: Divers</t>
  </si>
  <si>
    <t>Electricité Tertiaire: Eclairage</t>
  </si>
  <si>
    <t>Espaces verts: Création</t>
  </si>
  <si>
    <t>Espaces verts: Divers</t>
  </si>
  <si>
    <t>Espaces verts: Elagage</t>
  </si>
  <si>
    <t>Espaces verts: Entretien</t>
  </si>
  <si>
    <t>Gaz et Fluides Réseau: Branchement</t>
  </si>
  <si>
    <t>Gaz et Fluides Réseau: Chauffage urbain</t>
  </si>
  <si>
    <t>Gaz et Fluides Réseau: Divers</t>
  </si>
  <si>
    <t>Gaz et Fluides Réseau: Hydrocarbures</t>
  </si>
  <si>
    <t>Gaz et Fluides Réseau: Réseau gaz haute pression</t>
  </si>
  <si>
    <t>Gaz et Fluides Réseau: Tuyauterie industrielle</t>
  </si>
  <si>
    <t>Mécanique: Entretien</t>
  </si>
  <si>
    <t>Mécanique: Préparation gros matériel neuf</t>
  </si>
  <si>
    <t>Mécanique: Préparation petit matériel neuf</t>
  </si>
  <si>
    <t>Mécanique: Réparation</t>
  </si>
  <si>
    <t>Prestations et Matériels : Camion aspirateur</t>
  </si>
  <si>
    <t>Prestations et Matériels : Concassage</t>
  </si>
  <si>
    <t>Prestations et Matériels : Forage vertical</t>
  </si>
  <si>
    <t>Prestations et Matériels : Location</t>
  </si>
  <si>
    <t>Prestations et Matériels : Rabotage</t>
  </si>
  <si>
    <t>Prestations et Matériels : Trancheuse</t>
  </si>
  <si>
    <t>Prestations et Matériels : Transport</t>
  </si>
  <si>
    <t>Réseau Electrique: Aérien HTA/ BT</t>
  </si>
  <si>
    <t>Réseau Electrique: Aérien HTB</t>
  </si>
  <si>
    <t>Réseau Electrique: Branchement</t>
  </si>
  <si>
    <t>Réseau Electrique: Divers</t>
  </si>
  <si>
    <t>Réseau Electrique: Enfouissement, Effacement</t>
  </si>
  <si>
    <t>Réseau Electrique: Souterrain HTA/ BT</t>
  </si>
  <si>
    <t>Réseau Electrique: Souterrain HTB</t>
  </si>
  <si>
    <t>Réseau Télécom: Coax, cuivre</t>
  </si>
  <si>
    <t>Réseau Télécom: Divers</t>
  </si>
  <si>
    <t>Réseau Télécom: FO - Actif et exploitation</t>
  </si>
  <si>
    <t>Réseau Télécom: FO - Cablage déroulage</t>
  </si>
  <si>
    <t>Réseau Télécom: FO - Raccord abonnés</t>
  </si>
  <si>
    <t>Réseau Télécom: Maintenance</t>
  </si>
  <si>
    <t>Réseau Télécom: Réseau cellulaire</t>
  </si>
  <si>
    <t xml:space="preserve">Réseau Télécom: Réseau souterrain/ aérien </t>
  </si>
  <si>
    <t xml:space="preserve">Réseau Télécom: Vidéosurveillance </t>
  </si>
  <si>
    <t>Réseaux Divers: Adduction Eau Potable</t>
  </si>
  <si>
    <t>Réseaux Divers: Arrosage</t>
  </si>
  <si>
    <t>Réseaux Divers: Assainissement</t>
  </si>
  <si>
    <t>Réseaux Divers: Divers</t>
  </si>
  <si>
    <t>Réseaux Divers: Fontainerie</t>
  </si>
  <si>
    <t>Réseaux Divers: Terrassement</t>
  </si>
  <si>
    <t>Réseaux Divers: Travaux de maçonnerie</t>
  </si>
  <si>
    <t>Réseaux Divers: Voirie</t>
  </si>
  <si>
    <r>
      <t xml:space="preserve">PLAN DE CONTRÔLE (TRAVAUX ELECTRIQUES BT)
</t>
    </r>
    <r>
      <rPr>
        <sz val="12"/>
        <rFont val="Arial"/>
        <family val="2"/>
      </rPr>
      <t>Enfouissement de réseaux</t>
    </r>
  </si>
  <si>
    <t>DAZSQ008 F Indice a</t>
  </si>
  <si>
    <t>MISE SOUS TENSION DU RESEAU</t>
  </si>
  <si>
    <r>
      <t xml:space="preserve"> : Si </t>
    </r>
    <r>
      <rPr>
        <b/>
        <sz val="10"/>
        <rFont val="Arial"/>
        <family val="2"/>
      </rPr>
      <t>les trvx</t>
    </r>
    <r>
      <rPr>
        <sz val="10"/>
        <rFont val="Arial"/>
        <family val="2"/>
      </rPr>
      <t xml:space="preserve"> ne sont pas à faire (Sans Objet)</t>
    </r>
  </si>
  <si>
    <t xml:space="preserve">le:  </t>
  </si>
  <si>
    <r>
      <t xml:space="preserve"> : Si </t>
    </r>
    <r>
      <rPr>
        <b/>
        <sz val="10"/>
        <rFont val="Arial"/>
        <family val="2"/>
      </rPr>
      <t>le contrôle</t>
    </r>
    <r>
      <rPr>
        <sz val="10"/>
        <rFont val="Arial"/>
        <family val="2"/>
      </rPr>
      <t xml:space="preserve"> des trvx en cours est </t>
    </r>
    <r>
      <rPr>
        <u/>
        <sz val="10"/>
        <rFont val="Arial"/>
        <family val="2"/>
      </rPr>
      <t>conforme</t>
    </r>
  </si>
  <si>
    <r>
      <t>Plan de récolement</t>
    </r>
    <r>
      <rPr>
        <sz val="10"/>
        <rFont val="Arial"/>
        <family val="2"/>
      </rPr>
      <t xml:space="preserve"> (Minute)</t>
    </r>
  </si>
  <si>
    <r>
      <t xml:space="preserve"> : Si </t>
    </r>
    <r>
      <rPr>
        <b/>
        <sz val="10"/>
        <rFont val="Arial"/>
        <family val="2"/>
      </rPr>
      <t>le contrôle</t>
    </r>
    <r>
      <rPr>
        <sz val="10"/>
        <rFont val="Arial"/>
        <family val="2"/>
      </rPr>
      <t xml:space="preserve"> des trvx en cours est </t>
    </r>
    <r>
      <rPr>
        <u/>
        <sz val="10"/>
        <rFont val="Arial"/>
        <family val="2"/>
      </rPr>
      <t>non conforme</t>
    </r>
  </si>
  <si>
    <t>Raccordement/ Confection</t>
  </si>
  <si>
    <t>n°</t>
  </si>
  <si>
    <t>Responsable:</t>
  </si>
  <si>
    <t xml:space="preserve">Commencée le: </t>
  </si>
  <si>
    <t>La levée de la NC vaut validation du contrôle portant le même n° de Fiche de Progrès</t>
  </si>
  <si>
    <r>
      <t xml:space="preserve">Les </t>
    </r>
    <r>
      <rPr>
        <b/>
        <sz val="10"/>
        <rFont val="Arial"/>
        <family val="2"/>
      </rPr>
      <t>opérations en gras</t>
    </r>
    <r>
      <rPr>
        <sz val="10"/>
        <rFont val="Arial"/>
        <family val="2"/>
      </rPr>
      <t xml:space="preserve"> nécessitent un fiche de Contrôle</t>
    </r>
  </si>
  <si>
    <t>Raccordement sur tableau</t>
  </si>
  <si>
    <t>TST</t>
  </si>
  <si>
    <t xml:space="preserve">Se référer aux conditions particulières du chantier ou aux Notes techniques pour </t>
  </si>
  <si>
    <t>Confection d'accessoires souterrains</t>
  </si>
  <si>
    <t>connaître les valeurs limites acceptables.</t>
  </si>
  <si>
    <t>Raccordement sur grille de réseaux</t>
  </si>
  <si>
    <t>Protections individuelles (     !      TST)</t>
  </si>
  <si>
    <t>Protection des zones à risques Voisinage électrique</t>
  </si>
  <si>
    <r>
      <t xml:space="preserve">Reprise de branchements </t>
    </r>
    <r>
      <rPr>
        <b/>
        <u/>
        <sz val="10"/>
        <rFont val="Arial"/>
        <family val="2"/>
      </rPr>
      <t>(sur le Départ)</t>
    </r>
  </si>
  <si>
    <t>Raccordement en cours de TERRASSEMENT</t>
  </si>
  <si>
    <r>
      <t xml:space="preserve">      Avant la mise </t>
    </r>
    <r>
      <rPr>
        <b/>
        <sz val="10"/>
        <rFont val="Arial"/>
        <family val="2"/>
      </rPr>
      <t>hors</t>
    </r>
    <r>
      <rPr>
        <sz val="10"/>
        <rFont val="Arial"/>
        <family val="2"/>
      </rPr>
      <t xml:space="preserve"> tension du client</t>
    </r>
  </si>
  <si>
    <t>Rotation de phase pour brcht triphasé</t>
  </si>
  <si>
    <t>Boite de branchements</t>
  </si>
  <si>
    <t>Reprise de branchements</t>
  </si>
  <si>
    <t>Boite réseaux</t>
  </si>
  <si>
    <r>
      <t xml:space="preserve">      Avant la remise </t>
    </r>
    <r>
      <rPr>
        <b/>
        <sz val="10"/>
        <rFont val="Arial"/>
        <family val="2"/>
      </rPr>
      <t>sous</t>
    </r>
    <r>
      <rPr>
        <sz val="10"/>
        <rFont val="Arial"/>
        <family val="2"/>
      </rPr>
      <t xml:space="preserve"> tension du client</t>
    </r>
  </si>
  <si>
    <r>
      <t>Coffret type S20 - S22 (</t>
    </r>
    <r>
      <rPr>
        <u/>
        <sz val="10"/>
        <rFont val="Arial"/>
        <family val="2"/>
      </rPr>
      <t>sur l'arrivée</t>
    </r>
    <r>
      <rPr>
        <sz val="10"/>
        <rFont val="Arial"/>
        <family val="2"/>
      </rPr>
      <t>)</t>
    </r>
  </si>
  <si>
    <r>
      <t>Coffret type 200 - 400 A (</t>
    </r>
    <r>
      <rPr>
        <u/>
        <sz val="10"/>
        <rFont val="Arial"/>
        <family val="2"/>
      </rPr>
      <t>sur l'arrivée</t>
    </r>
    <r>
      <rPr>
        <sz val="10"/>
        <rFont val="Arial"/>
        <family val="2"/>
      </rPr>
      <t>)</t>
    </r>
  </si>
  <si>
    <t>Vérification visuelle de l'installation</t>
  </si>
  <si>
    <t>Grille de réseaux (Etoilement, Fausse Coupure, Raccordement Modulaire BT, Repiquage)</t>
  </si>
  <si>
    <t>DEPOSE DE RESEAUX EN AERIEN</t>
  </si>
  <si>
    <t>Tests finaux</t>
  </si>
  <si>
    <t>Obtention de l'autorisation de mise hors exploitation du réseau</t>
  </si>
  <si>
    <t>Dépose commencée le:</t>
  </si>
  <si>
    <t>Dépose des conducteurs</t>
  </si>
  <si>
    <t>Essai au mégohmmètre …………... Volts</t>
  </si>
  <si>
    <t>Dépose des supports</t>
  </si>
  <si>
    <t>Vérification emplacement des neutres (Essai D.R.O.B.T)</t>
  </si>
  <si>
    <t>Remise en état</t>
  </si>
  <si>
    <t>Réception de chantier</t>
  </si>
  <si>
    <t xml:space="preserve">le:   </t>
  </si>
  <si>
    <t xml:space="preserve">      </t>
  </si>
  <si>
    <t>Gaz et Fluides Réseau: Réseau gaz moyenne basse pression</t>
  </si>
  <si>
    <r>
      <rPr>
        <b/>
        <sz val="16"/>
        <rFont val="Arial"/>
        <family val="2"/>
      </rPr>
      <t>□</t>
    </r>
    <r>
      <rPr>
        <b/>
        <sz val="11"/>
        <rFont val="Arial"/>
        <family val="2"/>
      </rPr>
      <t xml:space="preserve"> Dysfonctionnement                  </t>
    </r>
    <r>
      <rPr>
        <b/>
        <sz val="16"/>
        <rFont val="Arial"/>
        <family val="2"/>
      </rPr>
      <t xml:space="preserve">  □</t>
    </r>
    <r>
      <rPr>
        <b/>
        <sz val="11"/>
        <rFont val="Arial"/>
        <family val="2"/>
      </rPr>
      <t xml:space="preserve"> Proposition d'amélioration                   </t>
    </r>
    <r>
      <rPr>
        <b/>
        <sz val="16"/>
        <rFont val="Arial"/>
        <family val="2"/>
      </rPr>
      <t xml:space="preserve">  □</t>
    </r>
    <r>
      <rPr>
        <b/>
        <sz val="11"/>
        <rFont val="Arial"/>
        <family val="2"/>
      </rPr>
      <t xml:space="preserve"> Situation dangereuse</t>
    </r>
  </si>
  <si>
    <t>Infos générales</t>
  </si>
  <si>
    <t>Emise par:</t>
  </si>
  <si>
    <t xml:space="preserve">          Date d'emission :</t>
  </si>
  <si>
    <t>Agence / Filiale / Service :</t>
  </si>
  <si>
    <r>
      <t xml:space="preserve">Famille de problème : 
</t>
    </r>
    <r>
      <rPr>
        <sz val="12"/>
        <rFont val="Calibri"/>
        <family val="2"/>
      </rPr>
      <t xml:space="preserve">□ </t>
    </r>
    <r>
      <rPr>
        <sz val="10"/>
        <rFont val="Arial"/>
        <family val="2"/>
      </rPr>
      <t xml:space="preserve">Sécurité
</t>
    </r>
    <r>
      <rPr>
        <sz val="12"/>
        <rFont val="Arial"/>
        <family val="2"/>
      </rPr>
      <t>□</t>
    </r>
    <r>
      <rPr>
        <sz val="10"/>
        <rFont val="Arial"/>
        <family val="2"/>
      </rPr>
      <t xml:space="preserve"> Environnement
</t>
    </r>
    <r>
      <rPr>
        <sz val="12"/>
        <rFont val="Arial"/>
        <family val="2"/>
      </rPr>
      <t xml:space="preserve">□ </t>
    </r>
    <r>
      <rPr>
        <sz val="10"/>
        <rFont val="Arial"/>
        <family val="2"/>
      </rPr>
      <t xml:space="preserve">Point d'arrêt 
</t>
    </r>
    <r>
      <rPr>
        <sz val="12"/>
        <rFont val="Arial"/>
        <family val="2"/>
      </rPr>
      <t>□</t>
    </r>
    <r>
      <rPr>
        <sz val="10"/>
        <rFont val="Arial"/>
        <family val="2"/>
      </rPr>
      <t xml:space="preserve"> Contrôle qualité </t>
    </r>
    <r>
      <rPr>
        <sz val="8"/>
        <rFont val="Arial"/>
        <family val="2"/>
      </rPr>
      <t>(préciser)</t>
    </r>
    <r>
      <rPr>
        <sz val="10"/>
        <rFont val="Arial"/>
        <family val="2"/>
      </rPr>
      <t xml:space="preserve">:    
                      </t>
    </r>
  </si>
  <si>
    <r>
      <t xml:space="preserve">
</t>
    </r>
    <r>
      <rPr>
        <sz val="12"/>
        <rFont val="Arial"/>
        <family val="2"/>
      </rPr>
      <t xml:space="preserve">□ </t>
    </r>
    <r>
      <rPr>
        <sz val="10"/>
        <rFont val="Arial"/>
        <family val="2"/>
      </rPr>
      <t xml:space="preserve">Fournisseurs
</t>
    </r>
    <r>
      <rPr>
        <sz val="12"/>
        <rFont val="Arial"/>
        <family val="2"/>
      </rPr>
      <t>□</t>
    </r>
    <r>
      <rPr>
        <sz val="10"/>
        <rFont val="Arial"/>
        <family val="2"/>
      </rPr>
      <t xml:space="preserve"> Matériaux
</t>
    </r>
    <r>
      <rPr>
        <sz val="12"/>
        <rFont val="Arial"/>
        <family val="2"/>
      </rPr>
      <t>□</t>
    </r>
    <r>
      <rPr>
        <sz val="10"/>
        <rFont val="Arial"/>
        <family val="2"/>
      </rPr>
      <t xml:space="preserve"> Matériel
</t>
    </r>
    <r>
      <rPr>
        <sz val="12"/>
        <rFont val="Arial"/>
        <family val="2"/>
      </rPr>
      <t xml:space="preserve">□ </t>
    </r>
    <r>
      <rPr>
        <sz val="10"/>
        <rFont val="Arial"/>
        <family val="2"/>
      </rPr>
      <t xml:space="preserve">Clients (préciser): </t>
    </r>
  </si>
  <si>
    <r>
      <t xml:space="preserve">
    </t>
    </r>
    <r>
      <rPr>
        <sz val="12"/>
        <rFont val="Arial"/>
        <family val="2"/>
      </rPr>
      <t xml:space="preserve">□ </t>
    </r>
    <r>
      <rPr>
        <sz val="10"/>
        <rFont val="Arial"/>
        <family val="2"/>
      </rPr>
      <t xml:space="preserve">Documents
    </t>
    </r>
    <r>
      <rPr>
        <sz val="12"/>
        <rFont val="Arial"/>
        <family val="2"/>
      </rPr>
      <t xml:space="preserve">□ </t>
    </r>
    <r>
      <rPr>
        <sz val="10"/>
        <rFont val="Arial"/>
        <family val="2"/>
      </rPr>
      <t xml:space="preserve">Procédures
    </t>
    </r>
    <r>
      <rPr>
        <sz val="12"/>
        <rFont val="Arial"/>
        <family val="2"/>
      </rPr>
      <t>□</t>
    </r>
    <r>
      <rPr>
        <sz val="10"/>
        <rFont val="Arial"/>
        <family val="2"/>
      </rPr>
      <t xml:space="preserve"> Communication</t>
    </r>
  </si>
  <si>
    <r>
      <t xml:space="preserve">
</t>
    </r>
    <r>
      <rPr>
        <sz val="12"/>
        <rFont val="Arial"/>
        <family val="2"/>
      </rPr>
      <t>□</t>
    </r>
    <r>
      <rPr>
        <sz val="10"/>
        <rFont val="Arial"/>
        <family val="2"/>
      </rPr>
      <t xml:space="preserve"> Autres </t>
    </r>
    <r>
      <rPr>
        <sz val="8"/>
        <rFont val="Arial"/>
        <family val="2"/>
      </rPr>
      <t xml:space="preserve">(préciser): 
</t>
    </r>
  </si>
  <si>
    <r>
      <rPr>
        <b/>
        <sz val="10"/>
        <rFont val="Arial"/>
        <family val="2"/>
      </rPr>
      <t xml:space="preserve">Description </t>
    </r>
    <r>
      <rPr>
        <sz val="10"/>
        <rFont val="Arial"/>
        <family val="2"/>
      </rPr>
      <t>(Nature, quoi, qui, où, quand, comment, combien?) :</t>
    </r>
  </si>
  <si>
    <r>
      <t xml:space="preserve">Gravité (*) :
    </t>
    </r>
    <r>
      <rPr>
        <b/>
        <sz val="12"/>
        <rFont val="Arial"/>
        <family val="2"/>
      </rPr>
      <t>□</t>
    </r>
    <r>
      <rPr>
        <b/>
        <sz val="10"/>
        <rFont val="Arial"/>
        <family val="2"/>
      </rPr>
      <t xml:space="preserve"> Pas de gravité      </t>
    </r>
    <r>
      <rPr>
        <b/>
        <sz val="12"/>
        <rFont val="Arial"/>
        <family val="2"/>
      </rPr>
      <t>□</t>
    </r>
    <r>
      <rPr>
        <b/>
        <sz val="10"/>
        <rFont val="Arial"/>
        <family val="2"/>
      </rPr>
      <t xml:space="preserve"> Pour l'homme      </t>
    </r>
    <r>
      <rPr>
        <b/>
        <sz val="12"/>
        <rFont val="Arial"/>
        <family val="2"/>
      </rPr>
      <t xml:space="preserve">□ </t>
    </r>
    <r>
      <rPr>
        <b/>
        <sz val="10"/>
        <rFont val="Arial"/>
        <family val="2"/>
      </rPr>
      <t xml:space="preserve">Pour le chantier      </t>
    </r>
    <r>
      <rPr>
        <b/>
        <sz val="12"/>
        <rFont val="Arial"/>
        <family val="2"/>
      </rPr>
      <t>□</t>
    </r>
    <r>
      <rPr>
        <b/>
        <sz val="10"/>
        <rFont val="Arial"/>
        <family val="2"/>
      </rPr>
      <t xml:space="preserve"> Pour l'environnement      </t>
    </r>
    <r>
      <rPr>
        <b/>
        <sz val="12"/>
        <rFont val="Arial"/>
        <family val="2"/>
      </rPr>
      <t xml:space="preserve">□ </t>
    </r>
    <r>
      <rPr>
        <b/>
        <sz val="10"/>
        <rFont val="Arial"/>
        <family val="2"/>
      </rPr>
      <t xml:space="preserve">Frais financier
</t>
    </r>
    <r>
      <rPr>
        <sz val="10"/>
        <rFont val="Arial"/>
        <family val="2"/>
      </rPr>
      <t xml:space="preserve">                                                            
</t>
    </r>
    <r>
      <rPr>
        <b/>
        <sz val="10"/>
        <rFont val="Arial"/>
        <family val="2"/>
      </rPr>
      <t xml:space="preserve">
</t>
    </r>
  </si>
  <si>
    <r>
      <t>Causes</t>
    </r>
    <r>
      <rPr>
        <sz val="10"/>
        <rFont val="Arial"/>
        <family val="2"/>
      </rPr>
      <t xml:space="preserve"> (Pourquoi ? : Milieu, Main d'œuvre, Matière, Matériel/Machine, Méthode)</t>
    </r>
    <r>
      <rPr>
        <b/>
        <sz val="10"/>
        <rFont val="Arial"/>
        <family val="2"/>
      </rPr>
      <t xml:space="preserve"> :</t>
    </r>
    <r>
      <rPr>
        <sz val="10"/>
        <rFont val="Arial"/>
        <family val="2"/>
      </rPr>
      <t xml:space="preserve">             </t>
    </r>
  </si>
  <si>
    <t>Suggestions pour que le dysfonctionnement, la situation dangereuse ne se reproduise plus:</t>
  </si>
  <si>
    <r>
      <rPr>
        <b/>
        <sz val="12"/>
        <rFont val="Arial"/>
        <family val="2"/>
      </rPr>
      <t>□</t>
    </r>
    <r>
      <rPr>
        <b/>
        <sz val="10"/>
        <rFont val="Arial"/>
        <family val="2"/>
      </rPr>
      <t xml:space="preserve">  Coûts (€)                                                                 □ Temps perdu (h):                                
</t>
    </r>
    <r>
      <rPr>
        <b/>
        <sz val="12"/>
        <rFont val="Arial"/>
        <family val="2"/>
      </rPr>
      <t>□</t>
    </r>
    <r>
      <rPr>
        <b/>
        <sz val="10"/>
        <rFont val="Arial"/>
        <family val="2"/>
      </rPr>
      <t xml:space="preserve">  Gain (€)                                                                   □ Temps gagné (h):
</t>
    </r>
    <r>
      <rPr>
        <b/>
        <sz val="12"/>
        <rFont val="Arial"/>
        <family val="2"/>
      </rPr>
      <t/>
    </r>
  </si>
  <si>
    <t>Actions mises en place</t>
  </si>
  <si>
    <t>Emetteur :
A :
Visa :</t>
  </si>
  <si>
    <t>Client :
Le :
A :
Visa :</t>
  </si>
  <si>
    <t xml:space="preserve">                       NOM Prénom : 
                       Entreprise :
</t>
  </si>
  <si>
    <t>A transmettre au DA/DF</t>
  </si>
  <si>
    <t>DAZSQ008 H Indice b</t>
  </si>
  <si>
    <r>
      <rPr>
        <u/>
        <sz val="10"/>
        <rFont val="Arial"/>
        <family val="2"/>
      </rPr>
      <t>Visa de l'abonné :</t>
    </r>
    <r>
      <rPr>
        <sz val="10"/>
        <rFont val="Arial"/>
        <family val="2"/>
      </rPr>
      <t xml:space="preserve"> Nom, Date et Signature</t>
    </r>
  </si>
  <si>
    <t xml:space="preserve"> - Coupes types</t>
  </si>
  <si>
    <t xml:space="preserve"> - Planning, Budget</t>
  </si>
  <si>
    <t xml:space="preserve">                - Réponses aux DICT (récépissés + plans)</t>
  </si>
  <si>
    <t xml:space="preserve">    Arrêtés de circulation / Autorisations de travail</t>
  </si>
  <si>
    <t xml:space="preserve"> - Autorisation de travail et d'accès aux réseaux</t>
  </si>
  <si>
    <t xml:space="preserve"> - Bons jaunes sorties magasin</t>
  </si>
  <si>
    <t xml:space="preserve"> - Bons de commande et Bons de livraison (pour les livraisons sur chantier)</t>
  </si>
  <si>
    <t>Enregistrements</t>
  </si>
  <si>
    <t xml:space="preserve"> - Plan vierge pour récolement</t>
  </si>
  <si>
    <t xml:space="preserve"> - Autres plans de contrôle (travaux électriques, HTB, aériens, chauffage urbain, </t>
  </si>
  <si>
    <t xml:space="preserve"> - PV de réception</t>
  </si>
  <si>
    <t xml:space="preserve"> - Plan de prévention/ PPSPS/ Analyse de risques (sécurité et environnement)</t>
  </si>
  <si>
    <t xml:space="preserve"> - Compte rendu visites coordonateur sécurité</t>
  </si>
  <si>
    <t xml:space="preserve"> - Echanges de courriers avec le client</t>
  </si>
  <si>
    <r>
      <t>PROCES VERBAL DE RECEPTION DES REMISES EN ETAT DES VOIRIES</t>
    </r>
    <r>
      <rPr>
        <b/>
        <sz val="14"/>
        <rFont val="Arial"/>
        <family val="2"/>
      </rPr>
      <t xml:space="preserve">             </t>
    </r>
  </si>
  <si>
    <t>fossés, talus, accotements, chaussées, glissières de sécurité, marquage au sol ont été remis en état</t>
  </si>
  <si>
    <t>les remises en l'état font l'objet des réserves suivantes:</t>
  </si>
  <si>
    <t>CADRE A REMPLIR PAR LE CC/CE :</t>
  </si>
  <si>
    <t>Signature du CC/CE :</t>
  </si>
  <si>
    <t>Code Postal:</t>
  </si>
  <si>
    <t>Nom du CC/CE :</t>
  </si>
  <si>
    <t>INFORMATIONS ADMINISTRATIVES</t>
  </si>
  <si>
    <t>Date de réception</t>
  </si>
  <si>
    <t>INFORMATIONS TERRAIN</t>
  </si>
  <si>
    <t>Date de coupure</t>
  </si>
  <si>
    <t>Arrêté</t>
  </si>
  <si>
    <t>Date de raccordement</t>
  </si>
  <si>
    <t>Date de mise en service</t>
  </si>
  <si>
    <t>Date livraison matériel sur chantier</t>
  </si>
  <si>
    <t>FICHE DE PREPARATION DE CHANTIER</t>
  </si>
  <si>
    <t>DA PREP001 A Indice a</t>
  </si>
  <si>
    <t>CC/CE</t>
  </si>
  <si>
    <t>PAGE DE GARDE</t>
  </si>
  <si>
    <t>Consignes particulières</t>
  </si>
  <si>
    <t>Dates figées (raccords, branchements, mises en services…)</t>
  </si>
  <si>
    <r>
      <t>Coupes types</t>
    </r>
    <r>
      <rPr>
        <sz val="10"/>
        <color indexed="10"/>
        <rFont val="Arial"/>
        <family val="2"/>
      </rPr>
      <t xml:space="preserve"> </t>
    </r>
  </si>
  <si>
    <t>Compte rendu de la réunion d'ouverture et comptes rendus de réunions de chantier</t>
  </si>
  <si>
    <t>Planning (ou dates début et fin de chantier), budget</t>
  </si>
  <si>
    <t>Points spécifiques à respecter ( copie CCTP, norme, schéma, modes opératoires, info client...)</t>
  </si>
  <si>
    <t>Moyens à prévoir, locations, matériels internes, personnel, (spécialisé ou autre)</t>
  </si>
  <si>
    <t>Liste récapitulative des DICT complétée des réponses et des n° d'urgence</t>
  </si>
  <si>
    <t>Réponses aux DICT (récépissés + plans)</t>
  </si>
  <si>
    <t xml:space="preserve">Liste matériel de signalisation, schéma de signalisation ou extrait du guide de signalisation </t>
  </si>
  <si>
    <t>Autorisation de travail et d'accès aux réseaux</t>
  </si>
  <si>
    <t>Bons jaunes sorties magasin</t>
  </si>
  <si>
    <t>Bons de commande et bons de livraison (pour livraisons sur chantier)</t>
  </si>
  <si>
    <t>Plan de situation des sites agrégats</t>
  </si>
  <si>
    <t xml:space="preserve">ENREGISTREMENTS </t>
  </si>
  <si>
    <t xml:space="preserve">Plan vierge pour récolement </t>
  </si>
  <si>
    <t>Plans de contrôles / supports d'enregistrements (selon liste des contôles à réaliser)</t>
  </si>
  <si>
    <t>PV de réception</t>
  </si>
  <si>
    <r>
      <t>Constat d'huissier</t>
    </r>
    <r>
      <rPr>
        <sz val="10"/>
        <color indexed="10"/>
        <rFont val="Arial"/>
        <family val="2"/>
      </rPr>
      <t xml:space="preserve"> </t>
    </r>
  </si>
  <si>
    <t>Compte rendu visites coordonnateur Sécurité</t>
  </si>
  <si>
    <t xml:space="preserve">Fiche d'accueil  </t>
  </si>
  <si>
    <t>Recueil des faits à chaud accidents du travail</t>
  </si>
  <si>
    <t>DAZSQ007 C Indice d</t>
  </si>
  <si>
    <t>La coupe type doit :</t>
  </si>
  <si>
    <t>- Être la plus claire possible et la plus représentative du chantier</t>
  </si>
  <si>
    <t>- Fournir le maximum d'éléments au CC/CE pour la réalisation</t>
  </si>
  <si>
    <t>- Permettre l'achat des bons matériaux</t>
  </si>
  <si>
    <t>Coupes Types fournies par le client</t>
  </si>
  <si>
    <t>Coupes Types sur plan de travaux</t>
  </si>
  <si>
    <t>N° Chantier FIRALP (eOTP):</t>
  </si>
  <si>
    <t>N° Affaire client :</t>
  </si>
  <si>
    <t>Adresse du chantier :</t>
  </si>
  <si>
    <t>Libellé du projet :</t>
  </si>
  <si>
    <t>Début</t>
  </si>
  <si>
    <t>Fin</t>
  </si>
  <si>
    <t>Récepteur de l'autorisation:</t>
  </si>
  <si>
    <t xml:space="preserve">TRAVAUX A REALISER HORS TENSION </t>
  </si>
  <si>
    <t>Risques associés :</t>
  </si>
  <si>
    <t>(Nature des travaux à réaliser, particularité d'exécution, données nécessaires à l'identification de l'ouvrage concerné,….)</t>
  </si>
  <si>
    <t xml:space="preserve">NATURE DES TRAVAUX A REALISER SOUS TENSION </t>
  </si>
  <si>
    <t>ITST</t>
  </si>
  <si>
    <t>ATST</t>
  </si>
  <si>
    <t xml:space="preserve">Documents liés  : </t>
  </si>
  <si>
    <t xml:space="preserve">Autorisation valable du </t>
  </si>
  <si>
    <t>Date de l'ordre du travail :</t>
  </si>
  <si>
    <t xml:space="preserve">  Client:</t>
  </si>
  <si>
    <t>Déroulage manuel</t>
  </si>
  <si>
    <t>A chaque déroulage</t>
  </si>
  <si>
    <t/>
  </si>
  <si>
    <t>Satisfaisant</t>
  </si>
  <si>
    <t>Qualité du travail</t>
  </si>
  <si>
    <t>DESIGNATION</t>
  </si>
  <si>
    <t>SIGNATURE</t>
  </si>
  <si>
    <t>N° Chantier :</t>
  </si>
  <si>
    <t>Signature</t>
  </si>
  <si>
    <t>Fonction :</t>
  </si>
  <si>
    <t>N° chantier :</t>
  </si>
  <si>
    <t>DATE</t>
  </si>
  <si>
    <t>GUIDE POUR LE CROISEMENT DES RESEAUX ENTERRES</t>
  </si>
  <si>
    <t>DAZSQ005 B Indice b</t>
  </si>
  <si>
    <t>Point d'arrêt</t>
  </si>
  <si>
    <t xml:space="preserve">L'entreprise respecte les distances réglementaires prescrites par : </t>
  </si>
  <si>
    <t xml:space="preserve"> La Norme NFC 11201 de Octobre 96</t>
  </si>
  <si>
    <t xml:space="preserve"> L'Arrêté Technique du 2 avril 1991 </t>
  </si>
  <si>
    <t xml:space="preserve"> Le guide Technique de la Distribution Electricité</t>
  </si>
  <si>
    <r>
      <t>1</t>
    </r>
    <r>
      <rPr>
        <sz val="10"/>
        <rFont val="Arial"/>
        <family val="2"/>
      </rPr>
      <t>) Impossibilité</t>
    </r>
  </si>
  <si>
    <t xml:space="preserve"> Le guide Technique de la Distribution Gaz</t>
  </si>
  <si>
    <t xml:space="preserve">de respecter </t>
  </si>
  <si>
    <t xml:space="preserve"> La  Convention EGS- France Télécom FNCCR- ANROC du 1er mars 1994</t>
  </si>
  <si>
    <t>les distances</t>
  </si>
  <si>
    <t xml:space="preserve"> L'UTE C. 11.001 et les directives du C.E.R.T de 06/96</t>
  </si>
  <si>
    <t xml:space="preserve">                     </t>
  </si>
  <si>
    <t>réglementaires</t>
  </si>
  <si>
    <t>Distances entre génératrices</t>
  </si>
  <si>
    <r>
      <t>2</t>
    </r>
    <r>
      <rPr>
        <sz val="10"/>
        <rFont val="Arial"/>
        <family val="2"/>
      </rPr>
      <t xml:space="preserve">) La distance </t>
    </r>
  </si>
  <si>
    <r>
      <t xml:space="preserve"> </t>
    </r>
    <r>
      <rPr>
        <b/>
        <u/>
        <sz val="10"/>
        <rFont val="Arial"/>
        <family val="2"/>
      </rPr>
      <t>RESEAUX EN PARALLELES</t>
    </r>
  </si>
  <si>
    <t>de parallélisme</t>
  </si>
  <si>
    <t>entre la canalisation</t>
  </si>
  <si>
    <t>du réseau et une</t>
  </si>
  <si>
    <t xml:space="preserve">façade de bâtiment </t>
  </si>
  <si>
    <r>
      <t>est &lt; 0, 40m</t>
    </r>
    <r>
      <rPr>
        <b/>
        <sz val="10"/>
        <rFont val="Arial"/>
        <family val="2"/>
      </rPr>
      <t>*</t>
    </r>
  </si>
  <si>
    <r>
      <t xml:space="preserve">* </t>
    </r>
    <r>
      <rPr>
        <b/>
        <i/>
        <sz val="8"/>
        <rFont val="Arial"/>
        <family val="2"/>
      </rPr>
      <t xml:space="preserve">Attention aux </t>
    </r>
  </si>
  <si>
    <t>spécificités locales</t>
  </si>
  <si>
    <r>
      <t>3</t>
    </r>
    <r>
      <rPr>
        <sz val="10"/>
        <rFont val="Arial"/>
        <family val="2"/>
      </rPr>
      <t xml:space="preserve">) Impossibilité de </t>
    </r>
  </si>
  <si>
    <t>respecter la distance</t>
  </si>
  <si>
    <t xml:space="preserve">entre le gaz et le </t>
  </si>
  <si>
    <t xml:space="preserve">chauffage urbain </t>
  </si>
  <si>
    <t>quelle que soit la</t>
  </si>
  <si>
    <t>longueur de voisinage</t>
  </si>
  <si>
    <t>(résolution du problème</t>
  </si>
  <si>
    <t>avec le logicel GASPACK</t>
  </si>
  <si>
    <t>distribué par SA/G)</t>
  </si>
  <si>
    <t>Dérogation</t>
  </si>
  <si>
    <r>
      <t xml:space="preserve"> </t>
    </r>
    <r>
      <rPr>
        <b/>
        <u/>
        <sz val="10"/>
        <rFont val="Arial"/>
        <family val="2"/>
      </rPr>
      <t>RESEAUX CROISES</t>
    </r>
  </si>
  <si>
    <t xml:space="preserve">       </t>
  </si>
  <si>
    <t>Si impossibilité de</t>
  </si>
  <si>
    <t>respecter les distances</t>
  </si>
  <si>
    <t>réglementaires sur une</t>
  </si>
  <si>
    <r>
      <t>longueur &lt; 10m</t>
    </r>
    <r>
      <rPr>
        <b/>
        <sz val="10"/>
        <rFont val="Arial"/>
        <family val="2"/>
      </rPr>
      <t>*</t>
    </r>
  </si>
  <si>
    <t>* Attention aux          spécificités locales</t>
  </si>
  <si>
    <t xml:space="preserve">mise en place de </t>
  </si>
  <si>
    <t>fourreau à l'initiative</t>
  </si>
  <si>
    <t>de l'entreprise</t>
  </si>
  <si>
    <t>(sauf chauffage urbain)</t>
  </si>
  <si>
    <r>
      <t>***</t>
    </r>
    <r>
      <rPr>
        <sz val="10"/>
        <rFont val="Arial"/>
        <family val="2"/>
      </rPr>
      <t xml:space="preserve"> Guide technique de la distribution Electricité ( ch. B-34-5)</t>
    </r>
  </si>
  <si>
    <t>Nota : il est possible d'exiger une feuille de calcul de l'exploitant du chauffage urbain</t>
  </si>
  <si>
    <t>GUIDE TECHNIQUE   :    CARACTERISTIQUES DES CANALISATIONS ELECTRIQUES ET GAZ</t>
  </si>
  <si>
    <r>
      <t xml:space="preserve">CABLES POUR RESEAUX SOUTERRAINS  </t>
    </r>
    <r>
      <rPr>
        <b/>
        <i/>
        <sz val="14"/>
        <rFont val="Arial"/>
        <family val="2"/>
      </rPr>
      <t xml:space="preserve"> </t>
    </r>
    <r>
      <rPr>
        <b/>
        <sz val="14"/>
        <rFont val="Arial"/>
        <family val="2"/>
      </rPr>
      <t xml:space="preserve">BT   </t>
    </r>
    <r>
      <rPr>
        <b/>
        <i/>
        <sz val="14"/>
        <rFont val="Arial"/>
        <family val="2"/>
      </rPr>
      <t>(NF C33210)</t>
    </r>
  </si>
  <si>
    <t>Section  ( mm²) et forme de l'âme</t>
  </si>
  <si>
    <t>4 x 50 AL</t>
  </si>
  <si>
    <t xml:space="preserve">   3 x 95 AL     + 50 AL</t>
  </si>
  <si>
    <t xml:space="preserve">  3 x 150 AL + 70 AL</t>
  </si>
  <si>
    <t xml:space="preserve">  3 x 240 AL + 95 AL</t>
  </si>
  <si>
    <t>Contraintes de déroulage en fonction de la température du câble</t>
  </si>
  <si>
    <t>Diamètre extérieur maximal                                  (mm)</t>
  </si>
  <si>
    <t>Poids (masse linéique)                                        (kg/m)</t>
  </si>
  <si>
    <t>Rayon de courbure minimal                                  (cm)</t>
  </si>
  <si>
    <t>Effort de tirage maxi sur l'âme                               (kg)</t>
  </si>
  <si>
    <t>T &lt; - 5°c / T &gt; + 35°</t>
  </si>
  <si>
    <t>Effort de tirage maxi à la chaussette                     (kg)</t>
  </si>
  <si>
    <t>Interdit</t>
  </si>
  <si>
    <r>
      <t xml:space="preserve">  </t>
    </r>
    <r>
      <rPr>
        <i/>
        <sz val="14"/>
        <rFont val="Arial"/>
        <family val="2"/>
      </rPr>
      <t>CABLES POUR RESEAUX SOUTERRAINS</t>
    </r>
    <r>
      <rPr>
        <b/>
        <sz val="14"/>
        <rFont val="Arial"/>
        <family val="2"/>
      </rPr>
      <t xml:space="preserve">  HTA  </t>
    </r>
    <r>
      <rPr>
        <b/>
        <i/>
        <sz val="14"/>
        <rFont val="Arial"/>
        <family val="2"/>
      </rPr>
      <t xml:space="preserve"> (NF C 33223)</t>
    </r>
  </si>
  <si>
    <t>1 x 50 AL</t>
  </si>
  <si>
    <t>3 x 50 AL</t>
  </si>
  <si>
    <t>3 x 50 AL       1 x 50 AL</t>
  </si>
  <si>
    <t xml:space="preserve">   3 x 95 AL     </t>
  </si>
  <si>
    <t xml:space="preserve">  3 x 150 AL </t>
  </si>
  <si>
    <t xml:space="preserve">  3 x 240 AL </t>
  </si>
  <si>
    <t>Diamètre extérieur maximal                                 (mm)</t>
  </si>
  <si>
    <t>Rayon de courbure minimal                                 (cm)</t>
  </si>
  <si>
    <t>Effort de tirage maxi sur l'âme                              (kg)</t>
  </si>
  <si>
    <t>Effort de tirage maxi à la chaussette                    (kg)</t>
  </si>
  <si>
    <r>
      <t xml:space="preserve">  </t>
    </r>
    <r>
      <rPr>
        <i/>
        <sz val="14"/>
        <rFont val="Arial"/>
        <family val="2"/>
      </rPr>
      <t>CABLES POUR RESEAUX SOUTERRAINS</t>
    </r>
    <r>
      <rPr>
        <b/>
        <sz val="14"/>
        <rFont val="Arial"/>
        <family val="2"/>
      </rPr>
      <t xml:space="preserve">  HTA  </t>
    </r>
    <r>
      <rPr>
        <b/>
        <i/>
        <sz val="14"/>
        <rFont val="Arial"/>
        <family val="2"/>
      </rPr>
      <t xml:space="preserve"> (NF C 33226)</t>
    </r>
  </si>
  <si>
    <t xml:space="preserve">  3 x 240 CU </t>
  </si>
  <si>
    <t>T &lt; - 10°c / T &gt; + 50°</t>
  </si>
  <si>
    <t>Rayon de courbure minimal                                (cm)</t>
  </si>
  <si>
    <t>Effort de tirage maxi sur l'âme                             (kg)</t>
  </si>
  <si>
    <t>Effort de tirage maxi à la chaussette                   (kg)</t>
  </si>
  <si>
    <r>
      <t>CANALISATION POLYETHYLENE POUR</t>
    </r>
    <r>
      <rPr>
        <b/>
        <sz val="14"/>
        <rFont val="Arial"/>
        <family val="2"/>
      </rPr>
      <t xml:space="preserve"> GDF</t>
    </r>
  </si>
  <si>
    <t>Diamètre extérieur de la canalisation PE (mm)</t>
  </si>
  <si>
    <t xml:space="preserve">Ø 40   </t>
  </si>
  <si>
    <t>Ø 63</t>
  </si>
  <si>
    <t xml:space="preserve"> Ø 90</t>
  </si>
  <si>
    <t xml:space="preserve"> Ø110</t>
  </si>
  <si>
    <t>Ø 125</t>
  </si>
  <si>
    <t>Ø 160</t>
  </si>
  <si>
    <t xml:space="preserve">Ø 200 </t>
  </si>
  <si>
    <r>
      <t xml:space="preserve">Rayon de courbure minimal                    </t>
    </r>
    <r>
      <rPr>
        <b/>
        <sz val="14"/>
        <rFont val="Arial"/>
        <family val="2"/>
      </rPr>
      <t>MPB</t>
    </r>
    <r>
      <rPr>
        <sz val="14"/>
        <rFont val="Arial"/>
        <family val="2"/>
      </rPr>
      <t xml:space="preserve">    (cm)</t>
    </r>
  </si>
  <si>
    <r>
      <t xml:space="preserve">Effort de tirage maxi                                </t>
    </r>
    <r>
      <rPr>
        <b/>
        <sz val="14"/>
        <rFont val="Arial"/>
        <family val="2"/>
      </rPr>
      <t xml:space="preserve">MPB </t>
    </r>
    <r>
      <rPr>
        <sz val="14"/>
        <rFont val="Arial"/>
        <family val="2"/>
      </rPr>
      <t xml:space="preserve">    (kg)</t>
    </r>
  </si>
  <si>
    <r>
      <t xml:space="preserve">Rayon de courbure minimal                    </t>
    </r>
    <r>
      <rPr>
        <b/>
        <sz val="14"/>
        <rFont val="Arial"/>
        <family val="2"/>
      </rPr>
      <t>MPC</t>
    </r>
    <r>
      <rPr>
        <sz val="14"/>
        <rFont val="Arial"/>
        <family val="2"/>
      </rPr>
      <t xml:space="preserve">    (cm)</t>
    </r>
  </si>
  <si>
    <r>
      <t xml:space="preserve">Effort de tirage maxi                               </t>
    </r>
    <r>
      <rPr>
        <b/>
        <sz val="14"/>
        <rFont val="Arial"/>
        <family val="2"/>
      </rPr>
      <t xml:space="preserve"> MPC</t>
    </r>
    <r>
      <rPr>
        <sz val="14"/>
        <rFont val="Arial"/>
        <family val="2"/>
      </rPr>
      <t xml:space="preserve">     (kg)</t>
    </r>
  </si>
  <si>
    <t>&lt;- Nombre d'onglets sélectionnés -&gt;</t>
  </si>
  <si>
    <t>Onglets</t>
  </si>
  <si>
    <t>Aff</t>
  </si>
  <si>
    <t>Nb</t>
  </si>
  <si>
    <t>COCHER CETTE CASE POUR IMPRIMER LES INTERCALAIRES</t>
  </si>
  <si>
    <t>Nature des travaux et techniques utilisées :</t>
  </si>
  <si>
    <t xml:space="preserve"> - PV de marquage / piquetage</t>
  </si>
  <si>
    <t>PROCES VERBAL DE MARQUAGE / PIQUETAGE</t>
  </si>
  <si>
    <t>Ces travaux sont placés sous le contrôle de :</t>
  </si>
  <si>
    <t>Adresse des travaux :</t>
  </si>
  <si>
    <r>
      <t xml:space="preserve">En raison des travaux d'amélioration du réseau ………. nous vous informons que notre entreprise ……………………...interviendra dans votre rue pour une période prévisible de </t>
    </r>
    <r>
      <rPr>
        <b/>
        <sz val="10"/>
        <rFont val="Arial"/>
        <family val="2"/>
      </rPr>
      <t>... semaine(s)</t>
    </r>
    <r>
      <rPr>
        <sz val="10"/>
        <rFont val="Arial"/>
        <family val="2"/>
      </rPr>
      <t xml:space="preserve"> environ, 
</t>
    </r>
    <r>
      <rPr>
        <b/>
        <sz val="10"/>
        <rFont val="Arial"/>
        <family val="2"/>
      </rPr>
      <t>à compter du ….../….../……...</t>
    </r>
  </si>
  <si>
    <t>Consignes particulières/Observations :</t>
  </si>
  <si>
    <t>Budget previsionnel</t>
  </si>
  <si>
    <t>Liste agence pour liste déroulante</t>
  </si>
  <si>
    <t>AIX EN PROVENCE</t>
  </si>
  <si>
    <t>ANSE</t>
  </si>
  <si>
    <t>ANSE MECANIQUE</t>
  </si>
  <si>
    <t>BABOLAT ELECTRICITE</t>
  </si>
  <si>
    <t>BBF RESEAUX</t>
  </si>
  <si>
    <t>BEAUNE</t>
  </si>
  <si>
    <t>BEAUVAIS</t>
  </si>
  <si>
    <t>BERGERAC</t>
  </si>
  <si>
    <t>BESANCON</t>
  </si>
  <si>
    <t>BEZIERS</t>
  </si>
  <si>
    <t>BORDEAUX</t>
  </si>
  <si>
    <t>BORDEAUX MECANIQUE</t>
  </si>
  <si>
    <t>CAVAILLON</t>
  </si>
  <si>
    <t>CERGY</t>
  </si>
  <si>
    <t>CERGY MECANIQUE</t>
  </si>
  <si>
    <t>CLERMONT-FERRAND</t>
  </si>
  <si>
    <t>CORBAS</t>
  </si>
  <si>
    <t>CRETEIL</t>
  </si>
  <si>
    <t>ENSISHEIM</t>
  </si>
  <si>
    <t>EREC TECHNOLOGIES</t>
  </si>
  <si>
    <t>GOUSSAINVILLE</t>
  </si>
  <si>
    <t>GRAMARI</t>
  </si>
  <si>
    <t>HTB CSE</t>
  </si>
  <si>
    <t>IMBSHEIM</t>
  </si>
  <si>
    <t>LENT</t>
  </si>
  <si>
    <t>MARANGE</t>
  </si>
  <si>
    <t>MATERIEL</t>
  </si>
  <si>
    <t>MELUN</t>
  </si>
  <si>
    <t>MONTELIMAR</t>
  </si>
  <si>
    <t>NEUVY GRANDCHAMP</t>
  </si>
  <si>
    <t>ORLEANS</t>
  </si>
  <si>
    <t>PONS</t>
  </si>
  <si>
    <t>RECYCLAGE</t>
  </si>
  <si>
    <t>RESONANCE</t>
  </si>
  <si>
    <t>ROESSEL</t>
  </si>
  <si>
    <t>SAINT ETIENNE</t>
  </si>
  <si>
    <t>SCEB</t>
  </si>
  <si>
    <t>SCIONZIER</t>
  </si>
  <si>
    <t>SELLES SUR CHER</t>
  </si>
  <si>
    <t>SERANGE</t>
  </si>
  <si>
    <t>SERVICE MATERIEL</t>
  </si>
  <si>
    <t>SOBECAMAT IDF</t>
  </si>
  <si>
    <t>SOBECAMAT MECANIQUE IDF</t>
  </si>
  <si>
    <t>SOBECAMAT RHONE ALPES</t>
  </si>
  <si>
    <t>SOMELEC CHARTRES</t>
  </si>
  <si>
    <t>SOMELEC LA ROCHELLE</t>
  </si>
  <si>
    <t>SOMELEC MONTARGIS</t>
  </si>
  <si>
    <t>TOULON</t>
  </si>
  <si>
    <t>TOULOUSE</t>
  </si>
  <si>
    <t>TULLINS</t>
  </si>
  <si>
    <t>VAL DE CHER</t>
  </si>
  <si>
    <t>VIOLA SARTROUVILLE</t>
  </si>
  <si>
    <t xml:space="preserve">AGENCE : </t>
  </si>
  <si>
    <t xml:space="preserve">DATE REELLE DE DEBUT DES TRAVAUX : </t>
  </si>
  <si>
    <t>Nom du RAF :</t>
  </si>
  <si>
    <t xml:space="preserve">DATE DE FIN DES TRAVAUX PREVUE : </t>
  </si>
  <si>
    <t xml:space="preserve">N°1 : </t>
  </si>
  <si>
    <t xml:space="preserve">N°2 : </t>
  </si>
  <si>
    <t xml:space="preserve">N°3 : </t>
  </si>
  <si>
    <t>Visite avec le RAF effectuée le  :</t>
  </si>
  <si>
    <t>Signature du RAF :</t>
  </si>
  <si>
    <t>LISTE DES POINTS CONTENUS DANS LE DOSSIER A RENSEIGNER PAR LE RAF ET A VERIFIER PAR LE CC/CE (lors de la visite de chantier)</t>
  </si>
  <si>
    <t>RAF</t>
  </si>
  <si>
    <t>Plans de travaux (vérifiiés, tamponnés, datés, signés par le RAF)</t>
  </si>
  <si>
    <r>
      <t xml:space="preserve">COUPES TYPES
</t>
    </r>
    <r>
      <rPr>
        <b/>
        <i/>
        <sz val="10"/>
        <rFont val="Arial"/>
        <family val="2"/>
      </rPr>
      <t>Document renseigné par le RAF</t>
    </r>
  </si>
  <si>
    <r>
      <t xml:space="preserve">ORDRE DE TRAVAIL SOUS TENSION 
</t>
    </r>
    <r>
      <rPr>
        <i/>
        <sz val="10"/>
        <rFont val="Arial"/>
        <family val="2"/>
      </rPr>
      <t>Document renseigné par le RAF</t>
    </r>
  </si>
  <si>
    <t xml:space="preserve">Nom du RAF : </t>
  </si>
  <si>
    <t>CC/CE ou Electricien</t>
  </si>
  <si>
    <t>CC/CE ou maçon</t>
  </si>
  <si>
    <t>CC/CE ou releveur</t>
  </si>
  <si>
    <t>CC/CE ou Soudeur</t>
  </si>
  <si>
    <r>
      <t xml:space="preserve">FICHE DE DEROULAGE OU DE POSE
</t>
    </r>
    <r>
      <rPr>
        <i/>
        <sz val="14"/>
        <rFont val="Arial"/>
        <family val="2"/>
      </rPr>
      <t>Document renseigné par le CC/CE</t>
    </r>
  </si>
  <si>
    <r>
      <t xml:space="preserve">Nom du testeur </t>
    </r>
    <r>
      <rPr>
        <sz val="8"/>
        <rFont val="Arial"/>
        <family val="2"/>
      </rPr>
      <t>(CC/CE ou Electricien)</t>
    </r>
  </si>
  <si>
    <t>Nom du CC/CE ou du RAF :</t>
  </si>
  <si>
    <t>Visa du CC/CE :</t>
  </si>
  <si>
    <t>Désignation des travaux :</t>
  </si>
  <si>
    <t>Commune :</t>
  </si>
  <si>
    <t>N° de Chantier :</t>
  </si>
  <si>
    <r>
      <t xml:space="preserve">LISTE DES CONTROLES A REALISER
</t>
    </r>
    <r>
      <rPr>
        <i/>
        <sz val="10"/>
        <rFont val="Arial"/>
        <family val="2"/>
      </rPr>
      <t>Document renseigné par le RAF. Une copie est fournie au CC/CE</t>
    </r>
  </si>
  <si>
    <r>
      <t xml:space="preserve">RECEPTION D'OUVRAGES FOURNIS PAR LE CLIENT  
</t>
    </r>
    <r>
      <rPr>
        <sz val="10"/>
        <rFont val="Arial"/>
        <family val="2"/>
      </rPr>
      <t xml:space="preserve">(Réception d'ouvrages ou parties d'ouvrages non réalisés par FIRALP) </t>
    </r>
    <r>
      <rPr>
        <sz val="12"/>
        <rFont val="Arial"/>
        <family val="2"/>
      </rPr>
      <t xml:space="preserve">     
</t>
    </r>
    <r>
      <rPr>
        <i/>
        <sz val="10"/>
        <rFont val="Arial"/>
        <family val="2"/>
      </rPr>
      <t xml:space="preserve">Document renseigné par le RAF et/ou CC/CE. Une copie est fournie au CC/CE   </t>
    </r>
  </si>
  <si>
    <t>PdP/ PPSPS/ Analyse des risques (sécurité environnement)/ Consignes de sécurité</t>
  </si>
  <si>
    <t xml:space="preserve">Fournisseur : </t>
  </si>
  <si>
    <t xml:space="preserve">Libellé du marché ou de la commande : </t>
  </si>
  <si>
    <t>Marché ou commande n° :</t>
  </si>
  <si>
    <t xml:space="preserve">Commune : </t>
  </si>
  <si>
    <t xml:space="preserve">N° de l’affaire : </t>
  </si>
  <si>
    <t>PROCES VERBAL DE RECEPTION</t>
  </si>
  <si>
    <t>Je soussigné, ……………………..…..  , représentant de  …………………………..   après avoir procédé</t>
  </si>
  <si>
    <t>à la visite des travaux effectués par</t>
  </si>
  <si>
    <t>au titre du marché mentionné ci-dessus, en présence</t>
  </si>
  <si>
    <t>de ……………………..…..    représentant de ……………………..…..  et déclare que :</t>
  </si>
  <si>
    <t xml:space="preserve">          Les travaux et prestations ont été executés et/ou les ouvrages sont conformes et cela sans réserves en retenant pour l'achèvement de travaux la date du …………...</t>
  </si>
  <si>
    <t xml:space="preserve">          Les travaux et prestations ont été executés et/ou les ouvrages sont conformes, assorti des réserves mentionnées ci-après.</t>
  </si>
  <si>
    <r>
      <t xml:space="preserve">ETAT DES RESERVES </t>
    </r>
    <r>
      <rPr>
        <sz val="16"/>
        <rFont val="Arial"/>
        <family val="2"/>
      </rPr>
      <t xml:space="preserve">                    ci-après                                    sur annexe :………………………..........</t>
    </r>
  </si>
  <si>
    <t>Nature des réserves</t>
  </si>
  <si>
    <t>Travaux à exécuter</t>
  </si>
  <si>
    <t>Fait à : ……………………</t>
  </si>
  <si>
    <t xml:space="preserve">Le : ……/……/…………
</t>
  </si>
  <si>
    <t>En deux exemplaires</t>
  </si>
  <si>
    <t xml:space="preserve">Pour ……………………..….. </t>
  </si>
  <si>
    <t>PROCES VERBAL DE LEVEE DES RESERVES</t>
  </si>
  <si>
    <t xml:space="preserve">          Sans réserve, avec effet à la date du   …………...</t>
  </si>
  <si>
    <t xml:space="preserve">Fait à : ……………………….Le : ……/……/…………
En deux exemplaires
</t>
  </si>
  <si>
    <t xml:space="preserve">          Avec réserve avec effet à la date du ………………</t>
  </si>
  <si>
    <t>….……………………….</t>
  </si>
  <si>
    <r>
      <rPr>
        <sz val="16"/>
        <rFont val="Wingdings"/>
        <charset val="2"/>
      </rPr>
      <t xml:space="preserve"> o </t>
    </r>
    <r>
      <rPr>
        <sz val="16"/>
        <rFont val="Arial"/>
        <family val="2"/>
      </rPr>
      <t xml:space="preserve">Le délai contractuel </t>
    </r>
    <r>
      <rPr>
        <i/>
        <sz val="11"/>
        <rFont val="Arial"/>
        <family val="2"/>
      </rPr>
      <t>(Par défaut, le délai de levée des réserves est celui prévu par la Norme NFP 03-002, Edition octobre 2014.)</t>
    </r>
  </si>
  <si>
    <r>
      <rPr>
        <sz val="16"/>
        <rFont val="Wingdings"/>
        <charset val="2"/>
      </rPr>
      <t xml:space="preserve"> o</t>
    </r>
    <r>
      <rPr>
        <sz val="11.2"/>
        <rFont val="Arial"/>
        <family val="2"/>
      </rPr>
      <t xml:space="preserve">        </t>
    </r>
    <r>
      <rPr>
        <sz val="16"/>
        <rFont val="Arial"/>
        <family val="2"/>
      </rPr>
      <t xml:space="preserve">Un délai de : …………………………… à compter de ce jour  </t>
    </r>
  </si>
  <si>
    <r>
      <t xml:space="preserve">Pour le maître d'ouvrage
</t>
    </r>
    <r>
      <rPr>
        <i/>
        <sz val="12"/>
        <rFont val="Arial"/>
        <family val="2"/>
      </rPr>
      <t>Signature + cachet</t>
    </r>
  </si>
  <si>
    <t>PV marquage piquetage</t>
  </si>
  <si>
    <t>Mission :</t>
  </si>
  <si>
    <t>Nom du chantier :</t>
  </si>
  <si>
    <t xml:space="preserve">Adresse du chantier : </t>
  </si>
  <si>
    <t>N° de chantier :</t>
  </si>
  <si>
    <t>Contact : (Nom, Prénom, Téléphone) :</t>
  </si>
  <si>
    <t>Date de début de mission :</t>
  </si>
  <si>
    <t>Durée prévisionnelle :</t>
  </si>
  <si>
    <t>Lieu de l’accueil :</t>
  </si>
  <si>
    <t>Horaires de travail :</t>
  </si>
  <si>
    <t>Motif du recours :</t>
  </si>
  <si>
    <t>Intitulé du poste :</t>
  </si>
  <si>
    <t>(voir fiche de fonction ci-jointe)</t>
  </si>
  <si>
    <t xml:space="preserve">Niveau du personnel demandé : </t>
  </si>
  <si>
    <t>Commentaires :</t>
  </si>
  <si>
    <t>Formations, qualifications (Habilitations) requises :</t>
  </si>
  <si>
    <t>Autres :</t>
  </si>
  <si>
    <t>Risques auxquels l’intérimaire est susceptible d’être exposé :</t>
  </si>
  <si>
    <t>Accueil Chantier :</t>
  </si>
  <si>
    <t>Le personnel intérimaire passera un test « sécurité » validé par le chef de chantier. L’intérimaire se présentera obligatoirement avec ses EPI (sans sigle) spécifiés dans les accords cadres FIRALP, sous peine de renvoi.</t>
  </si>
  <si>
    <t>La liste des EPI obligatoires est la suivante : casque de chantier homologué, gilets fluo réfléchissants (baudriers) EN471, bottes et/ou chaussures de sécurité hautes, gants, vêtements de pluie.</t>
  </si>
  <si>
    <t xml:space="preserve">Envoi des offres par mail au demandeur avec les documents suivants : </t>
  </si>
  <si>
    <t xml:space="preserve">L’offre et la commande s’appuient sur : accord cadre, contrat, fiche de demande, CGA, CGV. </t>
  </si>
  <si>
    <t>Réponse de l’agence d’intérim</t>
  </si>
  <si>
    <t>Nom de l’intérimaire proposé :</t>
  </si>
  <si>
    <t>(Voir CV ci-joint)</t>
  </si>
  <si>
    <t>Tampon et signature FIRALP</t>
  </si>
  <si>
    <t>1. Nom du personnel intérimaire :</t>
  </si>
  <si>
    <t>Prénom :</t>
  </si>
  <si>
    <t>Société Intérim :</t>
  </si>
  <si>
    <t xml:space="preserve">2. Mission du </t>
  </si>
  <si>
    <t>3. Poste(s) occupé(s) :</t>
  </si>
  <si>
    <t xml:space="preserve">4. Motif de recours : </t>
  </si>
  <si>
    <t>5. Qualités personnelles et professionnelles de l’intérimaire</t>
  </si>
  <si>
    <t>Mettre une croix ou N/A si pas applicable</t>
  </si>
  <si>
    <t>Très satisfaisant</t>
  </si>
  <si>
    <t>Peu Satisfaisant</t>
  </si>
  <si>
    <t>Insatisfaisant</t>
  </si>
  <si>
    <t xml:space="preserve">Ponctualité / Assiduité </t>
  </si>
  <si>
    <t>Esprit d’équipe</t>
  </si>
  <si>
    <t>6. Motif de départ</t>
  </si>
  <si>
    <t>Pendant période d’essai</t>
  </si>
  <si>
    <t>Sur initiative Firalp</t>
  </si>
  <si>
    <t>Après période d’essai</t>
  </si>
  <si>
    <t>Sur initiative intérimaire</t>
  </si>
  <si>
    <t>Si non, veuillez remonter les dysfonctionnements au service achats (mail/fiche de progrès/ etc…)</t>
  </si>
  <si>
    <t>7. Commentaires :</t>
  </si>
  <si>
    <t>Nom/Fonction et signature de l’évaluateur :</t>
  </si>
  <si>
    <t>Tampon et signature de l'entreprise de travail temporaire</t>
  </si>
  <si>
    <t xml:space="preserve">Commentaires :
</t>
  </si>
  <si>
    <r>
      <rPr>
        <b/>
        <sz val="9"/>
        <rFont val="Wingdings"/>
        <charset val="2"/>
      </rPr>
      <t>o</t>
    </r>
    <r>
      <rPr>
        <b/>
        <sz val="9"/>
        <rFont val="Calibri"/>
        <family val="2"/>
      </rPr>
      <t xml:space="preserve"> Fin de contrat</t>
    </r>
  </si>
  <si>
    <r>
      <rPr>
        <b/>
        <sz val="9"/>
        <rFont val="Wingdings"/>
        <charset val="2"/>
      </rPr>
      <t>o</t>
    </r>
    <r>
      <rPr>
        <b/>
        <sz val="9"/>
        <rFont val="Calibri"/>
        <family val="2"/>
      </rPr>
      <t xml:space="preserve"> Départ anticipé :</t>
    </r>
  </si>
  <si>
    <t>FICHE D'EVALUATION D'UN INTERIMAIRE</t>
  </si>
  <si>
    <t>LES 3 RISQUES PRINCIPAUX DU CHANTIER (extraits de l'analyse des risques)</t>
  </si>
  <si>
    <t>CC/CE : Reportez-vous à l'analyse des risques (PPSPS, PdP, Fiche Sécurité et environnement) pour mettre en oeuvre les moyens de prévention permettant de réduire/supprimer ces risques.</t>
  </si>
  <si>
    <t>DAZSQ007 E Indice e</t>
  </si>
  <si>
    <r>
      <t>Les cellules</t>
    </r>
    <r>
      <rPr>
        <b/>
        <sz val="12"/>
        <rFont val="Arial"/>
        <family val="2"/>
      </rPr>
      <t xml:space="preserve"> JAUNES </t>
    </r>
    <r>
      <rPr>
        <sz val="12"/>
        <rFont val="Arial"/>
        <family val="2"/>
      </rPr>
      <t xml:space="preserve">sont </t>
    </r>
    <r>
      <rPr>
        <b/>
        <sz val="12"/>
        <rFont val="Arial"/>
        <family val="2"/>
      </rPr>
      <t xml:space="preserve">les cellules à saisir; elles se trouvent dans </t>
    </r>
    <r>
      <rPr>
        <sz val="12"/>
        <rFont val="Arial"/>
        <family val="2"/>
      </rPr>
      <t xml:space="preserve">l'onglet </t>
    </r>
    <r>
      <rPr>
        <b/>
        <sz val="12"/>
        <rFont val="Arial"/>
        <family val="2"/>
      </rPr>
      <t>"Page de garde"</t>
    </r>
  </si>
  <si>
    <t>L'onglet "Page de Garde" contient:</t>
  </si>
  <si>
    <t>Les renseignements du chantier à compléter (cellules jaunes)</t>
  </si>
  <si>
    <t>Classer les documents imprimés dans chacun des intercalaires du dossier chantier rose (papier).</t>
  </si>
  <si>
    <t xml:space="preserve">COORDONNEES DU CLIENT: </t>
  </si>
  <si>
    <t xml:space="preserve">COORDONNEES DU REPRESENTANT DU CLIENT: </t>
  </si>
  <si>
    <t>FICHE DE DEMANDE D'UN INTERIMAIRE</t>
  </si>
  <si>
    <r>
      <rPr>
        <sz val="11"/>
        <rFont val="Wingdings"/>
        <charset val="2"/>
      </rPr>
      <t>o</t>
    </r>
    <r>
      <rPr>
        <sz val="11"/>
        <rFont val="Calibri"/>
        <family val="2"/>
      </rPr>
      <t xml:space="preserve"> Accroissement temporaire de l’activité</t>
    </r>
  </si>
  <si>
    <r>
      <rPr>
        <sz val="11"/>
        <rFont val="Wingdings"/>
        <charset val="2"/>
      </rPr>
      <t>o</t>
    </r>
    <r>
      <rPr>
        <sz val="11"/>
        <rFont val="Calibri"/>
        <family val="2"/>
      </rPr>
      <t xml:space="preserve"> Remplacement partiel</t>
    </r>
  </si>
  <si>
    <r>
      <rPr>
        <sz val="11"/>
        <rFont val="Wingdings"/>
        <charset val="2"/>
      </rPr>
      <t>o</t>
    </r>
    <r>
      <rPr>
        <sz val="11"/>
        <rFont val="Calibri"/>
        <family val="2"/>
      </rPr>
      <t xml:space="preserve"> Non qualifié (ouvriers N1, ETAM de A à D)</t>
    </r>
  </si>
  <si>
    <r>
      <rPr>
        <sz val="11"/>
        <rFont val="Wingdings"/>
        <charset val="2"/>
      </rPr>
      <t>o</t>
    </r>
    <r>
      <rPr>
        <sz val="11"/>
        <rFont val="Calibri"/>
        <family val="2"/>
      </rPr>
      <t xml:space="preserve"> Qualifié (les autres)</t>
    </r>
  </si>
  <si>
    <r>
      <rPr>
        <sz val="11"/>
        <rFont val="Wingdings"/>
        <charset val="2"/>
      </rPr>
      <t>o</t>
    </r>
    <r>
      <rPr>
        <sz val="11"/>
        <rFont val="Calibri"/>
        <family val="2"/>
      </rPr>
      <t xml:space="preserve"> Permis B </t>
    </r>
  </si>
  <si>
    <r>
      <rPr>
        <sz val="11"/>
        <rFont val="Wingdings"/>
        <charset val="2"/>
      </rPr>
      <t>o</t>
    </r>
    <r>
      <rPr>
        <sz val="11"/>
        <rFont val="Calibri"/>
        <family val="2"/>
      </rPr>
      <t xml:space="preserve"> H0B0V </t>
    </r>
  </si>
  <si>
    <r>
      <rPr>
        <sz val="11"/>
        <rFont val="Wingdings"/>
        <charset val="2"/>
      </rPr>
      <t>o</t>
    </r>
    <r>
      <rPr>
        <sz val="11"/>
        <rFont val="Calibri"/>
        <family val="2"/>
      </rPr>
      <t xml:space="preserve"> Permis E</t>
    </r>
  </si>
  <si>
    <r>
      <rPr>
        <sz val="11"/>
        <rFont val="Wingdings"/>
        <charset val="2"/>
      </rPr>
      <t>o</t>
    </r>
    <r>
      <rPr>
        <sz val="11"/>
        <rFont val="Calibri"/>
        <family val="2"/>
      </rPr>
      <t xml:space="preserve"> CACES (préciser) : </t>
    </r>
  </si>
  <si>
    <r>
      <rPr>
        <sz val="11"/>
        <rFont val="Wingdings"/>
        <charset val="2"/>
      </rPr>
      <t>o</t>
    </r>
    <r>
      <rPr>
        <sz val="11"/>
        <rFont val="Calibri"/>
        <family val="2"/>
      </rPr>
      <t xml:space="preserve"> Postures pénibles</t>
    </r>
  </si>
  <si>
    <r>
      <rPr>
        <sz val="11"/>
        <rFont val="Wingdings"/>
        <charset val="2"/>
      </rPr>
      <t>o</t>
    </r>
    <r>
      <rPr>
        <sz val="11"/>
        <rFont val="Calibri"/>
        <family val="2"/>
      </rPr>
      <t xml:space="preserve"> Manutentions manuelles de charges </t>
    </r>
  </si>
  <si>
    <r>
      <rPr>
        <sz val="11"/>
        <rFont val="Wingdings"/>
        <charset val="2"/>
      </rPr>
      <t>o</t>
    </r>
    <r>
      <rPr>
        <sz val="11"/>
        <rFont val="Calibri"/>
        <family val="2"/>
      </rPr>
      <t xml:space="preserve"> Agents chimiques dangereux </t>
    </r>
  </si>
  <si>
    <r>
      <rPr>
        <sz val="11"/>
        <rFont val="Wingdings"/>
        <charset val="2"/>
      </rPr>
      <t>o</t>
    </r>
    <r>
      <rPr>
        <sz val="11"/>
        <rFont val="Calibri"/>
        <family val="2"/>
      </rPr>
      <t xml:space="preserve"> Bruit</t>
    </r>
  </si>
  <si>
    <r>
      <rPr>
        <sz val="11"/>
        <rFont val="Wingdings"/>
        <charset val="2"/>
      </rPr>
      <t xml:space="preserve">o </t>
    </r>
    <r>
      <rPr>
        <sz val="11"/>
        <rFont val="Calibri"/>
        <family val="2"/>
      </rPr>
      <t>Vibrations mécaniques</t>
    </r>
  </si>
  <si>
    <t>Description du poste :</t>
  </si>
  <si>
    <r>
      <t xml:space="preserve">Respect des consignes SSE </t>
    </r>
    <r>
      <rPr>
        <sz val="11"/>
        <rFont val="Calibri"/>
        <family val="2"/>
      </rPr>
      <t>(Port des EPI, etc…)</t>
    </r>
  </si>
  <si>
    <r>
      <t xml:space="preserve">Feriez-vous appel à nouveau à cet intérimaire ? </t>
    </r>
    <r>
      <rPr>
        <sz val="11"/>
        <rFont val="Calibri"/>
        <family val="2"/>
      </rPr>
      <t xml:space="preserve"> Oui  Non</t>
    </r>
  </si>
  <si>
    <r>
      <t xml:space="preserve">Feriez-vous appel à nouveau à cette agence d’intérim ? </t>
    </r>
    <r>
      <rPr>
        <sz val="11"/>
        <rFont val="Calibri"/>
        <family val="2"/>
      </rPr>
      <t xml:space="preserve"> Oui  Non</t>
    </r>
  </si>
  <si>
    <t xml:space="preserve">Nom de l’entreprise : </t>
  </si>
  <si>
    <t xml:space="preserve">Nom du demandeur : </t>
  </si>
  <si>
    <t xml:space="preserve">Nom de l’agence : </t>
  </si>
  <si>
    <t xml:space="preserve">Date de la demande : </t>
  </si>
  <si>
    <r>
      <t>G. E</t>
    </r>
    <r>
      <rPr>
        <sz val="10"/>
        <rFont val="Arial"/>
        <family val="2"/>
      </rPr>
      <t xml:space="preserve"> : GAZ ET ELECTRICITE
</t>
    </r>
    <r>
      <rPr>
        <b/>
        <sz val="10"/>
        <rFont val="Arial"/>
        <family val="2"/>
      </rPr>
      <t>Fluide Divers*</t>
    </r>
    <r>
      <rPr>
        <sz val="10"/>
        <rFont val="Arial"/>
        <family val="2"/>
      </rPr>
      <t xml:space="preserve">  Pour les "Pipe line" se réformer au cas par cas aux exigences de la société exploitante                                                                 </t>
    </r>
  </si>
  <si>
    <r>
      <t xml:space="preserve">Fluide Divers*  </t>
    </r>
    <r>
      <rPr>
        <sz val="10"/>
        <rFont val="Arial"/>
        <family val="2"/>
      </rPr>
      <t xml:space="preserve">Pour les "Pipe line" se réformer au cas par cas aux exigences de la société </t>
    </r>
    <r>
      <rPr>
        <b/>
        <sz val="10"/>
        <rFont val="Arial"/>
        <family val="2"/>
      </rPr>
      <t>exploitante</t>
    </r>
  </si>
  <si>
    <r>
      <t xml:space="preserve">EcP**  </t>
    </r>
    <r>
      <rPr>
        <sz val="10"/>
        <rFont val="Arial"/>
        <family val="2"/>
      </rPr>
      <t>Pour le réseau d'éclairage public il n'y a pas de distance mini à respecter avec la BT</t>
    </r>
  </si>
  <si>
    <t>Le sommaire du dossier chantier; cocher les documents mis dans le dossier chantier</t>
  </si>
  <si>
    <r>
      <t xml:space="preserve">Depuis l'onglet </t>
    </r>
    <r>
      <rPr>
        <b/>
        <sz val="12"/>
        <rFont val="Arial"/>
        <family val="2"/>
      </rPr>
      <t>"Impression"</t>
    </r>
    <r>
      <rPr>
        <sz val="12"/>
        <rFont val="Arial"/>
        <family val="2"/>
      </rPr>
      <t xml:space="preserve">, sélectionner la ligne de l'onglet à visionner, puis cliquer sur le bouton </t>
    </r>
    <r>
      <rPr>
        <b/>
        <sz val="12"/>
        <rFont val="Arial"/>
        <family val="2"/>
      </rPr>
      <t>"Afficher l'onglet"</t>
    </r>
  </si>
  <si>
    <r>
      <t xml:space="preserve">Depuis un onglet quelconque, taper </t>
    </r>
    <r>
      <rPr>
        <b/>
        <sz val="12"/>
        <rFont val="Arial"/>
        <family val="2"/>
      </rPr>
      <t xml:space="preserve">"Ctrl+r" </t>
    </r>
    <r>
      <rPr>
        <sz val="12"/>
        <rFont val="Arial"/>
        <family val="2"/>
      </rPr>
      <t xml:space="preserve">pour aller à l'onglet </t>
    </r>
    <r>
      <rPr>
        <b/>
        <sz val="12"/>
        <rFont val="Arial"/>
        <family val="2"/>
      </rPr>
      <t>"Impression"</t>
    </r>
  </si>
  <si>
    <t>Aller sur le portail, dans Processus Préparation/ Dossier chantier", sélectionner le fichier ayant l'activité concernée et enregistrer-le dans vos dossiers (sur le commun).</t>
  </si>
  <si>
    <r>
      <t xml:space="preserve">Ouvrir le fichier et aller à l'onglet </t>
    </r>
    <r>
      <rPr>
        <b/>
        <sz val="12"/>
        <rFont val="Arial"/>
        <family val="2"/>
      </rPr>
      <t>"Page de Garde" :</t>
    </r>
    <r>
      <rPr>
        <sz val="12"/>
        <rFont val="Arial"/>
        <family val="2"/>
      </rPr>
      <t xml:space="preserve"> renseigner les éléments (surtout les champs en jaune)</t>
    </r>
  </si>
  <si>
    <r>
      <t xml:space="preserve">Aller à l'onglet </t>
    </r>
    <r>
      <rPr>
        <b/>
        <sz val="12"/>
        <rFont val="Arial"/>
        <family val="2"/>
      </rPr>
      <t>"Impression"</t>
    </r>
    <r>
      <rPr>
        <sz val="12"/>
        <rFont val="Arial"/>
        <family val="2"/>
      </rPr>
      <t xml:space="preserve"> et cocher dans la colonne A l'ensemble des documents que vous voulez voir imprimer. </t>
    </r>
  </si>
  <si>
    <t>Si vous souhaitez imprimer un document en plusieurs exemplaires, préciser le nombre exacte dans la colonne D de l'onglet "Impression" (par défaut, un document coché en colonne A de l'onglet "Impression" est imprimé une fois)</t>
  </si>
  <si>
    <t>Si vous souhaitez utiliser un classeur plutôt que la pochette rose, penser à imprimer les intercalaires en cochant la case dédié (en haut à droite) dans l'onglet impression.</t>
  </si>
  <si>
    <r>
      <t xml:space="preserve">Pour lancer l'impression, cliquer sur le bouton </t>
    </r>
    <r>
      <rPr>
        <b/>
        <sz val="12"/>
        <rFont val="Arial"/>
        <family val="2"/>
      </rPr>
      <t>"Imprimer"</t>
    </r>
  </si>
  <si>
    <t>Veuillez faire part de toutes propositions d'évolution ou remarques par une fiche de progrès.</t>
  </si>
  <si>
    <t>Date de validité</t>
  </si>
  <si>
    <t>Liste des points à regarder lors de la visite sur place :</t>
  </si>
  <si>
    <t>Moyens d'accès</t>
  </si>
  <si>
    <t xml:space="preserve">                - Liste récapitulative des concessionnaires</t>
  </si>
  <si>
    <t xml:space="preserve"> - Documents des produits fournis par le client (DMR, bons de livraison…) réceptionnés sur chantier</t>
  </si>
  <si>
    <t>extérieurs, intérieurs, mesure et raccordement optique, Travaux hydrauliques...)</t>
  </si>
  <si>
    <t>CC / CE :</t>
  </si>
  <si>
    <t>Responsable d'affaires (émetteur de l'autorisation)  :</t>
  </si>
  <si>
    <t>N° Marché :</t>
  </si>
  <si>
    <t>Exécutant des travaux</t>
  </si>
  <si>
    <t xml:space="preserve"> - Formulaire recueil des faits AT</t>
  </si>
  <si>
    <t>S'appuyer sur le Document Unique</t>
  </si>
  <si>
    <t>Nous vous prions de bien vouloir nous excuser pour la gêne occasionnée, mais nous vous assurons que nous apporterons tout notre soin pour qu'elle soit la moins longue possible.</t>
  </si>
  <si>
    <t>En cas de problème, ou pour tout renseignement complémentaire, vous pouvez appeler :</t>
  </si>
  <si>
    <t>- notre responsable d'affaire</t>
  </si>
  <si>
    <t>- ou dans la journée, notre responsable de chantier sur place</t>
  </si>
  <si>
    <t>DAGRH003 Indice b</t>
  </si>
  <si>
    <t>Autres risques potentiels (ex :Grands déplacements, travaux en hauteur, travaux ponctuels de nuit,etc…) :</t>
  </si>
  <si>
    <t>Aptitude médicale au poste, titres de formation, carte pro BTP, permis de conduire, carte nationale d’identité/carte de séjour, N° sécurité sociale, CV, tarif horaire et des indemnités de déplacements, autres documents éventuels. L’absence de l’un de ces documents peut entrainer le refus de l’offre.</t>
  </si>
  <si>
    <t>Maître d'ouvrage :</t>
  </si>
  <si>
    <t xml:space="preserve">L’entreprise et le maître d'ouvrage conviennent que les travaux nécessités par les réserves ci-dessus seront exécutés dans :                                </t>
  </si>
  <si>
    <t>Le maître d'ouvrage, ci-dessus désigné, constate qu’il a été valablement remédié aux réserves concernées.</t>
  </si>
  <si>
    <t>Je soussigné (nom, fonction)…………………………………………….. représentant le maître d'ouvrage, en présence de
l'entrepreneur dûment convoqué; M……………………………………………….., après avoir procédé aux examens et 
vérifications nécessaires, constate que:</t>
  </si>
  <si>
    <t>Et prononce la réception des travaux:</t>
  </si>
  <si>
    <t>le Maître d'ouvrage</t>
  </si>
  <si>
    <t>Suivi médical :</t>
  </si>
  <si>
    <r>
      <rPr>
        <sz val="11"/>
        <rFont val="Wingdings"/>
        <charset val="2"/>
      </rPr>
      <t>o</t>
    </r>
    <r>
      <rPr>
        <sz val="11"/>
        <rFont val="Calibri"/>
        <family val="2"/>
      </rPr>
      <t xml:space="preserve"> Visite d'Information et de Prévention (VIP)</t>
    </r>
  </si>
  <si>
    <r>
      <rPr>
        <sz val="11"/>
        <rFont val="Wingdings"/>
        <charset val="2"/>
      </rPr>
      <t>o</t>
    </r>
    <r>
      <rPr>
        <sz val="11"/>
        <rFont val="Calibri"/>
        <family val="2"/>
      </rPr>
      <t xml:space="preserve"> Suivi Individuel Renforcé (SIR)</t>
    </r>
  </si>
  <si>
    <t>Nom/Prénom :</t>
  </si>
  <si>
    <t>CHANTONNAY</t>
  </si>
  <si>
    <t>Siège des lésions (marquer d’une croix ou entourer) :</t>
  </si>
  <si>
    <t>Nature des lésions (cochez la ou les mentions valables) :</t>
  </si>
  <si>
    <t>☐ Plaies</t>
  </si>
  <si>
    <t>☐ Piqûre</t>
  </si>
  <si>
    <t>☐ Ecorchure</t>
  </si>
  <si>
    <t>☐ Brûlure</t>
  </si>
  <si>
    <t>☐ Ecrasement</t>
  </si>
  <si>
    <t>☐ Hématomes</t>
  </si>
  <si>
    <t>☐ Foulure</t>
  </si>
  <si>
    <t>☐ Mal de dos</t>
  </si>
  <si>
    <t>☐ Contusion</t>
  </si>
  <si>
    <t xml:space="preserve">☐ Autres : </t>
  </si>
  <si>
    <t>SOINS</t>
  </si>
  <si>
    <t>☐ NON</t>
  </si>
  <si>
    <t>Agence :</t>
  </si>
  <si>
    <t>GUEUGNON</t>
  </si>
  <si>
    <t>CHATEAUROUX</t>
  </si>
  <si>
    <t>NOM / PRENOM</t>
  </si>
  <si>
    <t xml:space="preserve">PROCES VERBAL DE DESTRUCTION DES POTEAUX  </t>
  </si>
  <si>
    <t>Code Opération :</t>
  </si>
  <si>
    <t xml:space="preserve">Fait à </t>
  </si>
  <si>
    <t>M. ____________</t>
  </si>
  <si>
    <t>Atteste que l'entreprise __________________________</t>
  </si>
  <si>
    <t>A récupéré ______ poteaux du chantier _________________________</t>
  </si>
  <si>
    <t>Afin que ces derniers soient stockés puis détruits sur le site de _____________________________________</t>
  </si>
  <si>
    <t>__________________________________________________________________________________________</t>
  </si>
  <si>
    <t>Mises à jour du dossier chantier</t>
  </si>
  <si>
    <t>Onglet MAJ</t>
  </si>
  <si>
    <t>Détails de la MAJ</t>
  </si>
  <si>
    <t>M. LUCAS</t>
  </si>
  <si>
    <t>Ajout de la fiche destruction des poteaux suite à Fiche de Progrès A6920200004</t>
  </si>
  <si>
    <t>10.15 - Electricité</t>
  </si>
  <si>
    <t>5.20.Ch - SOBECAMAT</t>
  </si>
  <si>
    <t>Modification onglet suite à MAJ de la part de SOBECAMAT</t>
  </si>
  <si>
    <r>
      <t xml:space="preserve">RECUEIL DES FAITS A CHAUD 
</t>
    </r>
    <r>
      <rPr>
        <sz val="9"/>
        <rFont val="Tahoma"/>
        <family val="2"/>
      </rPr>
      <t>Document à intégrer en RH avec les photos de la reconstitution</t>
    </r>
  </si>
  <si>
    <t>DANS LES 48 HEURES QUI SUIVENT L'ACCIDENT / LE SINISTRE</t>
  </si>
  <si>
    <t>Date et heure :</t>
  </si>
  <si>
    <t>Horaires de travail le jour de l'accident / le sinistre</t>
  </si>
  <si>
    <r>
      <t xml:space="preserve">VICTIME </t>
    </r>
    <r>
      <rPr>
        <sz val="10"/>
        <color theme="0"/>
        <rFont val="Arial"/>
        <family val="2"/>
      </rPr>
      <t>(1 recueil / victime / sinistre)</t>
    </r>
  </si>
  <si>
    <t>Témoin 1</t>
  </si>
  <si>
    <t>Témoin 2</t>
  </si>
  <si>
    <t>Nom  :</t>
  </si>
  <si>
    <t xml:space="preserve">Prénom : </t>
  </si>
  <si>
    <t xml:space="preserve">Fonction : </t>
  </si>
  <si>
    <r>
      <t xml:space="preserve">Type de contrat </t>
    </r>
    <r>
      <rPr>
        <i/>
        <sz val="10"/>
        <rFont val="Arial"/>
        <family val="2"/>
      </rPr>
      <t>(intérim, CDI, CDD)</t>
    </r>
    <r>
      <rPr>
        <sz val="10"/>
        <rFont val="Arial"/>
        <family val="2"/>
      </rPr>
      <t> :</t>
    </r>
  </si>
  <si>
    <t>Type de contrat :</t>
  </si>
  <si>
    <r>
      <t xml:space="preserve">N° et type de chantier :
</t>
    </r>
    <r>
      <rPr>
        <i/>
        <sz val="9"/>
        <rFont val="Arial"/>
        <family val="2"/>
      </rPr>
      <t>Si sinistre : préciser type d'ouvrage endommagé, classification du réseau, méthode de terrassement, commentaire)</t>
    </r>
  </si>
  <si>
    <r>
      <t xml:space="preserve">Lieu précis de l'accident / sinistre </t>
    </r>
    <r>
      <rPr>
        <i/>
        <sz val="10"/>
        <rFont val="Arial"/>
        <family val="2"/>
      </rPr>
      <t>(adresse, ville, CP)</t>
    </r>
    <r>
      <rPr>
        <sz val="10"/>
        <rFont val="Arial"/>
        <family val="2"/>
      </rPr>
      <t> :</t>
    </r>
  </si>
  <si>
    <t>Gauche :</t>
  </si>
  <si>
    <t>Siege :</t>
  </si>
  <si>
    <t>Droite :</t>
  </si>
  <si>
    <t>☐ Tête</t>
  </si>
  <si>
    <t>☐ Epaule</t>
  </si>
  <si>
    <t>☐ Thorax</t>
  </si>
  <si>
    <t>☐ Dos</t>
  </si>
  <si>
    <t>☐ Bras</t>
  </si>
  <si>
    <t>☐ Mains</t>
  </si>
  <si>
    <t>☐ Jambes</t>
  </si>
  <si>
    <t>☐ Genoux</t>
  </si>
  <si>
    <t>☐ Chevilles</t>
  </si>
  <si>
    <t>☐ Pieds</t>
  </si>
  <si>
    <t xml:space="preserve">CIRCONSTANCES DETAILLEES – RECIT DES FAITS ( joindre un croquis / photos de la situation)  </t>
  </si>
  <si>
    <r>
      <rPr>
        <b/>
        <sz val="10"/>
        <rFont val="Arial"/>
        <family val="2"/>
      </rPr>
      <t xml:space="preserve">Avant l'AT / Sinistre : </t>
    </r>
    <r>
      <rPr>
        <sz val="10"/>
        <rFont val="Arial"/>
        <family val="2"/>
      </rPr>
      <t xml:space="preserve">
Que faisait la victime</t>
    </r>
    <r>
      <rPr>
        <sz val="9"/>
        <rFont val="Arial"/>
        <family val="2"/>
      </rPr>
      <t xml:space="preserve"> ?
</t>
    </r>
    <r>
      <rPr>
        <i/>
        <sz val="10"/>
        <rFont val="Arial"/>
        <family val="2"/>
      </rPr>
      <t xml:space="preserve">Contexte du chantier et circonstance </t>
    </r>
  </si>
  <si>
    <r>
      <rPr>
        <b/>
        <sz val="10"/>
        <rFont val="Arial"/>
        <family val="2"/>
      </rPr>
      <t xml:space="preserve">Pendant l'AT / Sinistre : 
</t>
    </r>
    <r>
      <rPr>
        <sz val="10"/>
        <rFont val="Arial"/>
        <family val="2"/>
      </rPr>
      <t xml:space="preserve">Que s’est-il passé exactement </t>
    </r>
    <r>
      <rPr>
        <i/>
        <sz val="10"/>
        <rFont val="Arial"/>
        <family val="2"/>
      </rPr>
      <t>(tâches effectuées,…)</t>
    </r>
    <r>
      <rPr>
        <sz val="10"/>
        <rFont val="Arial"/>
        <family val="2"/>
      </rPr>
      <t> ?</t>
    </r>
  </si>
  <si>
    <r>
      <rPr>
        <b/>
        <sz val="10"/>
        <rFont val="Arial"/>
        <family val="2"/>
      </rPr>
      <t xml:space="preserve">Après l'AT / Sinistre : </t>
    </r>
    <r>
      <rPr>
        <sz val="10"/>
        <rFont val="Arial"/>
        <family val="2"/>
      </rPr>
      <t xml:space="preserve">
Quelles mesures ont été prises sur le terrain ?</t>
    </r>
  </si>
  <si>
    <t>Premiers soins délivrés ?</t>
  </si>
  <si>
    <t xml:space="preserve">☐ OUI     ☐ NON  </t>
  </si>
  <si>
    <t xml:space="preserve">Par qui : </t>
  </si>
  <si>
    <t>Appel des services de secours</t>
  </si>
  <si>
    <t>☐ OUI :  ☐ Samu   ☐ Pompiers   ☐ Police</t>
  </si>
  <si>
    <t>L'accident a-t-il été provoqué par un tiers ?</t>
  </si>
  <si>
    <t xml:space="preserve">☐ OUI ☐ NON          </t>
  </si>
  <si>
    <t>Nom et adresse du tiers :</t>
  </si>
  <si>
    <t>L'accident a-t-il fait d'autres victimes ?</t>
  </si>
  <si>
    <t xml:space="preserve">Société d'assurance du tiers et N° du contrat : </t>
  </si>
  <si>
    <t>Recueil des faits (Observables, vérifiables, incontestables, uniques et précis. Éviter les faits négatifs*, ex : il ne portait pas, …)</t>
  </si>
  <si>
    <t>Quoi
Objet, tâche</t>
  </si>
  <si>
    <t>Quelle activité ?
Que s'est il passé ?</t>
  </si>
  <si>
    <t>Qui
Personnes concernées</t>
  </si>
  <si>
    <r>
      <t xml:space="preserve">Quelles sont les personnes, agences concernées par la situation ?
</t>
    </r>
    <r>
      <rPr>
        <i/>
        <sz val="10"/>
        <rFont val="Arial"/>
        <family val="2"/>
      </rPr>
      <t>(Ancienneté, formation, expérience…)</t>
    </r>
  </si>
  <si>
    <t>Où
Lieu, temps, environnement</t>
  </si>
  <si>
    <r>
      <t xml:space="preserve">Où cela se produit-il ? </t>
    </r>
    <r>
      <rPr>
        <i/>
        <sz val="10"/>
        <rFont val="Arial"/>
        <family val="2"/>
      </rPr>
      <t>(Précisez le contexte, l'état du terrain, la température, le climat…)</t>
    </r>
    <r>
      <rPr>
        <sz val="10"/>
        <rFont val="Arial"/>
        <family val="2"/>
      </rPr>
      <t xml:space="preserve">
Dans quel environnement ?
A quel poste de travail ?</t>
    </r>
  </si>
  <si>
    <t>Quand
Planning, durée</t>
  </si>
  <si>
    <r>
      <t xml:space="preserve">Quand a lieu l'évènement ? </t>
    </r>
    <r>
      <rPr>
        <i/>
        <sz val="10"/>
        <rFont val="Arial"/>
        <family val="2"/>
      </rPr>
      <t>(La tache était planifiée, pendant les horaires de la journée, cadence normale, horaire inhabituel, il fallait finir vite, après le repas…)</t>
    </r>
    <r>
      <rPr>
        <sz val="10"/>
        <rFont val="Arial"/>
        <family val="2"/>
      </rPr>
      <t xml:space="preserve">
L'évènement s'est il déjà produit ? </t>
    </r>
    <r>
      <rPr>
        <i/>
        <sz val="10"/>
        <rFont val="Arial"/>
        <family val="2"/>
      </rPr>
      <t xml:space="preserve">(Déjà connu, observé, à quelle fréquence...)
Combien de temps pour réaliser la tache ? </t>
    </r>
  </si>
  <si>
    <t>Comment
Matériel, moyens, manière, procédure</t>
  </si>
  <si>
    <r>
      <t xml:space="preserve">Comment s'est déroulée la tâche ?
De quelle manière : procédures, consignes, pratiques ? </t>
    </r>
    <r>
      <rPr>
        <i/>
        <sz val="10"/>
        <rFont val="Arial"/>
        <family val="2"/>
      </rPr>
      <t>(Documentation à jour, dernière version, connue, disponible…)</t>
    </r>
    <r>
      <rPr>
        <sz val="10"/>
        <rFont val="Arial"/>
        <family val="2"/>
      </rPr>
      <t xml:space="preserve">
Avec quel outil, quel matériel ? </t>
    </r>
    <r>
      <rPr>
        <i/>
        <sz val="10"/>
        <rFont val="Arial"/>
        <family val="2"/>
      </rPr>
      <t>(Entretien périodique, VGP, contrôles visuels…)</t>
    </r>
  </si>
  <si>
    <t>Pourquoi
Motif</t>
  </si>
  <si>
    <t>Dans quel but cette tâche a-t-elle été réalisée ?</t>
  </si>
  <si>
    <t>RECHERCHER LES CAUSES (une cause = un fait + son lien avec l’Accident du Travail / l’incident / le sinistre)</t>
  </si>
  <si>
    <r>
      <t xml:space="preserve">Classer les causes profondes retenues selon </t>
    </r>
    <r>
      <rPr>
        <b/>
        <sz val="10"/>
        <rFont val="Arial"/>
        <family val="2"/>
      </rPr>
      <t xml:space="preserve">les types de facteur </t>
    </r>
    <r>
      <rPr>
        <sz val="10"/>
        <rFont val="Arial"/>
        <family val="2"/>
      </rPr>
      <t xml:space="preserve">ci-dessous </t>
    </r>
  </si>
  <si>
    <t>Organisationnel</t>
  </si>
  <si>
    <t>Humain</t>
  </si>
  <si>
    <t xml:space="preserve">Technique </t>
  </si>
  <si>
    <t>LIEN AVEC LE DU / REGISTRE AT BENIN</t>
  </si>
  <si>
    <t>Le(s) risque(s) étai(en) t-il(s) identifié(s) dans le DU</t>
  </si>
  <si>
    <t>Suite à cet accident (ou incident), avez-vous mis à jour le DU ?</t>
  </si>
  <si>
    <t xml:space="preserve">Inscription au regsitre AT bénin le  </t>
  </si>
  <si>
    <t>N°Ordre</t>
  </si>
  <si>
    <r>
      <t xml:space="preserve">1. IDENTIFICATION DU CHANTIER </t>
    </r>
    <r>
      <rPr>
        <b/>
        <sz val="10"/>
        <color theme="0"/>
        <rFont val="Calibri"/>
        <family val="2"/>
        <scheme val="minor"/>
      </rPr>
      <t>(à remplir par le RAF)</t>
    </r>
  </si>
  <si>
    <t>N° dossier chantier :</t>
  </si>
  <si>
    <t>Date début travaux :</t>
  </si>
  <si>
    <t>Durée des travaux :</t>
  </si>
  <si>
    <t>N° DT :</t>
  </si>
  <si>
    <t>N° DICT :</t>
  </si>
  <si>
    <t>Eléments ayant servi au marquage des réseaux :</t>
  </si>
  <si>
    <r>
      <rPr>
        <sz val="9"/>
        <color theme="1"/>
        <rFont val="Wingdings"/>
        <charset val="2"/>
      </rPr>
      <t>o</t>
    </r>
    <r>
      <rPr>
        <sz val="9"/>
        <color theme="1"/>
        <rFont val="Calibri"/>
        <family val="2"/>
      </rPr>
      <t xml:space="preserve"> DT</t>
    </r>
  </si>
  <si>
    <r>
      <rPr>
        <sz val="9"/>
        <color theme="1"/>
        <rFont val="Wingdings"/>
        <charset val="2"/>
      </rPr>
      <t>o</t>
    </r>
    <r>
      <rPr>
        <sz val="9"/>
        <color theme="1"/>
        <rFont val="Calibri"/>
        <family val="2"/>
      </rPr>
      <t xml:space="preserve"> Plan des exploitants</t>
    </r>
  </si>
  <si>
    <r>
      <rPr>
        <sz val="9"/>
        <color theme="1"/>
        <rFont val="Wingdings"/>
        <charset val="2"/>
      </rPr>
      <t>o</t>
    </r>
    <r>
      <rPr>
        <sz val="9"/>
        <color theme="1"/>
        <rFont val="Calibri"/>
        <family val="2"/>
      </rPr>
      <t xml:space="preserve"> DICT</t>
    </r>
  </si>
  <si>
    <r>
      <rPr>
        <sz val="9"/>
        <color theme="1"/>
        <rFont val="Wingdings"/>
        <charset val="2"/>
      </rPr>
      <t>o</t>
    </r>
    <r>
      <rPr>
        <sz val="9"/>
        <color theme="1"/>
        <rFont val="Calibri"/>
        <family val="2"/>
      </rPr>
      <t xml:space="preserve"> Rapport de géo-détéction</t>
    </r>
  </si>
  <si>
    <r>
      <rPr>
        <sz val="9"/>
        <color theme="1"/>
        <rFont val="Wingdings"/>
        <charset val="2"/>
      </rPr>
      <t>o</t>
    </r>
    <r>
      <rPr>
        <sz val="9"/>
        <color theme="1"/>
        <rFont val="Calibri"/>
        <family val="2"/>
      </rPr>
      <t xml:space="preserve"> Investigation complémentaire</t>
    </r>
  </si>
  <si>
    <r>
      <rPr>
        <sz val="9"/>
        <color theme="1"/>
        <rFont val="Wingdings"/>
        <charset val="2"/>
      </rPr>
      <t>o</t>
    </r>
    <r>
      <rPr>
        <sz val="9"/>
        <color theme="1"/>
        <rFont val="Calibri"/>
        <family val="2"/>
      </rPr>
      <t xml:space="preserve"> Affleurants</t>
    </r>
  </si>
  <si>
    <r>
      <t xml:space="preserve">2. INTERLOCUTEURS </t>
    </r>
    <r>
      <rPr>
        <b/>
        <sz val="10"/>
        <color theme="0"/>
        <rFont val="Calibri"/>
        <family val="2"/>
        <scheme val="minor"/>
      </rPr>
      <t>(à remplir par le RAF)</t>
    </r>
  </si>
  <si>
    <t>Maître d'ouvrage</t>
  </si>
  <si>
    <t>Maître d'œuvre</t>
  </si>
  <si>
    <t>Entreprise :</t>
  </si>
  <si>
    <t>Présent lors du compte rendu :</t>
  </si>
  <si>
    <t>3. MARQUAGE DES RESEAUX</t>
  </si>
  <si>
    <t>Ce PV de marquage ne comprend que les réseaux marqués par l'entreprise exécutant les travaux.
Pour rappel les exploitants de réseaux dits de transport matière dangereuse (Transport Gaz, Hydrocarbures et  produits chimiques) sont tenus de réaliser le marquage eux-mêmes</t>
  </si>
  <si>
    <t>Nature du réseau présent</t>
  </si>
  <si>
    <t>Nom de l'exploitant</t>
  </si>
  <si>
    <t>Classe de précision (plan)</t>
  </si>
  <si>
    <t xml:space="preserve">Profondeur du réseau connue ? </t>
  </si>
  <si>
    <t>Réseau ayant fait objet d'une IC ?</t>
  </si>
  <si>
    <t>Marquage</t>
  </si>
  <si>
    <t>RESEAUX SENSIBLES</t>
  </si>
  <si>
    <t>Electrique</t>
  </si>
  <si>
    <r>
      <t xml:space="preserve">Fonction : 
</t>
    </r>
    <r>
      <rPr>
        <sz val="8"/>
        <color theme="1"/>
        <rFont val="Wingdings 2"/>
        <family val="1"/>
        <charset val="2"/>
      </rPr>
      <t>(</t>
    </r>
  </si>
  <si>
    <r>
      <rPr>
        <sz val="8"/>
        <color theme="1"/>
        <rFont val="Wingdings"/>
        <charset val="2"/>
      </rPr>
      <t>o</t>
    </r>
    <r>
      <rPr>
        <sz val="8"/>
        <color theme="1"/>
        <rFont val="Calibri"/>
        <family val="2"/>
        <scheme val="minor"/>
      </rPr>
      <t xml:space="preserve"> A </t>
    </r>
    <r>
      <rPr>
        <sz val="8"/>
        <color theme="1"/>
        <rFont val="Wingdings"/>
        <charset val="2"/>
      </rPr>
      <t>o</t>
    </r>
    <r>
      <rPr>
        <sz val="8"/>
        <color theme="1"/>
        <rFont val="Calibri"/>
        <family val="2"/>
        <scheme val="minor"/>
      </rPr>
      <t xml:space="preserve"> B </t>
    </r>
    <r>
      <rPr>
        <sz val="8"/>
        <color theme="1"/>
        <rFont val="Wingdings"/>
        <charset val="2"/>
      </rPr>
      <t>o</t>
    </r>
    <r>
      <rPr>
        <sz val="8"/>
        <color theme="1"/>
        <rFont val="Calibri"/>
        <family val="2"/>
        <scheme val="minor"/>
      </rPr>
      <t xml:space="preserve"> C</t>
    </r>
  </si>
  <si>
    <r>
      <rPr>
        <sz val="8"/>
        <color theme="1"/>
        <rFont val="Wingdings"/>
        <charset val="2"/>
      </rPr>
      <t>o</t>
    </r>
    <r>
      <rPr>
        <sz val="8"/>
        <color theme="1"/>
        <rFont val="Calibri"/>
        <family val="2"/>
        <scheme val="minor"/>
      </rPr>
      <t xml:space="preserve"> Oui :
……………cm
</t>
    </r>
    <r>
      <rPr>
        <sz val="8"/>
        <color theme="1"/>
        <rFont val="Wingdings"/>
        <charset val="2"/>
      </rPr>
      <t>o</t>
    </r>
    <r>
      <rPr>
        <sz val="8"/>
        <color theme="1"/>
        <rFont val="Calibri"/>
        <family val="2"/>
        <scheme val="minor"/>
      </rPr>
      <t xml:space="preserve"> Non</t>
    </r>
  </si>
  <si>
    <r>
      <rPr>
        <sz val="8"/>
        <color theme="1"/>
        <rFont val="Wingdings"/>
        <charset val="2"/>
      </rPr>
      <t>o</t>
    </r>
    <r>
      <rPr>
        <sz val="8"/>
        <color theme="1"/>
        <rFont val="Calibri"/>
        <family val="2"/>
        <scheme val="minor"/>
      </rPr>
      <t xml:space="preserve"> Oui 
</t>
    </r>
    <r>
      <rPr>
        <sz val="8"/>
        <color theme="1"/>
        <rFont val="Wingdings"/>
        <charset val="2"/>
      </rPr>
      <t>o</t>
    </r>
    <r>
      <rPr>
        <sz val="8"/>
        <color theme="1"/>
        <rFont val="Calibri"/>
        <family val="2"/>
        <scheme val="minor"/>
      </rPr>
      <t xml:space="preserve"> Non</t>
    </r>
  </si>
  <si>
    <r>
      <rPr>
        <sz val="8"/>
        <color theme="1"/>
        <rFont val="Wingdings"/>
        <charset val="2"/>
      </rPr>
      <t>o</t>
    </r>
    <r>
      <rPr>
        <sz val="8"/>
        <color theme="1"/>
        <rFont val="Calibri"/>
        <family val="2"/>
        <scheme val="minor"/>
      </rPr>
      <t xml:space="preserve"> Réalisé en interne
</t>
    </r>
    <r>
      <rPr>
        <sz val="8"/>
        <color theme="1"/>
        <rFont val="Wingdings"/>
        <charset val="2"/>
      </rPr>
      <t>o</t>
    </r>
    <r>
      <rPr>
        <sz val="8"/>
        <color theme="1"/>
        <rFont val="Calibri"/>
        <family val="2"/>
        <scheme val="minor"/>
      </rPr>
      <t xml:space="preserve"> Réalisé par le concessionnaire</t>
    </r>
  </si>
  <si>
    <t>Gaz</t>
  </si>
  <si>
    <t>Eclairage Public</t>
  </si>
  <si>
    <t>RESEAUX NON-SENSIBLES</t>
  </si>
  <si>
    <t>Eau potable</t>
  </si>
  <si>
    <t>Eaux usées</t>
  </si>
  <si>
    <t>Eaux pluviales</t>
  </si>
  <si>
    <t>Télécom</t>
  </si>
  <si>
    <t>En cas d'absence de réponse d'un exploitant de réseaux sensibles (après avoir relancé avec accusé réception), les travaux ne peuvent pas commencer. Il faut prononcer un arrêt de travaux.</t>
  </si>
  <si>
    <t>Envoyez systématiquement les photos de votre marquage via MOBILIS</t>
  </si>
  <si>
    <r>
      <t xml:space="preserve">4. RECOMMANDATIONS ET OBSERVATIONS : DES EXPLOITANTS DE RESEAUX </t>
    </r>
    <r>
      <rPr>
        <b/>
        <sz val="8"/>
        <color theme="0"/>
        <rFont val="Calibri"/>
        <family val="2"/>
        <scheme val="minor"/>
      </rPr>
      <t>(à remplir par le RAF)</t>
    </r>
  </si>
  <si>
    <t>Des exploitants des réseaux :</t>
  </si>
  <si>
    <t>Du maitre d'ouvrage ou de l'entreprise travaux :</t>
  </si>
  <si>
    <t>5. SIGNATURE</t>
  </si>
  <si>
    <t xml:space="preserve">Nom du rédacteur : </t>
  </si>
  <si>
    <t xml:space="preserve">Date et heure de la rédaction : </t>
  </si>
  <si>
    <t>Exploitants de réseaux</t>
  </si>
  <si>
    <t>1.</t>
  </si>
  <si>
    <t>2.</t>
  </si>
  <si>
    <t>3.</t>
  </si>
  <si>
    <t>4.</t>
  </si>
  <si>
    <t>5.</t>
  </si>
  <si>
    <t>B. DEALESSANDRI</t>
  </si>
  <si>
    <t xml:space="preserve"> - Liste des vidéos disponibles</t>
  </si>
  <si>
    <t>LISTE DES VIDEOS DISPONIBLES</t>
  </si>
  <si>
    <t>TUTO' MAT</t>
  </si>
  <si>
    <t>Création de l'onglet Liste des vidéos disponibles + suppression COVID</t>
  </si>
  <si>
    <t>Fiche prépa
6,10.Ch
6.16.Ch</t>
  </si>
  <si>
    <t xml:space="preserve">                        TUTO' MAT</t>
  </si>
  <si>
    <t>ACCUEIL CHANTIER - Informations générales et personnes présentes sur chantier</t>
  </si>
  <si>
    <t>Accueil réalisé par (Nom Prénom) :</t>
  </si>
  <si>
    <t>Libellé :</t>
  </si>
  <si>
    <t>Présentation et contrôle</t>
  </si>
  <si>
    <t>Zone de travail</t>
  </si>
  <si>
    <t>Zone de stockage</t>
  </si>
  <si>
    <t>Base vie</t>
  </si>
  <si>
    <t>Zone de livraison</t>
  </si>
  <si>
    <t>Autres (à préciser) :</t>
  </si>
  <si>
    <t>Extincteur et kit anti pollution</t>
  </si>
  <si>
    <t>Rangement/propreté véhicule</t>
  </si>
  <si>
    <t>Accessoires de levage</t>
  </si>
  <si>
    <t>VGP (y compris locatier)</t>
  </si>
  <si>
    <t>Gestion des déchets</t>
  </si>
  <si>
    <t xml:space="preserve">Commentaires : </t>
  </si>
  <si>
    <t>NOM Prénom et entreprise</t>
  </si>
  <si>
    <t>EPI conformes, à disposition et en bon état</t>
  </si>
  <si>
    <t>Contrôle du passeport sécurité (ou autorisation / habilitation si externe) 
et des restriction médicales</t>
  </si>
  <si>
    <t>Présentation de l'analyse des risques (2ème page)</t>
  </si>
  <si>
    <t>Sauveteur Secouriste du Travail (SST) ?</t>
  </si>
  <si>
    <r>
      <rPr>
        <b/>
        <sz val="10"/>
        <color theme="1"/>
        <rFont val="Calibri"/>
        <family val="2"/>
        <scheme val="minor"/>
      </rPr>
      <t>Signature</t>
    </r>
    <r>
      <rPr>
        <sz val="10"/>
        <color theme="1"/>
        <rFont val="Calibri"/>
        <family val="2"/>
        <scheme val="minor"/>
      </rPr>
      <t xml:space="preserve"> - "J'ai compris les risques et les mesures de préventions, je m'engage à les respecter (notament le port des EPI)"</t>
    </r>
  </si>
  <si>
    <r>
      <t xml:space="preserve">Commentaires </t>
    </r>
    <r>
      <rPr>
        <sz val="10"/>
        <color theme="1"/>
        <rFont val="Calibri"/>
        <family val="2"/>
        <scheme val="minor"/>
      </rPr>
      <t>(dont actions correctives si case non conforme cochée)</t>
    </r>
  </si>
  <si>
    <t>Responsable du chantier</t>
  </si>
  <si>
    <t>ACCUEIL CHANTIER - Analyse des risques par phase de travail</t>
  </si>
  <si>
    <t>Phase de travail</t>
  </si>
  <si>
    <t>Risques</t>
  </si>
  <si>
    <t>Mesures de prévention</t>
  </si>
  <si>
    <t>NOTICE</t>
  </si>
  <si>
    <t>NOTICE de réalisation des dossiers</t>
  </si>
  <si>
    <t>Page de Garde</t>
  </si>
  <si>
    <t>Croisement réseaux</t>
  </si>
  <si>
    <t>Croisement des réseaux</t>
  </si>
  <si>
    <t>Fiche prépa</t>
  </si>
  <si>
    <t>Fiche préparation</t>
  </si>
  <si>
    <t>Compactage</t>
  </si>
  <si>
    <t>Guide de compactage</t>
  </si>
  <si>
    <t>1.Ch</t>
  </si>
  <si>
    <t xml:space="preserve">Intercalaire 1 : Documents d'éxécution / Projet </t>
  </si>
  <si>
    <t>1.2.Ch</t>
  </si>
  <si>
    <t>Coupes Types</t>
  </si>
  <si>
    <t>1.3.Ch</t>
  </si>
  <si>
    <t>Compte rendu réunion de chantier + Guide pour la visite sur site</t>
  </si>
  <si>
    <t>2.Ch</t>
  </si>
  <si>
    <t>Intercalaire 2 : DICT</t>
  </si>
  <si>
    <t>3.Ch</t>
  </si>
  <si>
    <t xml:space="preserve">Intercalaire 3 : Arrêtés de circulation / autorisations de travail </t>
  </si>
  <si>
    <t>4.Ch</t>
  </si>
  <si>
    <t>Intercalaire 4 : Approvisionnements</t>
  </si>
  <si>
    <t>5.Ch</t>
  </si>
  <si>
    <t>Intercalaire 5 : Enregistrements</t>
  </si>
  <si>
    <t>5.2.Ch</t>
  </si>
  <si>
    <t>Liste des contrôles à réaliser</t>
  </si>
  <si>
    <t>5.6.Ch</t>
  </si>
  <si>
    <t>5.8.Ch</t>
  </si>
  <si>
    <t>Fiche de déroulage ou de pose</t>
  </si>
  <si>
    <t>5.9.Ch</t>
  </si>
  <si>
    <t>5.11.Ch</t>
  </si>
  <si>
    <t>Réception des ouvrages fournis par le client</t>
  </si>
  <si>
    <t>5.14.Ch</t>
  </si>
  <si>
    <t>Plan de contrôle travaux électriques (BT)</t>
  </si>
  <si>
    <t>5.15.Ch</t>
  </si>
  <si>
    <t>5.16.Ch</t>
  </si>
  <si>
    <t>Fiche de branchements</t>
  </si>
  <si>
    <t>5.17.Ch</t>
  </si>
  <si>
    <t>5.18.Ch</t>
  </si>
  <si>
    <t>Plan de contrôle Réseaux Aériens</t>
  </si>
  <si>
    <t>5.18.B.Ch</t>
  </si>
  <si>
    <t>Ordre de travail sous tension</t>
  </si>
  <si>
    <t>5.23.Ch</t>
  </si>
  <si>
    <t>Fiche contrôle Test Ecran</t>
  </si>
  <si>
    <t>5.58.Ch</t>
  </si>
  <si>
    <t>Procès verbal de réception des travaux</t>
  </si>
  <si>
    <t>5.59.Ch</t>
  </si>
  <si>
    <t>PV de réception des remises en état des voiries</t>
  </si>
  <si>
    <t>5.67.Ch</t>
  </si>
  <si>
    <t>PV de marquage piquetage</t>
  </si>
  <si>
    <t>6.Ch</t>
  </si>
  <si>
    <t xml:space="preserve">Intercalaire 6 : Hygiène, sécurité, envionnement </t>
  </si>
  <si>
    <t>6.4.Ch</t>
  </si>
  <si>
    <t xml:space="preserve">Sécurité et Environnement </t>
  </si>
  <si>
    <t>6.5.Ch</t>
  </si>
  <si>
    <t>Recueil des faits à chaud suite à AT</t>
  </si>
  <si>
    <t>6.10.Ch</t>
  </si>
  <si>
    <t>Accueil chantier</t>
  </si>
  <si>
    <t>6.16.Ch</t>
  </si>
  <si>
    <t>Liste des vidéos disponibles</t>
  </si>
  <si>
    <t>7.Ch</t>
  </si>
  <si>
    <t xml:space="preserve">Intercalaire 7: correspondances diverses </t>
  </si>
  <si>
    <t>7.3.Ch</t>
  </si>
  <si>
    <t>Lettre Information riverains</t>
  </si>
  <si>
    <t>10.15.Ch</t>
  </si>
  <si>
    <t>Procès verbal de destruction des poteaux</t>
  </si>
  <si>
    <t>13.6.Ch</t>
  </si>
  <si>
    <t>Fiche de demande et d'évaluation d'un intérimaire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</si>
</sst>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 &quot;F&quot;;[Red]\-#,##0.00\ &quot;F&quot;"/>
    <numFmt numFmtId="165" formatCode="dd/mm/yy;@"/>
    <numFmt numFmtId="166" formatCode="00000"/>
    <numFmt numFmtId="167" formatCode="0#&quot; &quot;##&quot; &quot;##&quot; &quot;##&quot; &quot;##"/>
  </numFmts>
  <fonts count="14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4"/>
      <color indexed="17"/>
      <name val="Arial"/>
      <family val="2"/>
    </font>
    <font>
      <sz val="10"/>
      <color indexed="17"/>
      <name val="Arial"/>
      <family val="2"/>
    </font>
    <font>
      <b/>
      <sz val="14"/>
      <name val="Arial"/>
      <family val="2"/>
    </font>
    <font>
      <b/>
      <u/>
      <sz val="12"/>
      <color indexed="17"/>
      <name val="Arial"/>
      <family val="2"/>
    </font>
    <font>
      <b/>
      <sz val="12"/>
      <name val="Arial"/>
      <family val="2"/>
    </font>
    <font>
      <sz val="12"/>
      <name val="Arial"/>
      <family val="2"/>
    </font>
    <font>
      <b/>
      <sz val="12"/>
      <color indexed="12"/>
      <name val="Arial"/>
      <family val="2"/>
    </font>
    <font>
      <b/>
      <sz val="10"/>
      <color indexed="12"/>
      <name val="Arial"/>
      <family val="2"/>
    </font>
    <font>
      <sz val="10"/>
      <name val="Arial"/>
      <family val="2"/>
    </font>
    <font>
      <b/>
      <sz val="12"/>
      <color indexed="10"/>
      <name val="Arial"/>
      <family val="2"/>
    </font>
    <font>
      <sz val="8"/>
      <name val="Arial"/>
      <family val="2"/>
    </font>
    <font>
      <b/>
      <sz val="8"/>
      <name val="Arial"/>
      <family val="2"/>
    </font>
    <font>
      <b/>
      <sz val="10"/>
      <name val="Arial"/>
      <family val="2"/>
    </font>
    <font>
      <b/>
      <sz val="9"/>
      <name val="Arial"/>
      <family val="2"/>
    </font>
    <font>
      <b/>
      <u/>
      <sz val="10"/>
      <name val="Arial"/>
      <family val="2"/>
    </font>
    <font>
      <b/>
      <sz val="10"/>
      <name val="Arial"/>
      <family val="2"/>
    </font>
    <font>
      <b/>
      <i/>
      <sz val="10"/>
      <name val="Arial"/>
      <family val="2"/>
    </font>
    <font>
      <sz val="16"/>
      <name val="Arial"/>
      <family val="2"/>
    </font>
    <font>
      <sz val="14"/>
      <name val="Arial"/>
      <family val="2"/>
    </font>
    <font>
      <b/>
      <sz val="16"/>
      <name val="Arial"/>
      <family val="2"/>
    </font>
    <font>
      <b/>
      <sz val="18"/>
      <name val="Arial"/>
      <family val="2"/>
    </font>
    <font>
      <b/>
      <sz val="18"/>
      <name val="Arial"/>
      <family val="2"/>
    </font>
    <font>
      <sz val="10"/>
      <color indexed="10"/>
      <name val="Arial"/>
      <family val="2"/>
    </font>
    <font>
      <b/>
      <u/>
      <sz val="12"/>
      <name val="Arial"/>
      <family val="2"/>
    </font>
    <font>
      <u/>
      <sz val="10"/>
      <name val="Arial"/>
      <family val="2"/>
    </font>
    <font>
      <b/>
      <sz val="11"/>
      <name val="Arial"/>
      <family val="2"/>
    </font>
    <font>
      <sz val="11"/>
      <name val="Arial"/>
      <family val="2"/>
    </font>
    <font>
      <sz val="10"/>
      <name val="MS Sans Serif"/>
      <family val="2"/>
    </font>
    <font>
      <i/>
      <sz val="10"/>
      <name val="Arial"/>
      <family val="2"/>
    </font>
    <font>
      <sz val="9"/>
      <name val="Arial"/>
      <family val="2"/>
    </font>
    <font>
      <u/>
      <sz val="9"/>
      <name val="Arial"/>
      <family val="2"/>
    </font>
    <font>
      <sz val="9"/>
      <name val="Arial Narrow"/>
      <family val="2"/>
    </font>
    <font>
      <i/>
      <sz val="9"/>
      <name val="Arial"/>
      <family val="2"/>
    </font>
    <font>
      <b/>
      <i/>
      <sz val="9"/>
      <name val="Arial"/>
      <family val="2"/>
    </font>
    <font>
      <i/>
      <u/>
      <sz val="9"/>
      <name val="Arial"/>
      <family val="2"/>
    </font>
    <font>
      <b/>
      <i/>
      <u/>
      <sz val="9"/>
      <name val="Arial"/>
      <family val="2"/>
    </font>
    <font>
      <b/>
      <i/>
      <u/>
      <sz val="11"/>
      <name val="Arial"/>
      <family val="2"/>
    </font>
    <font>
      <sz val="6"/>
      <name val="Arial"/>
      <family val="2"/>
    </font>
    <font>
      <b/>
      <sz val="6"/>
      <name val="Arial"/>
      <family val="2"/>
    </font>
    <font>
      <u/>
      <sz val="6"/>
      <name val="Arial"/>
      <family val="2"/>
    </font>
    <font>
      <sz val="6"/>
      <name val="Arial Narrow"/>
      <family val="2"/>
    </font>
    <font>
      <b/>
      <i/>
      <sz val="12"/>
      <name val="Arial"/>
      <family val="2"/>
    </font>
    <font>
      <b/>
      <sz val="20"/>
      <name val="Arial"/>
      <family val="2"/>
    </font>
    <font>
      <strike/>
      <sz val="10"/>
      <name val="Arial"/>
      <family val="2"/>
    </font>
    <font>
      <i/>
      <sz val="12"/>
      <name val="Arial"/>
      <family val="2"/>
    </font>
    <font>
      <i/>
      <sz val="14"/>
      <name val="Arial"/>
      <family val="2"/>
    </font>
    <font>
      <sz val="6"/>
      <name val="Arial"/>
      <family val="2"/>
    </font>
    <font>
      <u/>
      <sz val="12"/>
      <name val="Arial"/>
      <family val="2"/>
    </font>
    <font>
      <sz val="14"/>
      <name val="Arial"/>
      <family val="2"/>
    </font>
    <font>
      <i/>
      <u/>
      <sz val="10"/>
      <name val="Arial"/>
      <family val="2"/>
    </font>
    <font>
      <u/>
      <sz val="10"/>
      <name val="Arial"/>
      <family val="2"/>
    </font>
    <font>
      <b/>
      <sz val="12"/>
      <name val="Arial"/>
      <family val="2"/>
    </font>
    <font>
      <b/>
      <u/>
      <sz val="11"/>
      <name val="Arial"/>
      <family val="2"/>
    </font>
    <font>
      <sz val="10"/>
      <name val="Verdana"/>
      <family val="2"/>
    </font>
    <font>
      <sz val="10"/>
      <name val="Arial"/>
      <family val="2"/>
    </font>
    <font>
      <b/>
      <sz val="12"/>
      <color indexed="8"/>
      <name val="Calibri"/>
      <family val="2"/>
    </font>
    <font>
      <sz val="12"/>
      <name val="Calibri"/>
      <family val="2"/>
    </font>
    <font>
      <sz val="10"/>
      <name val="Arial"/>
      <family val="2"/>
    </font>
    <font>
      <sz val="10"/>
      <name val="Arial"/>
      <family val="2"/>
    </font>
    <font>
      <sz val="10"/>
      <color indexed="10"/>
      <name val="Arial"/>
      <family val="2"/>
    </font>
    <font>
      <b/>
      <sz val="10"/>
      <color indexed="10"/>
      <name val="Arial"/>
      <family val="2"/>
    </font>
    <font>
      <sz val="10"/>
      <name val="Geneva"/>
    </font>
    <font>
      <i/>
      <sz val="8"/>
      <name val="Arial"/>
      <family val="2"/>
    </font>
    <font>
      <i/>
      <sz val="11"/>
      <name val="Arial"/>
      <family val="2"/>
    </font>
    <font>
      <sz val="7"/>
      <name val="Arial"/>
      <family val="2"/>
    </font>
    <font>
      <sz val="11"/>
      <color theme="1"/>
      <name val="Calibri"/>
      <family val="2"/>
      <scheme val="minor"/>
    </font>
    <font>
      <sz val="8"/>
      <color rgb="FF000000"/>
      <name val="Tahoma"/>
      <family val="2"/>
    </font>
    <font>
      <b/>
      <i/>
      <sz val="8"/>
      <name val="Arial"/>
      <family val="2"/>
    </font>
    <font>
      <b/>
      <u/>
      <sz val="9"/>
      <name val="Arial"/>
      <family val="2"/>
    </font>
    <font>
      <b/>
      <sz val="11"/>
      <color theme="1"/>
      <name val="Calibri"/>
      <family val="2"/>
      <scheme val="minor"/>
    </font>
    <font>
      <u/>
      <sz val="14"/>
      <name val="Arial"/>
      <family val="2"/>
    </font>
    <font>
      <b/>
      <i/>
      <u/>
      <sz val="10"/>
      <name val="Arial"/>
      <family val="2"/>
    </font>
    <font>
      <b/>
      <i/>
      <u/>
      <sz val="14"/>
      <name val="Arial"/>
      <family val="2"/>
    </font>
    <font>
      <b/>
      <i/>
      <u/>
      <sz val="16"/>
      <name val="Arial"/>
      <family val="2"/>
    </font>
    <font>
      <b/>
      <i/>
      <sz val="14"/>
      <name val="Arial"/>
      <family val="2"/>
    </font>
    <font>
      <sz val="10"/>
      <color theme="0" tint="-0.34998626667073579"/>
      <name val="Arial"/>
      <family val="2"/>
    </font>
    <font>
      <sz val="16"/>
      <name val="Wingdings"/>
      <charset val="2"/>
    </font>
    <font>
      <sz val="11.2"/>
      <name val="Arial"/>
      <family val="2"/>
    </font>
    <font>
      <b/>
      <sz val="9"/>
      <name val="Calibri"/>
      <family val="2"/>
    </font>
    <font>
      <sz val="10"/>
      <name val="Calibri"/>
      <family val="2"/>
    </font>
    <font>
      <sz val="7"/>
      <name val="Calibri"/>
      <family val="2"/>
    </font>
    <font>
      <sz val="9"/>
      <name val="Calibri"/>
      <family val="2"/>
    </font>
    <font>
      <sz val="16"/>
      <name val="Calibri"/>
      <family val="2"/>
    </font>
    <font>
      <b/>
      <sz val="9"/>
      <name val="Wingdings"/>
      <charset val="2"/>
    </font>
    <font>
      <sz val="11"/>
      <name val="Calibri"/>
      <family val="2"/>
    </font>
    <font>
      <b/>
      <sz val="11"/>
      <color rgb="FF008000"/>
      <name val="Calibri"/>
      <family val="2"/>
    </font>
    <font>
      <b/>
      <u/>
      <sz val="11"/>
      <name val="Calibri"/>
      <family val="2"/>
    </font>
    <font>
      <sz val="11"/>
      <name val="Wingdings"/>
      <charset val="2"/>
    </font>
    <font>
      <i/>
      <sz val="11"/>
      <name val="Calibri"/>
      <family val="2"/>
    </font>
    <font>
      <b/>
      <sz val="11"/>
      <color rgb="FFFF0000"/>
      <name val="Calibri"/>
      <family val="2"/>
    </font>
    <font>
      <b/>
      <sz val="11"/>
      <name val="Calibri"/>
      <family val="2"/>
    </font>
    <font>
      <b/>
      <sz val="10"/>
      <color theme="1"/>
      <name val="Arial"/>
      <family val="2"/>
    </font>
    <font>
      <sz val="10"/>
      <color theme="1"/>
      <name val="Arial"/>
      <family val="2"/>
    </font>
    <font>
      <b/>
      <sz val="11"/>
      <name val="Calibri"/>
      <family val="2"/>
      <scheme val="minor"/>
    </font>
    <font>
      <sz val="7"/>
      <color theme="1"/>
      <name val="Calibri"/>
      <family val="2"/>
    </font>
    <font>
      <sz val="9"/>
      <color theme="1"/>
      <name val="Calibri"/>
      <family val="2"/>
      <scheme val="minor"/>
    </font>
    <font>
      <sz val="10"/>
      <color rgb="FF000000"/>
      <name val="Times New Roman"/>
      <family val="1"/>
    </font>
    <font>
      <sz val="9"/>
      <name val="Calibri"/>
      <family val="2"/>
      <scheme val="minor"/>
    </font>
    <font>
      <sz val="10"/>
      <color theme="1"/>
      <name val="Calibri"/>
      <family val="2"/>
      <scheme val="minor"/>
    </font>
    <font>
      <sz val="8"/>
      <color theme="1"/>
      <name val="Calibri"/>
      <family val="2"/>
      <scheme val="minor"/>
    </font>
    <font>
      <sz val="10"/>
      <name val="Calibri"/>
      <family val="2"/>
      <scheme val="minor"/>
    </font>
    <font>
      <b/>
      <sz val="11"/>
      <color rgb="FFFF0000"/>
      <name val="Calibri"/>
      <family val="2"/>
      <scheme val="minor"/>
    </font>
    <font>
      <b/>
      <sz val="14"/>
      <name val="Tahoma"/>
      <family val="2"/>
    </font>
    <font>
      <b/>
      <sz val="8"/>
      <color rgb="FFFF0000"/>
      <name val="Tahoma"/>
      <family val="2"/>
    </font>
    <font>
      <sz val="9"/>
      <name val="Tahoma"/>
      <family val="2"/>
    </font>
    <font>
      <b/>
      <u/>
      <sz val="18"/>
      <name val="Arial"/>
      <family val="2"/>
    </font>
    <font>
      <b/>
      <sz val="10"/>
      <color rgb="FF00FFFF"/>
      <name val="Arial"/>
      <family val="2"/>
    </font>
    <font>
      <b/>
      <sz val="10"/>
      <color theme="1"/>
      <name val="Calibri"/>
      <family val="2"/>
      <scheme val="minor"/>
    </font>
    <font>
      <b/>
      <sz val="8"/>
      <color theme="1"/>
      <name val="Calibri"/>
      <family val="2"/>
      <scheme val="minor"/>
    </font>
    <font>
      <b/>
      <sz val="11"/>
      <color theme="0"/>
      <name val="Calibri"/>
      <family val="2"/>
      <scheme val="minor"/>
    </font>
    <font>
      <b/>
      <sz val="11"/>
      <color rgb="FFFF0000"/>
      <name val="Tahoma"/>
      <family val="2"/>
    </font>
    <font>
      <b/>
      <sz val="10"/>
      <color theme="0"/>
      <name val="Arial"/>
      <family val="2"/>
    </font>
    <font>
      <sz val="10"/>
      <color theme="0"/>
      <name val="Arial"/>
      <family val="2"/>
    </font>
    <font>
      <sz val="14"/>
      <color theme="1"/>
      <name val="Calibri"/>
      <family val="2"/>
      <scheme val="minor"/>
    </font>
    <font>
      <b/>
      <sz val="10"/>
      <color theme="0"/>
      <name val="Calibri"/>
      <family val="2"/>
      <scheme val="minor"/>
    </font>
    <font>
      <sz val="9"/>
      <color theme="1"/>
      <name val="Calibri"/>
      <family val="2"/>
    </font>
    <font>
      <sz val="9"/>
      <color theme="1"/>
      <name val="Wingdings"/>
      <charset val="2"/>
    </font>
    <font>
      <b/>
      <u/>
      <sz val="10"/>
      <color theme="1"/>
      <name val="Calibri"/>
      <family val="2"/>
      <scheme val="minor"/>
    </font>
    <font>
      <b/>
      <sz val="9"/>
      <color rgb="FFFF0000"/>
      <name val="Calibri"/>
      <family val="2"/>
      <scheme val="minor"/>
    </font>
    <font>
      <sz val="8"/>
      <color theme="1"/>
      <name val="Wingdings 2"/>
      <family val="1"/>
      <charset val="2"/>
    </font>
    <font>
      <sz val="8"/>
      <color theme="1"/>
      <name val="Wingdings"/>
      <charset val="2"/>
    </font>
    <font>
      <b/>
      <sz val="8"/>
      <color rgb="FFFF0000"/>
      <name val="Calibri"/>
      <family val="2"/>
      <scheme val="minor"/>
    </font>
    <font>
      <b/>
      <sz val="8"/>
      <name val="Calibri"/>
      <family val="2"/>
      <scheme val="minor"/>
    </font>
    <font>
      <b/>
      <sz val="8"/>
      <color theme="0"/>
      <name val="Calibri"/>
      <family val="2"/>
      <scheme val="minor"/>
    </font>
    <font>
      <u/>
      <sz val="10"/>
      <color theme="1"/>
      <name val="Calibri"/>
      <family val="2"/>
      <scheme val="minor"/>
    </font>
    <font>
      <sz val="11"/>
      <color rgb="FF000000"/>
      <name val="Calibri"/>
      <family val="2"/>
    </font>
    <font>
      <b/>
      <sz val="16"/>
      <color theme="1"/>
      <name val="Arial"/>
      <family val="2"/>
    </font>
    <font>
      <b/>
      <sz val="11"/>
      <color rgb="FF00B0F0"/>
      <name val="Calibri"/>
      <family val="2"/>
      <scheme val="minor"/>
    </font>
  </fonts>
  <fills count="20">
    <fill>
      <patternFill patternType="none"/>
    </fill>
    <fill>
      <patternFill patternType="gray125"/>
    </fill>
    <fill>
      <patternFill patternType="solid">
        <fgColor indexed="22"/>
        <bgColor indexed="64"/>
      </patternFill>
    </fill>
    <fill>
      <patternFill patternType="solid">
        <fgColor indexed="55"/>
        <bgColor indexed="64"/>
      </patternFill>
    </fill>
    <fill>
      <patternFill patternType="solid">
        <fgColor indexed="9"/>
        <bgColor indexed="64"/>
      </patternFill>
    </fill>
    <fill>
      <patternFill patternType="solid">
        <fgColor indexed="43"/>
        <bgColor indexed="64"/>
      </patternFill>
    </fill>
    <fill>
      <patternFill patternType="solid">
        <fgColor indexed="13"/>
        <bgColor indexed="64"/>
      </patternFill>
    </fill>
    <fill>
      <patternFill patternType="solid">
        <fgColor indexed="47"/>
        <bgColor indexed="64"/>
      </patternFill>
    </fill>
    <fill>
      <patternFill patternType="solid">
        <fgColor indexed="42"/>
        <bgColor indexed="64"/>
      </patternFill>
    </fill>
    <fill>
      <patternFill patternType="solid">
        <fgColor indexed="15"/>
        <bgColor indexed="64"/>
      </patternFill>
    </fill>
    <fill>
      <patternFill patternType="solid">
        <fgColor indexed="44"/>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indexed="50"/>
        <bgColor indexed="64"/>
      </patternFill>
    </fill>
    <fill>
      <patternFill patternType="solid">
        <fgColor theme="0" tint="-4.9989318521683403E-2"/>
        <bgColor indexed="64"/>
      </patternFill>
    </fill>
    <fill>
      <patternFill patternType="solid">
        <fgColor theme="1"/>
        <bgColor indexed="64"/>
      </patternFill>
    </fill>
    <fill>
      <patternFill patternType="solid">
        <fgColor theme="7" tint="0.79998168889431442"/>
        <bgColor indexed="64"/>
      </patternFill>
    </fill>
    <fill>
      <patternFill patternType="solid">
        <fgColor theme="0" tint="-0.499984740745262"/>
        <bgColor indexed="64"/>
      </patternFill>
    </fill>
    <fill>
      <patternFill patternType="solid">
        <fgColor rgb="FFFFF5F5"/>
        <bgColor indexed="64"/>
      </patternFill>
    </fill>
  </fills>
  <borders count="201">
    <border>
      <left/>
      <right/>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hair">
        <color indexed="64"/>
      </bottom>
      <diagonal/>
    </border>
    <border>
      <left/>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top/>
      <bottom style="dashed">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hair">
        <color indexed="64"/>
      </top>
      <bottom style="hair">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bottom style="thin">
        <color indexed="64"/>
      </bottom>
      <diagonal/>
    </border>
    <border>
      <left/>
      <right/>
      <top style="thin">
        <color indexed="64"/>
      </top>
      <bottom style="hair">
        <color indexed="64"/>
      </bottom>
      <diagonal/>
    </border>
    <border>
      <left/>
      <right style="medium">
        <color indexed="64"/>
      </right>
      <top style="thin">
        <color indexed="64"/>
      </top>
      <bottom style="hair">
        <color indexed="64"/>
      </bottom>
      <diagonal/>
    </border>
    <border>
      <left style="thin">
        <color indexed="64"/>
      </left>
      <right style="medium">
        <color indexed="64"/>
      </right>
      <top style="thin">
        <color indexed="64"/>
      </top>
      <bottom/>
      <diagonal/>
    </border>
    <border>
      <left style="medium">
        <color indexed="64"/>
      </left>
      <right/>
      <top style="double">
        <color indexed="64"/>
      </top>
      <bottom/>
      <diagonal/>
    </border>
    <border>
      <left/>
      <right/>
      <top style="double">
        <color indexed="64"/>
      </top>
      <bottom/>
      <diagonal/>
    </border>
    <border>
      <left/>
      <right style="medium">
        <color indexed="64"/>
      </right>
      <top style="double">
        <color indexed="64"/>
      </top>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top style="thin">
        <color indexed="64"/>
      </top>
      <bottom style="hair">
        <color indexed="64"/>
      </bottom>
      <diagonal/>
    </border>
    <border>
      <left style="medium">
        <color indexed="64"/>
      </left>
      <right style="thin">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style="medium">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double">
        <color indexed="64"/>
      </top>
      <bottom style="double">
        <color indexed="64"/>
      </bottom>
      <diagonal/>
    </border>
    <border>
      <left/>
      <right style="thin">
        <color indexed="64"/>
      </right>
      <top style="medium">
        <color indexed="64"/>
      </top>
      <bottom/>
      <diagonal/>
    </border>
    <border>
      <left style="hair">
        <color indexed="64"/>
      </left>
      <right style="hair">
        <color indexed="64"/>
      </right>
      <top style="hair">
        <color indexed="64"/>
      </top>
      <bottom style="hair">
        <color indexed="64"/>
      </bottom>
      <diagonal/>
    </border>
    <border>
      <left style="medium">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hair">
        <color indexed="64"/>
      </left>
      <right style="hair">
        <color indexed="64"/>
      </right>
      <top style="hair">
        <color indexed="64"/>
      </top>
      <bottom/>
      <diagonal/>
    </border>
    <border>
      <left style="thin">
        <color indexed="64"/>
      </left>
      <right/>
      <top/>
      <bottom style="medium">
        <color indexed="64"/>
      </bottom>
      <diagonal/>
    </border>
    <border>
      <left style="medium">
        <color indexed="64"/>
      </left>
      <right/>
      <top style="thin">
        <color indexed="64"/>
      </top>
      <bottom style="thin">
        <color indexed="64"/>
      </bottom>
      <diagonal/>
    </border>
    <border>
      <left/>
      <right style="medium">
        <color indexed="64"/>
      </right>
      <top/>
      <bottom style="hair">
        <color indexed="64"/>
      </bottom>
      <diagonal/>
    </border>
    <border>
      <left/>
      <right/>
      <top style="hair">
        <color indexed="64"/>
      </top>
      <bottom/>
      <diagonal/>
    </border>
    <border>
      <left/>
      <right style="thin">
        <color indexed="64"/>
      </right>
      <top style="hair">
        <color indexed="64"/>
      </top>
      <bottom/>
      <diagonal/>
    </border>
    <border>
      <left/>
      <right/>
      <top style="medium">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medium">
        <color indexed="64"/>
      </top>
      <bottom style="medium">
        <color indexed="64"/>
      </bottom>
      <diagonal/>
    </border>
    <border>
      <left/>
      <right/>
      <top style="hair">
        <color indexed="64"/>
      </top>
      <bottom style="thin">
        <color indexed="64"/>
      </bottom>
      <diagonal/>
    </border>
    <border>
      <left style="thick">
        <color indexed="64"/>
      </left>
      <right/>
      <top/>
      <bottom/>
      <diagonal/>
    </border>
    <border>
      <left style="thick">
        <color indexed="64"/>
      </left>
      <right/>
      <top style="medium">
        <color indexed="64"/>
      </top>
      <bottom/>
      <diagonal/>
    </border>
    <border>
      <left/>
      <right style="thick">
        <color indexed="64"/>
      </right>
      <top style="medium">
        <color indexed="64"/>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64"/>
      </left>
      <right/>
      <top style="medium">
        <color indexed="64"/>
      </top>
      <bottom/>
      <diagonal/>
    </border>
    <border>
      <left/>
      <right style="medium">
        <color indexed="64"/>
      </right>
      <top style="hair">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hair">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medium">
        <color indexed="64"/>
      </top>
      <bottom style="hair">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double">
        <color indexed="64"/>
      </left>
      <right/>
      <top style="double">
        <color indexed="64"/>
      </top>
      <bottom/>
      <diagonal/>
    </border>
    <border>
      <left style="double">
        <color indexed="64"/>
      </left>
      <right/>
      <top/>
      <bottom style="double">
        <color indexed="64"/>
      </bottom>
      <diagonal/>
    </border>
    <border>
      <left/>
      <right/>
      <top/>
      <bottom style="double">
        <color indexed="64"/>
      </bottom>
      <diagonal/>
    </border>
    <border>
      <left/>
      <right/>
      <top style="hair">
        <color indexed="64"/>
      </top>
      <bottom style="medium">
        <color indexed="64"/>
      </bottom>
      <diagonal/>
    </border>
    <border>
      <left/>
      <right/>
      <top style="medium">
        <color indexed="64"/>
      </top>
      <bottom style="hair">
        <color indexed="64"/>
      </bottom>
      <diagonal/>
    </border>
    <border>
      <left/>
      <right style="thin">
        <color indexed="64"/>
      </right>
      <top style="medium">
        <color indexed="64"/>
      </top>
      <bottom style="thin">
        <color indexed="64"/>
      </bottom>
      <diagonal/>
    </border>
    <border>
      <left style="double">
        <color indexed="64"/>
      </left>
      <right/>
      <top/>
      <bottom/>
      <diagonal/>
    </border>
    <border>
      <left style="thin">
        <color indexed="64"/>
      </left>
      <right style="double">
        <color indexed="64"/>
      </right>
      <top style="double">
        <color indexed="64"/>
      </top>
      <bottom/>
      <diagonal/>
    </border>
    <border>
      <left style="thin">
        <color indexed="64"/>
      </left>
      <right style="double">
        <color indexed="64"/>
      </right>
      <top/>
      <bottom/>
      <diagonal/>
    </border>
    <border>
      <left style="thin">
        <color indexed="64"/>
      </left>
      <right style="double">
        <color indexed="64"/>
      </right>
      <top/>
      <bottom style="double">
        <color indexed="64"/>
      </bottom>
      <diagonal/>
    </border>
    <border>
      <left/>
      <right style="double">
        <color indexed="64"/>
      </right>
      <top style="double">
        <color indexed="64"/>
      </top>
      <bottom/>
      <diagonal/>
    </border>
    <border>
      <left/>
      <right style="double">
        <color indexed="64"/>
      </right>
      <top/>
      <bottom style="double">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right style="thick">
        <color indexed="64"/>
      </right>
      <top style="hair">
        <color indexed="64"/>
      </top>
      <bottom style="hair">
        <color indexed="64"/>
      </bottom>
      <diagonal/>
    </border>
    <border>
      <left style="thick">
        <color indexed="64"/>
      </left>
      <right/>
      <top/>
      <bottom style="medium">
        <color indexed="64"/>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right style="thick">
        <color indexed="64"/>
      </right>
      <top/>
      <bottom style="hair">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medium">
        <color indexed="64"/>
      </right>
      <top style="thick">
        <color indexed="64"/>
      </top>
      <bottom style="thin">
        <color indexed="64"/>
      </bottom>
      <diagonal/>
    </border>
    <border>
      <left style="medium">
        <color indexed="64"/>
      </left>
      <right/>
      <top style="thick">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right style="thin">
        <color indexed="64"/>
      </right>
      <top style="medium">
        <color indexed="64"/>
      </top>
      <bottom style="hair">
        <color indexed="64"/>
      </bottom>
      <diagonal/>
    </border>
    <border>
      <left style="medium">
        <color indexed="64"/>
      </left>
      <right/>
      <top/>
      <bottom style="hair">
        <color indexed="64"/>
      </bottom>
      <diagonal/>
    </border>
    <border>
      <left style="medium">
        <color indexed="64"/>
      </left>
      <right style="double">
        <color indexed="64"/>
      </right>
      <top style="medium">
        <color indexed="64"/>
      </top>
      <bottom/>
      <diagonal/>
    </border>
    <border>
      <left style="medium">
        <color indexed="64"/>
      </left>
      <right style="double">
        <color indexed="64"/>
      </right>
      <top/>
      <bottom style="double">
        <color indexed="64"/>
      </bottom>
      <diagonal/>
    </border>
    <border>
      <left style="double">
        <color indexed="64"/>
      </left>
      <right/>
      <top style="medium">
        <color indexed="64"/>
      </top>
      <bottom/>
      <diagonal/>
    </border>
    <border>
      <left/>
      <right style="double">
        <color indexed="64"/>
      </right>
      <top style="medium">
        <color indexed="64"/>
      </top>
      <bottom/>
      <diagonal/>
    </border>
    <border>
      <left/>
      <right style="medium">
        <color indexed="64"/>
      </right>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double">
        <color indexed="64"/>
      </left>
      <right/>
      <top style="double">
        <color indexed="64"/>
      </top>
      <bottom style="double">
        <color indexed="64"/>
      </bottom>
      <diagonal/>
    </border>
    <border>
      <left style="thin">
        <color indexed="64"/>
      </left>
      <right/>
      <top style="hair">
        <color indexed="64"/>
      </top>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hair">
        <color indexed="64"/>
      </left>
      <right style="hair">
        <color indexed="64"/>
      </right>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top/>
      <bottom style="medium">
        <color rgb="FFFFFFFF"/>
      </bottom>
      <diagonal/>
    </border>
    <border>
      <left/>
      <right/>
      <top/>
      <bottom style="medium">
        <color rgb="FFFFFFFF"/>
      </bottom>
      <diagonal/>
    </border>
    <border>
      <left/>
      <right style="medium">
        <color indexed="64"/>
      </right>
      <top/>
      <bottom style="medium">
        <color rgb="FFFFFFFF"/>
      </bottom>
      <diagonal/>
    </border>
    <border>
      <left style="medium">
        <color indexed="64"/>
      </left>
      <right/>
      <top style="medium">
        <color rgb="FFFFFFFF"/>
      </top>
      <bottom/>
      <diagonal/>
    </border>
    <border>
      <left/>
      <right/>
      <top style="medium">
        <color rgb="FFFFFFFF"/>
      </top>
      <bottom/>
      <diagonal/>
    </border>
    <border>
      <left/>
      <right style="medium">
        <color indexed="64"/>
      </right>
      <top style="medium">
        <color rgb="FFFFFFFF"/>
      </top>
      <bottom/>
      <diagonal/>
    </border>
    <border>
      <left/>
      <right style="double">
        <color indexed="64"/>
      </right>
      <top style="double">
        <color indexed="64"/>
      </top>
      <bottom style="double">
        <color indexed="64"/>
      </bottom>
      <diagonal/>
    </border>
    <border>
      <left style="medium">
        <color indexed="64"/>
      </left>
      <right/>
      <top style="medium">
        <color rgb="FFFFFFFF"/>
      </top>
      <bottom style="medium">
        <color rgb="FFFFFFFF"/>
      </bottom>
      <diagonal/>
    </border>
    <border>
      <left/>
      <right/>
      <top style="medium">
        <color rgb="FFFFFFFF"/>
      </top>
      <bottom style="medium">
        <color rgb="FFFFFFFF"/>
      </bottom>
      <diagonal/>
    </border>
    <border>
      <left/>
      <right style="medium">
        <color indexed="64"/>
      </right>
      <top style="medium">
        <color rgb="FFFFFFFF"/>
      </top>
      <bottom style="medium">
        <color rgb="FFFFFFFF"/>
      </bottom>
      <diagonal/>
    </border>
    <border>
      <left style="medium">
        <color indexed="64"/>
      </left>
      <right/>
      <top style="medium">
        <color rgb="FFFFFFFF"/>
      </top>
      <bottom style="medium">
        <color indexed="64"/>
      </bottom>
      <diagonal/>
    </border>
    <border>
      <left/>
      <right/>
      <top style="medium">
        <color rgb="FFFFFFFF"/>
      </top>
      <bottom style="medium">
        <color indexed="64"/>
      </bottom>
      <diagonal/>
    </border>
    <border>
      <left/>
      <right style="medium">
        <color indexed="64"/>
      </right>
      <top style="medium">
        <color rgb="FFFFFFFF"/>
      </top>
      <bottom style="medium">
        <color indexed="64"/>
      </bottom>
      <diagonal/>
    </border>
    <border>
      <left/>
      <right/>
      <top style="medium">
        <color indexed="64"/>
      </top>
      <bottom style="medium">
        <color rgb="FFFFFFFF"/>
      </bottom>
      <diagonal/>
    </border>
    <border>
      <left style="medium">
        <color indexed="64"/>
      </left>
      <right/>
      <top style="medium">
        <color indexed="64"/>
      </top>
      <bottom style="medium">
        <color rgb="FFFFFFFF"/>
      </bottom>
      <diagonal/>
    </border>
    <border>
      <left/>
      <right style="medium">
        <color indexed="64"/>
      </right>
      <top style="medium">
        <color indexed="64"/>
      </top>
      <bottom style="medium">
        <color rgb="FFFFFFFF"/>
      </bottom>
      <diagonal/>
    </border>
    <border>
      <left/>
      <right/>
      <top/>
      <bottom style="dotted">
        <color indexed="64"/>
      </bottom>
      <diagonal/>
    </border>
    <border>
      <left style="thin">
        <color indexed="64"/>
      </left>
      <right/>
      <top/>
      <bottom style="thick">
        <color rgb="FFFF0000"/>
      </bottom>
      <diagonal/>
    </border>
    <border>
      <left/>
      <right/>
      <top/>
      <bottom style="thick">
        <color rgb="FFFF0000"/>
      </bottom>
      <diagonal/>
    </border>
    <border>
      <left/>
      <right style="thin">
        <color indexed="64"/>
      </right>
      <top/>
      <bottom style="thick">
        <color rgb="FFFF0000"/>
      </bottom>
      <diagonal/>
    </border>
    <border>
      <left style="thick">
        <color rgb="FFFF0000"/>
      </left>
      <right/>
      <top style="thick">
        <color rgb="FFFF0000"/>
      </top>
      <bottom/>
      <diagonal/>
    </border>
    <border>
      <left style="thin">
        <color indexed="64"/>
      </left>
      <right style="thin">
        <color indexed="64"/>
      </right>
      <top style="thick">
        <color rgb="FFFF0000"/>
      </top>
      <bottom style="thin">
        <color indexed="64"/>
      </bottom>
      <diagonal/>
    </border>
    <border>
      <left style="thin">
        <color auto="1"/>
      </left>
      <right/>
      <top style="thick">
        <color rgb="FFFF0000"/>
      </top>
      <bottom/>
      <diagonal/>
    </border>
    <border>
      <left/>
      <right/>
      <top style="thick">
        <color rgb="FFFF0000"/>
      </top>
      <bottom/>
      <diagonal/>
    </border>
    <border>
      <left/>
      <right style="thin">
        <color indexed="64"/>
      </right>
      <top style="thick">
        <color rgb="FFFF0000"/>
      </top>
      <bottom/>
      <diagonal/>
    </border>
    <border>
      <left style="thin">
        <color indexed="64"/>
      </left>
      <right/>
      <top style="thick">
        <color rgb="FFFF0000"/>
      </top>
      <bottom style="thin">
        <color indexed="64"/>
      </bottom>
      <diagonal/>
    </border>
    <border>
      <left/>
      <right/>
      <top style="thick">
        <color rgb="FFFF0000"/>
      </top>
      <bottom style="thin">
        <color indexed="64"/>
      </bottom>
      <diagonal/>
    </border>
    <border>
      <left/>
      <right style="thin">
        <color indexed="64"/>
      </right>
      <top style="thick">
        <color rgb="FFFF0000"/>
      </top>
      <bottom style="thin">
        <color indexed="64"/>
      </bottom>
      <diagonal/>
    </border>
    <border>
      <left/>
      <right style="thick">
        <color rgb="FFFF0000"/>
      </right>
      <top style="thick">
        <color rgb="FFFF0000"/>
      </top>
      <bottom style="thin">
        <color indexed="64"/>
      </bottom>
      <diagonal/>
    </border>
    <border>
      <left style="thick">
        <color rgb="FFFF0000"/>
      </left>
      <right/>
      <top/>
      <bottom/>
      <diagonal/>
    </border>
    <border>
      <left style="thin">
        <color indexed="64"/>
      </left>
      <right style="thick">
        <color rgb="FFFF0000"/>
      </right>
      <top style="thin">
        <color indexed="64"/>
      </top>
      <bottom style="thin">
        <color indexed="64"/>
      </bottom>
      <diagonal/>
    </border>
    <border>
      <left style="thin">
        <color indexed="64"/>
      </left>
      <right style="thick">
        <color rgb="FFFF0000"/>
      </right>
      <top style="thin">
        <color indexed="64"/>
      </top>
      <bottom/>
      <diagonal/>
    </border>
    <border>
      <left style="thick">
        <color rgb="FFFF0000"/>
      </left>
      <right/>
      <top/>
      <bottom style="thick">
        <color rgb="FFFF0000"/>
      </bottom>
      <diagonal/>
    </border>
    <border>
      <left style="thin">
        <color indexed="64"/>
      </left>
      <right style="thin">
        <color indexed="64"/>
      </right>
      <top style="thin">
        <color indexed="64"/>
      </top>
      <bottom style="thick">
        <color rgb="FFFF0000"/>
      </bottom>
      <diagonal/>
    </border>
    <border>
      <left style="thin">
        <color indexed="64"/>
      </left>
      <right/>
      <top style="thin">
        <color indexed="64"/>
      </top>
      <bottom style="thick">
        <color rgb="FFFF0000"/>
      </bottom>
      <diagonal/>
    </border>
    <border>
      <left/>
      <right/>
      <top style="thin">
        <color indexed="64"/>
      </top>
      <bottom style="thick">
        <color rgb="FFFF0000"/>
      </bottom>
      <diagonal/>
    </border>
    <border>
      <left/>
      <right style="thin">
        <color indexed="64"/>
      </right>
      <top style="thin">
        <color indexed="64"/>
      </top>
      <bottom style="thick">
        <color rgb="FFFF0000"/>
      </bottom>
      <diagonal/>
    </border>
    <border>
      <left/>
      <right style="thick">
        <color rgb="FFFF0000"/>
      </right>
      <top style="thin">
        <color indexed="64"/>
      </top>
      <bottom style="thick">
        <color rgb="FFFF0000"/>
      </bottom>
      <diagonal/>
    </border>
    <border>
      <left style="thin">
        <color auto="1"/>
      </left>
      <right style="thin">
        <color indexed="64"/>
      </right>
      <top style="thick">
        <color rgb="FFFF0000"/>
      </top>
      <bottom/>
      <diagonal/>
    </border>
  </borders>
  <cellStyleXfs count="25">
    <xf numFmtId="0" fontId="0" fillId="0" borderId="0"/>
    <xf numFmtId="38" fontId="74" fillId="0" borderId="0" applyFont="0" applyFill="0" applyBorder="0" applyAlignment="0" applyProtection="0"/>
    <xf numFmtId="0" fontId="21" fillId="0" borderId="0"/>
    <xf numFmtId="0" fontId="21" fillId="0" borderId="0"/>
    <xf numFmtId="0" fontId="21" fillId="0" borderId="0"/>
    <xf numFmtId="0" fontId="66" fillId="0" borderId="0"/>
    <xf numFmtId="0" fontId="78" fillId="0" borderId="0"/>
    <xf numFmtId="0" fontId="21" fillId="0" borderId="0"/>
    <xf numFmtId="0" fontId="21" fillId="0" borderId="0"/>
    <xf numFmtId="0" fontId="11" fillId="0" borderId="0"/>
    <xf numFmtId="0" fontId="11" fillId="0" borderId="0"/>
    <xf numFmtId="0" fontId="10" fillId="0" borderId="0"/>
    <xf numFmtId="0" fontId="11" fillId="0" borderId="0"/>
    <xf numFmtId="0" fontId="9" fillId="0" borderId="0"/>
    <xf numFmtId="0" fontId="11" fillId="0" borderId="0"/>
    <xf numFmtId="0" fontId="8" fillId="0" borderId="0"/>
    <xf numFmtId="0" fontId="7" fillId="0" borderId="0"/>
    <xf numFmtId="0" fontId="6" fillId="0" borderId="0"/>
    <xf numFmtId="0" fontId="109" fillId="0" borderId="0"/>
    <xf numFmtId="0" fontId="5" fillId="0" borderId="0"/>
    <xf numFmtId="0" fontId="4" fillId="0" borderId="0"/>
    <xf numFmtId="0" fontId="3" fillId="0" borderId="0"/>
    <xf numFmtId="0" fontId="2" fillId="0" borderId="0"/>
    <xf numFmtId="0" fontId="2" fillId="0" borderId="0"/>
    <xf numFmtId="0" fontId="1" fillId="0" borderId="0"/>
  </cellStyleXfs>
  <cellXfs count="2046">
    <xf numFmtId="0" fontId="0" fillId="0" borderId="0" xfId="0"/>
    <xf numFmtId="0" fontId="0" fillId="0" borderId="0" xfId="0" applyAlignment="1">
      <alignment horizontal="center" vertical="center" wrapText="1"/>
    </xf>
    <xf numFmtId="0" fontId="15" fillId="0" borderId="0" xfId="0" applyFont="1" applyAlignment="1">
      <alignment horizontal="center" vertical="center" wrapText="1"/>
    </xf>
    <xf numFmtId="0" fontId="0" fillId="0" borderId="0" xfId="0" applyAlignment="1">
      <alignment vertical="center" wrapText="1"/>
    </xf>
    <xf numFmtId="0" fontId="16" fillId="0" borderId="0" xfId="0" applyFont="1" applyAlignment="1">
      <alignment horizontal="left" vertical="center"/>
    </xf>
    <xf numFmtId="0" fontId="18" fillId="0" borderId="0" xfId="0" applyFont="1" applyAlignment="1">
      <alignment vertical="center"/>
    </xf>
    <xf numFmtId="0" fontId="0" fillId="0" borderId="0" xfId="0" applyAlignment="1">
      <alignment vertical="center"/>
    </xf>
    <xf numFmtId="0" fontId="19" fillId="0" borderId="0" xfId="0" applyFont="1" applyAlignment="1">
      <alignment vertical="center"/>
    </xf>
    <xf numFmtId="0" fontId="20" fillId="0" borderId="0" xfId="0" applyFont="1" applyAlignment="1">
      <alignment vertical="center"/>
    </xf>
    <xf numFmtId="0" fontId="21" fillId="0" borderId="0" xfId="0" applyFont="1" applyAlignment="1">
      <alignment vertical="center"/>
    </xf>
    <xf numFmtId="0" fontId="15" fillId="0" borderId="0" xfId="0" applyFont="1" applyAlignment="1">
      <alignment horizontal="center" vertical="center"/>
    </xf>
    <xf numFmtId="0" fontId="19" fillId="0" borderId="0" xfId="0" applyFont="1" applyAlignment="1">
      <alignment horizontal="left" vertical="center"/>
    </xf>
    <xf numFmtId="0" fontId="18" fillId="0" borderId="0" xfId="0" applyFont="1" applyAlignment="1">
      <alignment horizontal="left" vertical="center"/>
    </xf>
    <xf numFmtId="0" fontId="0" fillId="0" borderId="0" xfId="0" applyAlignment="1">
      <alignment horizontal="left" vertical="center"/>
    </xf>
    <xf numFmtId="0" fontId="17" fillId="0" borderId="0" xfId="0" applyFont="1" applyAlignment="1">
      <alignment horizontal="left" vertical="center"/>
    </xf>
    <xf numFmtId="0" fontId="17" fillId="0" borderId="0" xfId="0" applyFont="1" applyAlignment="1">
      <alignment horizontal="left" vertical="center" wrapText="1"/>
    </xf>
    <xf numFmtId="0" fontId="0" fillId="0" borderId="0" xfId="0" applyAlignment="1">
      <alignment horizontal="left" vertical="center" wrapText="1"/>
    </xf>
    <xf numFmtId="0" fontId="18" fillId="0" borderId="0" xfId="0" applyFont="1" applyAlignment="1">
      <alignment horizontal="left" vertical="center" wrapText="1"/>
    </xf>
    <xf numFmtId="0" fontId="21" fillId="0" borderId="0" xfId="0" applyFont="1" applyAlignment="1">
      <alignment horizontal="left" vertical="center"/>
    </xf>
    <xf numFmtId="0" fontId="18" fillId="0" borderId="0" xfId="0" applyFont="1" applyAlignment="1">
      <alignment vertical="center" wrapText="1"/>
    </xf>
    <xf numFmtId="0" fontId="21" fillId="0" borderId="0" xfId="0" applyFont="1" applyAlignment="1">
      <alignment horizontal="center"/>
    </xf>
    <xf numFmtId="0" fontId="21" fillId="0" borderId="0" xfId="0" applyFont="1"/>
    <xf numFmtId="0" fontId="21" fillId="0" borderId="0" xfId="0" applyFont="1" applyAlignment="1">
      <alignment vertical="center" wrapText="1"/>
    </xf>
    <xf numFmtId="0" fontId="21" fillId="0" borderId="0" xfId="0" applyFont="1" applyAlignment="1" applyProtection="1">
      <alignment vertical="center" wrapText="1"/>
      <protection locked="0"/>
    </xf>
    <xf numFmtId="0" fontId="15" fillId="0" borderId="0" xfId="0" applyFont="1" applyAlignment="1">
      <alignment horizontal="left"/>
    </xf>
    <xf numFmtId="0" fontId="31" fillId="0" borderId="0" xfId="0" applyFont="1"/>
    <xf numFmtId="0" fontId="31" fillId="0" borderId="0" xfId="0" applyFont="1" applyAlignment="1">
      <alignment vertical="center"/>
    </xf>
    <xf numFmtId="0" fontId="15" fillId="0" borderId="0" xfId="0" applyFont="1" applyAlignment="1">
      <alignment horizontal="left" vertical="center"/>
    </xf>
    <xf numFmtId="0" fontId="17" fillId="0" borderId="0" xfId="0" applyFont="1" applyAlignment="1">
      <alignment vertical="center"/>
    </xf>
    <xf numFmtId="0" fontId="21" fillId="0" borderId="0" xfId="0" applyFont="1" applyAlignment="1" applyProtection="1">
      <alignment vertical="center"/>
      <protection locked="0"/>
    </xf>
    <xf numFmtId="0" fontId="15" fillId="0" borderId="0" xfId="0" applyFont="1"/>
    <xf numFmtId="0" fontId="11" fillId="0" borderId="0" xfId="0" applyFont="1"/>
    <xf numFmtId="0" fontId="17" fillId="0" borderId="0" xfId="0" applyFont="1" applyAlignment="1">
      <alignment horizontal="center"/>
    </xf>
    <xf numFmtId="0" fontId="21" fillId="0" borderId="0" xfId="0" applyFont="1" applyAlignment="1">
      <alignment horizontal="right"/>
    </xf>
    <xf numFmtId="0" fontId="25" fillId="0" borderId="0" xfId="0" applyFont="1" applyAlignment="1">
      <alignment horizontal="center"/>
    </xf>
    <xf numFmtId="0" fontId="28" fillId="0" borderId="0" xfId="0" applyFont="1" applyAlignment="1">
      <alignment horizontal="left"/>
    </xf>
    <xf numFmtId="0" fontId="28" fillId="0" borderId="0" xfId="0" applyFont="1"/>
    <xf numFmtId="0" fontId="25" fillId="0" borderId="0" xfId="0" applyFont="1"/>
    <xf numFmtId="0" fontId="28" fillId="0" borderId="0" xfId="0" applyFont="1" applyAlignment="1">
      <alignment horizontal="center"/>
    </xf>
    <xf numFmtId="0" fontId="0" fillId="0" borderId="0" xfId="0" applyAlignment="1">
      <alignment horizontal="left"/>
    </xf>
    <xf numFmtId="0" fontId="42" fillId="0" borderId="0" xfId="0" applyFont="1"/>
    <xf numFmtId="0" fontId="27" fillId="0" borderId="0" xfId="0" applyFont="1"/>
    <xf numFmtId="0" fontId="46" fillId="0" borderId="2" xfId="0" applyFont="1" applyBorder="1" applyAlignment="1">
      <alignment horizontal="centerContinuous" vertical="center"/>
    </xf>
    <xf numFmtId="0" fontId="26" fillId="0" borderId="2" xfId="0" applyFont="1" applyBorder="1" applyAlignment="1">
      <alignment horizontal="centerContinuous" vertical="center"/>
    </xf>
    <xf numFmtId="0" fontId="26" fillId="0" borderId="3" xfId="0" applyFont="1" applyBorder="1" applyAlignment="1">
      <alignment horizontal="centerContinuous" vertical="center"/>
    </xf>
    <xf numFmtId="0" fontId="26" fillId="0" borderId="4" xfId="0" applyFont="1" applyBorder="1" applyAlignment="1">
      <alignment horizontal="centerContinuous" vertical="center"/>
    </xf>
    <xf numFmtId="0" fontId="42" fillId="0" borderId="5" xfId="0" applyFont="1" applyBorder="1"/>
    <xf numFmtId="0" fontId="42" fillId="0" borderId="6" xfId="0" applyFont="1" applyBorder="1"/>
    <xf numFmtId="0" fontId="26" fillId="0" borderId="2" xfId="0" applyFont="1" applyBorder="1" applyAlignment="1">
      <alignment horizontal="center"/>
    </xf>
    <xf numFmtId="0" fontId="26" fillId="0" borderId="7" xfId="0" applyFont="1" applyBorder="1" applyAlignment="1">
      <alignment horizontal="center"/>
    </xf>
    <xf numFmtId="0" fontId="42" fillId="0" borderId="8" xfId="0" applyFont="1" applyBorder="1"/>
    <xf numFmtId="0" fontId="45" fillId="0" borderId="3" xfId="0" applyFont="1" applyBorder="1" applyAlignment="1">
      <alignment horizontal="center"/>
    </xf>
    <xf numFmtId="0" fontId="45" fillId="0" borderId="9" xfId="0" applyFont="1" applyBorder="1" applyAlignment="1">
      <alignment horizontal="center"/>
    </xf>
    <xf numFmtId="0" fontId="42" fillId="0" borderId="10" xfId="0" applyFont="1" applyBorder="1"/>
    <xf numFmtId="0" fontId="42" fillId="0" borderId="11" xfId="0" applyFont="1" applyBorder="1"/>
    <xf numFmtId="0" fontId="42" fillId="0" borderId="12" xfId="0" applyFont="1" applyBorder="1"/>
    <xf numFmtId="0" fontId="45" fillId="0" borderId="4" xfId="0" applyFont="1" applyBorder="1" applyAlignment="1">
      <alignment horizontal="center"/>
    </xf>
    <xf numFmtId="0" fontId="45" fillId="0" borderId="12" xfId="0" applyFont="1" applyBorder="1" applyAlignment="1">
      <alignment horizontal="center"/>
    </xf>
    <xf numFmtId="0" fontId="43" fillId="2" borderId="8" xfId="0" applyFont="1" applyFill="1" applyBorder="1"/>
    <xf numFmtId="0" fontId="42" fillId="2" borderId="0" xfId="0" applyFont="1" applyFill="1"/>
    <xf numFmtId="0" fontId="26" fillId="2" borderId="13" xfId="0" applyFont="1" applyFill="1" applyBorder="1" applyAlignment="1">
      <alignment horizontal="center"/>
    </xf>
    <xf numFmtId="0" fontId="26" fillId="2" borderId="3" xfId="0" applyFont="1" applyFill="1" applyBorder="1" applyAlignment="1">
      <alignment horizontal="center"/>
    </xf>
    <xf numFmtId="0" fontId="26" fillId="2" borderId="9" xfId="0" applyFont="1" applyFill="1" applyBorder="1" applyAlignment="1">
      <alignment horizontal="center"/>
    </xf>
    <xf numFmtId="0" fontId="42" fillId="2" borderId="10" xfId="0" applyFont="1" applyFill="1" applyBorder="1"/>
    <xf numFmtId="0" fontId="42" fillId="2" borderId="11" xfId="0" applyFont="1" applyFill="1" applyBorder="1"/>
    <xf numFmtId="0" fontId="26" fillId="2" borderId="12" xfId="0" applyFont="1" applyFill="1" applyBorder="1" applyAlignment="1">
      <alignment horizontal="center"/>
    </xf>
    <xf numFmtId="0" fontId="26" fillId="2" borderId="4" xfId="0" applyFont="1" applyFill="1" applyBorder="1" applyAlignment="1">
      <alignment horizontal="center"/>
    </xf>
    <xf numFmtId="0" fontId="43" fillId="0" borderId="8" xfId="0" applyFont="1" applyBorder="1"/>
    <xf numFmtId="0" fontId="26" fillId="0" borderId="9" xfId="0" applyFont="1" applyBorder="1" applyAlignment="1">
      <alignment horizontal="center"/>
    </xf>
    <xf numFmtId="0" fontId="26" fillId="0" borderId="3" xfId="0" applyFont="1" applyBorder="1" applyAlignment="1">
      <alignment horizontal="center"/>
    </xf>
    <xf numFmtId="0" fontId="26" fillId="0" borderId="12" xfId="0" applyFont="1" applyBorder="1" applyAlignment="1">
      <alignment horizontal="center"/>
    </xf>
    <xf numFmtId="0" fontId="26" fillId="0" borderId="4" xfId="0" applyFont="1" applyBorder="1" applyAlignment="1">
      <alignment horizontal="center"/>
    </xf>
    <xf numFmtId="0" fontId="42" fillId="2" borderId="8" xfId="0" applyFont="1" applyFill="1" applyBorder="1"/>
    <xf numFmtId="0" fontId="48" fillId="0" borderId="0" xfId="0" applyFont="1" applyAlignment="1">
      <alignment horizontal="centerContinuous" vertical="center" wrapText="1"/>
    </xf>
    <xf numFmtId="0" fontId="42" fillId="0" borderId="0" xfId="0" applyFont="1" applyAlignment="1">
      <alignment horizontal="centerContinuous" vertical="center" wrapText="1"/>
    </xf>
    <xf numFmtId="0" fontId="26" fillId="0" borderId="0" xfId="0" applyFont="1"/>
    <xf numFmtId="0" fontId="50" fillId="0" borderId="5" xfId="0" applyFont="1" applyBorder="1"/>
    <xf numFmtId="0" fontId="50" fillId="0" borderId="6" xfId="0" applyFont="1" applyBorder="1"/>
    <xf numFmtId="0" fontId="51" fillId="0" borderId="6" xfId="0" applyFont="1" applyBorder="1"/>
    <xf numFmtId="0" fontId="51" fillId="0" borderId="5" xfId="0" applyFont="1" applyBorder="1" applyAlignment="1">
      <alignment horizontal="center"/>
    </xf>
    <xf numFmtId="0" fontId="51" fillId="2" borderId="5" xfId="0" applyFont="1" applyFill="1" applyBorder="1" applyAlignment="1">
      <alignment horizontal="center"/>
    </xf>
    <xf numFmtId="0" fontId="51" fillId="0" borderId="14" xfId="0" applyFont="1" applyBorder="1" applyAlignment="1">
      <alignment horizontal="center"/>
    </xf>
    <xf numFmtId="0" fontId="50" fillId="0" borderId="8" xfId="0" applyFont="1" applyBorder="1"/>
    <xf numFmtId="0" fontId="50" fillId="0" borderId="0" xfId="0" applyFont="1"/>
    <xf numFmtId="0" fontId="52" fillId="0" borderId="0" xfId="0" applyFont="1"/>
    <xf numFmtId="0" fontId="50" fillId="0" borderId="8" xfId="0" applyFont="1" applyBorder="1" applyAlignment="1">
      <alignment horizontal="center"/>
    </xf>
    <xf numFmtId="0" fontId="50" fillId="2" borderId="8" xfId="0" applyFont="1" applyFill="1" applyBorder="1" applyAlignment="1">
      <alignment horizontal="center"/>
    </xf>
    <xf numFmtId="0" fontId="50" fillId="0" borderId="3" xfId="0" applyFont="1" applyBorder="1" applyAlignment="1">
      <alignment horizontal="center"/>
    </xf>
    <xf numFmtId="0" fontId="50" fillId="0" borderId="10" xfId="0" applyFont="1" applyBorder="1"/>
    <xf numFmtId="0" fontId="50" fillId="0" borderId="11" xfId="0" applyFont="1" applyBorder="1"/>
    <xf numFmtId="0" fontId="50" fillId="0" borderId="10" xfId="0" applyFont="1" applyBorder="1" applyAlignment="1">
      <alignment horizontal="center"/>
    </xf>
    <xf numFmtId="0" fontId="50" fillId="2" borderId="10" xfId="0" applyFont="1" applyFill="1" applyBorder="1" applyAlignment="1">
      <alignment horizontal="center"/>
    </xf>
    <xf numFmtId="0" fontId="50" fillId="0" borderId="4" xfId="0" applyFont="1" applyBorder="1" applyAlignment="1">
      <alignment horizontal="center"/>
    </xf>
    <xf numFmtId="0" fontId="52" fillId="0" borderId="8" xfId="0" applyFont="1" applyBorder="1"/>
    <xf numFmtId="0" fontId="51" fillId="0" borderId="0" xfId="0" applyFont="1" applyAlignment="1">
      <alignment horizontal="right"/>
    </xf>
    <xf numFmtId="0" fontId="51" fillId="0" borderId="8" xfId="0" applyFont="1" applyBorder="1" applyAlignment="1">
      <alignment horizontal="center"/>
    </xf>
    <xf numFmtId="0" fontId="51" fillId="0" borderId="3" xfId="0" applyFont="1" applyBorder="1" applyAlignment="1">
      <alignment horizontal="center"/>
    </xf>
    <xf numFmtId="0" fontId="12" fillId="0" borderId="0" xfId="0" applyFont="1"/>
    <xf numFmtId="0" fontId="51" fillId="0" borderId="10" xfId="0" applyFont="1" applyBorder="1" applyAlignment="1">
      <alignment horizontal="center"/>
    </xf>
    <xf numFmtId="0" fontId="51" fillId="0" borderId="4" xfId="0" applyFont="1" applyBorder="1" applyAlignment="1">
      <alignment horizontal="center"/>
    </xf>
    <xf numFmtId="0" fontId="52" fillId="2" borderId="8" xfId="0" applyFont="1" applyFill="1" applyBorder="1"/>
    <xf numFmtId="0" fontId="51" fillId="2" borderId="0" xfId="0" applyFont="1" applyFill="1" applyAlignment="1">
      <alignment horizontal="right"/>
    </xf>
    <xf numFmtId="0" fontId="50" fillId="2" borderId="0" xfId="0" applyFont="1" applyFill="1"/>
    <xf numFmtId="0" fontId="51" fillId="2" borderId="8" xfId="0" applyFont="1" applyFill="1" applyBorder="1" applyAlignment="1">
      <alignment horizontal="center"/>
    </xf>
    <xf numFmtId="0" fontId="50" fillId="2" borderId="8" xfId="0" applyFont="1" applyFill="1" applyBorder="1"/>
    <xf numFmtId="0" fontId="50" fillId="2" borderId="10" xfId="0" applyFont="1" applyFill="1" applyBorder="1"/>
    <xf numFmtId="0" fontId="50" fillId="2" borderId="11" xfId="0" applyFont="1" applyFill="1" applyBorder="1"/>
    <xf numFmtId="0" fontId="51" fillId="2" borderId="10" xfId="0" applyFont="1" applyFill="1" applyBorder="1" applyAlignment="1">
      <alignment horizontal="center"/>
    </xf>
    <xf numFmtId="0" fontId="0" fillId="0" borderId="8" xfId="0" applyBorder="1"/>
    <xf numFmtId="0" fontId="0" fillId="3" borderId="0" xfId="0" applyFill="1"/>
    <xf numFmtId="0" fontId="0" fillId="4" borderId="8" xfId="0" applyFill="1" applyBorder="1"/>
    <xf numFmtId="0" fontId="0" fillId="3" borderId="8" xfId="0" applyFill="1" applyBorder="1"/>
    <xf numFmtId="0" fontId="54" fillId="0" borderId="0" xfId="0" applyFont="1"/>
    <xf numFmtId="0" fontId="21" fillId="0" borderId="0" xfId="0" applyFont="1" applyAlignment="1">
      <alignment horizontal="centerContinuous"/>
    </xf>
    <xf numFmtId="15" fontId="21" fillId="0" borderId="0" xfId="0" applyNumberFormat="1" applyFont="1"/>
    <xf numFmtId="14" fontId="21" fillId="0" borderId="0" xfId="0" applyNumberFormat="1" applyFont="1" applyAlignment="1">
      <alignment horizontal="centerContinuous"/>
    </xf>
    <xf numFmtId="165" fontId="17" fillId="0" borderId="15" xfId="0" applyNumberFormat="1" applyFont="1" applyBorder="1" applyAlignment="1" applyProtection="1">
      <alignment vertical="center"/>
      <protection locked="0"/>
    </xf>
    <xf numFmtId="0" fontId="21" fillId="0" borderId="0" xfId="0" applyFont="1" applyProtection="1">
      <protection locked="0"/>
    </xf>
    <xf numFmtId="0" fontId="21" fillId="0" borderId="0" xfId="0" applyFont="1" applyAlignment="1">
      <alignment horizontal="left"/>
    </xf>
    <xf numFmtId="0" fontId="21" fillId="0" borderId="0" xfId="0" applyFont="1" applyAlignment="1">
      <alignment horizontal="center" vertical="center"/>
    </xf>
    <xf numFmtId="0" fontId="21" fillId="0" borderId="11" xfId="0" applyFont="1" applyBorder="1" applyAlignment="1" applyProtection="1">
      <alignment horizontal="center"/>
      <protection locked="0"/>
    </xf>
    <xf numFmtId="0" fontId="15" fillId="0" borderId="0" xfId="0" applyFont="1" applyAlignment="1">
      <alignment horizontal="centerContinuous" vertical="center"/>
    </xf>
    <xf numFmtId="0" fontId="18" fillId="0" borderId="16" xfId="0" applyFont="1" applyBorder="1" applyAlignment="1" applyProtection="1">
      <alignment horizontal="left"/>
      <protection locked="0"/>
    </xf>
    <xf numFmtId="0" fontId="55" fillId="0" borderId="0" xfId="0" applyFont="1" applyAlignment="1">
      <alignment vertical="center"/>
    </xf>
    <xf numFmtId="0" fontId="17" fillId="0" borderId="0" xfId="0" applyFont="1" applyAlignment="1">
      <alignment horizontal="center" vertical="center"/>
    </xf>
    <xf numFmtId="0" fontId="25" fillId="0" borderId="0" xfId="0" applyFont="1" applyAlignment="1">
      <alignment horizontal="center" vertical="center"/>
    </xf>
    <xf numFmtId="0" fontId="17" fillId="0" borderId="0" xfId="0" applyFont="1" applyAlignment="1">
      <alignment horizontal="right" vertical="center"/>
    </xf>
    <xf numFmtId="0" fontId="18" fillId="0" borderId="19" xfId="0" applyFont="1" applyBorder="1" applyAlignment="1">
      <alignment horizontal="center" vertical="center" wrapText="1"/>
    </xf>
    <xf numFmtId="0" fontId="18" fillId="0" borderId="20" xfId="0" applyFont="1" applyBorder="1" applyAlignment="1">
      <alignment horizontal="center" vertical="center" wrapText="1"/>
    </xf>
    <xf numFmtId="0" fontId="18" fillId="0" borderId="0" xfId="0" applyFont="1" applyAlignment="1">
      <alignment horizontal="center" vertical="center" wrapText="1"/>
    </xf>
    <xf numFmtId="0" fontId="41" fillId="0" borderId="0" xfId="0" applyFont="1" applyAlignment="1">
      <alignment horizontal="left"/>
    </xf>
    <xf numFmtId="0" fontId="18" fillId="0" borderId="23" xfId="0" applyFont="1" applyBorder="1" applyAlignment="1" applyProtection="1">
      <alignment horizontal="center" vertical="center" wrapText="1"/>
      <protection locked="0"/>
    </xf>
    <xf numFmtId="0" fontId="18" fillId="0" borderId="24" xfId="0" applyFont="1" applyBorder="1" applyAlignment="1" applyProtection="1">
      <alignment horizontal="center" vertical="center" wrapText="1"/>
      <protection locked="0"/>
    </xf>
    <xf numFmtId="0" fontId="18" fillId="0" borderId="0" xfId="0" applyFont="1" applyAlignment="1">
      <alignment horizontal="left"/>
    </xf>
    <xf numFmtId="0" fontId="18" fillId="0" borderId="25" xfId="0" applyFont="1" applyBorder="1" applyAlignment="1" applyProtection="1">
      <alignment horizontal="center" vertical="center" wrapText="1"/>
      <protection locked="0"/>
    </xf>
    <xf numFmtId="0" fontId="18" fillId="0" borderId="26" xfId="0" applyFont="1" applyBorder="1" applyAlignment="1" applyProtection="1">
      <alignment horizontal="center" vertical="center" wrapText="1"/>
      <protection locked="0"/>
    </xf>
    <xf numFmtId="0" fontId="39" fillId="0" borderId="0" xfId="0" applyFont="1" applyAlignment="1">
      <alignment horizontal="left"/>
    </xf>
    <xf numFmtId="0" fontId="35" fillId="0" borderId="0" xfId="0" applyFont="1" applyAlignment="1">
      <alignment horizontal="left" vertical="center"/>
    </xf>
    <xf numFmtId="0" fontId="21" fillId="0" borderId="0" xfId="0" applyFont="1" applyAlignment="1">
      <alignment horizontal="center" vertical="center" wrapText="1"/>
    </xf>
    <xf numFmtId="0" fontId="18" fillId="0" borderId="0" xfId="0" applyFont="1"/>
    <xf numFmtId="0" fontId="15" fillId="0" borderId="0" xfId="0" applyFont="1" applyAlignment="1">
      <alignment vertical="center" wrapText="1"/>
    </xf>
    <xf numFmtId="0" fontId="21" fillId="0" borderId="0" xfId="0" applyFont="1" applyAlignment="1" applyProtection="1">
      <alignment horizontal="center"/>
      <protection locked="0"/>
    </xf>
    <xf numFmtId="0" fontId="31" fillId="0" borderId="47" xfId="0" applyFont="1" applyBorder="1" applyAlignment="1">
      <alignment horizontal="left"/>
    </xf>
    <xf numFmtId="0" fontId="31" fillId="0" borderId="48" xfId="0" applyFont="1" applyBorder="1" applyAlignment="1">
      <alignment horizontal="left"/>
    </xf>
    <xf numFmtId="0" fontId="31" fillId="0" borderId="48" xfId="0" applyFont="1" applyBorder="1"/>
    <xf numFmtId="0" fontId="31" fillId="0" borderId="48" xfId="0" applyFont="1" applyBorder="1" applyAlignment="1">
      <alignment horizontal="center"/>
    </xf>
    <xf numFmtId="0" fontId="31" fillId="0" borderId="49" xfId="0" applyFont="1" applyBorder="1"/>
    <xf numFmtId="0" fontId="15" fillId="0" borderId="1" xfId="0" applyFont="1" applyBorder="1" applyAlignment="1">
      <alignment horizontal="left" vertical="center"/>
    </xf>
    <xf numFmtId="0" fontId="15" fillId="0" borderId="0" xfId="0" applyFont="1" applyAlignment="1">
      <alignment horizontal="right" vertical="center"/>
    </xf>
    <xf numFmtId="0" fontId="15" fillId="0" borderId="1" xfId="0" applyFont="1" applyBorder="1"/>
    <xf numFmtId="0" fontId="15" fillId="0" borderId="0" xfId="0" applyFont="1" applyAlignment="1">
      <alignment horizontal="right"/>
    </xf>
    <xf numFmtId="49" fontId="15" fillId="6" borderId="27" xfId="0" applyNumberFormat="1" applyFont="1" applyFill="1" applyBorder="1" applyAlignment="1" applyProtection="1">
      <alignment horizontal="left" vertical="center"/>
      <protection locked="0"/>
    </xf>
    <xf numFmtId="0" fontId="31" fillId="0" borderId="35" xfId="0" applyFont="1" applyBorder="1"/>
    <xf numFmtId="0" fontId="31" fillId="0" borderId="1" xfId="0" applyFont="1" applyBorder="1"/>
    <xf numFmtId="0" fontId="31" fillId="0" borderId="0" xfId="0" applyFont="1" applyAlignment="1">
      <alignment horizontal="center"/>
    </xf>
    <xf numFmtId="0" fontId="15" fillId="0" borderId="0" xfId="0" applyFont="1" applyAlignment="1">
      <alignment horizontal="center"/>
    </xf>
    <xf numFmtId="0" fontId="31" fillId="0" borderId="0" xfId="0" applyFont="1" applyAlignment="1">
      <alignment horizontal="center" vertical="center" wrapText="1"/>
    </xf>
    <xf numFmtId="0" fontId="31" fillId="0" borderId="32" xfId="0" applyFont="1" applyBorder="1" applyAlignment="1">
      <alignment horizontal="center" vertical="center" wrapText="1"/>
    </xf>
    <xf numFmtId="0" fontId="31" fillId="0" borderId="50" xfId="0" applyFont="1" applyBorder="1" applyAlignment="1">
      <alignment horizontal="center" vertical="center" wrapText="1"/>
    </xf>
    <xf numFmtId="0" fontId="31" fillId="0" borderId="51" xfId="0" applyFont="1" applyBorder="1" applyAlignment="1">
      <alignment horizontal="center" vertical="center" wrapText="1"/>
    </xf>
    <xf numFmtId="0" fontId="31" fillId="0" borderId="33" xfId="0" applyFont="1" applyBorder="1" applyAlignment="1">
      <alignment horizontal="center" vertical="center" wrapText="1"/>
    </xf>
    <xf numFmtId="0" fontId="58" fillId="0" borderId="0" xfId="0" applyFont="1" applyAlignment="1">
      <alignment vertical="center"/>
    </xf>
    <xf numFmtId="0" fontId="58" fillId="7" borderId="0" xfId="0" applyFont="1" applyFill="1" applyAlignment="1">
      <alignment vertical="center"/>
    </xf>
    <xf numFmtId="165" fontId="31" fillId="0" borderId="55" xfId="0" applyNumberFormat="1" applyFont="1" applyBorder="1" applyAlignment="1" applyProtection="1">
      <alignment horizontal="center" vertical="center"/>
      <protection locked="0"/>
    </xf>
    <xf numFmtId="0" fontId="31" fillId="0" borderId="56" xfId="0" applyFont="1" applyBorder="1" applyAlignment="1" applyProtection="1">
      <alignment horizontal="center" vertical="center"/>
      <protection locked="0"/>
    </xf>
    <xf numFmtId="0" fontId="31" fillId="0" borderId="39" xfId="0" applyFont="1" applyBorder="1" applyAlignment="1" applyProtection="1">
      <alignment horizontal="center" vertical="center"/>
      <protection locked="0"/>
    </xf>
    <xf numFmtId="0" fontId="31" fillId="0" borderId="45" xfId="0" applyFont="1" applyBorder="1" applyAlignment="1" applyProtection="1">
      <alignment horizontal="center" vertical="center"/>
      <protection locked="0"/>
    </xf>
    <xf numFmtId="0" fontId="31" fillId="0" borderId="57" xfId="0" applyFont="1" applyBorder="1" applyAlignment="1" applyProtection="1">
      <alignment horizontal="center" vertical="center"/>
      <protection locked="0"/>
    </xf>
    <xf numFmtId="0" fontId="31" fillId="0" borderId="58" xfId="0" applyFont="1" applyBorder="1" applyAlignment="1" applyProtection="1">
      <alignment horizontal="center" vertical="center"/>
      <protection locked="0"/>
    </xf>
    <xf numFmtId="0" fontId="31" fillId="0" borderId="16" xfId="0" applyFont="1" applyBorder="1" applyAlignment="1" applyProtection="1">
      <alignment horizontal="center" vertical="center"/>
      <protection locked="0"/>
    </xf>
    <xf numFmtId="0" fontId="31" fillId="0" borderId="40" xfId="0" applyFont="1" applyBorder="1" applyAlignment="1" applyProtection="1">
      <alignment vertical="center"/>
      <protection locked="0"/>
    </xf>
    <xf numFmtId="165" fontId="31" fillId="0" borderId="59" xfId="0" applyNumberFormat="1" applyFont="1" applyBorder="1" applyAlignment="1" applyProtection="1">
      <alignment horizontal="center" vertical="center"/>
      <protection locked="0"/>
    </xf>
    <xf numFmtId="0" fontId="31" fillId="0" borderId="23" xfId="0" applyFont="1" applyBorder="1" applyAlignment="1" applyProtection="1">
      <alignment horizontal="center" vertical="center"/>
      <protection locked="0"/>
    </xf>
    <xf numFmtId="0" fontId="31" fillId="0" borderId="41" xfId="0" applyFont="1" applyBorder="1" applyAlignment="1" applyProtection="1">
      <alignment horizontal="center" vertical="center"/>
      <protection locked="0"/>
    </xf>
    <xf numFmtId="0" fontId="31" fillId="0" borderId="34" xfId="0" applyFont="1" applyBorder="1" applyAlignment="1" applyProtection="1">
      <alignment horizontal="center" vertical="center"/>
      <protection locked="0"/>
    </xf>
    <xf numFmtId="0" fontId="31" fillId="0" borderId="60" xfId="0" applyFont="1" applyBorder="1" applyAlignment="1" applyProtection="1">
      <alignment horizontal="center" vertical="center"/>
      <protection locked="0"/>
    </xf>
    <xf numFmtId="0" fontId="31" fillId="0" borderId="61" xfId="0" applyFont="1" applyBorder="1" applyAlignment="1" applyProtection="1">
      <alignment horizontal="center" vertical="center"/>
      <protection locked="0"/>
    </xf>
    <xf numFmtId="0" fontId="31" fillId="0" borderId="42" xfId="0" applyFont="1" applyBorder="1" applyAlignment="1" applyProtection="1">
      <alignment vertical="center"/>
      <protection locked="0"/>
    </xf>
    <xf numFmtId="165" fontId="31" fillId="0" borderId="59" xfId="0" applyNumberFormat="1" applyFont="1" applyBorder="1" applyAlignment="1" applyProtection="1">
      <alignment horizontal="center"/>
      <protection locked="0"/>
    </xf>
    <xf numFmtId="0" fontId="31" fillId="0" borderId="41" xfId="0" applyFont="1" applyBorder="1" applyAlignment="1" applyProtection="1">
      <alignment horizontal="center"/>
      <protection locked="0"/>
    </xf>
    <xf numFmtId="165" fontId="31" fillId="0" borderId="36" xfId="0" applyNumberFormat="1" applyFont="1" applyBorder="1" applyAlignment="1" applyProtection="1">
      <alignment horizontal="center"/>
      <protection locked="0"/>
    </xf>
    <xf numFmtId="0" fontId="31" fillId="0" borderId="62" xfId="0" applyFont="1" applyBorder="1" applyAlignment="1" applyProtection="1">
      <alignment horizontal="center" vertical="center"/>
      <protection locked="0"/>
    </xf>
    <xf numFmtId="0" fontId="31" fillId="0" borderId="63" xfId="0" applyFont="1" applyBorder="1" applyAlignment="1" applyProtection="1">
      <alignment horizontal="center" vertical="center"/>
      <protection locked="0"/>
    </xf>
    <xf numFmtId="0" fontId="31" fillId="0" borderId="38" xfId="0" applyFont="1" applyBorder="1" applyAlignment="1" applyProtection="1">
      <alignment horizontal="center" vertical="center"/>
      <protection locked="0"/>
    </xf>
    <xf numFmtId="0" fontId="31" fillId="0" borderId="64" xfId="0" applyFont="1" applyBorder="1" applyAlignment="1" applyProtection="1">
      <alignment horizontal="center" vertical="center"/>
      <protection locked="0"/>
    </xf>
    <xf numFmtId="0" fontId="31" fillId="0" borderId="65" xfId="0" applyFont="1" applyBorder="1" applyAlignment="1" applyProtection="1">
      <alignment vertical="center"/>
      <protection locked="0"/>
    </xf>
    <xf numFmtId="0" fontId="31" fillId="0" borderId="0" xfId="0" applyFont="1" applyAlignment="1">
      <alignment horizontal="center" vertical="center"/>
    </xf>
    <xf numFmtId="0" fontId="27" fillId="0" borderId="0" xfId="0" applyFont="1" applyAlignment="1" applyProtection="1">
      <alignment vertical="center"/>
      <protection locked="0"/>
    </xf>
    <xf numFmtId="0" fontId="21" fillId="0" borderId="0" xfId="0" applyFont="1" applyAlignment="1" applyProtection="1">
      <alignment horizontal="left" vertical="center"/>
      <protection locked="0"/>
    </xf>
    <xf numFmtId="0" fontId="21" fillId="0" borderId="0" xfId="0" applyFont="1" applyAlignment="1" applyProtection="1">
      <alignment horizontal="center" vertical="center" wrapText="1"/>
      <protection locked="0"/>
    </xf>
    <xf numFmtId="0" fontId="21" fillId="0" borderId="0" xfId="0" applyFont="1" applyAlignment="1" applyProtection="1">
      <alignment horizontal="left"/>
      <protection locked="0"/>
    </xf>
    <xf numFmtId="0" fontId="21" fillId="0" borderId="66" xfId="0" applyFont="1" applyBorder="1" applyAlignment="1">
      <alignment horizontal="center" vertical="center" wrapText="1"/>
    </xf>
    <xf numFmtId="0" fontId="21" fillId="0" borderId="67" xfId="0" applyFont="1" applyBorder="1" applyAlignment="1">
      <alignment horizontal="center" vertical="center" wrapText="1"/>
    </xf>
    <xf numFmtId="0" fontId="21" fillId="0" borderId="19" xfId="0" applyFont="1" applyBorder="1" applyAlignment="1">
      <alignment horizontal="center" vertical="center" wrapText="1"/>
    </xf>
    <xf numFmtId="0" fontId="21" fillId="0" borderId="20" xfId="0" applyFont="1" applyBorder="1" applyAlignment="1">
      <alignment horizontal="center" vertical="center" wrapText="1"/>
    </xf>
    <xf numFmtId="14" fontId="23" fillId="0" borderId="68" xfId="0" applyNumberFormat="1" applyFont="1" applyBorder="1" applyAlignment="1" applyProtection="1">
      <alignment horizontal="left" vertical="top" wrapText="1"/>
      <protection locked="0"/>
    </xf>
    <xf numFmtId="14" fontId="23" fillId="0" borderId="3" xfId="0" applyNumberFormat="1" applyFont="1" applyBorder="1" applyAlignment="1" applyProtection="1">
      <alignment horizontal="left" vertical="top" wrapText="1"/>
      <protection locked="0"/>
    </xf>
    <xf numFmtId="14" fontId="23" fillId="0" borderId="69" xfId="0" applyNumberFormat="1" applyFont="1" applyBorder="1" applyAlignment="1" applyProtection="1">
      <alignment horizontal="left" vertical="top" wrapText="1"/>
      <protection locked="0"/>
    </xf>
    <xf numFmtId="14" fontId="21" fillId="0" borderId="9" xfId="0" applyNumberFormat="1" applyFont="1" applyBorder="1" applyAlignment="1" applyProtection="1">
      <alignment horizontal="center" vertical="center" wrapText="1"/>
      <protection locked="0"/>
    </xf>
    <xf numFmtId="14" fontId="23" fillId="0" borderId="53" xfId="0" applyNumberFormat="1" applyFont="1" applyBorder="1" applyAlignment="1" applyProtection="1">
      <alignment horizontal="left" vertical="top" wrapText="1"/>
      <protection locked="0"/>
    </xf>
    <xf numFmtId="14" fontId="23" fillId="0" borderId="4" xfId="0" applyNumberFormat="1" applyFont="1" applyBorder="1" applyAlignment="1" applyProtection="1">
      <alignment horizontal="left" vertical="top" wrapText="1"/>
      <protection locked="0"/>
    </xf>
    <xf numFmtId="14" fontId="23" fillId="0" borderId="43" xfId="0" applyNumberFormat="1" applyFont="1" applyBorder="1" applyAlignment="1" applyProtection="1">
      <alignment horizontal="left" vertical="top" wrapText="1"/>
      <protection locked="0"/>
    </xf>
    <xf numFmtId="14" fontId="21" fillId="0" borderId="12" xfId="0" applyNumberFormat="1" applyFont="1" applyBorder="1" applyAlignment="1" applyProtection="1">
      <alignment horizontal="center" vertical="center" wrapText="1"/>
      <protection locked="0"/>
    </xf>
    <xf numFmtId="14" fontId="23" fillId="0" borderId="70" xfId="0" applyNumberFormat="1" applyFont="1" applyBorder="1" applyAlignment="1" applyProtection="1">
      <alignment horizontal="left" vertical="top" wrapText="1"/>
      <protection locked="0"/>
    </xf>
    <xf numFmtId="14" fontId="23" fillId="0" borderId="14" xfId="0" applyNumberFormat="1" applyFont="1" applyBorder="1" applyAlignment="1" applyProtection="1">
      <alignment horizontal="left" vertical="top" wrapText="1"/>
      <protection locked="0"/>
    </xf>
    <xf numFmtId="14" fontId="23" fillId="0" borderId="46" xfId="0" applyNumberFormat="1" applyFont="1" applyBorder="1" applyAlignment="1" applyProtection="1">
      <alignment horizontal="left" vertical="top" wrapText="1"/>
      <protection locked="0"/>
    </xf>
    <xf numFmtId="14" fontId="21" fillId="0" borderId="13" xfId="0" applyNumberFormat="1" applyFont="1" applyBorder="1" applyAlignment="1" applyProtection="1">
      <alignment horizontal="center" vertical="center" wrapText="1"/>
      <protection locked="0"/>
    </xf>
    <xf numFmtId="14" fontId="23" fillId="0" borderId="62" xfId="0" applyNumberFormat="1" applyFont="1" applyBorder="1" applyAlignment="1" applyProtection="1">
      <alignment horizontal="left" vertical="top" wrapText="1"/>
      <protection locked="0"/>
    </xf>
    <xf numFmtId="14" fontId="23" fillId="0" borderId="63" xfId="0" applyNumberFormat="1" applyFont="1" applyBorder="1" applyAlignment="1" applyProtection="1">
      <alignment horizontal="left" vertical="top" wrapText="1"/>
      <protection locked="0"/>
    </xf>
    <xf numFmtId="14" fontId="23" fillId="0" borderId="65" xfId="0" applyNumberFormat="1" applyFont="1" applyBorder="1" applyAlignment="1" applyProtection="1">
      <alignment horizontal="left" vertical="top" wrapText="1"/>
      <protection locked="0"/>
    </xf>
    <xf numFmtId="14" fontId="21" fillId="0" borderId="64" xfId="0" applyNumberFormat="1" applyFont="1" applyBorder="1" applyAlignment="1" applyProtection="1">
      <alignment horizontal="center" vertical="center" wrapText="1"/>
      <protection locked="0"/>
    </xf>
    <xf numFmtId="0" fontId="21" fillId="0" borderId="0" xfId="0" applyFont="1" applyAlignment="1">
      <alignment horizontal="center" wrapText="1"/>
    </xf>
    <xf numFmtId="14" fontId="59" fillId="0" borderId="0" xfId="0" applyNumberFormat="1" applyFont="1" applyAlignment="1">
      <alignment horizontal="left" wrapText="1"/>
    </xf>
    <xf numFmtId="14" fontId="21" fillId="0" borderId="0" xfId="0" applyNumberFormat="1" applyFont="1" applyAlignment="1">
      <alignment horizontal="center" wrapText="1"/>
    </xf>
    <xf numFmtId="0" fontId="21" fillId="0" borderId="0" xfId="0" applyFont="1" applyAlignment="1">
      <alignment wrapText="1"/>
    </xf>
    <xf numFmtId="14" fontId="59" fillId="0" borderId="0" xfId="0" applyNumberFormat="1" applyFont="1" applyAlignment="1">
      <alignment horizontal="left"/>
    </xf>
    <xf numFmtId="14" fontId="21" fillId="0" borderId="0" xfId="0" applyNumberFormat="1" applyFont="1" applyAlignment="1">
      <alignment horizontal="center"/>
    </xf>
    <xf numFmtId="0" fontId="60" fillId="0" borderId="0" xfId="0" applyFont="1" applyAlignment="1">
      <alignment horizontal="left" vertical="center"/>
    </xf>
    <xf numFmtId="0" fontId="60" fillId="0" borderId="0" xfId="0" applyFont="1" applyAlignment="1">
      <alignment vertical="center"/>
    </xf>
    <xf numFmtId="0" fontId="21" fillId="0" borderId="0" xfId="0" applyFont="1" applyAlignment="1">
      <alignment horizontal="left" vertical="top"/>
    </xf>
    <xf numFmtId="0" fontId="0" fillId="0" borderId="5" xfId="0" applyBorder="1"/>
    <xf numFmtId="0" fontId="0" fillId="0" borderId="10" xfId="0" applyBorder="1"/>
    <xf numFmtId="0" fontId="18" fillId="0" borderId="0" xfId="0" applyFont="1" applyAlignment="1">
      <alignment horizontal="center" vertical="center"/>
    </xf>
    <xf numFmtId="0" fontId="21" fillId="0" borderId="0" xfId="0" applyFont="1" applyAlignment="1">
      <alignment horizontal="right" vertical="center" wrapText="1"/>
    </xf>
    <xf numFmtId="0" fontId="18" fillId="0" borderId="2" xfId="0" applyFont="1" applyBorder="1" applyAlignment="1">
      <alignment horizontal="center" vertical="center" wrapText="1"/>
    </xf>
    <xf numFmtId="0" fontId="18" fillId="0" borderId="2" xfId="0" applyFont="1" applyBorder="1" applyAlignment="1" applyProtection="1">
      <alignment horizontal="left" vertical="center" wrapText="1"/>
      <protection locked="0"/>
    </xf>
    <xf numFmtId="0" fontId="18" fillId="0" borderId="2" xfId="0" applyFont="1" applyBorder="1" applyAlignment="1" applyProtection="1">
      <alignment horizontal="center" vertical="center" wrapText="1"/>
      <protection locked="0"/>
    </xf>
    <xf numFmtId="0" fontId="18" fillId="0" borderId="2" xfId="0" applyFont="1" applyBorder="1" applyAlignment="1" applyProtection="1">
      <alignment vertical="center" wrapText="1"/>
      <protection locked="0"/>
    </xf>
    <xf numFmtId="0" fontId="18" fillId="0" borderId="2" xfId="0" applyFont="1" applyBorder="1" applyAlignment="1" applyProtection="1">
      <alignment horizontal="left" vertical="center"/>
      <protection locked="0"/>
    </xf>
    <xf numFmtId="0" fontId="18" fillId="0" borderId="2" xfId="0" applyFont="1" applyBorder="1" applyAlignment="1" applyProtection="1">
      <alignment horizontal="center" vertical="center"/>
      <protection locked="0"/>
    </xf>
    <xf numFmtId="0" fontId="18" fillId="0" borderId="2" xfId="0" applyFont="1" applyBorder="1" applyAlignment="1" applyProtection="1">
      <alignment vertical="center"/>
      <protection locked="0"/>
    </xf>
    <xf numFmtId="0" fontId="18" fillId="0" borderId="0" xfId="0" applyFont="1" applyAlignment="1" applyProtection="1">
      <alignment vertical="center"/>
      <protection locked="0"/>
    </xf>
    <xf numFmtId="0" fontId="21" fillId="0" borderId="0" xfId="0" applyFont="1" applyAlignment="1" applyProtection="1">
      <alignment horizontal="center" vertical="center"/>
      <protection locked="0"/>
    </xf>
    <xf numFmtId="0" fontId="21" fillId="0" borderId="11" xfId="0" applyFont="1" applyBorder="1"/>
    <xf numFmtId="0" fontId="0" fillId="0" borderId="0" xfId="0" applyAlignment="1">
      <alignment horizontal="center"/>
    </xf>
    <xf numFmtId="0" fontId="0" fillId="0" borderId="9" xfId="0" applyBorder="1"/>
    <xf numFmtId="0" fontId="0" fillId="0" borderId="2" xfId="0" applyBorder="1" applyProtection="1">
      <protection locked="0"/>
    </xf>
    <xf numFmtId="0" fontId="28" fillId="0" borderId="8" xfId="0" applyFont="1" applyBorder="1" applyAlignment="1">
      <alignment horizontal="left"/>
    </xf>
    <xf numFmtId="0" fontId="28" fillId="0" borderId="9" xfId="0" applyFont="1" applyBorder="1" applyAlignment="1">
      <alignment horizontal="left"/>
    </xf>
    <xf numFmtId="0" fontId="0" fillId="0" borderId="9" xfId="0" applyBorder="1" applyAlignment="1">
      <alignment horizontal="left"/>
    </xf>
    <xf numFmtId="0" fontId="0" fillId="0" borderId="0" xfId="0" applyProtection="1">
      <protection locked="0"/>
    </xf>
    <xf numFmtId="0" fontId="0" fillId="0" borderId="9" xfId="0" applyBorder="1" applyProtection="1">
      <protection locked="0"/>
    </xf>
    <xf numFmtId="0" fontId="0" fillId="0" borderId="11" xfId="0" applyBorder="1" applyAlignment="1">
      <alignment horizontal="center"/>
    </xf>
    <xf numFmtId="0" fontId="21" fillId="0" borderId="0" xfId="0" applyFont="1" applyAlignment="1">
      <alignment horizontal="right" vertical="center"/>
    </xf>
    <xf numFmtId="0" fontId="0" fillId="0" borderId="28" xfId="0" applyBorder="1"/>
    <xf numFmtId="0" fontId="0" fillId="0" borderId="29" xfId="0" applyBorder="1"/>
    <xf numFmtId="0" fontId="0" fillId="0" borderId="29" xfId="0" applyBorder="1" applyAlignment="1">
      <alignment horizontal="center"/>
    </xf>
    <xf numFmtId="0" fontId="15" fillId="0" borderId="29" xfId="0" applyFont="1" applyBorder="1"/>
    <xf numFmtId="0" fontId="0" fillId="0" borderId="30" xfId="0" applyBorder="1"/>
    <xf numFmtId="0" fontId="0" fillId="0" borderId="1" xfId="0" applyBorder="1"/>
    <xf numFmtId="0" fontId="0" fillId="0" borderId="35" xfId="0" applyBorder="1"/>
    <xf numFmtId="0" fontId="28" fillId="0" borderId="2" xfId="0" applyFont="1" applyBorder="1" applyAlignment="1">
      <alignment horizontal="center"/>
    </xf>
    <xf numFmtId="0" fontId="0" fillId="0" borderId="15" xfId="0" applyBorder="1" applyProtection="1">
      <protection locked="0"/>
    </xf>
    <xf numFmtId="0" fontId="0" fillId="0" borderId="73" xfId="0" applyBorder="1" applyProtection="1">
      <protection locked="0"/>
    </xf>
    <xf numFmtId="0" fontId="62" fillId="0" borderId="0" xfId="0" applyFont="1" applyAlignment="1">
      <alignment horizontal="left"/>
    </xf>
    <xf numFmtId="0" fontId="63" fillId="0" borderId="0" xfId="0" applyFont="1" applyAlignment="1">
      <alignment horizontal="left"/>
    </xf>
    <xf numFmtId="0" fontId="63" fillId="0" borderId="9" xfId="0" applyFont="1" applyBorder="1" applyAlignment="1">
      <alignment horizontal="left"/>
    </xf>
    <xf numFmtId="0" fontId="21" fillId="0" borderId="2" xfId="0" applyFont="1" applyBorder="1" applyAlignment="1" applyProtection="1">
      <alignment horizontal="center"/>
      <protection locked="0"/>
    </xf>
    <xf numFmtId="0" fontId="63" fillId="0" borderId="0" xfId="0" applyFont="1" applyAlignment="1">
      <alignment horizontal="center"/>
    </xf>
    <xf numFmtId="0" fontId="63" fillId="0" borderId="9" xfId="0" applyFont="1" applyBorder="1" applyAlignment="1">
      <alignment horizontal="center"/>
    </xf>
    <xf numFmtId="0" fontId="63" fillId="0" borderId="0" xfId="0" applyFont="1" applyAlignment="1">
      <alignment horizontal="center" vertical="center" wrapText="1"/>
    </xf>
    <xf numFmtId="0" fontId="27" fillId="0" borderId="0" xfId="0" applyFont="1" applyAlignment="1">
      <alignment horizontal="left"/>
    </xf>
    <xf numFmtId="0" fontId="0" fillId="0" borderId="11" xfId="0" applyBorder="1"/>
    <xf numFmtId="0" fontId="0" fillId="0" borderId="12" xfId="0" applyBorder="1"/>
    <xf numFmtId="0" fontId="0" fillId="0" borderId="11" xfId="0" applyBorder="1" applyProtection="1">
      <protection locked="0"/>
    </xf>
    <xf numFmtId="0" fontId="0" fillId="0" borderId="12" xfId="0" applyBorder="1" applyProtection="1">
      <protection locked="0"/>
    </xf>
    <xf numFmtId="0" fontId="0" fillId="0" borderId="6" xfId="0" applyBorder="1"/>
    <xf numFmtId="0" fontId="0" fillId="0" borderId="13" xfId="0" applyBorder="1"/>
    <xf numFmtId="0" fontId="0" fillId="0" borderId="11" xfId="0" applyBorder="1" applyAlignment="1">
      <alignment horizontal="left"/>
    </xf>
    <xf numFmtId="0" fontId="0" fillId="0" borderId="36" xfId="0" applyBorder="1"/>
    <xf numFmtId="0" fontId="0" fillId="0" borderId="37" xfId="0" applyBorder="1"/>
    <xf numFmtId="0" fontId="0" fillId="0" borderId="37" xfId="0" applyBorder="1" applyAlignment="1">
      <alignment horizontal="center"/>
    </xf>
    <xf numFmtId="0" fontId="0" fillId="0" borderId="38" xfId="0" applyBorder="1"/>
    <xf numFmtId="0" fontId="25" fillId="0" borderId="0" xfId="0" applyFont="1" applyAlignment="1">
      <alignment vertical="center"/>
    </xf>
    <xf numFmtId="0" fontId="64" fillId="0" borderId="0" xfId="0" applyFont="1" applyAlignment="1">
      <alignment vertical="center"/>
    </xf>
    <xf numFmtId="0" fontId="11" fillId="0" borderId="0" xfId="0" applyFont="1" applyAlignment="1">
      <alignment vertical="center"/>
    </xf>
    <xf numFmtId="0" fontId="11" fillId="0" borderId="2" xfId="0" applyFont="1" applyBorder="1" applyAlignment="1">
      <alignment horizontal="center" textRotation="90" wrapText="1"/>
    </xf>
    <xf numFmtId="0" fontId="11" fillId="0" borderId="2" xfId="0" applyFont="1" applyBorder="1" applyAlignment="1">
      <alignment horizontal="center" vertical="center" wrapText="1"/>
    </xf>
    <xf numFmtId="0" fontId="11" fillId="0" borderId="5" xfId="0" applyFont="1" applyBorder="1" applyAlignment="1">
      <alignment vertical="center"/>
    </xf>
    <xf numFmtId="0" fontId="11" fillId="0" borderId="6" xfId="0" applyFont="1" applyBorder="1" applyAlignment="1">
      <alignment vertical="center"/>
    </xf>
    <xf numFmtId="0" fontId="11" fillId="0" borderId="13" xfId="0" applyFont="1" applyBorder="1" applyAlignment="1">
      <alignment vertical="center"/>
    </xf>
    <xf numFmtId="0" fontId="11" fillId="0" borderId="2" xfId="0" applyFont="1" applyBorder="1" applyAlignment="1" applyProtection="1">
      <alignment vertical="center"/>
      <protection locked="0"/>
    </xf>
    <xf numFmtId="0" fontId="11" fillId="0" borderId="17" xfId="0" applyFont="1" applyBorder="1" applyAlignment="1">
      <alignment vertical="center"/>
    </xf>
    <xf numFmtId="0" fontId="11" fillId="0" borderId="18" xfId="0" applyFont="1" applyBorder="1" applyAlignment="1">
      <alignment vertical="center"/>
    </xf>
    <xf numFmtId="0" fontId="11" fillId="0" borderId="7" xfId="0" applyFont="1" applyBorder="1" applyAlignment="1">
      <alignment vertical="center"/>
    </xf>
    <xf numFmtId="0" fontId="11" fillId="0" borderId="8" xfId="0" applyFont="1" applyBorder="1" applyAlignment="1">
      <alignment vertical="center"/>
    </xf>
    <xf numFmtId="0" fontId="11" fillId="0" borderId="9" xfId="0" applyFont="1" applyBorder="1" applyAlignment="1">
      <alignment vertical="center"/>
    </xf>
    <xf numFmtId="0" fontId="11" fillId="0" borderId="14" xfId="0" applyFont="1" applyBorder="1" applyAlignment="1">
      <alignment horizontal="center" vertical="center" wrapText="1"/>
    </xf>
    <xf numFmtId="0" fontId="11" fillId="0" borderId="14" xfId="0" applyFont="1" applyBorder="1" applyAlignment="1">
      <alignment horizontal="center" textRotation="90" wrapText="1"/>
    </xf>
    <xf numFmtId="0" fontId="11" fillId="0" borderId="15" xfId="0" applyFont="1" applyBorder="1" applyProtection="1">
      <protection locked="0"/>
    </xf>
    <xf numFmtId="0" fontId="11" fillId="0" borderId="0" xfId="0" applyFont="1" applyProtection="1">
      <protection locked="0"/>
    </xf>
    <xf numFmtId="0" fontId="25" fillId="0" borderId="0" xfId="0" applyFont="1" applyAlignment="1">
      <alignment horizontal="right" vertical="center"/>
    </xf>
    <xf numFmtId="0" fontId="61" fillId="0" borderId="0" xfId="0" applyFont="1" applyAlignment="1">
      <alignment horizontal="left" vertical="center"/>
    </xf>
    <xf numFmtId="0" fontId="11" fillId="0" borderId="17" xfId="0" applyFont="1" applyBorder="1"/>
    <xf numFmtId="0" fontId="11" fillId="0" borderId="18" xfId="0" applyFont="1" applyBorder="1"/>
    <xf numFmtId="0" fontId="11" fillId="0" borderId="7" xfId="0" applyFont="1" applyBorder="1"/>
    <xf numFmtId="0" fontId="11" fillId="0" borderId="0" xfId="0" applyFont="1" applyAlignment="1">
      <alignment horizontal="left" vertical="center" wrapText="1"/>
    </xf>
    <xf numFmtId="0" fontId="11" fillId="0" borderId="0" xfId="0" applyFont="1" applyAlignment="1" applyProtection="1">
      <alignment vertical="center"/>
      <protection locked="0"/>
    </xf>
    <xf numFmtId="0" fontId="11" fillId="0" borderId="2" xfId="0" applyFont="1" applyBorder="1" applyAlignment="1">
      <alignment vertical="center"/>
    </xf>
    <xf numFmtId="0" fontId="34" fillId="0" borderId="0" xfId="0" applyFont="1" applyAlignment="1">
      <alignment horizontal="center" vertical="center" wrapText="1"/>
    </xf>
    <xf numFmtId="0" fontId="35" fillId="0" borderId="0" xfId="0" applyFont="1" applyAlignment="1">
      <alignment horizontal="center" vertical="center" wrapText="1"/>
    </xf>
    <xf numFmtId="0" fontId="0" fillId="0" borderId="6" xfId="0" applyBorder="1" applyAlignment="1">
      <alignment horizontal="center"/>
    </xf>
    <xf numFmtId="0" fontId="37" fillId="0" borderId="0" xfId="0" applyFont="1"/>
    <xf numFmtId="0" fontId="37" fillId="0" borderId="9" xfId="0" applyFont="1" applyBorder="1"/>
    <xf numFmtId="0" fontId="21" fillId="0" borderId="15" xfId="0" applyFont="1" applyBorder="1" applyAlignment="1" applyProtection="1">
      <alignment horizontal="center"/>
      <protection locked="0"/>
    </xf>
    <xf numFmtId="0" fontId="37" fillId="0" borderId="73" xfId="0" applyFont="1" applyBorder="1"/>
    <xf numFmtId="0" fontId="37" fillId="0" borderId="11" xfId="0" applyFont="1" applyBorder="1"/>
    <xf numFmtId="0" fontId="37" fillId="0" borderId="12" xfId="0" applyFont="1" applyBorder="1"/>
    <xf numFmtId="0" fontId="27" fillId="0" borderId="6" xfId="0" applyFont="1" applyBorder="1"/>
    <xf numFmtId="0" fontId="63" fillId="0" borderId="0" xfId="0" applyFont="1"/>
    <xf numFmtId="0" fontId="37" fillId="0" borderId="15" xfId="0" applyFont="1" applyBorder="1"/>
    <xf numFmtId="0" fontId="63" fillId="0" borderId="11" xfId="0" applyFont="1" applyBorder="1" applyAlignment="1">
      <alignment horizontal="left" vertical="center"/>
    </xf>
    <xf numFmtId="0" fontId="63" fillId="0" borderId="11" xfId="0" applyFont="1" applyBorder="1" applyAlignment="1">
      <alignment vertical="center" wrapText="1"/>
    </xf>
    <xf numFmtId="0" fontId="63" fillId="0" borderId="12" xfId="0" applyFont="1" applyBorder="1" applyAlignment="1">
      <alignment vertical="center" wrapText="1"/>
    </xf>
    <xf numFmtId="0" fontId="37" fillId="0" borderId="0" xfId="0" applyFont="1" applyAlignment="1">
      <alignment wrapText="1"/>
    </xf>
    <xf numFmtId="0" fontId="37" fillId="0" borderId="15" xfId="0" applyFont="1" applyBorder="1" applyAlignment="1">
      <alignment wrapText="1"/>
    </xf>
    <xf numFmtId="0" fontId="37" fillId="0" borderId="9" xfId="0" applyFont="1" applyBorder="1" applyAlignment="1">
      <alignment wrapText="1"/>
    </xf>
    <xf numFmtId="0" fontId="0" fillId="0" borderId="15" xfId="0" applyBorder="1"/>
    <xf numFmtId="0" fontId="21" fillId="0" borderId="35" xfId="0" applyFont="1" applyBorder="1" applyAlignment="1" applyProtection="1">
      <alignment horizontal="center"/>
      <protection locked="0"/>
    </xf>
    <xf numFmtId="0" fontId="21" fillId="0" borderId="11" xfId="0" applyFont="1" applyBorder="1" applyAlignment="1">
      <alignment horizontal="center"/>
    </xf>
    <xf numFmtId="0" fontId="0" fillId="0" borderId="73" xfId="0" applyBorder="1"/>
    <xf numFmtId="0" fontId="0" fillId="0" borderId="1" xfId="0" applyBorder="1" applyProtection="1">
      <protection locked="0"/>
    </xf>
    <xf numFmtId="0" fontId="21" fillId="0" borderId="73" xfId="0" applyFont="1" applyBorder="1" applyAlignment="1" applyProtection="1">
      <alignment horizontal="center"/>
      <protection locked="0"/>
    </xf>
    <xf numFmtId="0" fontId="37" fillId="0" borderId="0" xfId="0" applyFont="1" applyAlignment="1">
      <alignment horizontal="left"/>
    </xf>
    <xf numFmtId="0" fontId="37" fillId="0" borderId="9" xfId="0" applyFont="1" applyBorder="1" applyAlignment="1">
      <alignment horizontal="left"/>
    </xf>
    <xf numFmtId="0" fontId="21" fillId="0" borderId="9" xfId="0" applyFont="1" applyBorder="1" applyAlignment="1" applyProtection="1">
      <alignment horizontal="center"/>
      <protection locked="0"/>
    </xf>
    <xf numFmtId="0" fontId="37" fillId="0" borderId="9" xfId="0" applyFont="1" applyBorder="1" applyAlignment="1">
      <alignment horizontal="center"/>
    </xf>
    <xf numFmtId="0" fontId="21" fillId="0" borderId="9" xfId="0" applyFont="1" applyBorder="1" applyProtection="1">
      <protection locked="0"/>
    </xf>
    <xf numFmtId="0" fontId="21" fillId="0" borderId="12" xfId="0" applyFont="1" applyBorder="1"/>
    <xf numFmtId="0" fontId="0" fillId="4" borderId="0" xfId="0" applyFill="1"/>
    <xf numFmtId="0" fontId="18" fillId="0" borderId="0" xfId="0" applyFont="1" applyAlignment="1" applyProtection="1">
      <alignment vertical="center" wrapText="1"/>
      <protection locked="0"/>
    </xf>
    <xf numFmtId="0" fontId="28" fillId="0" borderId="2" xfId="0" applyFont="1" applyBorder="1" applyAlignment="1">
      <alignment horizontal="center" vertical="center" wrapText="1"/>
    </xf>
    <xf numFmtId="0" fontId="21" fillId="0" borderId="2" xfId="0" applyFont="1" applyBorder="1" applyAlignment="1" applyProtection="1">
      <alignment horizontal="center" vertical="center" wrapText="1"/>
      <protection locked="0"/>
    </xf>
    <xf numFmtId="0" fontId="28" fillId="0" borderId="0" xfId="0" applyFont="1" applyAlignment="1">
      <alignment vertical="center" wrapText="1"/>
    </xf>
    <xf numFmtId="0" fontId="28" fillId="0" borderId="0" xfId="0" applyFont="1" applyAlignment="1" applyProtection="1">
      <alignment horizontal="left" vertical="center"/>
      <protection locked="0"/>
    </xf>
    <xf numFmtId="0" fontId="11" fillId="0" borderId="0" xfId="0" applyFont="1" applyAlignment="1">
      <alignment horizontal="left" vertical="center"/>
    </xf>
    <xf numFmtId="0" fontId="37" fillId="0" borderId="0" xfId="0" applyFont="1" applyAlignment="1" applyProtection="1">
      <alignment vertical="center"/>
      <protection locked="0"/>
    </xf>
    <xf numFmtId="167" fontId="21" fillId="0" borderId="0" xfId="0" applyNumberFormat="1" applyFont="1" applyAlignment="1">
      <alignment vertical="center"/>
    </xf>
    <xf numFmtId="0" fontId="21" fillId="4" borderId="0" xfId="0" applyFont="1" applyFill="1" applyAlignment="1">
      <alignment vertical="center"/>
    </xf>
    <xf numFmtId="0" fontId="21" fillId="4" borderId="0" xfId="0" applyFont="1" applyFill="1" applyAlignment="1" applyProtection="1">
      <alignment vertical="center"/>
      <protection locked="0"/>
    </xf>
    <xf numFmtId="0" fontId="21" fillId="4" borderId="37" xfId="0" applyFont="1" applyFill="1" applyBorder="1" applyAlignment="1">
      <alignment vertical="center"/>
    </xf>
    <xf numFmtId="0" fontId="21" fillId="4" borderId="0" xfId="0" applyFont="1" applyFill="1"/>
    <xf numFmtId="0" fontId="21" fillId="4" borderId="0" xfId="0" applyFont="1" applyFill="1" applyAlignment="1">
      <alignment horizontal="left" vertical="center"/>
    </xf>
    <xf numFmtId="0" fontId="18" fillId="4" borderId="6" xfId="0" applyFont="1" applyFill="1" applyBorder="1" applyAlignment="1">
      <alignment vertical="center"/>
    </xf>
    <xf numFmtId="0" fontId="18" fillId="4" borderId="0" xfId="0" applyFont="1" applyFill="1" applyAlignment="1">
      <alignment vertical="center"/>
    </xf>
    <xf numFmtId="0" fontId="11" fillId="0" borderId="0" xfId="0" applyFont="1" applyAlignment="1">
      <alignment horizontal="right" vertical="center"/>
    </xf>
    <xf numFmtId="0" fontId="21" fillId="0" borderId="0" xfId="2"/>
    <xf numFmtId="0" fontId="27" fillId="4" borderId="0" xfId="0" applyFont="1" applyFill="1" applyAlignment="1">
      <alignment vertical="center"/>
    </xf>
    <xf numFmtId="0" fontId="25" fillId="4" borderId="0" xfId="0" applyFont="1" applyFill="1" applyAlignment="1">
      <alignment vertical="center"/>
    </xf>
    <xf numFmtId="0" fontId="38" fillId="4" borderId="0" xfId="0" applyFont="1" applyFill="1" applyAlignment="1">
      <alignment vertical="center"/>
    </xf>
    <xf numFmtId="0" fontId="25" fillId="4" borderId="0" xfId="0" applyFont="1" applyFill="1" applyAlignment="1">
      <alignment horizontal="left"/>
    </xf>
    <xf numFmtId="0" fontId="25" fillId="0" borderId="0" xfId="0" applyFont="1" applyAlignment="1">
      <alignment horizontal="left" vertical="center"/>
    </xf>
    <xf numFmtId="0" fontId="25" fillId="0" borderId="0" xfId="0" applyFont="1" applyAlignment="1">
      <alignment horizontal="left"/>
    </xf>
    <xf numFmtId="0" fontId="25" fillId="0" borderId="0" xfId="0" applyFont="1" applyAlignment="1" applyProtection="1">
      <alignment horizontal="center" vertical="center"/>
      <protection locked="0"/>
    </xf>
    <xf numFmtId="0" fontId="25" fillId="0" borderId="0" xfId="0" applyFont="1" applyAlignment="1" applyProtection="1">
      <alignment vertical="center"/>
      <protection locked="0"/>
    </xf>
    <xf numFmtId="0" fontId="18" fillId="4" borderId="0" xfId="0" applyFont="1" applyFill="1" applyAlignment="1">
      <alignment horizontal="center" vertical="center"/>
    </xf>
    <xf numFmtId="0" fontId="18" fillId="4" borderId="0" xfId="0" applyFont="1" applyFill="1" applyAlignment="1">
      <alignment horizontal="left" vertical="center"/>
    </xf>
    <xf numFmtId="0" fontId="18" fillId="4" borderId="5" xfId="0" applyFont="1" applyFill="1" applyBorder="1" applyAlignment="1">
      <alignment vertical="center"/>
    </xf>
    <xf numFmtId="0" fontId="15" fillId="4" borderId="6" xfId="0" applyFont="1" applyFill="1" applyBorder="1" applyAlignment="1">
      <alignment horizontal="center" vertical="center"/>
    </xf>
    <xf numFmtId="0" fontId="18" fillId="4" borderId="13" xfId="0" applyFont="1" applyFill="1" applyBorder="1" applyAlignment="1">
      <alignment vertical="center"/>
    </xf>
    <xf numFmtId="0" fontId="21" fillId="4" borderId="8" xfId="0" applyFont="1" applyFill="1" applyBorder="1" applyAlignment="1">
      <alignment horizontal="center" vertical="center"/>
    </xf>
    <xf numFmtId="0" fontId="25" fillId="9" borderId="0" xfId="0" applyFont="1" applyFill="1" applyAlignment="1" applyProtection="1">
      <alignment vertical="center"/>
      <protection locked="0"/>
    </xf>
    <xf numFmtId="0" fontId="25" fillId="9" borderId="0" xfId="0" applyFont="1" applyFill="1" applyAlignment="1">
      <alignment vertical="center"/>
    </xf>
    <xf numFmtId="0" fontId="21" fillId="4" borderId="0" xfId="0" applyFont="1" applyFill="1" applyAlignment="1">
      <alignment horizontal="center" vertical="center"/>
    </xf>
    <xf numFmtId="0" fontId="17" fillId="4" borderId="9" xfId="0" applyFont="1" applyFill="1" applyBorder="1" applyAlignment="1">
      <alignment horizontal="center" vertical="center"/>
    </xf>
    <xf numFmtId="0" fontId="18" fillId="4" borderId="10" xfId="0" applyFont="1" applyFill="1" applyBorder="1" applyAlignment="1">
      <alignment vertical="center"/>
    </xf>
    <xf numFmtId="0" fontId="18" fillId="4" borderId="12" xfId="0" applyFont="1" applyFill="1" applyBorder="1" applyAlignment="1">
      <alignment vertical="center" wrapText="1"/>
    </xf>
    <xf numFmtId="0" fontId="18" fillId="4" borderId="0" xfId="0" applyFont="1" applyFill="1" applyAlignment="1">
      <alignment vertical="center" wrapText="1"/>
    </xf>
    <xf numFmtId="0" fontId="21" fillId="4" borderId="0" xfId="0" applyFont="1" applyFill="1" applyAlignment="1">
      <alignment horizontal="left" vertical="center" wrapText="1"/>
    </xf>
    <xf numFmtId="0" fontId="21" fillId="4" borderId="0" xfId="0" applyFont="1" applyFill="1" applyAlignment="1" applyProtection="1">
      <alignment horizontal="left" vertical="center"/>
      <protection locked="0"/>
    </xf>
    <xf numFmtId="0" fontId="21" fillId="4" borderId="0" xfId="0" applyFont="1" applyFill="1" applyAlignment="1" applyProtection="1">
      <alignment vertical="center" wrapText="1"/>
      <protection locked="0"/>
    </xf>
    <xf numFmtId="0" fontId="37" fillId="4" borderId="0" xfId="0" applyFont="1" applyFill="1" applyAlignment="1" applyProtection="1">
      <alignment vertical="center"/>
      <protection locked="0"/>
    </xf>
    <xf numFmtId="0" fontId="0" fillId="0" borderId="0" xfId="0" applyAlignment="1" applyProtection="1">
      <alignment vertical="center"/>
      <protection locked="0"/>
    </xf>
    <xf numFmtId="0" fontId="37" fillId="0" borderId="0" xfId="0" applyFont="1" applyAlignment="1">
      <alignment vertical="center"/>
    </xf>
    <xf numFmtId="0" fontId="21" fillId="0" borderId="0" xfId="2" applyAlignment="1">
      <alignment horizontal="center"/>
    </xf>
    <xf numFmtId="0" fontId="21" fillId="0" borderId="0" xfId="2" applyAlignment="1">
      <alignment wrapText="1"/>
    </xf>
    <xf numFmtId="0" fontId="21" fillId="0" borderId="28" xfId="2" applyBorder="1"/>
    <xf numFmtId="0" fontId="21" fillId="0" borderId="29" xfId="2" applyBorder="1"/>
    <xf numFmtId="0" fontId="21" fillId="0" borderId="29" xfId="2" applyBorder="1" applyAlignment="1">
      <alignment horizontal="center"/>
    </xf>
    <xf numFmtId="0" fontId="15" fillId="0" borderId="29" xfId="2" applyFont="1" applyBorder="1"/>
    <xf numFmtId="0" fontId="21" fillId="0" borderId="30" xfId="2" applyBorder="1"/>
    <xf numFmtId="0" fontId="21" fillId="0" borderId="1" xfId="2" applyBorder="1"/>
    <xf numFmtId="0" fontId="21" fillId="0" borderId="35" xfId="2" applyBorder="1"/>
    <xf numFmtId="0" fontId="21" fillId="0" borderId="5" xfId="2" applyBorder="1"/>
    <xf numFmtId="0" fontId="21" fillId="0" borderId="8" xfId="2" applyBorder="1"/>
    <xf numFmtId="0" fontId="21" fillId="0" borderId="0" xfId="2" applyAlignment="1">
      <alignment horizontal="left"/>
    </xf>
    <xf numFmtId="0" fontId="21" fillId="0" borderId="9" xfId="2" applyBorder="1"/>
    <xf numFmtId="0" fontId="25" fillId="0" borderId="2" xfId="2" applyFont="1" applyBorder="1" applyAlignment="1">
      <alignment horizontal="center"/>
    </xf>
    <xf numFmtId="0" fontId="25" fillId="0" borderId="0" xfId="2" applyFont="1"/>
    <xf numFmtId="0" fontId="21" fillId="0" borderId="0" xfId="2" applyAlignment="1">
      <alignment horizontal="right"/>
    </xf>
    <xf numFmtId="0" fontId="21" fillId="0" borderId="15" xfId="2" applyBorder="1" applyProtection="1">
      <protection locked="0"/>
    </xf>
    <xf numFmtId="0" fontId="21" fillId="0" borderId="73" xfId="2" applyBorder="1" applyProtection="1">
      <protection locked="0"/>
    </xf>
    <xf numFmtId="0" fontId="25" fillId="0" borderId="0" xfId="2" applyFont="1" applyAlignment="1">
      <alignment horizontal="center"/>
    </xf>
    <xf numFmtId="0" fontId="21" fillId="0" borderId="0" xfId="2" applyProtection="1">
      <protection locked="0"/>
    </xf>
    <xf numFmtId="0" fontId="21" fillId="0" borderId="9" xfId="2" applyBorder="1" applyProtection="1">
      <protection locked="0"/>
    </xf>
    <xf numFmtId="0" fontId="25" fillId="0" borderId="0" xfId="2" applyFont="1" applyAlignment="1">
      <alignment horizontal="left"/>
    </xf>
    <xf numFmtId="0" fontId="25" fillId="0" borderId="9" xfId="2" applyFont="1" applyBorder="1" applyAlignment="1">
      <alignment horizontal="left"/>
    </xf>
    <xf numFmtId="0" fontId="25" fillId="0" borderId="8" xfId="2" applyFont="1" applyBorder="1" applyAlignment="1">
      <alignment horizontal="center"/>
    </xf>
    <xf numFmtId="0" fontId="21" fillId="0" borderId="15" xfId="2" applyBorder="1" applyAlignment="1">
      <alignment horizontal="center"/>
    </xf>
    <xf numFmtId="0" fontId="62" fillId="0" borderId="0" xfId="2" applyFont="1" applyAlignment="1">
      <alignment horizontal="left"/>
    </xf>
    <xf numFmtId="0" fontId="21" fillId="0" borderId="2" xfId="2" applyBorder="1" applyAlignment="1">
      <alignment horizontal="center"/>
    </xf>
    <xf numFmtId="0" fontId="21" fillId="0" borderId="24" xfId="2" applyBorder="1" applyProtection="1">
      <protection locked="0"/>
    </xf>
    <xf numFmtId="0" fontId="21" fillId="0" borderId="10" xfId="2" applyBorder="1"/>
    <xf numFmtId="0" fontId="27" fillId="0" borderId="0" xfId="2" applyFont="1" applyAlignment="1">
      <alignment horizontal="left"/>
    </xf>
    <xf numFmtId="0" fontId="21" fillId="0" borderId="15" xfId="2" applyBorder="1"/>
    <xf numFmtId="0" fontId="25" fillId="0" borderId="8" xfId="2" applyFont="1" applyBorder="1" applyAlignment="1">
      <alignment horizontal="left"/>
    </xf>
    <xf numFmtId="0" fontId="25" fillId="0" borderId="9" xfId="2" applyFont="1" applyBorder="1" applyAlignment="1">
      <alignment horizontal="center"/>
    </xf>
    <xf numFmtId="0" fontId="62" fillId="0" borderId="0" xfId="2" applyFont="1"/>
    <xf numFmtId="0" fontId="21" fillId="0" borderId="24" xfId="2" applyBorder="1"/>
    <xf numFmtId="0" fontId="21" fillId="0" borderId="11" xfId="2" applyBorder="1" applyAlignment="1">
      <alignment horizontal="center"/>
    </xf>
    <xf numFmtId="0" fontId="21" fillId="0" borderId="11" xfId="2" applyBorder="1"/>
    <xf numFmtId="0" fontId="21" fillId="0" borderId="12" xfId="2" applyBorder="1"/>
    <xf numFmtId="0" fontId="27" fillId="0" borderId="8" xfId="2" applyFont="1" applyBorder="1" applyAlignment="1">
      <alignment horizontal="left"/>
    </xf>
    <xf numFmtId="0" fontId="27" fillId="0" borderId="9" xfId="2" applyFont="1" applyBorder="1" applyAlignment="1">
      <alignment horizontal="left"/>
    </xf>
    <xf numFmtId="0" fontId="21" fillId="0" borderId="6" xfId="2" applyBorder="1"/>
    <xf numFmtId="0" fontId="21" fillId="0" borderId="13" xfId="2" applyBorder="1"/>
    <xf numFmtId="0" fontId="21" fillId="0" borderId="2" xfId="2" applyBorder="1"/>
    <xf numFmtId="0" fontId="21" fillId="0" borderId="11" xfId="2" applyBorder="1" applyAlignment="1">
      <alignment horizontal="left"/>
    </xf>
    <xf numFmtId="0" fontId="21" fillId="0" borderId="36" xfId="2" applyBorder="1"/>
    <xf numFmtId="0" fontId="21" fillId="0" borderId="37" xfId="2" applyBorder="1"/>
    <xf numFmtId="0" fontId="21" fillId="0" borderId="37" xfId="2" applyBorder="1" applyAlignment="1">
      <alignment horizontal="center"/>
    </xf>
    <xf numFmtId="0" fontId="21" fillId="0" borderId="38" xfId="2" applyBorder="1"/>
    <xf numFmtId="0" fontId="78" fillId="0" borderId="0" xfId="6"/>
    <xf numFmtId="0" fontId="68" fillId="0" borderId="0" xfId="6" applyFont="1"/>
    <xf numFmtId="0" fontId="32" fillId="4" borderId="0" xfId="0" applyFont="1" applyFill="1" applyAlignment="1" applyProtection="1">
      <alignment vertical="center"/>
      <protection locked="0"/>
    </xf>
    <xf numFmtId="0" fontId="12" fillId="4" borderId="0" xfId="0" applyFont="1" applyFill="1" applyAlignment="1">
      <alignment vertical="center"/>
    </xf>
    <xf numFmtId="0" fontId="32" fillId="4" borderId="0" xfId="0" applyFont="1" applyFill="1" applyAlignment="1">
      <alignment horizontal="center" vertical="center"/>
    </xf>
    <xf numFmtId="0" fontId="33" fillId="4" borderId="0" xfId="0" applyFont="1" applyFill="1" applyAlignment="1">
      <alignment horizontal="centerContinuous" vertical="center"/>
    </xf>
    <xf numFmtId="0" fontId="25" fillId="4" borderId="0" xfId="0" applyFont="1" applyFill="1"/>
    <xf numFmtId="0" fontId="25" fillId="4" borderId="37" xfId="0" applyFont="1" applyFill="1" applyBorder="1" applyAlignment="1">
      <alignment horizontal="left" vertical="center"/>
    </xf>
    <xf numFmtId="0" fontId="24" fillId="4" borderId="0" xfId="0" applyFont="1" applyFill="1" applyAlignment="1">
      <alignment horizontal="left" vertical="center"/>
    </xf>
    <xf numFmtId="0" fontId="25" fillId="4" borderId="90" xfId="0" applyFont="1" applyFill="1" applyBorder="1" applyAlignment="1">
      <alignment vertical="center"/>
    </xf>
    <xf numFmtId="0" fontId="25" fillId="4" borderId="90" xfId="0" applyFont="1" applyFill="1" applyBorder="1" applyAlignment="1">
      <alignment horizontal="left" vertical="center"/>
    </xf>
    <xf numFmtId="0" fontId="25" fillId="4" borderId="36" xfId="0" applyFont="1" applyFill="1" applyBorder="1" applyAlignment="1">
      <alignment vertical="center"/>
    </xf>
    <xf numFmtId="0" fontId="21" fillId="4" borderId="0" xfId="0" applyFont="1" applyFill="1" applyAlignment="1">
      <alignment horizontal="centerContinuous" vertical="center"/>
    </xf>
    <xf numFmtId="0" fontId="21" fillId="4" borderId="91" xfId="0" applyFont="1" applyFill="1" applyBorder="1" applyAlignment="1">
      <alignment vertical="top" wrapText="1"/>
    </xf>
    <xf numFmtId="0" fontId="33" fillId="4" borderId="0" xfId="0" applyFont="1" applyFill="1" applyAlignment="1">
      <alignment horizontal="center" vertical="center"/>
    </xf>
    <xf numFmtId="0" fontId="12" fillId="4" borderId="0" xfId="0" applyFont="1" applyFill="1"/>
    <xf numFmtId="0" fontId="21" fillId="4" borderId="0" xfId="0" applyFont="1" applyFill="1" applyAlignment="1">
      <alignment vertical="top"/>
    </xf>
    <xf numFmtId="0" fontId="21" fillId="4" borderId="19" xfId="0" applyFont="1" applyFill="1" applyBorder="1" applyAlignment="1">
      <alignment horizontal="center" vertical="center"/>
    </xf>
    <xf numFmtId="0" fontId="21" fillId="4" borderId="92" xfId="0" applyFont="1" applyFill="1" applyBorder="1" applyAlignment="1">
      <alignment horizontal="center" vertical="center"/>
    </xf>
    <xf numFmtId="0" fontId="21" fillId="4" borderId="67" xfId="0" applyFont="1" applyFill="1" applyBorder="1" applyAlignment="1">
      <alignment horizontal="center" vertical="center"/>
    </xf>
    <xf numFmtId="0" fontId="21" fillId="4" borderId="4" xfId="0" applyFont="1" applyFill="1" applyBorder="1" applyAlignment="1">
      <alignment horizontal="center" vertical="center"/>
    </xf>
    <xf numFmtId="0" fontId="12" fillId="4" borderId="4" xfId="0" applyFont="1" applyFill="1" applyBorder="1" applyAlignment="1">
      <alignment horizontal="center" vertical="top"/>
    </xf>
    <xf numFmtId="0" fontId="21" fillId="4" borderId="76" xfId="0" applyFont="1" applyFill="1" applyBorder="1" applyAlignment="1">
      <alignment horizontal="center" vertical="center"/>
    </xf>
    <xf numFmtId="0" fontId="12" fillId="4" borderId="43" xfId="0" applyFont="1" applyFill="1" applyBorder="1" applyAlignment="1">
      <alignment horizontal="center" vertical="top"/>
    </xf>
    <xf numFmtId="0" fontId="21" fillId="4" borderId="2" xfId="0" applyFont="1" applyFill="1" applyBorder="1" applyAlignment="1">
      <alignment horizontal="center" vertical="center"/>
    </xf>
    <xf numFmtId="0" fontId="25" fillId="4" borderId="2" xfId="0" applyFont="1" applyFill="1" applyBorder="1" applyAlignment="1">
      <alignment horizontal="center" vertical="center"/>
    </xf>
    <xf numFmtId="0" fontId="21" fillId="4" borderId="17" xfId="0" applyFont="1" applyFill="1" applyBorder="1" applyAlignment="1">
      <alignment horizontal="center" vertical="center"/>
    </xf>
    <xf numFmtId="0" fontId="25" fillId="4" borderId="31" xfId="0" applyFont="1" applyFill="1" applyBorder="1" applyAlignment="1">
      <alignment horizontal="center" vertical="center"/>
    </xf>
    <xf numFmtId="0" fontId="12" fillId="4" borderId="2" xfId="0" applyFont="1" applyFill="1" applyBorder="1" applyAlignment="1">
      <alignment horizontal="center" vertical="center"/>
    </xf>
    <xf numFmtId="0" fontId="24" fillId="4" borderId="31" xfId="0" applyFont="1" applyFill="1" applyBorder="1" applyAlignment="1">
      <alignment horizontal="center" vertical="center"/>
    </xf>
    <xf numFmtId="0" fontId="12" fillId="4" borderId="31" xfId="0" applyFont="1" applyFill="1" applyBorder="1" applyAlignment="1">
      <alignment horizontal="center" vertical="center"/>
    </xf>
    <xf numFmtId="0" fontId="21" fillId="4" borderId="32" xfId="0" applyFont="1" applyFill="1" applyBorder="1" applyAlignment="1">
      <alignment horizontal="center" vertical="center"/>
    </xf>
    <xf numFmtId="0" fontId="12" fillId="4" borderId="14" xfId="0" applyFont="1" applyFill="1" applyBorder="1" applyAlignment="1">
      <alignment horizontal="center" vertical="center"/>
    </xf>
    <xf numFmtId="0" fontId="21" fillId="4" borderId="5" xfId="0" applyFont="1" applyFill="1" applyBorder="1" applyAlignment="1">
      <alignment horizontal="center" vertical="center"/>
    </xf>
    <xf numFmtId="0" fontId="12" fillId="4" borderId="46" xfId="0" applyFont="1" applyFill="1" applyBorder="1" applyAlignment="1">
      <alignment horizontal="center" vertical="center"/>
    </xf>
    <xf numFmtId="0" fontId="24" fillId="4" borderId="0" xfId="0" applyFont="1" applyFill="1" applyAlignment="1">
      <alignment vertical="top"/>
    </xf>
    <xf numFmtId="0" fontId="15" fillId="4" borderId="0" xfId="0" applyFont="1" applyFill="1" applyAlignment="1">
      <alignment vertical="top"/>
    </xf>
    <xf numFmtId="0" fontId="21" fillId="4" borderId="38" xfId="0" applyFont="1" applyFill="1" applyBorder="1" applyAlignment="1">
      <alignment vertical="center"/>
    </xf>
    <xf numFmtId="0" fontId="70" fillId="4" borderId="0" xfId="0" applyFont="1" applyFill="1"/>
    <xf numFmtId="0" fontId="70" fillId="4" borderId="0" xfId="0" applyFont="1" applyFill="1" applyAlignment="1">
      <alignment vertical="center"/>
    </xf>
    <xf numFmtId="0" fontId="25" fillId="4" borderId="0" xfId="0" applyFont="1" applyFill="1" applyAlignment="1">
      <alignment horizontal="right" vertical="center"/>
    </xf>
    <xf numFmtId="0" fontId="70" fillId="4" borderId="0" xfId="0" applyFont="1" applyFill="1" applyAlignment="1">
      <alignment horizontal="left"/>
    </xf>
    <xf numFmtId="0" fontId="70" fillId="4" borderId="0" xfId="0" applyFont="1" applyFill="1" applyAlignment="1">
      <alignment horizontal="center"/>
    </xf>
    <xf numFmtId="0" fontId="70" fillId="4" borderId="5" xfId="0" applyFont="1" applyFill="1" applyBorder="1"/>
    <xf numFmtId="0" fontId="70" fillId="4" borderId="13" xfId="0" applyFont="1" applyFill="1" applyBorder="1"/>
    <xf numFmtId="0" fontId="70" fillId="4" borderId="8" xfId="0" applyFont="1" applyFill="1" applyBorder="1" applyAlignment="1">
      <alignment vertical="center"/>
    </xf>
    <xf numFmtId="0" fontId="70" fillId="4" borderId="9" xfId="0" applyFont="1" applyFill="1" applyBorder="1"/>
    <xf numFmtId="0" fontId="27" fillId="4" borderId="9" xfId="0" applyFont="1" applyFill="1" applyBorder="1" applyAlignment="1">
      <alignment vertical="center"/>
    </xf>
    <xf numFmtId="0" fontId="70" fillId="4" borderId="9" xfId="0" applyFont="1" applyFill="1" applyBorder="1" applyAlignment="1">
      <alignment vertical="center"/>
    </xf>
    <xf numFmtId="0" fontId="70" fillId="4" borderId="10" xfId="0" applyFont="1" applyFill="1" applyBorder="1" applyAlignment="1">
      <alignment vertical="center"/>
    </xf>
    <xf numFmtId="0" fontId="70" fillId="4" borderId="11" xfId="0" applyFont="1" applyFill="1" applyBorder="1" applyAlignment="1">
      <alignment vertical="center"/>
    </xf>
    <xf numFmtId="0" fontId="70" fillId="4" borderId="12" xfId="0" applyFont="1" applyFill="1" applyBorder="1" applyAlignment="1">
      <alignment vertical="center"/>
    </xf>
    <xf numFmtId="0" fontId="70" fillId="4" borderId="0" xfId="0" applyFont="1" applyFill="1" applyAlignment="1">
      <alignment vertical="justify"/>
    </xf>
    <xf numFmtId="0" fontId="21" fillId="4" borderId="28" xfId="0" applyFont="1" applyFill="1" applyBorder="1"/>
    <xf numFmtId="0" fontId="70" fillId="4" borderId="29" xfId="0" applyFont="1" applyFill="1" applyBorder="1"/>
    <xf numFmtId="0" fontId="70" fillId="4" borderId="30" xfId="0" applyFont="1" applyFill="1" applyBorder="1"/>
    <xf numFmtId="0" fontId="21" fillId="4" borderId="29" xfId="0" applyFont="1" applyFill="1" applyBorder="1"/>
    <xf numFmtId="0" fontId="25" fillId="10" borderId="0" xfId="0" applyFont="1" applyFill="1" applyAlignment="1">
      <alignment vertical="center"/>
    </xf>
    <xf numFmtId="0" fontId="70" fillId="4" borderId="0" xfId="0" applyFont="1" applyFill="1" applyProtection="1">
      <protection locked="0"/>
    </xf>
    <xf numFmtId="0" fontId="70" fillId="4" borderId="15" xfId="0" applyFont="1" applyFill="1" applyBorder="1" applyProtection="1">
      <protection locked="0"/>
    </xf>
    <xf numFmtId="0" fontId="25" fillId="4" borderId="15" xfId="0" applyFont="1" applyFill="1" applyBorder="1" applyProtection="1">
      <protection locked="0"/>
    </xf>
    <xf numFmtId="0" fontId="25" fillId="4" borderId="15" xfId="0" applyFont="1" applyFill="1" applyBorder="1" applyAlignment="1" applyProtection="1">
      <alignment horizontal="left"/>
      <protection locked="0"/>
    </xf>
    <xf numFmtId="0" fontId="25" fillId="4" borderId="0" xfId="0" applyFont="1" applyFill="1" applyProtection="1">
      <protection locked="0"/>
    </xf>
    <xf numFmtId="0" fontId="70" fillId="4" borderId="0" xfId="0" applyFont="1" applyFill="1" applyAlignment="1" applyProtection="1">
      <alignment horizontal="left"/>
      <protection locked="0"/>
    </xf>
    <xf numFmtId="0" fontId="70" fillId="4" borderId="0" xfId="0" applyFont="1" applyFill="1" applyAlignment="1" applyProtection="1">
      <alignment horizontal="center"/>
      <protection locked="0"/>
    </xf>
    <xf numFmtId="0" fontId="70" fillId="4" borderId="0" xfId="0" applyFont="1" applyFill="1" applyAlignment="1" applyProtection="1">
      <alignment vertical="center"/>
      <protection locked="0"/>
    </xf>
    <xf numFmtId="0" fontId="70" fillId="4" borderId="0" xfId="0" applyFont="1" applyFill="1" applyAlignment="1" applyProtection="1">
      <alignment horizontal="centerContinuous"/>
      <protection locked="0"/>
    </xf>
    <xf numFmtId="0" fontId="70" fillId="4" borderId="0" xfId="0" applyFont="1" applyFill="1" applyAlignment="1" applyProtection="1">
      <alignment vertical="justify"/>
      <protection locked="0"/>
    </xf>
    <xf numFmtId="0" fontId="70" fillId="4" borderId="1" xfId="0" applyFont="1" applyFill="1" applyBorder="1" applyProtection="1">
      <protection locked="0"/>
    </xf>
    <xf numFmtId="0" fontId="70" fillId="4" borderId="35" xfId="0" applyFont="1" applyFill="1" applyBorder="1" applyProtection="1">
      <protection locked="0"/>
    </xf>
    <xf numFmtId="0" fontId="70" fillId="4" borderId="36" xfId="0" applyFont="1" applyFill="1" applyBorder="1" applyProtection="1">
      <protection locked="0"/>
    </xf>
    <xf numFmtId="0" fontId="70" fillId="4" borderId="37" xfId="0" applyFont="1" applyFill="1" applyBorder="1" applyProtection="1">
      <protection locked="0"/>
    </xf>
    <xf numFmtId="0" fontId="70" fillId="4" borderId="38" xfId="0" applyFont="1" applyFill="1" applyBorder="1" applyProtection="1">
      <protection locked="0"/>
    </xf>
    <xf numFmtId="0" fontId="21" fillId="4" borderId="0" xfId="0" applyFont="1" applyFill="1" applyProtection="1">
      <protection locked="0"/>
    </xf>
    <xf numFmtId="0" fontId="33" fillId="0" borderId="0" xfId="0" applyFont="1" applyAlignment="1">
      <alignment horizontal="center"/>
    </xf>
    <xf numFmtId="0" fontId="33" fillId="0" borderId="0" xfId="0" applyFont="1" applyAlignment="1">
      <alignment horizontal="centerContinuous"/>
    </xf>
    <xf numFmtId="0" fontId="25" fillId="0" borderId="0" xfId="0" applyFont="1" applyAlignment="1">
      <alignment horizontal="left" wrapText="1"/>
    </xf>
    <xf numFmtId="0" fontId="21" fillId="4" borderId="9" xfId="0" applyFont="1" applyFill="1" applyBorder="1" applyAlignment="1">
      <alignment horizontal="center" vertical="center"/>
    </xf>
    <xf numFmtId="0" fontId="18" fillId="4" borderId="0" xfId="0" applyFont="1" applyFill="1" applyAlignment="1" applyProtection="1">
      <alignment vertical="center"/>
      <protection locked="0"/>
    </xf>
    <xf numFmtId="0" fontId="21" fillId="4" borderId="0" xfId="0" applyFont="1" applyFill="1" applyAlignment="1" applyProtection="1">
      <alignment horizontal="center" vertical="center"/>
      <protection locked="0"/>
    </xf>
    <xf numFmtId="0" fontId="18" fillId="4" borderId="0" xfId="0" applyFont="1" applyFill="1" applyAlignment="1" applyProtection="1">
      <alignment horizontal="center" vertical="center"/>
      <protection locked="0"/>
    </xf>
    <xf numFmtId="0" fontId="17" fillId="4" borderId="0" xfId="0" applyFont="1" applyFill="1" applyAlignment="1" applyProtection="1">
      <alignment horizontal="center" vertical="center"/>
      <protection locked="0"/>
    </xf>
    <xf numFmtId="0" fontId="25" fillId="4" borderId="0" xfId="0" applyFont="1" applyFill="1" applyAlignment="1" applyProtection="1">
      <alignment horizontal="center" vertical="center"/>
      <protection locked="0"/>
    </xf>
    <xf numFmtId="0" fontId="25" fillId="4" borderId="0" xfId="0" applyFont="1" applyFill="1" applyAlignment="1" applyProtection="1">
      <alignment vertical="center"/>
      <protection locked="0"/>
    </xf>
    <xf numFmtId="0" fontId="18" fillId="4" borderId="11" xfId="0" applyFont="1" applyFill="1" applyBorder="1" applyAlignment="1" applyProtection="1">
      <alignment vertical="center"/>
      <protection locked="0"/>
    </xf>
    <xf numFmtId="0" fontId="18" fillId="4" borderId="11" xfId="0" applyFont="1" applyFill="1" applyBorder="1" applyAlignment="1" applyProtection="1">
      <alignment vertical="center" wrapText="1"/>
      <protection locked="0"/>
    </xf>
    <xf numFmtId="0" fontId="18" fillId="4" borderId="0" xfId="0" applyFont="1" applyFill="1" applyAlignment="1" applyProtection="1">
      <alignment horizontal="left" vertical="center"/>
      <protection locked="0"/>
    </xf>
    <xf numFmtId="0" fontId="17" fillId="9" borderId="0" xfId="0" applyFont="1" applyFill="1" applyAlignment="1" applyProtection="1">
      <alignment vertical="center"/>
      <protection locked="0"/>
    </xf>
    <xf numFmtId="165" fontId="21" fillId="9" borderId="0" xfId="0" applyNumberFormat="1" applyFont="1" applyFill="1" applyProtection="1">
      <protection locked="0"/>
    </xf>
    <xf numFmtId="0" fontId="17" fillId="9" borderId="0" xfId="0" applyFont="1" applyFill="1" applyAlignment="1" applyProtection="1">
      <alignment horizontal="left" vertical="center"/>
      <protection locked="0"/>
    </xf>
    <xf numFmtId="0" fontId="25" fillId="9" borderId="0" xfId="0" applyFont="1" applyFill="1" applyAlignment="1" applyProtection="1">
      <alignment horizontal="left" vertical="center"/>
      <protection locked="0"/>
    </xf>
    <xf numFmtId="0" fontId="36" fillId="0" borderId="0" xfId="0" applyFont="1" applyAlignment="1">
      <alignment vertical="center"/>
    </xf>
    <xf numFmtId="0" fontId="15" fillId="9" borderId="0" xfId="0" applyFont="1" applyFill="1"/>
    <xf numFmtId="0" fontId="15" fillId="0" borderId="35" xfId="0" applyFont="1" applyBorder="1"/>
    <xf numFmtId="0" fontId="15" fillId="0" borderId="0" xfId="0" applyFont="1" applyAlignment="1">
      <alignment horizontal="centerContinuous"/>
    </xf>
    <xf numFmtId="0" fontId="15" fillId="9" borderId="0" xfId="0" applyFont="1" applyFill="1" applyAlignment="1" applyProtection="1">
      <alignment horizontal="left" vertical="center"/>
      <protection locked="0"/>
    </xf>
    <xf numFmtId="0" fontId="21" fillId="9" borderId="0" xfId="0" applyFont="1" applyFill="1" applyAlignment="1" applyProtection="1">
      <alignment vertical="center" wrapText="1"/>
      <protection locked="0"/>
    </xf>
    <xf numFmtId="0" fontId="21" fillId="9" borderId="0" xfId="0" applyFont="1" applyFill="1" applyAlignment="1" applyProtection="1">
      <alignment vertical="center"/>
      <protection locked="0"/>
    </xf>
    <xf numFmtId="0" fontId="25" fillId="0" borderId="0" xfId="2" applyFont="1" applyAlignment="1">
      <alignment vertical="center"/>
    </xf>
    <xf numFmtId="0" fontId="25" fillId="0" borderId="0" xfId="2" applyFont="1" applyAlignment="1">
      <alignment horizontal="center" vertical="center"/>
    </xf>
    <xf numFmtId="0" fontId="25" fillId="0" borderId="0" xfId="2" applyFont="1" applyAlignment="1">
      <alignment vertical="center" wrapText="1"/>
    </xf>
    <xf numFmtId="0" fontId="25" fillId="0" borderId="0" xfId="2" applyFont="1" applyAlignment="1">
      <alignment horizontal="right" vertical="center"/>
    </xf>
    <xf numFmtId="0" fontId="67" fillId="0" borderId="0" xfId="0" applyFont="1"/>
    <xf numFmtId="0" fontId="21" fillId="10" borderId="0" xfId="0" applyFont="1" applyFill="1" applyAlignment="1">
      <alignment horizontal="left" vertical="center"/>
    </xf>
    <xf numFmtId="0" fontId="21" fillId="9" borderId="0" xfId="0" applyFont="1" applyFill="1" applyAlignment="1" applyProtection="1">
      <alignment horizontal="left" vertical="center"/>
      <protection locked="0"/>
    </xf>
    <xf numFmtId="0" fontId="21" fillId="0" borderId="37" xfId="0" applyFont="1" applyBorder="1" applyAlignment="1" applyProtection="1">
      <alignment horizontal="left" vertical="center"/>
      <protection locked="0"/>
    </xf>
    <xf numFmtId="0" fontId="25" fillId="9" borderId="0" xfId="0" applyFont="1" applyFill="1" applyAlignment="1">
      <alignment vertical="center" wrapText="1"/>
    </xf>
    <xf numFmtId="0" fontId="18" fillId="9" borderId="0" xfId="0" applyFont="1" applyFill="1" applyAlignment="1">
      <alignment vertical="center"/>
    </xf>
    <xf numFmtId="0" fontId="17" fillId="9" borderId="0" xfId="0" applyFont="1" applyFill="1" applyAlignment="1">
      <alignment vertical="center"/>
    </xf>
    <xf numFmtId="0" fontId="25" fillId="10" borderId="0" xfId="0" applyFont="1" applyFill="1" applyAlignment="1">
      <alignment horizontal="left" vertical="center"/>
    </xf>
    <xf numFmtId="0" fontId="25" fillId="0" borderId="0" xfId="0" applyFont="1" applyAlignment="1" applyProtection="1">
      <alignment horizontal="left" vertical="center"/>
      <protection locked="0"/>
    </xf>
    <xf numFmtId="0" fontId="25" fillId="9" borderId="0" xfId="0" applyFont="1" applyFill="1" applyAlignment="1">
      <alignment horizontal="left" vertical="center"/>
    </xf>
    <xf numFmtId="0" fontId="21" fillId="9" borderId="0" xfId="0" applyFont="1" applyFill="1" applyAlignment="1">
      <alignment vertical="center"/>
    </xf>
    <xf numFmtId="0" fontId="21" fillId="9" borderId="0" xfId="0" applyFont="1" applyFill="1" applyAlignment="1">
      <alignment horizontal="left" vertical="center"/>
    </xf>
    <xf numFmtId="0" fontId="21" fillId="0" borderId="7" xfId="0" applyFont="1" applyBorder="1" applyAlignment="1">
      <alignment horizontal="center"/>
    </xf>
    <xf numFmtId="0" fontId="31" fillId="9" borderId="0" xfId="0" applyFont="1" applyFill="1" applyAlignment="1">
      <alignment horizontal="left" vertical="center"/>
    </xf>
    <xf numFmtId="0" fontId="71" fillId="0" borderId="0" xfId="0" applyFont="1"/>
    <xf numFmtId="0" fontId="71" fillId="0" borderId="0" xfId="0" applyFont="1" applyAlignment="1">
      <alignment horizontal="center"/>
    </xf>
    <xf numFmtId="0" fontId="72" fillId="0" borderId="0" xfId="0" applyFont="1"/>
    <xf numFmtId="0" fontId="31" fillId="4" borderId="0" xfId="0" applyFont="1" applyFill="1" applyAlignment="1">
      <alignment horizontal="left" vertical="center"/>
    </xf>
    <xf numFmtId="0" fontId="31" fillId="4" borderId="0" xfId="0" applyFont="1" applyFill="1" applyAlignment="1">
      <alignment horizontal="center" vertical="center" wrapText="1"/>
    </xf>
    <xf numFmtId="0" fontId="25" fillId="4" borderId="0" xfId="0" applyFont="1" applyFill="1" applyAlignment="1">
      <alignment horizontal="center"/>
    </xf>
    <xf numFmtId="0" fontId="25" fillId="0" borderId="2" xfId="0" applyFont="1" applyBorder="1" applyAlignment="1">
      <alignment horizontal="center" vertical="center"/>
    </xf>
    <xf numFmtId="0" fontId="21" fillId="0" borderId="17" xfId="0" applyFont="1" applyBorder="1"/>
    <xf numFmtId="0" fontId="21" fillId="0" borderId="18" xfId="0" applyFont="1" applyBorder="1"/>
    <xf numFmtId="0" fontId="25" fillId="0" borderId="2" xfId="0" applyFont="1" applyBorder="1"/>
    <xf numFmtId="0" fontId="25" fillId="0" borderId="2" xfId="0" applyFont="1" applyBorder="1" applyAlignment="1">
      <alignment horizontal="center"/>
    </xf>
    <xf numFmtId="0" fontId="71" fillId="0" borderId="0" xfId="0" applyFont="1" applyAlignment="1">
      <alignment vertical="center"/>
    </xf>
    <xf numFmtId="0" fontId="25" fillId="4" borderId="2" xfId="0" applyFont="1" applyFill="1" applyBorder="1" applyAlignment="1" applyProtection="1">
      <alignment horizontal="center" vertical="center"/>
      <protection locked="0"/>
    </xf>
    <xf numFmtId="0" fontId="71" fillId="0" borderId="0" xfId="0" applyFont="1" applyAlignment="1">
      <alignment horizontal="center" vertical="center"/>
    </xf>
    <xf numFmtId="0" fontId="72" fillId="0" borderId="0" xfId="0" applyFont="1" applyAlignment="1">
      <alignment horizontal="left" vertical="center"/>
    </xf>
    <xf numFmtId="0" fontId="25" fillId="8" borderId="0" xfId="0" applyFont="1" applyFill="1" applyAlignment="1">
      <alignment horizontal="center" vertical="center"/>
    </xf>
    <xf numFmtId="0" fontId="12" fillId="0" borderId="0" xfId="0" applyFont="1" applyAlignment="1">
      <alignment horizontal="center" vertical="center"/>
    </xf>
    <xf numFmtId="0" fontId="25" fillId="0" borderId="2" xfId="0" applyFont="1" applyBorder="1" applyAlignment="1" applyProtection="1">
      <alignment horizontal="center" vertical="center"/>
      <protection locked="0"/>
    </xf>
    <xf numFmtId="0" fontId="71" fillId="4" borderId="0" xfId="0" applyFont="1" applyFill="1" applyAlignment="1">
      <alignment vertical="center"/>
    </xf>
    <xf numFmtId="0" fontId="25" fillId="4" borderId="0" xfId="0" applyFont="1" applyFill="1" applyAlignment="1">
      <alignment horizontal="center" vertical="center"/>
    </xf>
    <xf numFmtId="0" fontId="71" fillId="4" borderId="0" xfId="0" applyFont="1" applyFill="1" applyAlignment="1">
      <alignment horizontal="center" vertical="center"/>
    </xf>
    <xf numFmtId="0" fontId="71" fillId="0" borderId="0" xfId="0" applyFont="1" applyAlignment="1" applyProtection="1">
      <alignment horizontal="center" vertical="center"/>
      <protection locked="0"/>
    </xf>
    <xf numFmtId="0" fontId="71" fillId="0" borderId="0" xfId="0" applyFont="1" applyAlignment="1" applyProtection="1">
      <alignment vertical="center"/>
      <protection locked="0"/>
    </xf>
    <xf numFmtId="0" fontId="71" fillId="0" borderId="6" xfId="0" applyFont="1" applyBorder="1" applyAlignment="1">
      <alignment vertical="center"/>
    </xf>
    <xf numFmtId="0" fontId="0" fillId="0" borderId="14" xfId="0" applyBorder="1" applyAlignment="1" applyProtection="1">
      <alignment vertical="center"/>
      <protection locked="0"/>
    </xf>
    <xf numFmtId="0" fontId="0" fillId="0" borderId="2" xfId="0" applyBorder="1" applyAlignment="1" applyProtection="1">
      <alignment vertical="center"/>
      <protection locked="0"/>
    </xf>
    <xf numFmtId="0" fontId="12" fillId="0" borderId="0" xfId="0" applyFont="1" applyAlignment="1">
      <alignment vertical="center"/>
    </xf>
    <xf numFmtId="0" fontId="25" fillId="0" borderId="8" xfId="0" applyFont="1" applyBorder="1" applyAlignment="1">
      <alignment horizontal="center" vertical="center"/>
    </xf>
    <xf numFmtId="0" fontId="25" fillId="0" borderId="0" xfId="0" applyFont="1" applyAlignment="1">
      <alignment horizontal="left" vertical="center" wrapText="1"/>
    </xf>
    <xf numFmtId="0" fontId="25" fillId="0" borderId="3" xfId="0" applyFont="1" applyBorder="1" applyAlignment="1">
      <alignment horizontal="center" vertical="center"/>
    </xf>
    <xf numFmtId="0" fontId="21" fillId="0" borderId="6" xfId="0" applyFont="1" applyBorder="1" applyAlignment="1">
      <alignment vertical="center"/>
    </xf>
    <xf numFmtId="0" fontId="25" fillId="0" borderId="6" xfId="0" applyFont="1" applyBorder="1" applyAlignment="1">
      <alignment horizontal="center" vertical="center"/>
    </xf>
    <xf numFmtId="0" fontId="72" fillId="0" borderId="0" xfId="0" applyFont="1" applyAlignment="1">
      <alignment vertical="center"/>
    </xf>
    <xf numFmtId="0" fontId="12" fillId="0" borderId="6" xfId="0" applyFont="1" applyBorder="1" applyAlignment="1">
      <alignment horizontal="center" vertical="center"/>
    </xf>
    <xf numFmtId="0" fontId="25" fillId="0" borderId="6" xfId="0" applyFont="1" applyBorder="1" applyAlignment="1" applyProtection="1">
      <alignment horizontal="center" vertical="center"/>
      <protection locked="0"/>
    </xf>
    <xf numFmtId="0" fontId="0" fillId="0" borderId="6" xfId="0" applyBorder="1" applyAlignment="1" applyProtection="1">
      <alignment vertical="center"/>
      <protection locked="0"/>
    </xf>
    <xf numFmtId="0" fontId="40" fillId="0" borderId="0" xfId="0" applyFont="1" applyAlignment="1">
      <alignment vertical="center"/>
    </xf>
    <xf numFmtId="0" fontId="12" fillId="0" borderId="0" xfId="0" applyFont="1" applyAlignment="1">
      <alignment horizontal="center"/>
    </xf>
    <xf numFmtId="0" fontId="73" fillId="0" borderId="0" xfId="0" applyFont="1" applyAlignment="1">
      <alignment horizontal="left" vertical="top"/>
    </xf>
    <xf numFmtId="0" fontId="21" fillId="0" borderId="0" xfId="6" applyFont="1"/>
    <xf numFmtId="0" fontId="15" fillId="0" borderId="0" xfId="6" applyFont="1"/>
    <xf numFmtId="0" fontId="15" fillId="0" borderId="0" xfId="6" applyFont="1" applyAlignment="1">
      <alignment vertical="center"/>
    </xf>
    <xf numFmtId="0" fontId="21" fillId="4" borderId="0" xfId="6" applyFont="1" applyFill="1"/>
    <xf numFmtId="0" fontId="17" fillId="4" borderId="0" xfId="6" applyFont="1" applyFill="1" applyAlignment="1">
      <alignment horizontal="left" vertical="center"/>
    </xf>
    <xf numFmtId="0" fontId="18" fillId="9" borderId="0" xfId="6" applyFont="1" applyFill="1" applyAlignment="1">
      <alignment horizontal="left" vertical="center"/>
    </xf>
    <xf numFmtId="0" fontId="21" fillId="9" borderId="0" xfId="6" applyFont="1" applyFill="1" applyAlignment="1">
      <alignment horizontal="left"/>
    </xf>
    <xf numFmtId="0" fontId="21" fillId="9" borderId="0" xfId="6" applyFont="1" applyFill="1"/>
    <xf numFmtId="0" fontId="25" fillId="4" borderId="0" xfId="6" applyFont="1" applyFill="1" applyAlignment="1">
      <alignment horizontal="left" vertical="center"/>
    </xf>
    <xf numFmtId="0" fontId="17" fillId="0" borderId="0" xfId="6" applyFont="1" applyAlignment="1">
      <alignment horizontal="left" vertical="center"/>
    </xf>
    <xf numFmtId="0" fontId="21" fillId="0" borderId="0" xfId="6" applyFont="1" applyAlignment="1">
      <alignment vertical="center"/>
    </xf>
    <xf numFmtId="0" fontId="21" fillId="0" borderId="0" xfId="6" applyFont="1" applyAlignment="1">
      <alignment vertical="center" wrapText="1"/>
    </xf>
    <xf numFmtId="0" fontId="21" fillId="0" borderId="0" xfId="6" quotePrefix="1" applyFont="1" applyAlignment="1">
      <alignment horizontal="left" vertical="center"/>
    </xf>
    <xf numFmtId="0" fontId="25" fillId="0" borderId="0" xfId="6" applyFont="1" applyAlignment="1">
      <alignment vertical="center"/>
    </xf>
    <xf numFmtId="0" fontId="21" fillId="0" borderId="0" xfId="6" applyFont="1" applyAlignment="1">
      <alignment wrapText="1"/>
    </xf>
    <xf numFmtId="0" fontId="25" fillId="0" borderId="0" xfId="6" applyFont="1" applyAlignment="1">
      <alignment horizontal="centerContinuous" vertical="center"/>
    </xf>
    <xf numFmtId="0" fontId="25" fillId="0" borderId="0" xfId="6" applyFont="1"/>
    <xf numFmtId="0" fontId="21" fillId="0" borderId="0" xfId="6" applyFont="1" applyProtection="1">
      <protection locked="0"/>
    </xf>
    <xf numFmtId="0" fontId="18" fillId="0" borderId="0" xfId="6" applyFont="1" applyAlignment="1" applyProtection="1">
      <alignment horizontal="left" wrapText="1"/>
      <protection locked="0"/>
    </xf>
    <xf numFmtId="0" fontId="21" fillId="0" borderId="0" xfId="6" applyFont="1" applyAlignment="1" applyProtection="1">
      <alignment horizontal="left" vertical="center"/>
      <protection locked="0"/>
    </xf>
    <xf numFmtId="0" fontId="18" fillId="0" borderId="0" xfId="6" applyFont="1" applyAlignment="1" applyProtection="1">
      <alignment wrapText="1"/>
      <protection locked="0"/>
    </xf>
    <xf numFmtId="0" fontId="21" fillId="4" borderId="94" xfId="6" applyFont="1" applyFill="1" applyBorder="1" applyProtection="1">
      <protection locked="0"/>
    </xf>
    <xf numFmtId="0" fontId="21" fillId="4" borderId="0" xfId="6" applyFont="1" applyFill="1" applyAlignment="1" applyProtection="1">
      <alignment vertical="center"/>
      <protection locked="0"/>
    </xf>
    <xf numFmtId="0" fontId="21" fillId="4" borderId="95" xfId="6" applyFont="1" applyFill="1" applyBorder="1" applyAlignment="1" applyProtection="1">
      <alignment vertical="center"/>
      <protection locked="0"/>
    </xf>
    <xf numFmtId="0" fontId="21" fillId="4" borderId="29" xfId="6" applyFont="1" applyFill="1" applyBorder="1" applyAlignment="1" applyProtection="1">
      <alignment vertical="center"/>
      <protection locked="0"/>
    </xf>
    <xf numFmtId="0" fontId="12" fillId="4" borderId="29" xfId="6" applyFont="1" applyFill="1" applyBorder="1" applyAlignment="1" applyProtection="1">
      <alignment vertical="center"/>
      <protection locked="0"/>
    </xf>
    <xf numFmtId="0" fontId="21" fillId="4" borderId="96" xfId="6" applyFont="1" applyFill="1" applyBorder="1" applyProtection="1">
      <protection locked="0"/>
    </xf>
    <xf numFmtId="0" fontId="21" fillId="4" borderId="0" xfId="6" applyFont="1" applyFill="1" applyProtection="1">
      <protection locked="0"/>
    </xf>
    <xf numFmtId="0" fontId="21" fillId="4" borderId="94" xfId="6" applyFont="1" applyFill="1" applyBorder="1" applyAlignment="1" applyProtection="1">
      <alignment horizontal="center"/>
      <protection locked="0"/>
    </xf>
    <xf numFmtId="0" fontId="21" fillId="4" borderId="0" xfId="6" applyFont="1" applyFill="1" applyAlignment="1" applyProtection="1">
      <alignment horizontal="center"/>
      <protection locked="0"/>
    </xf>
    <xf numFmtId="0" fontId="21" fillId="4" borderId="97" xfId="6" applyFont="1" applyFill="1" applyBorder="1" applyAlignment="1" applyProtection="1">
      <alignment vertical="center"/>
      <protection locked="0"/>
    </xf>
    <xf numFmtId="0" fontId="21" fillId="4" borderId="94" xfId="6" applyFont="1" applyFill="1" applyBorder="1" applyAlignment="1" applyProtection="1">
      <alignment vertical="center"/>
      <protection locked="0"/>
    </xf>
    <xf numFmtId="0" fontId="21" fillId="4" borderId="97" xfId="6" applyFont="1" applyFill="1" applyBorder="1" applyProtection="1">
      <protection locked="0"/>
    </xf>
    <xf numFmtId="0" fontId="12" fillId="4" borderId="0" xfId="6" applyFont="1" applyFill="1" applyAlignment="1" applyProtection="1">
      <alignment vertical="center"/>
      <protection locked="0"/>
    </xf>
    <xf numFmtId="0" fontId="21" fillId="4" borderId="98" xfId="6" applyFont="1" applyFill="1" applyBorder="1" applyProtection="1">
      <protection locked="0"/>
    </xf>
    <xf numFmtId="0" fontId="21" fillId="4" borderId="99" xfId="6" applyFont="1" applyFill="1" applyBorder="1" applyAlignment="1" applyProtection="1">
      <alignment vertical="center"/>
      <protection locked="0"/>
    </xf>
    <xf numFmtId="0" fontId="21" fillId="4" borderId="98" xfId="6" applyFont="1" applyFill="1" applyBorder="1" applyAlignment="1" applyProtection="1">
      <alignment vertical="center"/>
      <protection locked="0"/>
    </xf>
    <xf numFmtId="0" fontId="21" fillId="4" borderId="100" xfId="6" applyFont="1" applyFill="1" applyBorder="1" applyProtection="1">
      <protection locked="0"/>
    </xf>
    <xf numFmtId="0" fontId="25" fillId="0" borderId="17" xfId="0" applyFont="1" applyBorder="1" applyAlignment="1">
      <alignment horizontal="center" vertical="center"/>
    </xf>
    <xf numFmtId="0" fontId="25" fillId="4" borderId="17" xfId="0" applyFont="1" applyFill="1" applyBorder="1" applyAlignment="1">
      <alignment horizontal="center" vertical="center"/>
    </xf>
    <xf numFmtId="0" fontId="21" fillId="0" borderId="0" xfId="6" applyFont="1" applyAlignment="1">
      <alignment horizontal="left" vertical="center"/>
    </xf>
    <xf numFmtId="0" fontId="55" fillId="0" borderId="0" xfId="10" applyFont="1" applyAlignment="1">
      <alignment vertical="center"/>
    </xf>
    <xf numFmtId="0" fontId="10" fillId="0" borderId="0" xfId="11"/>
    <xf numFmtId="0" fontId="11" fillId="0" borderId="0" xfId="10" applyAlignment="1">
      <alignment horizontal="left"/>
    </xf>
    <xf numFmtId="0" fontId="11" fillId="0" borderId="0" xfId="10"/>
    <xf numFmtId="0" fontId="17" fillId="0" borderId="0" xfId="10" applyFont="1" applyAlignment="1">
      <alignment vertical="center"/>
    </xf>
    <xf numFmtId="0" fontId="18" fillId="9" borderId="0" xfId="10" applyFont="1" applyFill="1" applyAlignment="1">
      <alignment horizontal="left" vertical="center"/>
    </xf>
    <xf numFmtId="0" fontId="25" fillId="0" borderId="0" xfId="10" applyFont="1" applyAlignment="1">
      <alignment horizontal="center" vertical="center"/>
    </xf>
    <xf numFmtId="0" fontId="11" fillId="0" borderId="0" xfId="10" applyAlignment="1">
      <alignment horizontal="center" vertical="center"/>
    </xf>
    <xf numFmtId="0" fontId="32" fillId="9" borderId="0" xfId="10" applyFont="1" applyFill="1" applyAlignment="1">
      <alignment horizontal="left" vertical="center"/>
    </xf>
    <xf numFmtId="0" fontId="32" fillId="0" borderId="0" xfId="10" applyFont="1" applyAlignment="1">
      <alignment vertical="center"/>
    </xf>
    <xf numFmtId="0" fontId="32" fillId="0" borderId="0" xfId="10" applyFont="1" applyAlignment="1">
      <alignment horizontal="left" vertical="center"/>
    </xf>
    <xf numFmtId="0" fontId="17" fillId="0" borderId="0" xfId="10" applyFont="1" applyAlignment="1">
      <alignment horizontal="right" vertical="center"/>
    </xf>
    <xf numFmtId="0" fontId="18" fillId="0" borderId="0" xfId="10" applyFont="1" applyAlignment="1">
      <alignment horizontal="center" vertical="center"/>
    </xf>
    <xf numFmtId="0" fontId="18" fillId="0" borderId="0" xfId="10" applyFont="1" applyAlignment="1">
      <alignment vertical="center" wrapText="1"/>
    </xf>
    <xf numFmtId="165" fontId="17" fillId="0" borderId="0" xfId="10" applyNumberFormat="1" applyFont="1" applyAlignment="1">
      <alignment horizontal="right" vertical="center"/>
    </xf>
    <xf numFmtId="0" fontId="10" fillId="0" borderId="0" xfId="11" applyProtection="1">
      <protection locked="0"/>
    </xf>
    <xf numFmtId="165" fontId="18" fillId="0" borderId="0" xfId="10" applyNumberFormat="1" applyFont="1" applyAlignment="1" applyProtection="1">
      <alignment vertical="center"/>
      <protection locked="0"/>
    </xf>
    <xf numFmtId="165" fontId="18" fillId="0" borderId="0" xfId="10" applyNumberFormat="1" applyFont="1" applyAlignment="1" applyProtection="1">
      <alignment horizontal="left" vertical="center"/>
      <protection locked="0"/>
    </xf>
    <xf numFmtId="165" fontId="18" fillId="0" borderId="0" xfId="10" applyNumberFormat="1" applyFont="1" applyAlignment="1">
      <alignment horizontal="left" vertical="center"/>
    </xf>
    <xf numFmtId="0" fontId="17" fillId="0" borderId="0" xfId="10" applyFont="1" applyAlignment="1">
      <alignment horizontal="center" vertical="center"/>
    </xf>
    <xf numFmtId="0" fontId="17" fillId="0" borderId="0" xfId="10" applyFont="1" applyAlignment="1" applyProtection="1">
      <alignment horizontal="left" vertical="center" indent="1"/>
      <protection locked="0"/>
    </xf>
    <xf numFmtId="0" fontId="10" fillId="0" borderId="0" xfId="11" applyAlignment="1" applyProtection="1">
      <alignment horizontal="center" vertical="center"/>
      <protection locked="0"/>
    </xf>
    <xf numFmtId="0" fontId="42" fillId="0" borderId="0" xfId="10" applyFont="1" applyAlignment="1" applyProtection="1">
      <alignment horizontal="left" vertical="center" indent="1"/>
      <protection locked="0"/>
    </xf>
    <xf numFmtId="0" fontId="11" fillId="0" borderId="0" xfId="10" applyAlignment="1">
      <alignment horizontal="left" vertical="center" indent="1"/>
    </xf>
    <xf numFmtId="0" fontId="56" fillId="0" borderId="0" xfId="10" applyFont="1" applyProtection="1">
      <protection locked="0"/>
    </xf>
    <xf numFmtId="0" fontId="25" fillId="0" borderId="0" xfId="10" applyFont="1"/>
    <xf numFmtId="0" fontId="11" fillId="0" borderId="0" xfId="10" applyAlignment="1">
      <alignment vertical="center" wrapText="1"/>
    </xf>
    <xf numFmtId="0" fontId="25" fillId="0" borderId="0" xfId="10" applyFont="1" applyAlignment="1" applyProtection="1">
      <alignment horizontal="center" vertical="center" wrapText="1"/>
      <protection locked="0"/>
    </xf>
    <xf numFmtId="0" fontId="29" fillId="0" borderId="0" xfId="10" applyFont="1" applyAlignment="1" applyProtection="1">
      <alignment vertical="center" wrapText="1"/>
      <protection locked="0"/>
    </xf>
    <xf numFmtId="0" fontId="25" fillId="0" borderId="0" xfId="10" applyFont="1" applyProtection="1">
      <protection locked="0"/>
    </xf>
    <xf numFmtId="0" fontId="25" fillId="0" borderId="0" xfId="10" applyFont="1" applyAlignment="1" applyProtection="1">
      <alignment vertical="center" wrapText="1"/>
      <protection locked="0"/>
    </xf>
    <xf numFmtId="0" fontId="25" fillId="0" borderId="0" xfId="10" applyFont="1" applyAlignment="1" applyProtection="1">
      <alignment vertical="center"/>
      <protection locked="0"/>
    </xf>
    <xf numFmtId="0" fontId="18" fillId="2" borderId="0" xfId="10" applyFont="1" applyFill="1" applyAlignment="1">
      <alignment horizontal="left" vertical="center" indent="1"/>
    </xf>
    <xf numFmtId="0" fontId="25" fillId="2" borderId="0" xfId="10" applyFont="1" applyFill="1" applyAlignment="1">
      <alignment vertical="center" wrapText="1"/>
    </xf>
    <xf numFmtId="0" fontId="25" fillId="2" borderId="0" xfId="10" applyFont="1" applyFill="1" applyAlignment="1">
      <alignment horizontal="center" vertical="center" wrapText="1"/>
    </xf>
    <xf numFmtId="0" fontId="25" fillId="2" borderId="0" xfId="10" applyFont="1" applyFill="1" applyAlignment="1">
      <alignment vertical="center"/>
    </xf>
    <xf numFmtId="0" fontId="10" fillId="2" borderId="0" xfId="11" applyFill="1"/>
    <xf numFmtId="0" fontId="25" fillId="2" borderId="0" xfId="10" applyFont="1" applyFill="1" applyAlignment="1" applyProtection="1">
      <alignment vertical="center"/>
      <protection locked="0"/>
    </xf>
    <xf numFmtId="0" fontId="25" fillId="2" borderId="0" xfId="10" applyFont="1" applyFill="1" applyAlignment="1" applyProtection="1">
      <alignment horizontal="center" vertical="center" wrapText="1"/>
      <protection locked="0"/>
    </xf>
    <xf numFmtId="0" fontId="25" fillId="2" borderId="0" xfId="10" applyFont="1" applyFill="1" applyAlignment="1" applyProtection="1">
      <alignment vertical="center" wrapText="1"/>
      <protection locked="0"/>
    </xf>
    <xf numFmtId="0" fontId="29" fillId="2" borderId="0" xfId="10" applyFont="1" applyFill="1" applyAlignment="1" applyProtection="1">
      <alignment vertical="center" wrapText="1"/>
      <protection locked="0"/>
    </xf>
    <xf numFmtId="0" fontId="25" fillId="2" borderId="0" xfId="10" applyFont="1" applyFill="1" applyProtection="1">
      <protection locked="0"/>
    </xf>
    <xf numFmtId="0" fontId="68" fillId="0" borderId="28" xfId="11" applyFont="1" applyBorder="1"/>
    <xf numFmtId="0" fontId="25" fillId="0" borderId="29" xfId="10" applyFont="1" applyBorder="1" applyAlignment="1">
      <alignment vertical="top" wrapText="1"/>
    </xf>
    <xf numFmtId="0" fontId="25" fillId="0" borderId="30" xfId="10" applyFont="1" applyBorder="1" applyAlignment="1">
      <alignment vertical="top" wrapText="1"/>
    </xf>
    <xf numFmtId="0" fontId="10" fillId="0" borderId="29" xfId="11" applyBorder="1"/>
    <xf numFmtId="0" fontId="25" fillId="0" borderId="30" xfId="10" applyFont="1" applyBorder="1" applyAlignment="1">
      <alignment horizontal="center" vertical="top" wrapText="1"/>
    </xf>
    <xf numFmtId="0" fontId="11" fillId="0" borderId="0" xfId="12"/>
    <xf numFmtId="0" fontId="25" fillId="0" borderId="0" xfId="12" applyFont="1"/>
    <xf numFmtId="0" fontId="11" fillId="0" borderId="0" xfId="12" applyAlignment="1">
      <alignment vertical="center"/>
    </xf>
    <xf numFmtId="0" fontId="17" fillId="0" borderId="0" xfId="12" applyFont="1" applyAlignment="1">
      <alignment vertical="center"/>
    </xf>
    <xf numFmtId="0" fontId="11" fillId="4" borderId="0" xfId="12" applyFill="1"/>
    <xf numFmtId="0" fontId="12" fillId="4" borderId="0" xfId="12" applyFont="1" applyFill="1" applyAlignment="1">
      <alignment horizontal="center" vertical="center"/>
    </xf>
    <xf numFmtId="0" fontId="25" fillId="4" borderId="0" xfId="12" applyFont="1" applyFill="1" applyAlignment="1">
      <alignment horizontal="left" vertical="center"/>
    </xf>
    <xf numFmtId="0" fontId="11" fillId="4" borderId="0" xfId="12" applyFill="1" applyAlignment="1">
      <alignment vertical="center"/>
    </xf>
    <xf numFmtId="0" fontId="11" fillId="4" borderId="0" xfId="12" applyFill="1" applyAlignment="1">
      <alignment horizontal="center" vertical="center"/>
    </xf>
    <xf numFmtId="0" fontId="11" fillId="4" borderId="0" xfId="12" applyFill="1" applyAlignment="1">
      <alignment horizontal="center"/>
    </xf>
    <xf numFmtId="0" fontId="25" fillId="4" borderId="0" xfId="12" applyFont="1" applyFill="1" applyAlignment="1" applyProtection="1">
      <alignment vertical="center"/>
      <protection locked="0"/>
    </xf>
    <xf numFmtId="0" fontId="31" fillId="4" borderId="0" xfId="12" applyFont="1" applyFill="1"/>
    <xf numFmtId="0" fontId="15" fillId="0" borderId="0" xfId="12" applyFont="1" applyAlignment="1">
      <alignment horizontal="left"/>
    </xf>
    <xf numFmtId="0" fontId="15" fillId="0" borderId="0" xfId="12" applyFont="1" applyAlignment="1">
      <alignment vertical="center"/>
    </xf>
    <xf numFmtId="0" fontId="31" fillId="0" borderId="0" xfId="12" applyFont="1" applyAlignment="1">
      <alignment vertical="center"/>
    </xf>
    <xf numFmtId="0" fontId="39" fillId="0" borderId="0" xfId="12" applyFont="1" applyAlignment="1">
      <alignment vertical="center"/>
    </xf>
    <xf numFmtId="0" fontId="18" fillId="4" borderId="0" xfId="12" applyFont="1" applyFill="1" applyAlignment="1">
      <alignment vertical="center" wrapText="1"/>
    </xf>
    <xf numFmtId="0" fontId="15" fillId="0" borderId="0" xfId="12" applyFont="1"/>
    <xf numFmtId="0" fontId="25" fillId="0" borderId="0" xfId="12" applyFont="1" applyAlignment="1">
      <alignment horizontal="center" vertical="center" wrapText="1"/>
    </xf>
    <xf numFmtId="0" fontId="18" fillId="0" borderId="0" xfId="12" applyFont="1" applyAlignment="1">
      <alignment vertical="center"/>
    </xf>
    <xf numFmtId="0" fontId="11" fillId="0" borderId="36" xfId="12" applyBorder="1"/>
    <xf numFmtId="0" fontId="11" fillId="0" borderId="37" xfId="12" applyBorder="1"/>
    <xf numFmtId="0" fontId="12" fillId="0" borderId="0" xfId="12" applyFont="1" applyAlignment="1">
      <alignment horizontal="center"/>
    </xf>
    <xf numFmtId="0" fontId="36" fillId="0" borderId="0" xfId="12" applyFont="1" applyAlignment="1">
      <alignment vertical="center"/>
    </xf>
    <xf numFmtId="0" fontId="27" fillId="0" borderId="0" xfId="12" applyFont="1"/>
    <xf numFmtId="0" fontId="25" fillId="0" borderId="1" xfId="12" applyFont="1" applyBorder="1" applyAlignment="1">
      <alignment horizontal="center" vertical="center"/>
    </xf>
    <xf numFmtId="0" fontId="25" fillId="0" borderId="0" xfId="12" applyFont="1" applyAlignment="1">
      <alignment horizontal="center" vertical="center"/>
    </xf>
    <xf numFmtId="0" fontId="12" fillId="0" borderId="110" xfId="12" applyFont="1" applyBorder="1" applyAlignment="1">
      <alignment horizontal="center"/>
    </xf>
    <xf numFmtId="0" fontId="25" fillId="0" borderId="111" xfId="12" applyFont="1" applyBorder="1" applyAlignment="1">
      <alignment horizontal="center"/>
    </xf>
    <xf numFmtId="0" fontId="11" fillId="0" borderId="111" xfId="12" applyBorder="1" applyAlignment="1">
      <alignment horizontal="center"/>
    </xf>
    <xf numFmtId="0" fontId="12" fillId="0" borderId="111" xfId="12" applyFont="1" applyBorder="1" applyAlignment="1">
      <alignment horizontal="center"/>
    </xf>
    <xf numFmtId="0" fontId="41" fillId="0" borderId="0" xfId="12" applyFont="1"/>
    <xf numFmtId="0" fontId="86" fillId="0" borderId="28" xfId="12" applyFont="1" applyBorder="1" applyAlignment="1">
      <alignment horizontal="center" vertical="center"/>
    </xf>
    <xf numFmtId="0" fontId="86" fillId="0" borderId="29" xfId="12" applyFont="1" applyBorder="1" applyAlignment="1">
      <alignment horizontal="center" vertical="center"/>
    </xf>
    <xf numFmtId="0" fontId="11" fillId="0" borderId="0" xfId="12" applyAlignment="1">
      <alignment horizontal="left"/>
    </xf>
    <xf numFmtId="0" fontId="75" fillId="0" borderId="111" xfId="12" applyFont="1" applyBorder="1" applyAlignment="1">
      <alignment horizontal="center"/>
    </xf>
    <xf numFmtId="0" fontId="80" fillId="0" borderId="111" xfId="12" applyFont="1" applyBorder="1" applyAlignment="1">
      <alignment horizontal="center"/>
    </xf>
    <xf numFmtId="0" fontId="84" fillId="0" borderId="1" xfId="12" applyFont="1" applyBorder="1" applyAlignment="1">
      <alignment horizontal="left" vertical="top"/>
    </xf>
    <xf numFmtId="0" fontId="84" fillId="0" borderId="0" xfId="12" applyFont="1" applyAlignment="1">
      <alignment horizontal="left" vertical="top"/>
    </xf>
    <xf numFmtId="0" fontId="12" fillId="0" borderId="112" xfId="12" applyFont="1" applyBorder="1" applyAlignment="1">
      <alignment horizontal="center"/>
    </xf>
    <xf numFmtId="0" fontId="25" fillId="0" borderId="28" xfId="12" applyFont="1" applyBorder="1" applyAlignment="1">
      <alignment horizontal="left" vertical="top" wrapText="1"/>
    </xf>
    <xf numFmtId="0" fontId="25" fillId="0" borderId="29" xfId="12" applyFont="1" applyBorder="1" applyAlignment="1">
      <alignment horizontal="left" vertical="top" wrapText="1"/>
    </xf>
    <xf numFmtId="0" fontId="11" fillId="0" borderId="110" xfId="12" applyBorder="1" applyAlignment="1">
      <alignment horizontal="center" vertical="top" wrapText="1"/>
    </xf>
    <xf numFmtId="0" fontId="11" fillId="0" borderId="0" xfId="12" applyAlignment="1">
      <alignment horizontal="center"/>
    </xf>
    <xf numFmtId="0" fontId="11" fillId="0" borderId="111" xfId="12" applyBorder="1" applyAlignment="1">
      <alignment horizontal="center" vertical="top" wrapText="1"/>
    </xf>
    <xf numFmtId="0" fontId="29" fillId="0" borderId="0" xfId="12" applyFont="1" applyAlignment="1">
      <alignment horizontal="center"/>
    </xf>
    <xf numFmtId="0" fontId="80" fillId="0" borderId="111" xfId="12" applyFont="1" applyBorder="1" applyAlignment="1">
      <alignment horizontal="center" vertical="top" wrapText="1"/>
    </xf>
    <xf numFmtId="0" fontId="12" fillId="0" borderId="111" xfId="12" applyFont="1" applyBorder="1" applyAlignment="1">
      <alignment horizontal="center" vertical="top" wrapText="1"/>
    </xf>
    <xf numFmtId="0" fontId="25" fillId="0" borderId="1" xfId="12" applyFont="1" applyBorder="1" applyAlignment="1">
      <alignment horizontal="center" vertical="top"/>
    </xf>
    <xf numFmtId="0" fontId="25" fillId="0" borderId="0" xfId="12" applyFont="1" applyAlignment="1">
      <alignment horizontal="center" vertical="top"/>
    </xf>
    <xf numFmtId="0" fontId="25" fillId="0" borderId="147" xfId="12" applyFont="1" applyBorder="1" applyAlignment="1">
      <alignment horizontal="left"/>
    </xf>
    <xf numFmtId="0" fontId="11" fillId="0" borderId="15" xfId="12" applyBorder="1" applyAlignment="1">
      <alignment horizontal="left"/>
    </xf>
    <xf numFmtId="0" fontId="11" fillId="0" borderId="87" xfId="12" applyBorder="1" applyAlignment="1">
      <alignment horizontal="left"/>
    </xf>
    <xf numFmtId="0" fontId="25" fillId="0" borderId="0" xfId="12" applyFont="1" applyAlignment="1">
      <alignment vertical="center"/>
    </xf>
    <xf numFmtId="0" fontId="12" fillId="0" borderId="112" xfId="12" applyFont="1" applyBorder="1" applyAlignment="1">
      <alignment horizontal="center" vertical="top" wrapText="1"/>
    </xf>
    <xf numFmtId="0" fontId="31" fillId="0" borderId="0" xfId="12" applyFont="1"/>
    <xf numFmtId="0" fontId="31" fillId="0" borderId="0" xfId="12" applyFont="1" applyAlignment="1">
      <alignment horizontal="center"/>
    </xf>
    <xf numFmtId="0" fontId="58" fillId="0" borderId="0" xfId="12" applyFont="1"/>
    <xf numFmtId="0" fontId="15" fillId="0" borderId="53" xfId="12" applyFont="1" applyBorder="1" applyAlignment="1">
      <alignment horizontal="center" vertical="center"/>
    </xf>
    <xf numFmtId="0" fontId="15" fillId="0" borderId="4" xfId="12" applyFont="1" applyBorder="1" applyAlignment="1">
      <alignment horizontal="center" vertical="center" wrapText="1"/>
    </xf>
    <xf numFmtId="0" fontId="15" fillId="0" borderId="54" xfId="12" applyFont="1" applyBorder="1" applyAlignment="1">
      <alignment horizontal="center" vertical="center" wrapText="1"/>
    </xf>
    <xf numFmtId="0" fontId="15" fillId="0" borderId="43" xfId="12" applyFont="1" applyBorder="1" applyAlignment="1">
      <alignment horizontal="center" wrapText="1"/>
    </xf>
    <xf numFmtId="0" fontId="31" fillId="0" borderId="70" xfId="12" applyFont="1" applyBorder="1" applyAlignment="1">
      <alignment horizontal="center"/>
    </xf>
    <xf numFmtId="0" fontId="31" fillId="0" borderId="14" xfId="12" applyFont="1" applyBorder="1" applyAlignment="1">
      <alignment horizontal="center"/>
    </xf>
    <xf numFmtId="0" fontId="31" fillId="0" borderId="46" xfId="12" applyFont="1" applyBorder="1" applyAlignment="1">
      <alignment horizontal="center"/>
    </xf>
    <xf numFmtId="0" fontId="31" fillId="0" borderId="68" xfId="12" applyFont="1" applyBorder="1" applyAlignment="1">
      <alignment horizontal="center"/>
    </xf>
    <xf numFmtId="0" fontId="31" fillId="0" borderId="3" xfId="12" applyFont="1" applyBorder="1" applyAlignment="1">
      <alignment horizontal="center"/>
    </xf>
    <xf numFmtId="0" fontId="31" fillId="0" borderId="69" xfId="12" applyFont="1" applyBorder="1" applyAlignment="1">
      <alignment horizontal="center"/>
    </xf>
    <xf numFmtId="0" fontId="31" fillId="0" borderId="62" xfId="12" applyFont="1" applyBorder="1" applyAlignment="1">
      <alignment horizontal="center"/>
    </xf>
    <xf numFmtId="0" fontId="31" fillId="0" borderId="63" xfId="12" applyFont="1" applyBorder="1" applyAlignment="1">
      <alignment horizontal="center"/>
    </xf>
    <xf numFmtId="0" fontId="31" fillId="0" borderId="65" xfId="12" applyFont="1" applyBorder="1" applyAlignment="1">
      <alignment horizontal="center"/>
    </xf>
    <xf numFmtId="0" fontId="15" fillId="0" borderId="12" xfId="12" applyFont="1" applyBorder="1" applyAlignment="1">
      <alignment horizontal="center" vertical="center"/>
    </xf>
    <xf numFmtId="0" fontId="15" fillId="0" borderId="4" xfId="12" applyFont="1" applyBorder="1" applyAlignment="1">
      <alignment horizontal="center" vertical="center"/>
    </xf>
    <xf numFmtId="0" fontId="15" fillId="0" borderId="12" xfId="12" applyFont="1" applyBorder="1" applyAlignment="1">
      <alignment horizontal="center" vertical="center" wrapText="1"/>
    </xf>
    <xf numFmtId="0" fontId="15" fillId="0" borderId="43" xfId="12" applyFont="1" applyBorder="1" applyAlignment="1">
      <alignment horizontal="center" vertical="center" wrapText="1"/>
    </xf>
    <xf numFmtId="0" fontId="15" fillId="0" borderId="13" xfId="12" applyFont="1" applyBorder="1" applyAlignment="1">
      <alignment horizontal="center" vertical="center"/>
    </xf>
    <xf numFmtId="0" fontId="15" fillId="0" borderId="14" xfId="12" applyFont="1" applyBorder="1" applyAlignment="1">
      <alignment horizontal="center" vertical="center"/>
    </xf>
    <xf numFmtId="0" fontId="15" fillId="0" borderId="14" xfId="12" applyFont="1" applyBorder="1" applyAlignment="1">
      <alignment horizontal="center" vertical="center" wrapText="1"/>
    </xf>
    <xf numFmtId="0" fontId="15" fillId="0" borderId="46" xfId="12" applyFont="1" applyBorder="1" applyAlignment="1">
      <alignment horizontal="center" vertical="center" wrapText="1"/>
    </xf>
    <xf numFmtId="0" fontId="15" fillId="0" borderId="9" xfId="12" applyFont="1" applyBorder="1" applyAlignment="1">
      <alignment horizontal="center" vertical="center"/>
    </xf>
    <xf numFmtId="0" fontId="15" fillId="0" borderId="3" xfId="12" applyFont="1" applyBorder="1" applyAlignment="1">
      <alignment horizontal="center" vertical="center"/>
    </xf>
    <xf numFmtId="0" fontId="15" fillId="0" borderId="3" xfId="12" applyFont="1" applyBorder="1" applyAlignment="1">
      <alignment horizontal="center" vertical="center" wrapText="1"/>
    </xf>
    <xf numFmtId="0" fontId="15" fillId="0" borderId="69" xfId="12" applyFont="1" applyBorder="1" applyAlignment="1">
      <alignment horizontal="center" vertical="center" wrapText="1"/>
    </xf>
    <xf numFmtId="0" fontId="15" fillId="0" borderId="9" xfId="12" applyFont="1" applyBorder="1" applyAlignment="1">
      <alignment horizontal="center"/>
    </xf>
    <xf numFmtId="0" fontId="15" fillId="0" borderId="3" xfId="12" applyFont="1" applyBorder="1" applyAlignment="1">
      <alignment horizontal="center"/>
    </xf>
    <xf numFmtId="0" fontId="15" fillId="0" borderId="69" xfId="12" applyFont="1" applyBorder="1" applyAlignment="1">
      <alignment horizontal="center"/>
    </xf>
    <xf numFmtId="0" fontId="15" fillId="0" borderId="64" xfId="12" applyFont="1" applyBorder="1" applyAlignment="1">
      <alignment horizontal="center" vertical="center"/>
    </xf>
    <xf numFmtId="0" fontId="15" fillId="0" borderId="63" xfId="12" applyFont="1" applyBorder="1" applyAlignment="1">
      <alignment horizontal="center" vertical="center"/>
    </xf>
    <xf numFmtId="0" fontId="15" fillId="0" borderId="63" xfId="12" applyFont="1" applyBorder="1" applyAlignment="1">
      <alignment horizontal="center" vertical="center" wrapText="1"/>
    </xf>
    <xf numFmtId="0" fontId="15" fillId="0" borderId="65" xfId="12" applyFont="1" applyBorder="1" applyAlignment="1">
      <alignment horizontal="center" vertical="center" wrapText="1"/>
    </xf>
    <xf numFmtId="0" fontId="15" fillId="0" borderId="10" xfId="12" applyFont="1" applyBorder="1" applyAlignment="1">
      <alignment horizontal="center" vertical="center" wrapText="1"/>
    </xf>
    <xf numFmtId="0" fontId="15" fillId="0" borderId="75" xfId="12" applyFont="1" applyBorder="1" applyAlignment="1">
      <alignment horizontal="center" vertical="center" wrapText="1"/>
    </xf>
    <xf numFmtId="0" fontId="15" fillId="0" borderId="13" xfId="12" applyFont="1" applyBorder="1" applyAlignment="1">
      <alignment horizontal="center"/>
    </xf>
    <xf numFmtId="0" fontId="15" fillId="0" borderId="14" xfId="12" applyFont="1" applyBorder="1" applyAlignment="1">
      <alignment horizontal="center"/>
    </xf>
    <xf numFmtId="0" fontId="15" fillId="0" borderId="5" xfId="12" applyFont="1" applyBorder="1" applyAlignment="1">
      <alignment horizontal="center"/>
    </xf>
    <xf numFmtId="0" fontId="15" fillId="0" borderId="46" xfId="12" applyFont="1" applyBorder="1" applyAlignment="1">
      <alignment horizontal="center"/>
    </xf>
    <xf numFmtId="0" fontId="15" fillId="0" borderId="8" xfId="12" applyFont="1" applyBorder="1" applyAlignment="1">
      <alignment horizontal="center"/>
    </xf>
    <xf numFmtId="0" fontId="15" fillId="0" borderId="64" xfId="12" applyFont="1" applyBorder="1" applyAlignment="1">
      <alignment horizontal="center"/>
    </xf>
    <xf numFmtId="0" fontId="15" fillId="0" borderId="63" xfId="12" applyFont="1" applyBorder="1" applyAlignment="1">
      <alignment horizontal="center"/>
    </xf>
    <xf numFmtId="0" fontId="15" fillId="0" borderId="85" xfId="12" applyFont="1" applyBorder="1" applyAlignment="1">
      <alignment horizontal="center"/>
    </xf>
    <xf numFmtId="0" fontId="15" fillId="0" borderId="65" xfId="12" applyFont="1" applyBorder="1" applyAlignment="1">
      <alignment horizontal="center"/>
    </xf>
    <xf numFmtId="0" fontId="15" fillId="0" borderId="35" xfId="12" applyFont="1" applyBorder="1" applyAlignment="1">
      <alignment horizontal="center"/>
    </xf>
    <xf numFmtId="0" fontId="15" fillId="0" borderId="38" xfId="12" applyFont="1" applyBorder="1" applyAlignment="1">
      <alignment horizontal="center"/>
    </xf>
    <xf numFmtId="0" fontId="17" fillId="9" borderId="0" xfId="0" applyFont="1" applyFill="1" applyAlignment="1">
      <alignment horizontal="left" vertical="center"/>
    </xf>
    <xf numFmtId="14" fontId="25" fillId="9" borderId="0" xfId="0" applyNumberFormat="1" applyFont="1" applyFill="1" applyAlignment="1">
      <alignment horizontal="left" vertical="center"/>
    </xf>
    <xf numFmtId="0" fontId="15" fillId="9" borderId="0" xfId="0" applyFont="1" applyFill="1" applyAlignment="1">
      <alignment vertical="center"/>
    </xf>
    <xf numFmtId="0" fontId="15" fillId="9" borderId="0" xfId="0" applyFont="1" applyFill="1" applyAlignment="1">
      <alignment horizontal="left" vertical="center"/>
    </xf>
    <xf numFmtId="0" fontId="25" fillId="9" borderId="0" xfId="12" applyFont="1" applyFill="1" applyAlignment="1">
      <alignment vertical="center"/>
    </xf>
    <xf numFmtId="49" fontId="12" fillId="14" borderId="0" xfId="12" applyNumberFormat="1" applyFont="1" applyFill="1" applyAlignment="1">
      <alignment horizontal="center" vertical="center"/>
    </xf>
    <xf numFmtId="0" fontId="12" fillId="14" borderId="0" xfId="12" applyFont="1" applyFill="1" applyAlignment="1">
      <alignment vertical="center"/>
    </xf>
    <xf numFmtId="0" fontId="12" fillId="14" borderId="0" xfId="12" applyFont="1" applyFill="1" applyAlignment="1">
      <alignment horizontal="right" vertical="center"/>
    </xf>
    <xf numFmtId="0" fontId="24" fillId="0" borderId="2" xfId="12" applyFont="1" applyBorder="1" applyAlignment="1">
      <alignment horizontal="center" vertical="center" wrapText="1"/>
    </xf>
    <xf numFmtId="0" fontId="25" fillId="14" borderId="0" xfId="12" applyFont="1" applyFill="1"/>
    <xf numFmtId="0" fontId="11" fillId="0" borderId="0" xfId="12" applyAlignment="1">
      <alignment horizontal="right"/>
    </xf>
    <xf numFmtId="0" fontId="12" fillId="14" borderId="0" xfId="12" applyFont="1" applyFill="1" applyAlignment="1">
      <alignment horizontal="center" vertical="center"/>
    </xf>
    <xf numFmtId="0" fontId="12" fillId="0" borderId="0" xfId="12" applyFont="1" applyAlignment="1">
      <alignment vertical="center"/>
    </xf>
    <xf numFmtId="0" fontId="11" fillId="2" borderId="80" xfId="12" applyFill="1" applyBorder="1" applyAlignment="1" applyProtection="1">
      <alignment horizontal="center" vertical="center"/>
      <protection locked="0"/>
    </xf>
    <xf numFmtId="0" fontId="25" fillId="0" borderId="84" xfId="12" applyFont="1" applyBorder="1" applyAlignment="1">
      <alignment vertical="center"/>
    </xf>
    <xf numFmtId="0" fontId="11" fillId="0" borderId="84" xfId="12" applyBorder="1" applyAlignment="1">
      <alignment horizontal="center" vertical="center"/>
    </xf>
    <xf numFmtId="1" fontId="11" fillId="2" borderId="84" xfId="12" applyNumberFormat="1" applyFill="1" applyBorder="1" applyAlignment="1" applyProtection="1">
      <alignment horizontal="center" vertical="center"/>
      <protection locked="0"/>
    </xf>
    <xf numFmtId="0" fontId="26" fillId="0" borderId="84" xfId="12" applyFont="1" applyBorder="1" applyAlignment="1">
      <alignment horizontal="left" vertical="center" wrapText="1"/>
    </xf>
    <xf numFmtId="0" fontId="77" fillId="14" borderId="0" xfId="12" applyFont="1" applyFill="1" applyAlignment="1">
      <alignment horizontal="center" vertical="center"/>
    </xf>
    <xf numFmtId="0" fontId="77" fillId="0" borderId="0" xfId="12" applyFont="1" applyAlignment="1">
      <alignment horizontal="right"/>
    </xf>
    <xf numFmtId="0" fontId="11" fillId="0" borderId="80" xfId="12" applyBorder="1" applyAlignment="1">
      <alignment vertical="center"/>
    </xf>
    <xf numFmtId="0" fontId="11" fillId="5" borderId="80" xfId="12" applyFill="1" applyBorder="1" applyAlignment="1">
      <alignment horizontal="center" vertical="center"/>
    </xf>
    <xf numFmtId="0" fontId="11" fillId="0" borderId="80" xfId="12" applyBorder="1" applyAlignment="1">
      <alignment horizontal="left" vertical="center" wrapText="1"/>
    </xf>
    <xf numFmtId="0" fontId="77" fillId="14" borderId="159" xfId="12" applyFont="1" applyFill="1" applyBorder="1" applyAlignment="1">
      <alignment horizontal="center" vertical="center"/>
    </xf>
    <xf numFmtId="0" fontId="11" fillId="0" borderId="80" xfId="12" applyBorder="1" applyAlignment="1">
      <alignment horizontal="center" vertical="center"/>
    </xf>
    <xf numFmtId="0" fontId="11" fillId="8" borderId="80" xfId="12" applyFill="1" applyBorder="1" applyAlignment="1">
      <alignment vertical="center"/>
    </xf>
    <xf numFmtId="0" fontId="11" fillId="8" borderId="80" xfId="12" applyFill="1" applyBorder="1" applyAlignment="1">
      <alignment horizontal="center" vertical="center"/>
    </xf>
    <xf numFmtId="1" fontId="11" fillId="8" borderId="84" xfId="12" applyNumberFormat="1" applyFill="1" applyBorder="1" applyAlignment="1" applyProtection="1">
      <alignment horizontal="center" vertical="center"/>
      <protection locked="0"/>
    </xf>
    <xf numFmtId="0" fontId="11" fillId="8" borderId="80" xfId="12" applyFill="1" applyBorder="1" applyAlignment="1">
      <alignment horizontal="left" vertical="center" wrapText="1"/>
    </xf>
    <xf numFmtId="1" fontId="11" fillId="8" borderId="80" xfId="12" applyNumberFormat="1" applyFill="1" applyBorder="1" applyAlignment="1" applyProtection="1">
      <alignment horizontal="center" vertical="center"/>
      <protection locked="0"/>
    </xf>
    <xf numFmtId="0" fontId="11" fillId="0" borderId="80" xfId="12" applyBorder="1" applyAlignment="1" applyProtection="1">
      <alignment horizontal="center" vertical="center"/>
      <protection locked="0"/>
    </xf>
    <xf numFmtId="0" fontId="11" fillId="8" borderId="80" xfId="12" applyFill="1" applyBorder="1" applyAlignment="1" applyProtection="1">
      <alignment horizontal="center" vertical="center"/>
      <protection locked="0"/>
    </xf>
    <xf numFmtId="165" fontId="11" fillId="0" borderId="0" xfId="12" applyNumberFormat="1"/>
    <xf numFmtId="49" fontId="11" fillId="0" borderId="0" xfId="12" applyNumberFormat="1"/>
    <xf numFmtId="11" fontId="11" fillId="8" borderId="80" xfId="12" applyNumberFormat="1" applyFill="1" applyBorder="1" applyAlignment="1">
      <alignment horizontal="center" vertical="center"/>
    </xf>
    <xf numFmtId="0" fontId="11" fillId="8" borderId="0" xfId="12" applyFill="1"/>
    <xf numFmtId="0" fontId="11" fillId="8" borderId="80" xfId="12" applyFill="1" applyBorder="1" applyAlignment="1">
      <alignment vertical="center" wrapText="1"/>
    </xf>
    <xf numFmtId="0" fontId="11" fillId="14" borderId="0" xfId="12" applyFill="1" applyAlignment="1">
      <alignment vertical="center"/>
    </xf>
    <xf numFmtId="0" fontId="11" fillId="14" borderId="0" xfId="12" applyFill="1" applyAlignment="1">
      <alignment horizontal="center" vertical="center"/>
    </xf>
    <xf numFmtId="0" fontId="17" fillId="9" borderId="0" xfId="10" applyFont="1" applyFill="1" applyAlignment="1">
      <alignment vertical="center"/>
    </xf>
    <xf numFmtId="0" fontId="31" fillId="0" borderId="0" xfId="12" applyFont="1" applyAlignment="1">
      <alignment horizontal="center" vertical="center"/>
    </xf>
    <xf numFmtId="0" fontId="15" fillId="0" borderId="0" xfId="12" applyFont="1" applyAlignment="1">
      <alignment horizontal="center"/>
    </xf>
    <xf numFmtId="0" fontId="15" fillId="0" borderId="0" xfId="12" applyFont="1" applyAlignment="1">
      <alignment horizontal="center" vertical="center" wrapText="1"/>
    </xf>
    <xf numFmtId="0" fontId="81" fillId="0" borderId="0" xfId="12" applyFont="1" applyAlignment="1">
      <alignment vertical="top" wrapText="1"/>
    </xf>
    <xf numFmtId="0" fontId="88" fillId="0" borderId="0" xfId="12" applyFont="1" applyAlignment="1">
      <alignment horizontal="right"/>
    </xf>
    <xf numFmtId="0" fontId="81" fillId="0" borderId="0" xfId="12" applyFont="1" applyAlignment="1">
      <alignment vertical="center" wrapText="1"/>
    </xf>
    <xf numFmtId="0" fontId="15" fillId="0" borderId="74" xfId="12" applyFont="1" applyBorder="1" applyAlignment="1">
      <alignment horizontal="center" vertical="center"/>
    </xf>
    <xf numFmtId="0" fontId="15" fillId="0" borderId="109" xfId="12" applyFont="1" applyBorder="1" applyAlignment="1">
      <alignment horizontal="center" vertical="center"/>
    </xf>
    <xf numFmtId="0" fontId="15" fillId="0" borderId="75" xfId="12" applyFont="1" applyBorder="1" applyAlignment="1">
      <alignment horizontal="center" vertical="center"/>
    </xf>
    <xf numFmtId="0" fontId="15" fillId="0" borderId="70" xfId="12" applyFont="1" applyBorder="1" applyAlignment="1">
      <alignment horizontal="center"/>
    </xf>
    <xf numFmtId="0" fontId="15" fillId="0" borderId="62" xfId="12" applyFont="1" applyBorder="1" applyAlignment="1">
      <alignment horizontal="center"/>
    </xf>
    <xf numFmtId="0" fontId="38" fillId="0" borderId="0" xfId="12" applyFont="1" applyAlignment="1">
      <alignment horizontal="center" vertical="center"/>
    </xf>
    <xf numFmtId="0" fontId="77" fillId="0" borderId="0" xfId="12" applyFont="1"/>
    <xf numFmtId="0" fontId="32" fillId="9" borderId="0" xfId="10" applyFont="1" applyFill="1" applyAlignment="1">
      <alignment vertical="center"/>
    </xf>
    <xf numFmtId="0" fontId="38" fillId="0" borderId="77" xfId="12" applyFont="1" applyBorder="1" applyAlignment="1" applyProtection="1">
      <alignment horizontal="center" vertical="center"/>
      <protection locked="0"/>
    </xf>
    <xf numFmtId="0" fontId="15" fillId="4" borderId="0" xfId="12" applyFont="1" applyFill="1" applyAlignment="1">
      <alignment horizontal="left"/>
    </xf>
    <xf numFmtId="0" fontId="15" fillId="4" borderId="0" xfId="12" applyFont="1" applyFill="1" applyAlignment="1">
      <alignment vertical="center"/>
    </xf>
    <xf numFmtId="0" fontId="32" fillId="4" borderId="0" xfId="12" applyFont="1" applyFill="1" applyAlignment="1">
      <alignment vertical="center"/>
    </xf>
    <xf numFmtId="0" fontId="33" fillId="4" borderId="0" xfId="12" applyFont="1" applyFill="1" applyAlignment="1">
      <alignment horizontal="centerContinuous"/>
    </xf>
    <xf numFmtId="0" fontId="11" fillId="4" borderId="0" xfId="12" applyFill="1" applyAlignment="1">
      <alignment horizontal="centerContinuous"/>
    </xf>
    <xf numFmtId="0" fontId="31" fillId="4" borderId="0" xfId="12" applyFont="1" applyFill="1" applyAlignment="1">
      <alignment vertical="center"/>
    </xf>
    <xf numFmtId="0" fontId="33" fillId="4" borderId="0" xfId="12" applyFont="1" applyFill="1" applyAlignment="1">
      <alignment horizontal="centerContinuous" vertical="center"/>
    </xf>
    <xf numFmtId="0" fontId="11" fillId="4" borderId="0" xfId="12" applyFill="1" applyAlignment="1">
      <alignment horizontal="centerContinuous" vertical="center"/>
    </xf>
    <xf numFmtId="0" fontId="27" fillId="4" borderId="0" xfId="12" applyFont="1" applyFill="1" applyAlignment="1">
      <alignment vertical="center"/>
    </xf>
    <xf numFmtId="0" fontId="15" fillId="4" borderId="28" xfId="12" applyFont="1" applyFill="1" applyBorder="1" applyAlignment="1">
      <alignment vertical="center"/>
    </xf>
    <xf numFmtId="0" fontId="15" fillId="4" borderId="29" xfId="12" applyFont="1" applyFill="1" applyBorder="1" applyAlignment="1">
      <alignment horizontal="left" vertical="center"/>
    </xf>
    <xf numFmtId="0" fontId="11" fillId="4" borderId="29" xfId="12" applyFill="1" applyBorder="1" applyAlignment="1">
      <alignment vertical="center"/>
    </xf>
    <xf numFmtId="0" fontId="32" fillId="4" borderId="29" xfId="12" applyFont="1" applyFill="1" applyBorder="1" applyAlignment="1">
      <alignment vertical="center"/>
    </xf>
    <xf numFmtId="0" fontId="32" fillId="4" borderId="30" xfId="12" applyFont="1" applyFill="1" applyBorder="1" applyAlignment="1">
      <alignment vertical="center"/>
    </xf>
    <xf numFmtId="0" fontId="17" fillId="4" borderId="1" xfId="12" applyFont="1" applyFill="1" applyBorder="1" applyAlignment="1">
      <alignment vertical="center"/>
    </xf>
    <xf numFmtId="0" fontId="17" fillId="4" borderId="0" xfId="12" applyFont="1" applyFill="1" applyAlignment="1">
      <alignment vertical="center"/>
    </xf>
    <xf numFmtId="0" fontId="11" fillId="4" borderId="35" xfId="12" applyFill="1" applyBorder="1" applyAlignment="1">
      <alignment vertical="center"/>
    </xf>
    <xf numFmtId="0" fontId="31" fillId="4" borderId="0" xfId="12" applyFont="1" applyFill="1" applyAlignment="1">
      <alignment horizontal="left" vertical="center"/>
    </xf>
    <xf numFmtId="0" fontId="35" fillId="4" borderId="1" xfId="12" applyFont="1" applyFill="1" applyBorder="1" applyAlignment="1">
      <alignment vertical="center"/>
    </xf>
    <xf numFmtId="0" fontId="11" fillId="4" borderId="36" xfId="12" applyFill="1" applyBorder="1" applyAlignment="1">
      <alignment vertical="center"/>
    </xf>
    <xf numFmtId="0" fontId="11" fillId="4" borderId="37" xfId="12" applyFill="1" applyBorder="1" applyAlignment="1">
      <alignment vertical="center"/>
    </xf>
    <xf numFmtId="0" fontId="11" fillId="4" borderId="38" xfId="12" applyFill="1" applyBorder="1" applyAlignment="1">
      <alignment vertical="center"/>
    </xf>
    <xf numFmtId="0" fontId="36" fillId="4" borderId="0" xfId="12" applyFont="1" applyFill="1" applyAlignment="1">
      <alignment horizontal="left" vertical="center"/>
    </xf>
    <xf numFmtId="165" fontId="11" fillId="4" borderId="0" xfId="12" applyNumberFormat="1" applyFill="1" applyAlignment="1">
      <alignment horizontal="left" vertical="center"/>
    </xf>
    <xf numFmtId="0" fontId="25" fillId="4" borderId="0" xfId="12" applyFont="1" applyFill="1" applyAlignment="1">
      <alignment vertical="center"/>
    </xf>
    <xf numFmtId="0" fontId="11" fillId="4" borderId="15" xfId="12" applyFill="1" applyBorder="1" applyAlignment="1">
      <alignment vertical="center"/>
    </xf>
    <xf numFmtId="0" fontId="17" fillId="4" borderId="15" xfId="12" applyFont="1" applyFill="1" applyBorder="1" applyAlignment="1">
      <alignment horizontal="left" vertical="center"/>
    </xf>
    <xf numFmtId="0" fontId="18" fillId="4" borderId="15" xfId="12" applyFont="1" applyFill="1" applyBorder="1" applyAlignment="1">
      <alignment vertical="center"/>
    </xf>
    <xf numFmtId="0" fontId="27" fillId="4" borderId="0" xfId="12" applyFont="1" applyFill="1" applyAlignment="1">
      <alignment horizontal="right" vertical="center"/>
    </xf>
    <xf numFmtId="0" fontId="31" fillId="4" borderId="88" xfId="12" applyFont="1" applyFill="1" applyBorder="1" applyAlignment="1">
      <alignment vertical="center"/>
    </xf>
    <xf numFmtId="0" fontId="18" fillId="4" borderId="88" xfId="12" applyFont="1" applyFill="1" applyBorder="1" applyAlignment="1">
      <alignment vertical="center"/>
    </xf>
    <xf numFmtId="0" fontId="17" fillId="4" borderId="88" xfId="12" applyFont="1" applyFill="1" applyBorder="1" applyAlignment="1">
      <alignment horizontal="left" vertical="center"/>
    </xf>
    <xf numFmtId="0" fontId="27" fillId="4" borderId="0" xfId="12" applyFont="1" applyFill="1" applyAlignment="1">
      <alignment horizontal="left" vertical="center"/>
    </xf>
    <xf numFmtId="0" fontId="11" fillId="4" borderId="0" xfId="12" applyFill="1" applyAlignment="1">
      <alignment vertical="top"/>
    </xf>
    <xf numFmtId="0" fontId="18" fillId="4" borderId="15" xfId="12" applyFont="1" applyFill="1" applyBorder="1" applyAlignment="1" applyProtection="1">
      <alignment vertical="center"/>
      <protection locked="0"/>
    </xf>
    <xf numFmtId="0" fontId="17" fillId="4" borderId="16" xfId="12" applyFont="1" applyFill="1" applyBorder="1" applyAlignment="1" applyProtection="1">
      <alignment vertical="center"/>
      <protection locked="0"/>
    </xf>
    <xf numFmtId="0" fontId="18" fillId="4" borderId="16" xfId="12" applyFont="1" applyFill="1" applyBorder="1" applyAlignment="1" applyProtection="1">
      <alignment vertical="center"/>
      <protection locked="0"/>
    </xf>
    <xf numFmtId="0" fontId="31" fillId="0" borderId="15" xfId="12" applyFont="1" applyBorder="1" applyAlignment="1">
      <alignment horizontal="left" vertical="center"/>
    </xf>
    <xf numFmtId="0" fontId="18" fillId="4" borderId="16" xfId="12" applyFont="1" applyFill="1" applyBorder="1" applyAlignment="1">
      <alignment vertical="center"/>
    </xf>
    <xf numFmtId="0" fontId="17" fillId="4" borderId="16" xfId="12" applyFont="1" applyFill="1" applyBorder="1" applyAlignment="1">
      <alignment horizontal="left" vertical="center"/>
    </xf>
    <xf numFmtId="0" fontId="31" fillId="4" borderId="16" xfId="12" applyFont="1" applyFill="1" applyBorder="1" applyAlignment="1">
      <alignment horizontal="left" vertical="center"/>
    </xf>
    <xf numFmtId="0" fontId="11" fillId="4" borderId="0" xfId="12" applyFill="1" applyAlignment="1" applyProtection="1">
      <alignment vertical="center"/>
      <protection locked="0"/>
    </xf>
    <xf numFmtId="0" fontId="11" fillId="4" borderId="0" xfId="12" applyFill="1" applyAlignment="1">
      <alignment horizontal="left" vertical="center"/>
    </xf>
    <xf numFmtId="0" fontId="37" fillId="4" borderId="0" xfId="12" applyFont="1" applyFill="1" applyAlignment="1">
      <alignment horizontal="right" vertical="center"/>
    </xf>
    <xf numFmtId="0" fontId="38" fillId="4" borderId="0" xfId="12" applyFont="1" applyFill="1" applyAlignment="1">
      <alignment vertical="center"/>
    </xf>
    <xf numFmtId="0" fontId="39" fillId="4" borderId="0" xfId="12" applyFont="1" applyFill="1" applyAlignment="1">
      <alignment vertical="center"/>
    </xf>
    <xf numFmtId="0" fontId="65" fillId="4" borderId="0" xfId="12" applyFont="1" applyFill="1" applyAlignment="1">
      <alignment vertical="center"/>
    </xf>
    <xf numFmtId="0" fontId="38" fillId="4" borderId="15" xfId="12" applyFont="1" applyFill="1" applyBorder="1" applyAlignment="1" applyProtection="1">
      <alignment vertical="center"/>
      <protection locked="0"/>
    </xf>
    <xf numFmtId="0" fontId="39" fillId="4" borderId="15" xfId="12" applyFont="1" applyFill="1" applyBorder="1" applyAlignment="1" applyProtection="1">
      <alignment vertical="center"/>
      <protection locked="0"/>
    </xf>
    <xf numFmtId="0" fontId="11" fillId="4" borderId="15" xfId="12" applyFill="1" applyBorder="1" applyAlignment="1" applyProtection="1">
      <alignment vertical="center"/>
      <protection locked="0"/>
    </xf>
    <xf numFmtId="0" fontId="11" fillId="4" borderId="15" xfId="12" applyFill="1" applyBorder="1" applyAlignment="1" applyProtection="1">
      <alignment horizontal="left" vertical="center"/>
      <protection locked="0"/>
    </xf>
    <xf numFmtId="0" fontId="38" fillId="4" borderId="16" xfId="12" applyFont="1" applyFill="1" applyBorder="1" applyAlignment="1" applyProtection="1">
      <alignment vertical="center"/>
      <protection locked="0"/>
    </xf>
    <xf numFmtId="0" fontId="39" fillId="4" borderId="16" xfId="12" applyFont="1" applyFill="1" applyBorder="1" applyAlignment="1" applyProtection="1">
      <alignment vertical="center"/>
      <protection locked="0"/>
    </xf>
    <xf numFmtId="0" fontId="11" fillId="4" borderId="16" xfId="12" applyFill="1" applyBorder="1" applyAlignment="1" applyProtection="1">
      <alignment vertical="center"/>
      <protection locked="0"/>
    </xf>
    <xf numFmtId="0" fontId="11" fillId="4" borderId="16" xfId="12" applyFill="1" applyBorder="1" applyAlignment="1" applyProtection="1">
      <alignment horizontal="left" vertical="center"/>
      <protection locked="0"/>
    </xf>
    <xf numFmtId="0" fontId="25" fillId="2" borderId="58" xfId="12" applyFont="1" applyFill="1" applyBorder="1" applyAlignment="1">
      <alignment vertical="center"/>
    </xf>
    <xf numFmtId="0" fontId="25" fillId="2" borderId="44" xfId="12" applyFont="1" applyFill="1" applyBorder="1" applyAlignment="1">
      <alignment vertical="center"/>
    </xf>
    <xf numFmtId="0" fontId="18" fillId="4" borderId="61" xfId="12" applyFont="1" applyFill="1" applyBorder="1" applyAlignment="1" applyProtection="1">
      <alignment vertical="center"/>
      <protection locked="0"/>
    </xf>
    <xf numFmtId="0" fontId="11" fillId="4" borderId="11" xfId="12" applyFill="1" applyBorder="1" applyAlignment="1" applyProtection="1">
      <alignment vertical="center"/>
      <protection locked="0"/>
    </xf>
    <xf numFmtId="0" fontId="18" fillId="4" borderId="93" xfId="12" applyFont="1" applyFill="1" applyBorder="1" applyAlignment="1" applyProtection="1">
      <alignment vertical="center"/>
      <protection locked="0"/>
    </xf>
    <xf numFmtId="0" fontId="25" fillId="4" borderId="0" xfId="12" applyFont="1" applyFill="1" applyAlignment="1">
      <alignment horizontal="left"/>
    </xf>
    <xf numFmtId="0" fontId="39" fillId="4" borderId="0" xfId="12" applyFont="1" applyFill="1"/>
    <xf numFmtId="0" fontId="15" fillId="4" borderId="0" xfId="12" applyFont="1" applyFill="1"/>
    <xf numFmtId="164" fontId="15" fillId="4" borderId="0" xfId="12" applyNumberFormat="1" applyFont="1" applyFill="1"/>
    <xf numFmtId="0" fontId="11" fillId="4" borderId="0" xfId="12" applyFill="1" applyAlignment="1">
      <alignment vertical="justify"/>
    </xf>
    <xf numFmtId="0" fontId="25" fillId="4" borderId="0" xfId="12" applyFont="1" applyFill="1"/>
    <xf numFmtId="0" fontId="11" fillId="4" borderId="0" xfId="12" applyFill="1" applyAlignment="1">
      <alignment horizontal="right"/>
    </xf>
    <xf numFmtId="14" fontId="31" fillId="0" borderId="0" xfId="12" applyNumberFormat="1" applyFont="1" applyAlignment="1">
      <alignment horizontal="left" vertical="center"/>
    </xf>
    <xf numFmtId="0" fontId="39" fillId="0" borderId="0" xfId="12" applyFont="1" applyAlignment="1">
      <alignment horizontal="left" vertical="center"/>
    </xf>
    <xf numFmtId="0" fontId="31" fillId="0" borderId="0" xfId="12" applyFont="1" applyAlignment="1">
      <alignment horizontal="left" vertical="center"/>
    </xf>
    <xf numFmtId="0" fontId="11" fillId="4" borderId="35" xfId="12" applyFill="1" applyBorder="1"/>
    <xf numFmtId="0" fontId="11" fillId="4" borderId="35" xfId="12" applyFill="1" applyBorder="1" applyAlignment="1">
      <alignment horizontal="centerContinuous"/>
    </xf>
    <xf numFmtId="0" fontId="32" fillId="4" borderId="35" xfId="12" applyFont="1" applyFill="1" applyBorder="1" applyAlignment="1">
      <alignment vertical="center"/>
    </xf>
    <xf numFmtId="0" fontId="38" fillId="4" borderId="0" xfId="12" applyFont="1" applyFill="1" applyAlignment="1" applyProtection="1">
      <alignment horizontal="right" vertical="center"/>
      <protection locked="0"/>
    </xf>
    <xf numFmtId="0" fontId="25" fillId="0" borderId="0" xfId="0" applyFont="1" applyAlignment="1">
      <alignment vertical="center" wrapText="1"/>
    </xf>
    <xf numFmtId="0" fontId="11" fillId="0" borderId="0" xfId="0" applyFont="1" applyAlignment="1">
      <alignment vertical="center" wrapText="1"/>
    </xf>
    <xf numFmtId="0" fontId="11" fillId="0" borderId="19" xfId="0" applyFont="1" applyBorder="1" applyAlignment="1">
      <alignment horizontal="center" vertical="center" wrapText="1"/>
    </xf>
    <xf numFmtId="0" fontId="11" fillId="0" borderId="0" xfId="2" applyFont="1"/>
    <xf numFmtId="0" fontId="41" fillId="4" borderId="0" xfId="12" applyFont="1" applyFill="1" applyAlignment="1">
      <alignment vertical="center"/>
    </xf>
    <xf numFmtId="0" fontId="39" fillId="4" borderId="0" xfId="12" applyFont="1" applyFill="1" applyAlignment="1" applyProtection="1">
      <alignment vertical="center"/>
      <protection locked="0"/>
    </xf>
    <xf numFmtId="0" fontId="11" fillId="4" borderId="0" xfId="12" applyFill="1" applyAlignment="1" applyProtection="1">
      <alignment horizontal="left" vertical="center"/>
      <protection locked="0"/>
    </xf>
    <xf numFmtId="0" fontId="31" fillId="0" borderId="0" xfId="0" applyFont="1" applyAlignment="1">
      <alignment vertical="center" wrapText="1"/>
    </xf>
    <xf numFmtId="0" fontId="11" fillId="0" borderId="0" xfId="12" applyAlignment="1" applyProtection="1">
      <alignment horizontal="left" vertical="center" wrapText="1"/>
      <protection locked="0"/>
    </xf>
    <xf numFmtId="0" fontId="11" fillId="0" borderId="0" xfId="12" applyAlignment="1" applyProtection="1">
      <alignment horizontal="center" vertical="center" wrapText="1"/>
      <protection locked="0"/>
    </xf>
    <xf numFmtId="0" fontId="18" fillId="0" borderId="0" xfId="12" applyFont="1" applyAlignment="1" applyProtection="1">
      <alignment horizontal="center" vertical="center" wrapText="1"/>
      <protection locked="0"/>
    </xf>
    <xf numFmtId="0" fontId="30" fillId="0" borderId="0" xfId="12" applyFont="1" applyAlignment="1" applyProtection="1">
      <alignment horizontal="center" vertical="center" wrapText="1"/>
      <protection locked="0"/>
    </xf>
    <xf numFmtId="0" fontId="30" fillId="0" borderId="0" xfId="12" applyFont="1" applyAlignment="1" applyProtection="1">
      <alignment vertical="center" wrapText="1"/>
      <protection locked="0"/>
    </xf>
    <xf numFmtId="0" fontId="29" fillId="0" borderId="0" xfId="12" applyFont="1" applyAlignment="1" applyProtection="1">
      <alignment horizontal="center" vertical="center" wrapText="1"/>
      <protection locked="0"/>
    </xf>
    <xf numFmtId="0" fontId="30" fillId="0" borderId="5" xfId="12" applyFont="1" applyBorder="1" applyAlignment="1" applyProtection="1">
      <alignment horizontal="left" vertical="center"/>
      <protection locked="0"/>
    </xf>
    <xf numFmtId="0" fontId="30" fillId="0" borderId="6" xfId="12" applyFont="1" applyBorder="1" applyAlignment="1" applyProtection="1">
      <alignment horizontal="left" vertical="center" wrapText="1"/>
      <protection locked="0"/>
    </xf>
    <xf numFmtId="0" fontId="30" fillId="0" borderId="8" xfId="12" applyFont="1" applyBorder="1" applyAlignment="1" applyProtection="1">
      <alignment horizontal="left" vertical="center"/>
      <protection locked="0"/>
    </xf>
    <xf numFmtId="0" fontId="30" fillId="0" borderId="0" xfId="12" applyFont="1" applyAlignment="1" applyProtection="1">
      <alignment horizontal="left" vertical="center" wrapText="1"/>
      <protection locked="0"/>
    </xf>
    <xf numFmtId="0" fontId="30" fillId="0" borderId="9" xfId="12" applyFont="1" applyBorder="1" applyAlignment="1" applyProtection="1">
      <alignment horizontal="center" vertical="center" wrapText="1"/>
      <protection locked="0"/>
    </xf>
    <xf numFmtId="0" fontId="31" fillId="9" borderId="0" xfId="12" applyFont="1" applyFill="1" applyAlignment="1">
      <alignment vertical="center" wrapText="1"/>
    </xf>
    <xf numFmtId="0" fontId="32" fillId="0" borderId="0" xfId="12" applyFont="1" applyAlignment="1" applyProtection="1">
      <alignment vertical="center" wrapText="1"/>
      <protection locked="0"/>
    </xf>
    <xf numFmtId="0" fontId="32" fillId="0" borderId="9" xfId="12" applyFont="1" applyBorder="1" applyAlignment="1" applyProtection="1">
      <alignment vertical="center" wrapText="1"/>
      <protection locked="0"/>
    </xf>
    <xf numFmtId="0" fontId="30" fillId="0" borderId="8" xfId="12" applyFont="1" applyBorder="1" applyAlignment="1" applyProtection="1">
      <alignment vertical="center"/>
      <protection locked="0"/>
    </xf>
    <xf numFmtId="0" fontId="30" fillId="0" borderId="9" xfId="12" applyFont="1" applyBorder="1" applyAlignment="1" applyProtection="1">
      <alignment vertical="center"/>
      <protection locked="0"/>
    </xf>
    <xf numFmtId="0" fontId="31" fillId="0" borderId="10" xfId="12" applyFont="1" applyBorder="1" applyAlignment="1" applyProtection="1">
      <alignment horizontal="center" vertical="center"/>
      <protection locked="0"/>
    </xf>
    <xf numFmtId="0" fontId="31" fillId="0" borderId="11" xfId="12" applyFont="1" applyBorder="1" applyAlignment="1" applyProtection="1">
      <alignment horizontal="center" vertical="center" wrapText="1"/>
      <protection locked="0"/>
    </xf>
    <xf numFmtId="0" fontId="31" fillId="0" borderId="12" xfId="12" applyFont="1" applyBorder="1" applyAlignment="1" applyProtection="1">
      <alignment horizontal="center" vertical="center" wrapText="1"/>
      <protection locked="0"/>
    </xf>
    <xf numFmtId="0" fontId="31" fillId="0" borderId="0" xfId="12" applyFont="1" applyAlignment="1" applyProtection="1">
      <alignment horizontal="center" vertical="center" wrapText="1"/>
      <protection locked="0"/>
    </xf>
    <xf numFmtId="0" fontId="25" fillId="0" borderId="0" xfId="12" applyFont="1" applyAlignment="1" applyProtection="1">
      <alignment horizontal="center" vertical="center" wrapText="1"/>
      <protection locked="0"/>
    </xf>
    <xf numFmtId="0" fontId="31" fillId="0" borderId="11" xfId="12" applyFont="1" applyBorder="1" applyAlignment="1" applyProtection="1">
      <alignment horizontal="left" vertical="center" wrapText="1"/>
      <protection locked="0"/>
    </xf>
    <xf numFmtId="0" fontId="31" fillId="0" borderId="12" xfId="12" applyFont="1" applyBorder="1" applyAlignment="1" applyProtection="1">
      <alignment horizontal="left" vertical="center" wrapText="1"/>
      <protection locked="0"/>
    </xf>
    <xf numFmtId="0" fontId="31" fillId="0" borderId="0" xfId="12" applyFont="1" applyAlignment="1">
      <alignment vertical="center" wrapText="1"/>
    </xf>
    <xf numFmtId="0" fontId="38" fillId="0" borderId="0" xfId="12" applyFont="1" applyAlignment="1">
      <alignment vertical="center"/>
    </xf>
    <xf numFmtId="0" fontId="38" fillId="0" borderId="9" xfId="12" applyFont="1" applyBorder="1" applyAlignment="1">
      <alignment vertical="center"/>
    </xf>
    <xf numFmtId="0" fontId="15" fillId="9" borderId="0" xfId="12" applyFont="1" applyFill="1" applyAlignment="1">
      <alignment vertical="center"/>
    </xf>
    <xf numFmtId="0" fontId="30" fillId="0" borderId="0" xfId="12" applyFont="1" applyAlignment="1" applyProtection="1">
      <alignment horizontal="center" vertical="center"/>
      <protection locked="0"/>
    </xf>
    <xf numFmtId="0" fontId="31" fillId="9" borderId="0" xfId="0" applyFont="1" applyFill="1" applyAlignment="1">
      <alignment vertical="center"/>
    </xf>
    <xf numFmtId="0" fontId="31" fillId="0" borderId="0" xfId="0" applyFont="1" applyAlignment="1">
      <alignment horizontal="left" vertical="center"/>
    </xf>
    <xf numFmtId="0" fontId="38" fillId="4" borderId="0" xfId="12" applyFont="1" applyFill="1" applyProtection="1">
      <protection locked="0"/>
    </xf>
    <xf numFmtId="0" fontId="31" fillId="12" borderId="0" xfId="12" applyFont="1" applyFill="1" applyAlignment="1">
      <alignment horizontal="left" vertical="center"/>
    </xf>
    <xf numFmtId="0" fontId="32" fillId="12" borderId="0" xfId="12" applyFont="1" applyFill="1" applyAlignment="1">
      <alignment horizontal="left" vertical="center"/>
    </xf>
    <xf numFmtId="0" fontId="11" fillId="12" borderId="0" xfId="12" applyFill="1" applyAlignment="1">
      <alignment vertical="center"/>
    </xf>
    <xf numFmtId="166" fontId="31" fillId="12" borderId="15" xfId="12" applyNumberFormat="1" applyFont="1" applyFill="1" applyBorder="1" applyAlignment="1">
      <alignment horizontal="left" vertical="center"/>
    </xf>
    <xf numFmtId="14" fontId="31" fillId="12" borderId="0" xfId="12" applyNumberFormat="1" applyFont="1" applyFill="1" applyAlignment="1">
      <alignment horizontal="left" vertical="center"/>
    </xf>
    <xf numFmtId="0" fontId="31" fillId="12" borderId="15" xfId="12" applyFont="1" applyFill="1" applyBorder="1" applyAlignment="1">
      <alignment horizontal="left" vertical="center"/>
    </xf>
    <xf numFmtId="166" fontId="31" fillId="12" borderId="0" xfId="12" applyNumberFormat="1" applyFont="1" applyFill="1" applyAlignment="1">
      <alignment horizontal="left" vertical="center"/>
    </xf>
    <xf numFmtId="0" fontId="18" fillId="12" borderId="15" xfId="12" applyFont="1" applyFill="1" applyBorder="1" applyAlignment="1">
      <alignment vertical="center"/>
    </xf>
    <xf numFmtId="167" fontId="31" fillId="12" borderId="16" xfId="12" applyNumberFormat="1" applyFont="1" applyFill="1" applyBorder="1" applyAlignment="1">
      <alignment vertical="center"/>
    </xf>
    <xf numFmtId="0" fontId="15" fillId="4" borderId="0" xfId="0" applyFont="1" applyFill="1" applyAlignment="1">
      <alignment horizontal="center" vertical="center"/>
    </xf>
    <xf numFmtId="0" fontId="57" fillId="0" borderId="21" xfId="0" applyFont="1" applyBorder="1" applyAlignment="1">
      <alignment horizontal="center" vertical="center" wrapText="1"/>
    </xf>
    <xf numFmtId="0" fontId="57" fillId="0" borderId="22" xfId="0" applyFont="1" applyBorder="1" applyAlignment="1">
      <alignment horizontal="center" vertical="center" wrapText="1"/>
    </xf>
    <xf numFmtId="165" fontId="58" fillId="0" borderId="52" xfId="0" applyNumberFormat="1" applyFont="1" applyBorder="1" applyAlignment="1">
      <alignment horizontal="center" vertical="center"/>
    </xf>
    <xf numFmtId="0" fontId="58" fillId="0" borderId="4" xfId="0" applyFont="1" applyBorder="1" applyAlignment="1">
      <alignment horizontal="center" vertical="center" wrapText="1"/>
    </xf>
    <xf numFmtId="0" fontId="58" fillId="0" borderId="54" xfId="0" applyFont="1" applyBorder="1" applyAlignment="1">
      <alignment horizontal="center" vertical="center"/>
    </xf>
    <xf numFmtId="0" fontId="58" fillId="0" borderId="53" xfId="0" applyFont="1" applyBorder="1" applyAlignment="1">
      <alignment horizontal="center" vertical="center"/>
    </xf>
    <xf numFmtId="0" fontId="58" fillId="0" borderId="12" xfId="0" applyFont="1" applyBorder="1" applyAlignment="1">
      <alignment horizontal="center" vertical="center"/>
    </xf>
    <xf numFmtId="0" fontId="58" fillId="0" borderId="4" xfId="0" applyFont="1" applyBorder="1" applyAlignment="1">
      <alignment horizontal="center" vertical="center"/>
    </xf>
    <xf numFmtId="0" fontId="58" fillId="0" borderId="3" xfId="0" applyFont="1" applyBorder="1" applyAlignment="1">
      <alignment horizontal="center" vertical="center"/>
    </xf>
    <xf numFmtId="0" fontId="58" fillId="0" borderId="43" xfId="0" applyFont="1" applyBorder="1" applyAlignment="1">
      <alignment vertical="center"/>
    </xf>
    <xf numFmtId="0" fontId="11" fillId="0" borderId="0" xfId="0" applyFont="1" applyAlignment="1">
      <alignment horizontal="left" vertical="top"/>
    </xf>
    <xf numFmtId="0" fontId="11" fillId="0" borderId="0" xfId="0" quotePrefix="1" applyFont="1" applyAlignment="1">
      <alignment horizontal="left" vertical="center"/>
    </xf>
    <xf numFmtId="0" fontId="107" fillId="0" borderId="72" xfId="12" applyFont="1" applyBorder="1" applyAlignment="1">
      <alignment vertical="center" wrapText="1"/>
    </xf>
    <xf numFmtId="0" fontId="92" fillId="0" borderId="29" xfId="12" applyFont="1" applyBorder="1" applyAlignment="1">
      <alignment vertical="center" wrapText="1"/>
    </xf>
    <xf numFmtId="0" fontId="97" fillId="0" borderId="28" xfId="12" applyFont="1" applyBorder="1" applyAlignment="1">
      <alignment vertical="center" wrapText="1"/>
    </xf>
    <xf numFmtId="0" fontId="97" fillId="0" borderId="29" xfId="12" applyFont="1" applyBorder="1" applyAlignment="1">
      <alignment vertical="center" wrapText="1"/>
    </xf>
    <xf numFmtId="0" fontId="97" fillId="0" borderId="175" xfId="12" applyFont="1" applyBorder="1" applyAlignment="1">
      <alignment vertical="center" wrapText="1"/>
    </xf>
    <xf numFmtId="0" fontId="97" fillId="0" borderId="30" xfId="12" applyFont="1" applyBorder="1" applyAlignment="1">
      <alignment vertical="center" wrapText="1"/>
    </xf>
    <xf numFmtId="0" fontId="97" fillId="0" borderId="162" xfId="12" applyFont="1" applyBorder="1" applyAlignment="1">
      <alignment vertical="center" wrapText="1"/>
    </xf>
    <xf numFmtId="0" fontId="97" fillId="0" borderId="163" xfId="12" applyFont="1" applyBorder="1" applyAlignment="1">
      <alignment vertical="center" wrapText="1"/>
    </xf>
    <xf numFmtId="0" fontId="97" fillId="0" borderId="164" xfId="12" applyFont="1" applyBorder="1" applyAlignment="1">
      <alignment vertical="center" wrapText="1"/>
    </xf>
    <xf numFmtId="0" fontId="92" fillId="0" borderId="0" xfId="12" applyFont="1" applyAlignment="1">
      <alignment vertical="center" wrapText="1"/>
    </xf>
    <xf numFmtId="0" fontId="93" fillId="0" borderId="72" xfId="12" applyFont="1" applyBorder="1" applyAlignment="1">
      <alignment vertical="center" wrapText="1"/>
    </xf>
    <xf numFmtId="0" fontId="103" fillId="0" borderId="90" xfId="12" applyFont="1" applyBorder="1" applyAlignment="1">
      <alignment vertical="center" wrapText="1"/>
    </xf>
    <xf numFmtId="0" fontId="103" fillId="0" borderId="72" xfId="12" applyFont="1" applyBorder="1" applyAlignment="1">
      <alignment vertical="center" wrapText="1"/>
    </xf>
    <xf numFmtId="0" fontId="103" fillId="0" borderId="71" xfId="12" applyFont="1" applyBorder="1" applyAlignment="1">
      <alignment vertical="center" wrapText="1"/>
    </xf>
    <xf numFmtId="0" fontId="103" fillId="0" borderId="71" xfId="12" applyFont="1" applyBorder="1" applyAlignment="1">
      <alignment horizontal="center" vertical="center" wrapText="1"/>
    </xf>
    <xf numFmtId="0" fontId="103" fillId="0" borderId="72" xfId="12" applyFont="1" applyBorder="1" applyAlignment="1">
      <alignment horizontal="center" vertical="center" wrapText="1"/>
    </xf>
    <xf numFmtId="0" fontId="91" fillId="0" borderId="28" xfId="12" applyFont="1" applyBorder="1" applyAlignment="1">
      <alignment vertical="center" wrapText="1"/>
    </xf>
    <xf numFmtId="0" fontId="94" fillId="0" borderId="0" xfId="12" applyFont="1" applyAlignment="1">
      <alignment vertical="center"/>
    </xf>
    <xf numFmtId="0" fontId="11" fillId="4" borderId="0" xfId="0" applyFont="1" applyFill="1" applyAlignment="1" applyProtection="1">
      <alignment vertical="center"/>
      <protection locked="0"/>
    </xf>
    <xf numFmtId="0" fontId="97" fillId="0" borderId="90" xfId="12" applyFont="1" applyBorder="1" applyAlignment="1">
      <alignment vertical="center" wrapText="1"/>
    </xf>
    <xf numFmtId="0" fontId="11" fillId="0" borderId="0" xfId="12" applyAlignment="1">
      <alignment vertical="center" wrapText="1"/>
    </xf>
    <xf numFmtId="0" fontId="116" fillId="0" borderId="0" xfId="12" applyFont="1" applyAlignment="1">
      <alignment horizontal="center" vertical="center"/>
    </xf>
    <xf numFmtId="0" fontId="11" fillId="0" borderId="2" xfId="12" applyBorder="1" applyAlignment="1">
      <alignment vertical="center"/>
    </xf>
    <xf numFmtId="0" fontId="118" fillId="0" borderId="0" xfId="0" applyFont="1" applyAlignment="1">
      <alignment horizontal="centerContinuous"/>
    </xf>
    <xf numFmtId="0" fontId="118" fillId="0" borderId="0" xfId="0" applyFont="1" applyAlignment="1">
      <alignment horizontal="left"/>
    </xf>
    <xf numFmtId="0" fontId="17" fillId="0" borderId="11" xfId="12" applyFont="1" applyBorder="1" applyAlignment="1">
      <alignment horizontal="center"/>
    </xf>
    <xf numFmtId="0" fontId="31" fillId="0" borderId="0" xfId="12" applyFont="1" applyAlignment="1">
      <alignment horizontal="center" vertical="center" wrapText="1"/>
    </xf>
    <xf numFmtId="0" fontId="31" fillId="0" borderId="73" xfId="12" applyFont="1" applyBorder="1" applyAlignment="1">
      <alignment horizontal="center" vertical="center" wrapText="1"/>
    </xf>
    <xf numFmtId="0" fontId="39" fillId="0" borderId="0" xfId="12" applyFont="1" applyAlignment="1">
      <alignment horizontal="left"/>
    </xf>
    <xf numFmtId="0" fontId="39" fillId="0" borderId="0" xfId="12" applyFont="1"/>
    <xf numFmtId="0" fontId="18" fillId="4" borderId="0" xfId="12" applyFont="1" applyFill="1" applyAlignment="1">
      <alignment horizontal="center" vertical="center"/>
    </xf>
    <xf numFmtId="0" fontId="25" fillId="11" borderId="0" xfId="0" applyFont="1" applyFill="1" applyAlignment="1">
      <alignment horizontal="center" vertical="center"/>
    </xf>
    <xf numFmtId="0" fontId="15" fillId="11" borderId="0" xfId="0" applyFont="1" applyFill="1" applyAlignment="1">
      <alignment horizontal="left" vertical="center"/>
    </xf>
    <xf numFmtId="0" fontId="18" fillId="4" borderId="0" xfId="12" applyFont="1" applyFill="1" applyAlignment="1">
      <alignment vertical="center"/>
    </xf>
    <xf numFmtId="0" fontId="18" fillId="4" borderId="0" xfId="12" applyFont="1" applyFill="1" applyAlignment="1" applyProtection="1">
      <alignment vertical="center"/>
      <protection locked="0"/>
    </xf>
    <xf numFmtId="0" fontId="18" fillId="4" borderId="5" xfId="12" applyFont="1" applyFill="1" applyBorder="1" applyAlignment="1">
      <alignment vertical="center"/>
    </xf>
    <xf numFmtId="0" fontId="18" fillId="4" borderId="6" xfId="12" applyFont="1" applyFill="1" applyBorder="1" applyAlignment="1">
      <alignment vertical="center"/>
    </xf>
    <xf numFmtId="0" fontId="15" fillId="4" borderId="6" xfId="12" applyFont="1" applyFill="1" applyBorder="1" applyAlignment="1">
      <alignment horizontal="center" vertical="center"/>
    </xf>
    <xf numFmtId="0" fontId="18" fillId="4" borderId="13" xfId="12" applyFont="1" applyFill="1" applyBorder="1" applyAlignment="1">
      <alignment vertical="center"/>
    </xf>
    <xf numFmtId="0" fontId="11" fillId="4" borderId="8" xfId="12" applyFill="1" applyBorder="1" applyAlignment="1">
      <alignment horizontal="center" vertical="center"/>
    </xf>
    <xf numFmtId="0" fontId="11" fillId="4" borderId="9" xfId="12" applyFill="1" applyBorder="1" applyAlignment="1">
      <alignment horizontal="center" vertical="center"/>
    </xf>
    <xf numFmtId="0" fontId="17" fillId="4" borderId="9" xfId="12" applyFont="1" applyFill="1" applyBorder="1" applyAlignment="1">
      <alignment horizontal="center" vertical="center"/>
    </xf>
    <xf numFmtId="0" fontId="18" fillId="4" borderId="10" xfId="12" applyFont="1" applyFill="1" applyBorder="1" applyAlignment="1">
      <alignment vertical="center"/>
    </xf>
    <xf numFmtId="0" fontId="18" fillId="4" borderId="11" xfId="12" applyFont="1" applyFill="1" applyBorder="1" applyAlignment="1" applyProtection="1">
      <alignment vertical="center"/>
      <protection locked="0"/>
    </xf>
    <xf numFmtId="0" fontId="18" fillId="4" borderId="11" xfId="12" applyFont="1" applyFill="1" applyBorder="1" applyAlignment="1" applyProtection="1">
      <alignment vertical="center" wrapText="1"/>
      <protection locked="0"/>
    </xf>
    <xf numFmtId="0" fontId="18" fillId="4" borderId="12" xfId="12" applyFont="1" applyFill="1" applyBorder="1" applyAlignment="1">
      <alignment vertical="center" wrapText="1"/>
    </xf>
    <xf numFmtId="0" fontId="11" fillId="4" borderId="0" xfId="12" applyFill="1" applyAlignment="1">
      <alignment horizontal="left" vertical="center" wrapText="1"/>
    </xf>
    <xf numFmtId="0" fontId="11" fillId="4" borderId="0" xfId="12" applyFill="1" applyAlignment="1" applyProtection="1">
      <alignment vertical="center" wrapText="1"/>
      <protection locked="0"/>
    </xf>
    <xf numFmtId="0" fontId="11" fillId="4" borderId="0" xfId="12" applyFill="1" applyAlignment="1" applyProtection="1">
      <alignment horizontal="center" vertical="center"/>
      <protection locked="0"/>
    </xf>
    <xf numFmtId="0" fontId="18" fillId="4" borderId="0" xfId="12" applyFont="1" applyFill="1" applyAlignment="1">
      <alignment horizontal="left" vertical="center"/>
    </xf>
    <xf numFmtId="0" fontId="15" fillId="4" borderId="0" xfId="12" applyFont="1" applyFill="1" applyAlignment="1">
      <alignment vertical="center" wrapText="1"/>
    </xf>
    <xf numFmtId="0" fontId="119" fillId="9" borderId="0" xfId="12" applyFont="1" applyFill="1" applyAlignment="1">
      <alignment horizontal="left" vertical="center"/>
    </xf>
    <xf numFmtId="0" fontId="25" fillId="11" borderId="0" xfId="12" applyFont="1" applyFill="1" applyAlignment="1">
      <alignment vertical="center"/>
    </xf>
    <xf numFmtId="0" fontId="25" fillId="11" borderId="0" xfId="12" applyFont="1" applyFill="1" applyAlignment="1" applyProtection="1">
      <alignment vertical="center"/>
      <protection locked="0"/>
    </xf>
    <xf numFmtId="0" fontId="11" fillId="11" borderId="0" xfId="12" applyFill="1" applyAlignment="1" applyProtection="1">
      <alignment horizontal="center" vertical="center"/>
      <protection locked="0"/>
    </xf>
    <xf numFmtId="0" fontId="18" fillId="11" borderId="0" xfId="12" applyFont="1" applyFill="1" applyAlignment="1" applyProtection="1">
      <alignment horizontal="center" vertical="center"/>
      <protection locked="0"/>
    </xf>
    <xf numFmtId="0" fontId="17" fillId="11" borderId="0" xfId="12" applyFont="1" applyFill="1" applyAlignment="1" applyProtection="1">
      <alignment horizontal="center" vertical="center"/>
      <protection locked="0"/>
    </xf>
    <xf numFmtId="0" fontId="11" fillId="11" borderId="0" xfId="12" applyFill="1"/>
    <xf numFmtId="0" fontId="25" fillId="11" borderId="0" xfId="12" applyFont="1" applyFill="1" applyAlignment="1" applyProtection="1">
      <alignment horizontal="center" vertical="center"/>
      <protection locked="0"/>
    </xf>
    <xf numFmtId="0" fontId="11" fillId="0" borderId="0" xfId="12" applyAlignment="1">
      <alignment horizontal="left" vertical="center" wrapText="1"/>
    </xf>
    <xf numFmtId="0" fontId="11" fillId="0" borderId="9" xfId="12" applyBorder="1" applyAlignment="1">
      <alignment horizontal="left" vertical="center" wrapText="1"/>
    </xf>
    <xf numFmtId="0" fontId="38" fillId="0" borderId="0" xfId="0" applyFont="1" applyAlignment="1">
      <alignment vertical="center"/>
    </xf>
    <xf numFmtId="0" fontId="18" fillId="0" borderId="0" xfId="12" applyFont="1" applyAlignment="1">
      <alignment horizontal="center" vertical="center"/>
    </xf>
    <xf numFmtId="0" fontId="115" fillId="0" borderId="0" xfId="12" applyFont="1" applyAlignment="1">
      <alignment vertical="top" wrapText="1"/>
    </xf>
    <xf numFmtId="0" fontId="115" fillId="0" borderId="0" xfId="12" applyFont="1" applyAlignment="1">
      <alignment horizontal="center" vertical="top" wrapText="1"/>
    </xf>
    <xf numFmtId="0" fontId="123" fillId="0" borderId="0" xfId="12" applyFont="1" applyAlignment="1">
      <alignment horizontal="center" vertical="center"/>
    </xf>
    <xf numFmtId="0" fontId="116" fillId="0" borderId="0" xfId="12" applyFont="1" applyAlignment="1">
      <alignment horizontal="left" vertical="center"/>
    </xf>
    <xf numFmtId="0" fontId="11" fillId="0" borderId="11" xfId="12" applyBorder="1" applyAlignment="1">
      <alignment vertical="center" wrapText="1"/>
    </xf>
    <xf numFmtId="0" fontId="124" fillId="16" borderId="2" xfId="12" applyFont="1" applyFill="1" applyBorder="1" applyAlignment="1">
      <alignment horizontal="right" vertical="center" wrapText="1"/>
    </xf>
    <xf numFmtId="0" fontId="11" fillId="0" borderId="17" xfId="12" applyBorder="1" applyAlignment="1">
      <alignment vertical="center" wrapText="1"/>
    </xf>
    <xf numFmtId="0" fontId="11" fillId="0" borderId="18" xfId="12" applyBorder="1" applyAlignment="1">
      <alignment vertical="center" wrapText="1"/>
    </xf>
    <xf numFmtId="0" fontId="11" fillId="0" borderId="8" xfId="12" applyBorder="1" applyAlignment="1">
      <alignment horizontal="left" vertical="center" wrapText="1"/>
    </xf>
    <xf numFmtId="0" fontId="124" fillId="0" borderId="2" xfId="12" applyFont="1" applyBorder="1" applyAlignment="1">
      <alignment horizontal="right" vertical="center" wrapText="1"/>
    </xf>
    <xf numFmtId="0" fontId="11" fillId="0" borderId="7" xfId="12" applyBorder="1" applyAlignment="1">
      <alignment vertical="center" wrapText="1"/>
    </xf>
    <xf numFmtId="0" fontId="11" fillId="15" borderId="2" xfId="12" applyFill="1" applyBorder="1" applyAlignment="1">
      <alignment horizontal="right" vertical="center" wrapText="1"/>
    </xf>
    <xf numFmtId="0" fontId="11" fillId="0" borderId="31" xfId="12" applyBorder="1" applyAlignment="1">
      <alignment vertical="center" wrapText="1"/>
    </xf>
    <xf numFmtId="0" fontId="11" fillId="15" borderId="7" xfId="12" applyFill="1" applyBorder="1" applyAlignment="1">
      <alignment horizontal="right" vertical="center" wrapText="1"/>
    </xf>
    <xf numFmtId="0" fontId="11" fillId="0" borderId="2" xfId="12" applyBorder="1" applyAlignment="1">
      <alignment vertical="center" wrapText="1"/>
    </xf>
    <xf numFmtId="0" fontId="11" fillId="15" borderId="2" xfId="12" applyFill="1" applyBorder="1" applyAlignment="1">
      <alignment vertical="center" wrapText="1"/>
    </xf>
    <xf numFmtId="0" fontId="11" fillId="11" borderId="8" xfId="12" applyFill="1" applyBorder="1" applyAlignment="1">
      <alignment horizontal="left" vertical="center" wrapText="1"/>
    </xf>
    <xf numFmtId="0" fontId="41" fillId="11" borderId="0" xfId="12" applyFont="1" applyFill="1" applyAlignment="1">
      <alignment horizontal="center" vertical="center" wrapText="1"/>
    </xf>
    <xf numFmtId="0" fontId="25" fillId="0" borderId="1" xfId="12" applyFont="1" applyBorder="1" applyAlignment="1">
      <alignment horizontal="center" vertical="center" wrapText="1"/>
    </xf>
    <xf numFmtId="0" fontId="25" fillId="17" borderId="0" xfId="12" applyFont="1" applyFill="1" applyAlignment="1">
      <alignment horizontal="center" vertical="center" wrapText="1"/>
    </xf>
    <xf numFmtId="0" fontId="41" fillId="0" borderId="9" xfId="12" applyFont="1" applyBorder="1" applyAlignment="1">
      <alignment vertical="center" wrapText="1"/>
    </xf>
    <xf numFmtId="0" fontId="41" fillId="0" borderId="0" xfId="12" applyFont="1" applyAlignment="1">
      <alignment horizontal="center" vertical="center" wrapText="1"/>
    </xf>
    <xf numFmtId="0" fontId="11" fillId="0" borderId="1" xfId="12" applyBorder="1" applyAlignment="1">
      <alignment horizontal="left" vertical="center" wrapText="1"/>
    </xf>
    <xf numFmtId="0" fontId="11" fillId="17" borderId="0" xfId="12" applyFill="1" applyAlignment="1">
      <alignment horizontal="left" vertical="center" wrapText="1"/>
    </xf>
    <xf numFmtId="0" fontId="41" fillId="0" borderId="9" xfId="12" applyFont="1" applyBorder="1" applyAlignment="1">
      <alignment horizontal="center" vertical="center" wrapText="1"/>
    </xf>
    <xf numFmtId="0" fontId="11" fillId="0" borderId="10" xfId="12" applyBorder="1" applyAlignment="1">
      <alignment horizontal="left" vertical="center" wrapText="1"/>
    </xf>
    <xf numFmtId="0" fontId="41" fillId="0" borderId="11" xfId="12" applyFont="1" applyBorder="1" applyAlignment="1">
      <alignment horizontal="center" vertical="center" wrapText="1"/>
    </xf>
    <xf numFmtId="0" fontId="11" fillId="0" borderId="36" xfId="12" applyBorder="1" applyAlignment="1">
      <alignment horizontal="left" vertical="center" wrapText="1"/>
    </xf>
    <xf numFmtId="0" fontId="11" fillId="17" borderId="37" xfId="12" applyFill="1" applyBorder="1" applyAlignment="1">
      <alignment horizontal="left" vertical="center" wrapText="1"/>
    </xf>
    <xf numFmtId="0" fontId="11" fillId="0" borderId="37" xfId="12" applyBorder="1" applyAlignment="1">
      <alignment horizontal="left" vertical="center" wrapText="1"/>
    </xf>
    <xf numFmtId="0" fontId="41" fillId="0" borderId="12" xfId="12" applyFont="1" applyBorder="1" applyAlignment="1">
      <alignment horizontal="center" vertical="center" wrapText="1"/>
    </xf>
    <xf numFmtId="0" fontId="11" fillId="15" borderId="2" xfId="12" applyFill="1" applyBorder="1" applyAlignment="1">
      <alignment horizontal="left" vertical="center" wrapText="1"/>
    </xf>
    <xf numFmtId="0" fontId="11" fillId="15" borderId="2" xfId="12" applyFill="1" applyBorder="1" applyAlignment="1">
      <alignment horizontal="center" vertical="center" wrapText="1"/>
    </xf>
    <xf numFmtId="0" fontId="11" fillId="0" borderId="5" xfId="12" applyBorder="1" applyAlignment="1">
      <alignment vertical="center" wrapText="1"/>
    </xf>
    <xf numFmtId="0" fontId="11" fillId="0" borderId="6" xfId="12" applyBorder="1" applyAlignment="1">
      <alignment horizontal="left" vertical="center" wrapText="1"/>
    </xf>
    <xf numFmtId="0" fontId="11" fillId="0" borderId="13" xfId="12" applyBorder="1" applyAlignment="1">
      <alignment horizontal="left" vertical="center" wrapText="1"/>
    </xf>
    <xf numFmtId="0" fontId="11" fillId="0" borderId="8" xfId="12" applyBorder="1" applyAlignment="1">
      <alignment vertical="center" wrapText="1"/>
    </xf>
    <xf numFmtId="0" fontId="11" fillId="0" borderId="10" xfId="12" applyBorder="1" applyAlignment="1">
      <alignment vertical="center" wrapText="1"/>
    </xf>
    <xf numFmtId="0" fontId="11" fillId="0" borderId="11" xfId="12" applyBorder="1" applyAlignment="1">
      <alignment horizontal="left" vertical="center" wrapText="1"/>
    </xf>
    <xf numFmtId="0" fontId="11" fillId="0" borderId="12" xfId="12" applyBorder="1" applyAlignment="1">
      <alignment horizontal="left" vertical="center" wrapText="1"/>
    </xf>
    <xf numFmtId="0" fontId="11" fillId="0" borderId="6" xfId="12" applyBorder="1" applyAlignment="1">
      <alignment vertical="center" wrapText="1"/>
    </xf>
    <xf numFmtId="0" fontId="11" fillId="0" borderId="13" xfId="12" applyBorder="1" applyAlignment="1">
      <alignment vertical="center" wrapText="1"/>
    </xf>
    <xf numFmtId="0" fontId="11" fillId="0" borderId="9" xfId="12" applyBorder="1" applyAlignment="1">
      <alignment vertical="center" wrapText="1"/>
    </xf>
    <xf numFmtId="0" fontId="11" fillId="0" borderId="12" xfId="12" applyBorder="1" applyAlignment="1">
      <alignment vertical="center" wrapText="1"/>
    </xf>
    <xf numFmtId="0" fontId="25" fillId="15" borderId="0" xfId="12" applyFont="1" applyFill="1" applyAlignment="1">
      <alignment vertical="center" wrapText="1"/>
    </xf>
    <xf numFmtId="0" fontId="11" fillId="15" borderId="0" xfId="12" applyFill="1" applyAlignment="1">
      <alignment vertical="center" wrapText="1"/>
    </xf>
    <xf numFmtId="0" fontId="11" fillId="0" borderId="2" xfId="12" applyBorder="1" applyAlignment="1">
      <alignment horizontal="right" vertical="center" wrapText="1"/>
    </xf>
    <xf numFmtId="0" fontId="2" fillId="0" borderId="0" xfId="22"/>
    <xf numFmtId="0" fontId="2" fillId="19" borderId="0" xfId="22" applyFill="1"/>
    <xf numFmtId="0" fontId="111" fillId="19" borderId="0" xfId="22" applyFont="1" applyFill="1"/>
    <xf numFmtId="0" fontId="111" fillId="19" borderId="0" xfId="23" applyFont="1" applyFill="1"/>
    <xf numFmtId="0" fontId="108" fillId="19" borderId="17" xfId="22" applyFont="1" applyFill="1" applyBorder="1"/>
    <xf numFmtId="0" fontId="108" fillId="19" borderId="18" xfId="22" applyFont="1" applyFill="1" applyBorder="1"/>
    <xf numFmtId="0" fontId="108" fillId="19" borderId="7" xfId="22" applyFont="1" applyFill="1" applyBorder="1"/>
    <xf numFmtId="0" fontId="108" fillId="19" borderId="5" xfId="22" applyFont="1" applyFill="1" applyBorder="1"/>
    <xf numFmtId="0" fontId="108" fillId="19" borderId="6" xfId="23" applyFont="1" applyFill="1" applyBorder="1"/>
    <xf numFmtId="0" fontId="108" fillId="19" borderId="6" xfId="22" applyFont="1" applyFill="1" applyBorder="1"/>
    <xf numFmtId="0" fontId="111" fillId="19" borderId="6" xfId="22" applyFont="1" applyFill="1" applyBorder="1"/>
    <xf numFmtId="0" fontId="2" fillId="19" borderId="6" xfId="22" applyFill="1" applyBorder="1"/>
    <xf numFmtId="0" fontId="2" fillId="19" borderId="13" xfId="22" applyFill="1" applyBorder="1"/>
    <xf numFmtId="0" fontId="108" fillId="19" borderId="18" xfId="23" applyFont="1" applyFill="1" applyBorder="1"/>
    <xf numFmtId="0" fontId="111" fillId="19" borderId="18" xfId="22" applyFont="1" applyFill="1" applyBorder="1"/>
    <xf numFmtId="0" fontId="2" fillId="19" borderId="18" xfId="22" applyFill="1" applyBorder="1"/>
    <xf numFmtId="0" fontId="2" fillId="19" borderId="7" xfId="22" applyFill="1" applyBorder="1"/>
    <xf numFmtId="0" fontId="108" fillId="19" borderId="10" xfId="22" applyFont="1" applyFill="1" applyBorder="1"/>
    <xf numFmtId="0" fontId="108" fillId="19" borderId="11" xfId="23" applyFont="1" applyFill="1" applyBorder="1"/>
    <xf numFmtId="0" fontId="108" fillId="19" borderId="10" xfId="23" applyFont="1" applyFill="1" applyBorder="1"/>
    <xf numFmtId="0" fontId="108" fillId="19" borderId="11" xfId="22" applyFont="1" applyFill="1" applyBorder="1"/>
    <xf numFmtId="0" fontId="111" fillId="19" borderId="11" xfId="22" applyFont="1" applyFill="1" applyBorder="1"/>
    <xf numFmtId="0" fontId="111" fillId="19" borderId="12" xfId="22" applyFont="1" applyFill="1" applyBorder="1"/>
    <xf numFmtId="0" fontId="2" fillId="19" borderId="11" xfId="22" applyFill="1" applyBorder="1"/>
    <xf numFmtId="0" fontId="2" fillId="19" borderId="12" xfId="22" applyFill="1" applyBorder="1"/>
    <xf numFmtId="0" fontId="108" fillId="19" borderId="17" xfId="23" applyFont="1" applyFill="1" applyBorder="1"/>
    <xf numFmtId="0" fontId="111" fillId="19" borderId="7" xfId="22" applyFont="1" applyFill="1" applyBorder="1"/>
    <xf numFmtId="0" fontId="2" fillId="19" borderId="17" xfId="22" applyFill="1" applyBorder="1"/>
    <xf numFmtId="0" fontId="111" fillId="19" borderId="6" xfId="23" applyFont="1" applyFill="1" applyBorder="1"/>
    <xf numFmtId="0" fontId="111" fillId="19" borderId="8" xfId="22" applyFont="1" applyFill="1" applyBorder="1"/>
    <xf numFmtId="0" fontId="2" fillId="19" borderId="9" xfId="22" applyFill="1" applyBorder="1"/>
    <xf numFmtId="0" fontId="111" fillId="19" borderId="10" xfId="22" applyFont="1" applyFill="1" applyBorder="1"/>
    <xf numFmtId="0" fontId="111" fillId="19" borderId="11" xfId="23" applyFont="1" applyFill="1" applyBorder="1"/>
    <xf numFmtId="0" fontId="111" fillId="19" borderId="0" xfId="23" applyFont="1" applyFill="1" applyAlignment="1">
      <alignment horizontal="left"/>
    </xf>
    <xf numFmtId="0" fontId="108" fillId="19" borderId="0" xfId="22" applyFont="1" applyFill="1" applyAlignment="1">
      <alignment vertical="center"/>
    </xf>
    <xf numFmtId="0" fontId="108" fillId="19" borderId="8" xfId="22" applyFont="1" applyFill="1" applyBorder="1" applyAlignment="1">
      <alignment vertical="center"/>
    </xf>
    <xf numFmtId="0" fontId="128" fillId="19" borderId="0" xfId="23" applyFont="1" applyFill="1" applyAlignment="1">
      <alignment vertical="center"/>
    </xf>
    <xf numFmtId="0" fontId="108" fillId="19" borderId="0" xfId="23" applyFont="1" applyFill="1" applyAlignment="1">
      <alignment vertical="center"/>
    </xf>
    <xf numFmtId="0" fontId="108" fillId="19" borderId="9" xfId="23" applyFont="1" applyFill="1" applyBorder="1" applyAlignment="1">
      <alignment vertical="center"/>
    </xf>
    <xf numFmtId="0" fontId="108" fillId="0" borderId="0" xfId="22" applyFont="1" applyAlignment="1">
      <alignment vertical="center"/>
    </xf>
    <xf numFmtId="0" fontId="108" fillId="19" borderId="10" xfId="22" applyFont="1" applyFill="1" applyBorder="1" applyAlignment="1">
      <alignment vertical="center"/>
    </xf>
    <xf numFmtId="0" fontId="128" fillId="19" borderId="11" xfId="23" applyFont="1" applyFill="1" applyBorder="1" applyAlignment="1">
      <alignment vertical="center"/>
    </xf>
    <xf numFmtId="0" fontId="108" fillId="19" borderId="11" xfId="23" applyFont="1" applyFill="1" applyBorder="1" applyAlignment="1">
      <alignment vertical="center"/>
    </xf>
    <xf numFmtId="0" fontId="108" fillId="19" borderId="12" xfId="23" applyFont="1" applyFill="1" applyBorder="1" applyAlignment="1">
      <alignment vertical="center"/>
    </xf>
    <xf numFmtId="0" fontId="130" fillId="19" borderId="0" xfId="22" applyFont="1" applyFill="1"/>
    <xf numFmtId="0" fontId="2" fillId="19" borderId="0" xfId="23" applyFill="1"/>
    <xf numFmtId="0" fontId="120" fillId="19" borderId="17" xfId="22" applyFont="1" applyFill="1" applyBorder="1"/>
    <xf numFmtId="0" fontId="82" fillId="19" borderId="18" xfId="22" applyFont="1" applyFill="1" applyBorder="1"/>
    <xf numFmtId="0" fontId="82" fillId="19" borderId="7" xfId="22" applyFont="1" applyFill="1" applyBorder="1"/>
    <xf numFmtId="0" fontId="111" fillId="0" borderId="0" xfId="23" applyFont="1"/>
    <xf numFmtId="0" fontId="106" fillId="0" borderId="0" xfId="23" applyFont="1" applyAlignment="1">
      <alignment vertical="center" wrapText="1"/>
    </xf>
    <xf numFmtId="0" fontId="2" fillId="0" borderId="0" xfId="23"/>
    <xf numFmtId="0" fontId="112" fillId="0" borderId="5" xfId="23" applyFont="1" applyBorder="1" applyAlignment="1">
      <alignment vertical="top"/>
    </xf>
    <xf numFmtId="0" fontId="112" fillId="0" borderId="6" xfId="23" applyFont="1" applyBorder="1"/>
    <xf numFmtId="0" fontId="2" fillId="0" borderId="6" xfId="23" applyBorder="1"/>
    <xf numFmtId="0" fontId="2" fillId="0" borderId="13" xfId="23" applyBorder="1"/>
    <xf numFmtId="0" fontId="112" fillId="0" borderId="10" xfId="23" applyFont="1" applyBorder="1" applyAlignment="1">
      <alignment vertical="top"/>
    </xf>
    <xf numFmtId="0" fontId="112" fillId="0" borderId="11" xfId="23" applyFont="1" applyBorder="1"/>
    <xf numFmtId="0" fontId="2" fillId="0" borderId="11" xfId="23" applyBorder="1"/>
    <xf numFmtId="0" fontId="2" fillId="0" borderId="12" xfId="23" applyBorder="1"/>
    <xf numFmtId="0" fontId="2" fillId="0" borderId="10" xfId="23" applyBorder="1"/>
    <xf numFmtId="0" fontId="2" fillId="0" borderId="178" xfId="23" applyBorder="1"/>
    <xf numFmtId="0" fontId="121" fillId="0" borderId="17" xfId="23" applyFont="1" applyBorder="1"/>
    <xf numFmtId="0" fontId="121" fillId="0" borderId="18" xfId="23" applyFont="1" applyBorder="1"/>
    <xf numFmtId="0" fontId="112" fillId="0" borderId="18" xfId="23" applyFont="1" applyBorder="1"/>
    <xf numFmtId="0" fontId="112" fillId="0" borderId="18" xfId="22" applyFont="1" applyBorder="1"/>
    <xf numFmtId="0" fontId="112" fillId="0" borderId="7" xfId="23" applyFont="1" applyBorder="1"/>
    <xf numFmtId="0" fontId="2" fillId="0" borderId="18" xfId="22" applyBorder="1"/>
    <xf numFmtId="0" fontId="120" fillId="0" borderId="18" xfId="23" applyFont="1" applyBorder="1"/>
    <xf numFmtId="0" fontId="120" fillId="0" borderId="18" xfId="23" applyFont="1" applyBorder="1" applyAlignment="1">
      <alignment horizontal="right"/>
    </xf>
    <xf numFmtId="0" fontId="111" fillId="0" borderId="18" xfId="23" applyFont="1" applyBorder="1"/>
    <xf numFmtId="0" fontId="111" fillId="0" borderId="7" xfId="23" applyFont="1" applyBorder="1"/>
    <xf numFmtId="0" fontId="108" fillId="0" borderId="0" xfId="22" applyFont="1"/>
    <xf numFmtId="0" fontId="2" fillId="0" borderId="0" xfId="22" applyAlignment="1">
      <alignment horizontal="left" vertical="center"/>
    </xf>
    <xf numFmtId="0" fontId="108" fillId="0" borderId="17" xfId="22" applyFont="1" applyBorder="1" applyAlignment="1">
      <alignment vertical="center"/>
    </xf>
    <xf numFmtId="0" fontId="111" fillId="0" borderId="18" xfId="22" applyFont="1" applyBorder="1" applyAlignment="1">
      <alignment vertical="center"/>
    </xf>
    <xf numFmtId="0" fontId="2" fillId="0" borderId="17" xfId="23" applyBorder="1" applyAlignment="1">
      <alignment vertical="center"/>
    </xf>
    <xf numFmtId="0" fontId="2" fillId="0" borderId="18" xfId="23" applyBorder="1" applyAlignment="1">
      <alignment vertical="center"/>
    </xf>
    <xf numFmtId="0" fontId="2" fillId="0" borderId="7" xfId="23" applyBorder="1" applyAlignment="1">
      <alignment vertical="center"/>
    </xf>
    <xf numFmtId="0" fontId="2" fillId="0" borderId="0" xfId="23" applyAlignment="1">
      <alignment horizontal="center" vertical="center"/>
    </xf>
    <xf numFmtId="0" fontId="108" fillId="0" borderId="17" xfId="23" applyFont="1" applyBorder="1" applyAlignment="1">
      <alignment vertical="center"/>
    </xf>
    <xf numFmtId="0" fontId="111" fillId="0" borderId="18" xfId="23" applyFont="1" applyBorder="1" applyAlignment="1">
      <alignment vertical="center"/>
    </xf>
    <xf numFmtId="0" fontId="110" fillId="0" borderId="17" xfId="22" applyFont="1" applyBorder="1" applyAlignment="1">
      <alignment vertical="center"/>
    </xf>
    <xf numFmtId="0" fontId="113" fillId="0" borderId="18" xfId="22" applyFont="1" applyBorder="1" applyAlignment="1">
      <alignment vertical="center"/>
    </xf>
    <xf numFmtId="0" fontId="2" fillId="0" borderId="10" xfId="23" applyBorder="1" applyAlignment="1">
      <alignment vertical="center"/>
    </xf>
    <xf numFmtId="0" fontId="2" fillId="0" borderId="11" xfId="23" applyBorder="1" applyAlignment="1">
      <alignment vertical="center"/>
    </xf>
    <xf numFmtId="0" fontId="2" fillId="0" borderId="12" xfId="23" applyBorder="1" applyAlignment="1">
      <alignment vertical="center"/>
    </xf>
    <xf numFmtId="0" fontId="137" fillId="0" borderId="18" xfId="23" applyFont="1" applyBorder="1" applyAlignment="1">
      <alignment vertical="center"/>
    </xf>
    <xf numFmtId="0" fontId="111" fillId="0" borderId="17" xfId="22" applyFont="1" applyBorder="1"/>
    <xf numFmtId="0" fontId="2" fillId="0" borderId="7" xfId="22" applyBorder="1"/>
    <xf numFmtId="0" fontId="25" fillId="0" borderId="0" xfId="0" quotePrefix="1" applyFont="1"/>
    <xf numFmtId="0" fontId="32" fillId="0" borderId="0" xfId="12" applyFont="1"/>
    <xf numFmtId="0" fontId="36" fillId="0" borderId="0" xfId="12" applyFont="1" applyAlignment="1">
      <alignment horizontal="center" vertical="center"/>
    </xf>
    <xf numFmtId="0" fontId="17" fillId="0" borderId="0" xfId="12" applyFont="1"/>
    <xf numFmtId="0" fontId="104" fillId="0" borderId="2" xfId="24" applyFont="1" applyBorder="1" applyAlignment="1">
      <alignment vertical="center"/>
    </xf>
    <xf numFmtId="0" fontId="1" fillId="0" borderId="0" xfId="24" applyAlignment="1">
      <alignment horizontal="center" vertical="center"/>
    </xf>
    <xf numFmtId="0" fontId="1" fillId="0" borderId="0" xfId="24"/>
    <xf numFmtId="0" fontId="104" fillId="0" borderId="0" xfId="24" applyFont="1" applyAlignment="1">
      <alignment vertical="center"/>
    </xf>
    <xf numFmtId="0" fontId="139" fillId="0" borderId="0" xfId="24" applyFont="1" applyAlignment="1">
      <alignment horizontal="center" vertical="center" wrapText="1"/>
    </xf>
    <xf numFmtId="0" fontId="139" fillId="0" borderId="0" xfId="24" applyFont="1" applyAlignment="1">
      <alignment horizontal="center" vertical="center"/>
    </xf>
    <xf numFmtId="0" fontId="139" fillId="0" borderId="9" xfId="24" applyFont="1" applyBorder="1" applyAlignment="1">
      <alignment horizontal="center" vertical="center"/>
    </xf>
    <xf numFmtId="0" fontId="105" fillId="13" borderId="2" xfId="24" applyFont="1" applyFill="1" applyBorder="1" applyAlignment="1">
      <alignment horizontal="right" vertical="center"/>
    </xf>
    <xf numFmtId="0" fontId="105" fillId="0" borderId="2" xfId="24" applyFont="1" applyBorder="1" applyAlignment="1">
      <alignment vertical="center"/>
    </xf>
    <xf numFmtId="0" fontId="111" fillId="0" borderId="0" xfId="24" applyFont="1"/>
    <xf numFmtId="0" fontId="111" fillId="0" borderId="9" xfId="24" applyFont="1" applyBorder="1"/>
    <xf numFmtId="0" fontId="105" fillId="0" borderId="2" xfId="24" applyFont="1" applyBorder="1" applyAlignment="1">
      <alignment horizontal="left" vertical="center"/>
    </xf>
    <xf numFmtId="0" fontId="105" fillId="0" borderId="17" xfId="24" applyFont="1" applyBorder="1" applyAlignment="1">
      <alignment horizontal="left" vertical="center"/>
    </xf>
    <xf numFmtId="0" fontId="105" fillId="0" borderId="0" xfId="24" applyFont="1" applyAlignment="1">
      <alignment horizontal="center" vertical="center"/>
    </xf>
    <xf numFmtId="0" fontId="105" fillId="0" borderId="9" xfId="24" applyFont="1" applyBorder="1" applyAlignment="1">
      <alignment horizontal="center" vertical="center"/>
    </xf>
    <xf numFmtId="0" fontId="105" fillId="0" borderId="2" xfId="24" applyFont="1" applyBorder="1" applyAlignment="1">
      <alignment horizontal="center" vertical="top"/>
    </xf>
    <xf numFmtId="0" fontId="111" fillId="13" borderId="2" xfId="24" applyFont="1" applyFill="1" applyBorder="1" applyAlignment="1">
      <alignment horizontal="center" vertical="center"/>
    </xf>
    <xf numFmtId="0" fontId="111" fillId="13" borderId="2" xfId="24" applyFont="1" applyFill="1" applyBorder="1" applyAlignment="1">
      <alignment horizontal="center" vertical="center" wrapText="1"/>
    </xf>
    <xf numFmtId="0" fontId="111" fillId="13" borderId="17" xfId="24" applyFont="1" applyFill="1" applyBorder="1" applyAlignment="1">
      <alignment horizontal="center" vertical="center" wrapText="1"/>
    </xf>
    <xf numFmtId="0" fontId="120" fillId="13" borderId="2" xfId="24" applyFont="1" applyFill="1" applyBorder="1" applyAlignment="1">
      <alignment horizontal="center" vertical="center" wrapText="1"/>
    </xf>
    <xf numFmtId="0" fontId="1" fillId="0" borderId="2" xfId="24" applyBorder="1" applyAlignment="1">
      <alignment horizontal="center"/>
    </xf>
    <xf numFmtId="0" fontId="112" fillId="0" borderId="2" xfId="24" applyFont="1" applyBorder="1" applyAlignment="1">
      <alignment horizontal="center" vertical="top"/>
    </xf>
    <xf numFmtId="0" fontId="1" fillId="0" borderId="17" xfId="24" applyBorder="1" applyAlignment="1">
      <alignment horizontal="center"/>
    </xf>
    <xf numFmtId="0" fontId="140" fillId="0" borderId="0" xfId="24" applyFont="1" applyAlignment="1">
      <alignment horizontal="left" vertical="center"/>
    </xf>
    <xf numFmtId="0" fontId="139" fillId="0" borderId="0" xfId="24" applyFont="1" applyAlignment="1">
      <alignment vertical="center" wrapText="1"/>
    </xf>
    <xf numFmtId="0" fontId="1" fillId="0" borderId="0" xfId="24" applyAlignment="1">
      <alignment vertical="center"/>
    </xf>
    <xf numFmtId="0" fontId="1" fillId="13" borderId="2" xfId="24" applyFill="1" applyBorder="1" applyAlignment="1">
      <alignment horizontal="center" vertical="center"/>
    </xf>
    <xf numFmtId="0" fontId="1" fillId="0" borderId="2" xfId="24" applyBorder="1"/>
    <xf numFmtId="0" fontId="11" fillId="2" borderId="80" xfId="12" applyFill="1" applyBorder="1" applyAlignment="1">
      <alignment horizontal="center" vertical="center"/>
    </xf>
    <xf numFmtId="0" fontId="13" fillId="0" borderId="0" xfId="0" applyFont="1" applyAlignment="1">
      <alignment horizontal="center" vertical="center" wrapText="1"/>
    </xf>
    <xf numFmtId="0" fontId="14" fillId="0" borderId="0" xfId="0" applyFont="1" applyAlignment="1">
      <alignment horizontal="center" vertical="center" wrapText="1"/>
    </xf>
    <xf numFmtId="0" fontId="19" fillId="0" borderId="0" xfId="0" applyFont="1" applyAlignment="1">
      <alignment horizontal="left" vertical="center"/>
    </xf>
    <xf numFmtId="0" fontId="18" fillId="0" borderId="0" xfId="0" applyFont="1" applyAlignment="1">
      <alignment horizontal="left" vertical="center"/>
    </xf>
    <xf numFmtId="0" fontId="17" fillId="0" borderId="0" xfId="0" applyFont="1" applyAlignment="1">
      <alignment horizontal="left" vertical="center"/>
    </xf>
    <xf numFmtId="0" fontId="15" fillId="0" borderId="0" xfId="0" applyFont="1" applyAlignment="1">
      <alignment horizontal="center" vertical="center" wrapText="1"/>
    </xf>
    <xf numFmtId="0" fontId="0" fillId="0" borderId="0" xfId="0" applyAlignment="1">
      <alignment vertical="center" wrapText="1"/>
    </xf>
    <xf numFmtId="0" fontId="18" fillId="0" borderId="0" xfId="0" applyFont="1" applyAlignment="1">
      <alignment horizontal="left" vertical="center" wrapText="1"/>
    </xf>
    <xf numFmtId="0" fontId="18" fillId="0" borderId="0" xfId="0" applyFont="1" applyAlignment="1">
      <alignment vertical="center"/>
    </xf>
    <xf numFmtId="0" fontId="0" fillId="0" borderId="0" xfId="0" applyAlignment="1">
      <alignment vertical="center"/>
    </xf>
    <xf numFmtId="0" fontId="11" fillId="0" borderId="2" xfId="0" applyFont="1" applyBorder="1" applyAlignment="1">
      <alignment horizontal="center" vertical="center"/>
    </xf>
    <xf numFmtId="0" fontId="38" fillId="0" borderId="2" xfId="0" applyFont="1" applyBorder="1" applyAlignment="1">
      <alignment horizontal="center" vertical="center"/>
    </xf>
    <xf numFmtId="14" fontId="11" fillId="0" borderId="2" xfId="0" applyNumberFormat="1" applyFont="1" applyBorder="1" applyAlignment="1">
      <alignment horizontal="center" vertical="center"/>
    </xf>
    <xf numFmtId="0" fontId="11" fillId="0" borderId="2" xfId="0" applyFont="1" applyBorder="1" applyAlignment="1">
      <alignment horizontal="center" vertical="center" wrapText="1"/>
    </xf>
    <xf numFmtId="0" fontId="12" fillId="14" borderId="127" xfId="12" applyFont="1" applyFill="1" applyBorder="1" applyAlignment="1">
      <alignment horizontal="center" vertical="center"/>
    </xf>
    <xf numFmtId="0" fontId="12" fillId="14" borderId="93" xfId="12" applyFont="1" applyFill="1" applyBorder="1" applyAlignment="1">
      <alignment horizontal="center" vertical="center"/>
    </xf>
    <xf numFmtId="0" fontId="25" fillId="0" borderId="17" xfId="12" applyFont="1" applyBorder="1" applyAlignment="1">
      <alignment horizontal="center" wrapText="1"/>
    </xf>
    <xf numFmtId="0" fontId="25" fillId="0" borderId="18" xfId="12" applyFont="1" applyBorder="1" applyAlignment="1">
      <alignment horizontal="center" wrapText="1"/>
    </xf>
    <xf numFmtId="0" fontId="11" fillId="0" borderId="18" xfId="12" applyBorder="1" applyAlignment="1">
      <alignment horizontal="center" wrapText="1"/>
    </xf>
    <xf numFmtId="167" fontId="31" fillId="0" borderId="16" xfId="12" applyNumberFormat="1" applyFont="1" applyBorder="1" applyAlignment="1">
      <alignment horizontal="center" vertical="center"/>
    </xf>
    <xf numFmtId="0" fontId="18" fillId="4" borderId="0" xfId="12" applyFont="1" applyFill="1" applyAlignment="1">
      <alignment horizontal="center" vertical="center"/>
    </xf>
    <xf numFmtId="0" fontId="32" fillId="4" borderId="0" xfId="12" applyFont="1" applyFill="1" applyAlignment="1">
      <alignment horizontal="center"/>
    </xf>
    <xf numFmtId="0" fontId="31" fillId="12" borderId="0" xfId="12" applyFont="1" applyFill="1" applyAlignment="1">
      <alignment horizontal="left" vertical="center"/>
    </xf>
    <xf numFmtId="0" fontId="31" fillId="12" borderId="15" xfId="12" applyFont="1" applyFill="1" applyBorder="1" applyAlignment="1">
      <alignment horizontal="left" vertical="center" wrapText="1"/>
    </xf>
    <xf numFmtId="167" fontId="31" fillId="0" borderId="15" xfId="12" applyNumberFormat="1" applyFont="1" applyBorder="1" applyAlignment="1">
      <alignment horizontal="center" vertical="center"/>
    </xf>
    <xf numFmtId="167" fontId="31" fillId="12" borderId="16" xfId="12" applyNumberFormat="1" applyFont="1" applyFill="1" applyBorder="1" applyAlignment="1">
      <alignment horizontal="left" vertical="center"/>
    </xf>
    <xf numFmtId="0" fontId="25" fillId="2" borderId="2" xfId="12" applyFont="1" applyFill="1" applyBorder="1" applyAlignment="1">
      <alignment horizontal="center" vertical="center" wrapText="1"/>
    </xf>
    <xf numFmtId="0" fontId="25" fillId="2" borderId="2" xfId="12" applyFont="1" applyFill="1" applyBorder="1" applyAlignment="1">
      <alignment horizontal="center" vertical="center"/>
    </xf>
    <xf numFmtId="0" fontId="18" fillId="4" borderId="39" xfId="12" applyFont="1" applyFill="1" applyBorder="1" applyAlignment="1" applyProtection="1">
      <alignment horizontal="center" vertical="center"/>
      <protection locked="0"/>
    </xf>
    <xf numFmtId="167" fontId="18" fillId="4" borderId="39" xfId="12" applyNumberFormat="1" applyFont="1" applyFill="1" applyBorder="1" applyAlignment="1" applyProtection="1">
      <alignment horizontal="center" vertical="center"/>
      <protection locked="0"/>
    </xf>
    <xf numFmtId="0" fontId="18" fillId="4" borderId="24" xfId="12" applyFont="1" applyFill="1" applyBorder="1" applyAlignment="1" applyProtection="1">
      <alignment horizontal="center" vertical="center"/>
      <protection locked="0"/>
    </xf>
    <xf numFmtId="167" fontId="18" fillId="4" borderId="24" xfId="12" applyNumberFormat="1" applyFont="1" applyFill="1" applyBorder="1" applyAlignment="1" applyProtection="1">
      <alignment horizontal="center" vertical="center"/>
      <protection locked="0"/>
    </xf>
    <xf numFmtId="0" fontId="18" fillId="4" borderId="41" xfId="12" applyFont="1" applyFill="1" applyBorder="1" applyAlignment="1" applyProtection="1">
      <alignment horizontal="center" vertical="center"/>
      <protection locked="0"/>
    </xf>
    <xf numFmtId="167" fontId="18" fillId="4" borderId="41" xfId="12" applyNumberFormat="1" applyFont="1" applyFill="1" applyBorder="1" applyAlignment="1" applyProtection="1">
      <alignment horizontal="center" vertical="center"/>
      <protection locked="0"/>
    </xf>
    <xf numFmtId="0" fontId="25" fillId="2" borderId="58" xfId="12" applyFont="1" applyFill="1" applyBorder="1" applyAlignment="1">
      <alignment horizontal="center" vertical="center"/>
    </xf>
    <xf numFmtId="0" fontId="25" fillId="2" borderId="130" xfId="12" applyFont="1" applyFill="1" applyBorder="1" applyAlignment="1">
      <alignment horizontal="center" vertical="center"/>
    </xf>
    <xf numFmtId="0" fontId="25" fillId="2" borderId="131" xfId="12" applyFont="1" applyFill="1" applyBorder="1" applyAlignment="1">
      <alignment horizontal="center" vertical="center"/>
    </xf>
    <xf numFmtId="0" fontId="25" fillId="2" borderId="57" xfId="12" applyFont="1" applyFill="1" applyBorder="1" applyAlignment="1">
      <alignment horizontal="center" vertical="center"/>
    </xf>
    <xf numFmtId="0" fontId="25" fillId="2" borderId="39" xfId="12" applyFont="1" applyFill="1" applyBorder="1" applyAlignment="1">
      <alignment horizontal="center" vertical="center"/>
    </xf>
    <xf numFmtId="0" fontId="18" fillId="4" borderId="4" xfId="12" applyFont="1" applyFill="1" applyBorder="1" applyAlignment="1" applyProtection="1">
      <alignment horizontal="center" vertical="center"/>
      <protection locked="0"/>
    </xf>
    <xf numFmtId="167" fontId="18" fillId="4" borderId="4" xfId="12" applyNumberFormat="1" applyFont="1" applyFill="1" applyBorder="1" applyAlignment="1" applyProtection="1">
      <alignment horizontal="center" vertical="center"/>
      <protection locked="0"/>
    </xf>
    <xf numFmtId="0" fontId="18" fillId="4" borderId="41" xfId="12" applyFont="1" applyFill="1" applyBorder="1" applyAlignment="1" applyProtection="1">
      <alignment horizontal="left" vertical="center"/>
      <protection locked="0"/>
    </xf>
    <xf numFmtId="0" fontId="18" fillId="4" borderId="61" xfId="12" applyFont="1" applyFill="1" applyBorder="1" applyAlignment="1" applyProtection="1">
      <alignment horizontal="center" vertical="center"/>
      <protection locked="0"/>
    </xf>
    <xf numFmtId="0" fontId="18" fillId="4" borderId="16" xfId="12" applyFont="1" applyFill="1" applyBorder="1" applyAlignment="1" applyProtection="1">
      <alignment horizontal="center" vertical="center"/>
      <protection locked="0"/>
    </xf>
    <xf numFmtId="0" fontId="18" fillId="4" borderId="129" xfId="12" applyFont="1" applyFill="1" applyBorder="1" applyAlignment="1" applyProtection="1">
      <alignment horizontal="center" vertical="center"/>
      <protection locked="0"/>
    </xf>
    <xf numFmtId="0" fontId="18" fillId="4" borderId="60" xfId="12" applyFont="1" applyFill="1" applyBorder="1" applyAlignment="1" applyProtection="1">
      <alignment horizontal="center" vertical="center"/>
      <protection locked="0"/>
    </xf>
    <xf numFmtId="0" fontId="38" fillId="4" borderId="37" xfId="12" applyFont="1" applyFill="1" applyBorder="1" applyAlignment="1">
      <alignment horizontal="left"/>
    </xf>
    <xf numFmtId="0" fontId="18" fillId="4" borderId="126" xfId="12" applyFont="1" applyFill="1" applyBorder="1" applyAlignment="1" applyProtection="1">
      <alignment horizontal="left" vertical="center"/>
      <protection locked="0"/>
    </xf>
    <xf numFmtId="0" fontId="18" fillId="4" borderId="127" xfId="12" applyFont="1" applyFill="1" applyBorder="1" applyAlignment="1" applyProtection="1">
      <alignment horizontal="center" vertical="center"/>
      <protection locked="0"/>
    </xf>
    <xf numFmtId="0" fontId="18" fillId="4" borderId="93" xfId="12" applyFont="1" applyFill="1" applyBorder="1" applyAlignment="1" applyProtection="1">
      <alignment horizontal="center" vertical="center"/>
      <protection locked="0"/>
    </xf>
    <xf numFmtId="0" fontId="18" fillId="4" borderId="128" xfId="12" applyFont="1" applyFill="1" applyBorder="1" applyAlignment="1" applyProtection="1">
      <alignment horizontal="center" vertical="center"/>
      <protection locked="0"/>
    </xf>
    <xf numFmtId="167" fontId="18" fillId="4" borderId="128" xfId="12" applyNumberFormat="1" applyFont="1" applyFill="1" applyBorder="1" applyAlignment="1" applyProtection="1">
      <alignment horizontal="center" vertical="center"/>
      <protection locked="0"/>
    </xf>
    <xf numFmtId="167" fontId="18" fillId="4" borderId="126" xfId="12" applyNumberFormat="1" applyFont="1" applyFill="1" applyBorder="1" applyAlignment="1" applyProtection="1">
      <alignment horizontal="center" vertical="center"/>
      <protection locked="0"/>
    </xf>
    <xf numFmtId="0" fontId="25" fillId="0" borderId="1" xfId="12" applyFont="1" applyBorder="1" applyAlignment="1">
      <alignment horizontal="left" vertical="top"/>
    </xf>
    <xf numFmtId="0" fontId="84" fillId="0" borderId="0" xfId="12" applyFont="1" applyAlignment="1">
      <alignment horizontal="left" vertical="top"/>
    </xf>
    <xf numFmtId="0" fontId="84" fillId="0" borderId="1" xfId="12" applyFont="1" applyBorder="1" applyAlignment="1">
      <alignment horizontal="left" vertical="top"/>
    </xf>
    <xf numFmtId="0" fontId="84" fillId="0" borderId="147" xfId="12" applyFont="1" applyBorder="1" applyAlignment="1">
      <alignment horizontal="left" vertical="top"/>
    </xf>
    <xf numFmtId="0" fontId="84" fillId="0" borderId="15" xfId="12" applyFont="1" applyBorder="1" applyAlignment="1">
      <alignment horizontal="left" vertical="top"/>
    </xf>
    <xf numFmtId="0" fontId="17" fillId="0" borderId="29" xfId="12" applyFont="1" applyBorder="1" applyAlignment="1">
      <alignment horizontal="center" vertical="center"/>
    </xf>
    <xf numFmtId="0" fontId="17" fillId="0" borderId="37" xfId="12" applyFont="1" applyBorder="1" applyAlignment="1">
      <alignment horizontal="center" vertical="center"/>
    </xf>
    <xf numFmtId="0" fontId="11" fillId="0" borderId="30" xfId="12" applyBorder="1" applyAlignment="1">
      <alignment horizontal="center" vertical="center"/>
    </xf>
    <xf numFmtId="0" fontId="11" fillId="0" borderId="38" xfId="12" applyBorder="1" applyAlignment="1">
      <alignment horizontal="center" vertical="center"/>
    </xf>
    <xf numFmtId="0" fontId="25" fillId="0" borderId="110" xfId="12" applyFont="1" applyBorder="1" applyAlignment="1">
      <alignment horizontal="center" vertical="center"/>
    </xf>
    <xf numFmtId="0" fontId="25" fillId="0" borderId="111" xfId="12" applyFont="1" applyBorder="1" applyAlignment="1">
      <alignment horizontal="center" vertical="center"/>
    </xf>
    <xf numFmtId="0" fontId="25" fillId="0" borderId="112" xfId="12" applyFont="1" applyBorder="1" applyAlignment="1">
      <alignment horizontal="center" vertical="center"/>
    </xf>
    <xf numFmtId="0" fontId="25" fillId="0" borderId="1" xfId="12" applyFont="1" applyBorder="1" applyAlignment="1">
      <alignment horizontal="left"/>
    </xf>
    <xf numFmtId="0" fontId="25" fillId="0" borderId="0" xfId="12" applyFont="1" applyAlignment="1">
      <alignment horizontal="left"/>
    </xf>
    <xf numFmtId="0" fontId="25" fillId="0" borderId="1" xfId="12" applyFont="1" applyBorder="1" applyAlignment="1">
      <alignment horizontal="center"/>
    </xf>
    <xf numFmtId="0" fontId="25" fillId="0" borderId="0" xfId="12" applyFont="1" applyAlignment="1">
      <alignment horizontal="center"/>
    </xf>
    <xf numFmtId="0" fontId="11" fillId="0" borderId="1" xfId="12" applyBorder="1" applyAlignment="1">
      <alignment horizontal="left"/>
    </xf>
    <xf numFmtId="0" fontId="11" fillId="0" borderId="0" xfId="12" applyAlignment="1">
      <alignment horizontal="left"/>
    </xf>
    <xf numFmtId="0" fontId="85" fillId="0" borderId="28" xfId="12" applyFont="1" applyBorder="1" applyAlignment="1">
      <alignment horizontal="center" vertical="center"/>
    </xf>
    <xf numFmtId="0" fontId="85" fillId="0" borderId="29" xfId="12" applyFont="1" applyBorder="1" applyAlignment="1">
      <alignment horizontal="center" vertical="center"/>
    </xf>
    <xf numFmtId="0" fontId="85" fillId="0" borderId="1" xfId="12" applyFont="1" applyBorder="1" applyAlignment="1">
      <alignment horizontal="center" vertical="center"/>
    </xf>
    <xf numFmtId="0" fontId="85" fillId="0" borderId="0" xfId="12" applyFont="1" applyAlignment="1">
      <alignment horizontal="center" vertical="center"/>
    </xf>
    <xf numFmtId="0" fontId="85" fillId="0" borderId="36" xfId="12" applyFont="1" applyBorder="1" applyAlignment="1">
      <alignment horizontal="center" vertical="center"/>
    </xf>
    <xf numFmtId="0" fontId="85" fillId="0" borderId="37" xfId="12" applyFont="1" applyBorder="1" applyAlignment="1">
      <alignment horizontal="center" vertical="center"/>
    </xf>
    <xf numFmtId="0" fontId="25" fillId="0" borderId="1" xfId="12" applyFont="1" applyBorder="1" applyAlignment="1">
      <alignment horizontal="center" vertical="top"/>
    </xf>
    <xf numFmtId="0" fontId="25" fillId="0" borderId="0" xfId="12" applyFont="1" applyAlignment="1">
      <alignment horizontal="center" vertical="top"/>
    </xf>
    <xf numFmtId="0" fontId="24" fillId="0" borderId="1" xfId="12" applyFont="1" applyBorder="1" applyAlignment="1">
      <alignment horizontal="center" vertical="center"/>
    </xf>
    <xf numFmtId="0" fontId="24" fillId="0" borderId="0" xfId="12" applyFont="1" applyAlignment="1">
      <alignment horizontal="center" vertical="center"/>
    </xf>
    <xf numFmtId="0" fontId="24" fillId="0" borderId="36" xfId="12" applyFont="1" applyBorder="1" applyAlignment="1">
      <alignment horizontal="center" vertical="center"/>
    </xf>
    <xf numFmtId="0" fontId="24" fillId="0" borderId="37" xfId="12" applyFont="1" applyBorder="1" applyAlignment="1">
      <alignment horizontal="center" vertical="center"/>
    </xf>
    <xf numFmtId="0" fontId="25" fillId="0" borderId="1" xfId="12" applyFont="1" applyBorder="1" applyAlignment="1">
      <alignment horizontal="left" vertical="top" wrapText="1"/>
    </xf>
    <xf numFmtId="0" fontId="25" fillId="0" borderId="0" xfId="12" applyFont="1" applyAlignment="1">
      <alignment horizontal="left" vertical="top" wrapText="1"/>
    </xf>
    <xf numFmtId="0" fontId="25" fillId="0" borderId="35" xfId="12" applyFont="1" applyBorder="1" applyAlignment="1">
      <alignment horizontal="left" vertical="top" wrapText="1"/>
    </xf>
    <xf numFmtId="0" fontId="15" fillId="0" borderId="71" xfId="12" applyFont="1" applyBorder="1" applyAlignment="1">
      <alignment horizontal="center"/>
    </xf>
    <xf numFmtId="0" fontId="15" fillId="0" borderId="90" xfId="12" applyFont="1" applyBorder="1" applyAlignment="1">
      <alignment horizontal="center"/>
    </xf>
    <xf numFmtId="0" fontId="15" fillId="0" borderId="72" xfId="12" applyFont="1" applyBorder="1" applyAlignment="1">
      <alignment horizontal="center"/>
    </xf>
    <xf numFmtId="0" fontId="31" fillId="0" borderId="36" xfId="12" applyFont="1" applyBorder="1" applyAlignment="1">
      <alignment horizontal="left"/>
    </xf>
    <xf numFmtId="0" fontId="31" fillId="0" borderId="37" xfId="12" applyFont="1" applyBorder="1" applyAlignment="1">
      <alignment horizontal="left"/>
    </xf>
    <xf numFmtId="0" fontId="31" fillId="0" borderId="38" xfId="12" applyFont="1" applyBorder="1" applyAlignment="1">
      <alignment horizontal="left"/>
    </xf>
    <xf numFmtId="0" fontId="31" fillId="0" borderId="1" xfId="12" applyFont="1" applyBorder="1" applyAlignment="1">
      <alignment horizontal="left"/>
    </xf>
    <xf numFmtId="0" fontId="31" fillId="0" borderId="0" xfId="12" applyFont="1" applyAlignment="1">
      <alignment horizontal="left"/>
    </xf>
    <xf numFmtId="0" fontId="31" fillId="0" borderId="35" xfId="12" applyFont="1" applyBorder="1" applyAlignment="1">
      <alignment horizontal="left"/>
    </xf>
    <xf numFmtId="0" fontId="83" fillId="0" borderId="28" xfId="12" applyFont="1" applyBorder="1" applyAlignment="1">
      <alignment horizontal="center" vertical="center"/>
    </xf>
    <xf numFmtId="0" fontId="83" fillId="0" borderId="29" xfId="12" applyFont="1" applyBorder="1" applyAlignment="1">
      <alignment horizontal="center" vertical="center"/>
    </xf>
    <xf numFmtId="0" fontId="83" fillId="0" borderId="30" xfId="12" applyFont="1" applyBorder="1" applyAlignment="1">
      <alignment horizontal="center" vertical="center"/>
    </xf>
    <xf numFmtId="0" fontId="83" fillId="0" borderId="36" xfId="12" applyFont="1" applyBorder="1" applyAlignment="1">
      <alignment horizontal="center" vertical="center"/>
    </xf>
    <xf numFmtId="0" fontId="83" fillId="0" borderId="37" xfId="12" applyFont="1" applyBorder="1" applyAlignment="1">
      <alignment horizontal="center" vertical="center"/>
    </xf>
    <xf numFmtId="0" fontId="83" fillId="0" borderId="38" xfId="12" applyFont="1" applyBorder="1" applyAlignment="1">
      <alignment horizontal="center" vertical="center"/>
    </xf>
    <xf numFmtId="0" fontId="31" fillId="0" borderId="90" xfId="12" applyFont="1" applyBorder="1" applyAlignment="1">
      <alignment horizontal="center"/>
    </xf>
    <xf numFmtId="0" fontId="31" fillId="0" borderId="72" xfId="12" applyFont="1" applyBorder="1" applyAlignment="1">
      <alignment horizontal="center"/>
    </xf>
    <xf numFmtId="0" fontId="31" fillId="0" borderId="28" xfId="12" applyFont="1" applyBorder="1" applyAlignment="1">
      <alignment horizontal="left"/>
    </xf>
    <xf numFmtId="0" fontId="31" fillId="0" borderId="29" xfId="12" applyFont="1" applyBorder="1" applyAlignment="1">
      <alignment horizontal="left"/>
    </xf>
    <xf numFmtId="0" fontId="31" fillId="0" borderId="30" xfId="12" applyFont="1" applyBorder="1" applyAlignment="1">
      <alignment horizontal="left"/>
    </xf>
    <xf numFmtId="0" fontId="83" fillId="0" borderId="1" xfId="12" applyFont="1" applyBorder="1" applyAlignment="1">
      <alignment horizontal="center" vertical="center"/>
    </xf>
    <xf numFmtId="0" fontId="83" fillId="0" borderId="0" xfId="12" applyFont="1" applyAlignment="1">
      <alignment horizontal="center" vertical="center"/>
    </xf>
    <xf numFmtId="0" fontId="83" fillId="0" borderId="35" xfId="12" applyFont="1" applyBorder="1" applyAlignment="1">
      <alignment horizontal="center" vertical="center"/>
    </xf>
    <xf numFmtId="0" fontId="31" fillId="0" borderId="71" xfId="12" applyFont="1" applyBorder="1" applyAlignment="1">
      <alignment horizontal="center"/>
    </xf>
    <xf numFmtId="0" fontId="31" fillId="0" borderId="0" xfId="12" applyFont="1" applyAlignment="1">
      <alignment horizontal="center" vertical="center"/>
    </xf>
    <xf numFmtId="0" fontId="58" fillId="2" borderId="71" xfId="12" applyFont="1" applyFill="1" applyBorder="1" applyAlignment="1">
      <alignment horizontal="center"/>
    </xf>
    <xf numFmtId="0" fontId="58" fillId="2" borderId="90" xfId="12" applyFont="1" applyFill="1" applyBorder="1" applyAlignment="1">
      <alignment horizontal="center"/>
    </xf>
    <xf numFmtId="0" fontId="58" fillId="2" borderId="72" xfId="12" applyFont="1" applyFill="1" applyBorder="1" applyAlignment="1">
      <alignment horizontal="center"/>
    </xf>
    <xf numFmtId="0" fontId="15" fillId="2" borderId="71" xfId="12" applyFont="1" applyFill="1" applyBorder="1" applyAlignment="1">
      <alignment horizontal="center"/>
    </xf>
    <xf numFmtId="0" fontId="15" fillId="2" borderId="90" xfId="12" applyFont="1" applyFill="1" applyBorder="1" applyAlignment="1">
      <alignment horizontal="center"/>
    </xf>
    <xf numFmtId="0" fontId="15" fillId="2" borderId="72" xfId="12" applyFont="1" applyFill="1" applyBorder="1" applyAlignment="1">
      <alignment horizontal="center"/>
    </xf>
    <xf numFmtId="0" fontId="15" fillId="0" borderId="0" xfId="12" applyFont="1" applyAlignment="1">
      <alignment horizontal="center"/>
    </xf>
    <xf numFmtId="0" fontId="31" fillId="0" borderId="36" xfId="12" applyFont="1" applyBorder="1" applyAlignment="1">
      <alignment horizontal="center"/>
    </xf>
    <xf numFmtId="0" fontId="31" fillId="0" borderId="37" xfId="12" applyFont="1" applyBorder="1" applyAlignment="1">
      <alignment horizontal="center"/>
    </xf>
    <xf numFmtId="0" fontId="31" fillId="0" borderId="38" xfId="12" applyFont="1" applyBorder="1" applyAlignment="1">
      <alignment horizontal="center"/>
    </xf>
    <xf numFmtId="0" fontId="15" fillId="0" borderId="28" xfId="12" applyFont="1" applyBorder="1" applyAlignment="1">
      <alignment horizontal="center" vertical="center" wrapText="1"/>
    </xf>
    <xf numFmtId="0" fontId="15" fillId="0" borderId="29" xfId="12" applyFont="1" applyBorder="1" applyAlignment="1">
      <alignment horizontal="center" vertical="center" wrapText="1"/>
    </xf>
    <xf numFmtId="0" fontId="15" fillId="0" borderId="30" xfId="12" applyFont="1" applyBorder="1" applyAlignment="1">
      <alignment horizontal="center" vertical="center" wrapText="1"/>
    </xf>
    <xf numFmtId="0" fontId="15" fillId="0" borderId="1" xfId="12" applyFont="1" applyBorder="1" applyAlignment="1">
      <alignment horizontal="center" vertical="center" wrapText="1"/>
    </xf>
    <xf numFmtId="0" fontId="15" fillId="0" borderId="0" xfId="12" applyFont="1" applyAlignment="1">
      <alignment horizontal="center" vertical="center" wrapText="1"/>
    </xf>
    <xf numFmtId="0" fontId="15" fillId="0" borderId="35" xfId="12" applyFont="1" applyBorder="1" applyAlignment="1">
      <alignment horizontal="center" vertical="center" wrapText="1"/>
    </xf>
    <xf numFmtId="0" fontId="15" fillId="0" borderId="36" xfId="12" applyFont="1" applyBorder="1" applyAlignment="1">
      <alignment horizontal="center" vertical="center" wrapText="1"/>
    </xf>
    <xf numFmtId="0" fontId="15" fillId="0" borderId="37" xfId="12" applyFont="1" applyBorder="1" applyAlignment="1">
      <alignment horizontal="center" vertical="center" wrapText="1"/>
    </xf>
    <xf numFmtId="0" fontId="15" fillId="0" borderId="38" xfId="12" applyFont="1" applyBorder="1" applyAlignment="1">
      <alignment horizontal="center" vertical="center" wrapText="1"/>
    </xf>
    <xf numFmtId="0" fontId="25" fillId="0" borderId="0" xfId="12" applyFont="1" applyAlignment="1">
      <alignment horizontal="center" vertical="center" wrapText="1"/>
    </xf>
    <xf numFmtId="0" fontId="36" fillId="0" borderId="0" xfId="12" applyFont="1" applyAlignment="1">
      <alignment horizontal="center" vertical="center"/>
    </xf>
    <xf numFmtId="0" fontId="36" fillId="0" borderId="0" xfId="12" applyFont="1" applyAlignment="1">
      <alignment horizontal="left" vertical="center" wrapText="1"/>
    </xf>
    <xf numFmtId="0" fontId="21" fillId="0" borderId="2" xfId="0" applyFont="1" applyBorder="1" applyAlignment="1">
      <alignment horizontal="left" vertical="center" wrapText="1"/>
    </xf>
    <xf numFmtId="0" fontId="11" fillId="0" borderId="2" xfId="0" applyFont="1" applyBorder="1" applyAlignment="1">
      <alignment horizontal="left" vertical="center" wrapText="1"/>
    </xf>
    <xf numFmtId="0" fontId="26" fillId="0" borderId="0" xfId="0" applyFont="1" applyAlignment="1">
      <alignment horizontal="center" vertical="center"/>
    </xf>
    <xf numFmtId="0" fontId="15" fillId="0" borderId="114" xfId="0" applyFont="1" applyBorder="1" applyAlignment="1">
      <alignment horizontal="center" vertical="center" wrapText="1"/>
    </xf>
    <xf numFmtId="0" fontId="15" fillId="0" borderId="48" xfId="0" applyFont="1" applyBorder="1" applyAlignment="1">
      <alignment horizontal="center" vertical="center" wrapText="1"/>
    </xf>
    <xf numFmtId="0" fontId="15" fillId="0" borderId="120" xfId="0" applyFont="1" applyBorder="1" applyAlignment="1">
      <alignment horizontal="center" vertical="center" wrapText="1"/>
    </xf>
    <xf numFmtId="0" fontId="15" fillId="0" borderId="115" xfId="0" applyFont="1" applyBorder="1" applyAlignment="1">
      <alignment horizontal="center" vertical="center" wrapText="1"/>
    </xf>
    <xf numFmtId="0" fontId="15" fillId="0" borderId="116" xfId="0" applyFont="1" applyBorder="1" applyAlignment="1">
      <alignment horizontal="center" vertical="center" wrapText="1"/>
    </xf>
    <xf numFmtId="0" fontId="21" fillId="0" borderId="121" xfId="0" applyFont="1" applyBorder="1" applyAlignment="1">
      <alignment horizontal="center" vertical="center" wrapText="1"/>
    </xf>
    <xf numFmtId="0" fontId="21" fillId="0" borderId="122" xfId="0" applyFont="1" applyBorder="1" applyAlignment="1">
      <alignment horizontal="center" vertical="center" wrapText="1"/>
    </xf>
    <xf numFmtId="0" fontId="21" fillId="0" borderId="123" xfId="0" applyFont="1" applyBorder="1" applyAlignment="1">
      <alignment horizontal="center" vertical="center" wrapText="1"/>
    </xf>
    <xf numFmtId="0" fontId="72" fillId="0" borderId="0" xfId="0" applyFont="1" applyAlignment="1">
      <alignment horizontal="left" vertical="center" wrapText="1"/>
    </xf>
    <xf numFmtId="0" fontId="15" fillId="0" borderId="0" xfId="0" applyFont="1" applyAlignment="1">
      <alignment horizontal="center" vertical="center"/>
    </xf>
    <xf numFmtId="0" fontId="0" fillId="0" borderId="0" xfId="0" applyAlignment="1">
      <alignment horizontal="center" vertical="center"/>
    </xf>
    <xf numFmtId="0" fontId="42" fillId="0" borderId="0" xfId="0" applyFont="1" applyAlignment="1">
      <alignment horizontal="center"/>
    </xf>
    <xf numFmtId="0" fontId="42" fillId="0" borderId="0" xfId="0" applyFont="1" applyAlignment="1">
      <alignment horizontal="center" vertical="center"/>
    </xf>
    <xf numFmtId="0" fontId="45" fillId="0" borderId="17" xfId="0" applyFont="1" applyBorder="1" applyAlignment="1">
      <alignment horizontal="center" vertical="center"/>
    </xf>
    <xf numFmtId="0" fontId="45" fillId="0" borderId="7" xfId="0" applyFont="1" applyBorder="1" applyAlignment="1">
      <alignment horizontal="center" vertical="center"/>
    </xf>
    <xf numFmtId="0" fontId="45" fillId="0" borderId="18" xfId="0" applyFont="1" applyBorder="1" applyAlignment="1">
      <alignment horizontal="center" vertical="center"/>
    </xf>
    <xf numFmtId="0" fontId="42" fillId="0" borderId="17" xfId="0" applyFont="1" applyBorder="1" applyAlignment="1">
      <alignment horizontal="center" vertical="center"/>
    </xf>
    <xf numFmtId="0" fontId="42" fillId="0" borderId="7" xfId="0" applyFont="1" applyBorder="1" applyAlignment="1">
      <alignment horizontal="center" vertical="center"/>
    </xf>
    <xf numFmtId="0" fontId="42" fillId="0" borderId="18" xfId="0" applyFont="1" applyBorder="1" applyAlignment="1">
      <alignment horizontal="center" vertical="center"/>
    </xf>
    <xf numFmtId="0" fontId="42" fillId="0" borderId="17" xfId="0" applyFont="1" applyBorder="1" applyAlignment="1">
      <alignment horizontal="center"/>
    </xf>
    <xf numFmtId="0" fontId="42" fillId="0" borderId="7" xfId="0" applyFont="1" applyBorder="1" applyAlignment="1">
      <alignment horizontal="center"/>
    </xf>
    <xf numFmtId="0" fontId="47" fillId="0" borderId="0" xfId="0" applyFont="1" applyAlignment="1">
      <alignment horizontal="center"/>
    </xf>
    <xf numFmtId="0" fontId="47" fillId="0" borderId="9" xfId="0" applyFont="1" applyBorder="1" applyAlignment="1">
      <alignment horizontal="center"/>
    </xf>
    <xf numFmtId="0" fontId="42" fillId="0" borderId="10" xfId="0" applyFont="1" applyBorder="1" applyAlignment="1">
      <alignment horizontal="center"/>
    </xf>
    <xf numFmtId="0" fontId="42" fillId="0" borderId="12" xfId="0" applyFont="1" applyBorder="1" applyAlignment="1">
      <alignment horizontal="center"/>
    </xf>
    <xf numFmtId="0" fontId="42" fillId="2" borderId="8" xfId="0" applyFont="1" applyFill="1" applyBorder="1" applyAlignment="1">
      <alignment horizontal="center"/>
    </xf>
    <xf numFmtId="0" fontId="42" fillId="2" borderId="9" xfId="0" applyFont="1" applyFill="1" applyBorder="1" applyAlignment="1">
      <alignment horizontal="center"/>
    </xf>
    <xf numFmtId="0" fontId="42" fillId="2" borderId="8" xfId="0" applyFont="1" applyFill="1" applyBorder="1" applyAlignment="1">
      <alignment horizontal="right"/>
    </xf>
    <xf numFmtId="0" fontId="42" fillId="2" borderId="9" xfId="0" applyFont="1" applyFill="1" applyBorder="1" applyAlignment="1">
      <alignment horizontal="right"/>
    </xf>
    <xf numFmtId="0" fontId="42" fillId="2" borderId="10" xfId="0" applyFont="1" applyFill="1" applyBorder="1" applyAlignment="1">
      <alignment horizontal="center"/>
    </xf>
    <xf numFmtId="0" fontId="42" fillId="2" borderId="12" xfId="0" applyFont="1" applyFill="1" applyBorder="1" applyAlignment="1">
      <alignment horizontal="center"/>
    </xf>
    <xf numFmtId="0" fontId="42" fillId="2" borderId="5" xfId="0" applyFont="1" applyFill="1" applyBorder="1" applyAlignment="1">
      <alignment horizontal="center"/>
    </xf>
    <xf numFmtId="0" fontId="42" fillId="2" borderId="13" xfId="0" applyFont="1" applyFill="1" applyBorder="1" applyAlignment="1">
      <alignment horizontal="center"/>
    </xf>
    <xf numFmtId="0" fontId="42" fillId="2" borderId="10" xfId="0" applyFont="1" applyFill="1" applyBorder="1" applyAlignment="1">
      <alignment horizontal="right"/>
    </xf>
    <xf numFmtId="0" fontId="42" fillId="2" borderId="12" xfId="0" applyFont="1" applyFill="1" applyBorder="1" applyAlignment="1">
      <alignment horizontal="right"/>
    </xf>
    <xf numFmtId="0" fontId="42" fillId="0" borderId="8" xfId="0" applyFont="1" applyBorder="1" applyAlignment="1">
      <alignment horizontal="center"/>
    </xf>
    <xf numFmtId="0" fontId="42" fillId="0" borderId="9" xfId="0" applyFont="1" applyBorder="1" applyAlignment="1">
      <alignment horizontal="center"/>
    </xf>
    <xf numFmtId="0" fontId="42" fillId="0" borderId="8" xfId="0" applyFont="1" applyBorder="1" applyAlignment="1">
      <alignment horizontal="right"/>
    </xf>
    <xf numFmtId="0" fontId="42" fillId="0" borderId="9" xfId="0" applyFont="1" applyBorder="1" applyAlignment="1">
      <alignment horizontal="right"/>
    </xf>
    <xf numFmtId="0" fontId="49" fillId="0" borderId="0" xfId="0" applyFont="1" applyAlignment="1">
      <alignment horizontal="center"/>
    </xf>
    <xf numFmtId="0" fontId="54" fillId="0" borderId="0" xfId="0" applyFont="1" applyAlignment="1">
      <alignment horizontal="center"/>
    </xf>
    <xf numFmtId="0" fontId="21" fillId="4" borderId="15" xfId="6" applyFont="1" applyFill="1" applyBorder="1" applyAlignment="1" applyProtection="1">
      <alignment horizontal="left" vertical="center"/>
      <protection locked="0"/>
    </xf>
    <xf numFmtId="0" fontId="21" fillId="4" borderId="136" xfId="6" applyFont="1" applyFill="1" applyBorder="1" applyAlignment="1" applyProtection="1">
      <alignment horizontal="left" vertical="center"/>
      <protection locked="0"/>
    </xf>
    <xf numFmtId="0" fontId="15" fillId="0" borderId="142" xfId="6" applyFont="1" applyBorder="1" applyAlignment="1">
      <alignment horizontal="center"/>
    </xf>
    <xf numFmtId="0" fontId="15" fillId="0" borderId="143" xfId="6" applyFont="1" applyBorder="1" applyAlignment="1">
      <alignment horizontal="center"/>
    </xf>
    <xf numFmtId="0" fontId="15" fillId="0" borderId="114" xfId="6" applyFont="1" applyBorder="1" applyAlignment="1">
      <alignment horizontal="center" vertical="center" wrapText="1"/>
    </xf>
    <xf numFmtId="0" fontId="15" fillId="0" borderId="48" xfId="6" applyFont="1" applyBorder="1" applyAlignment="1">
      <alignment horizontal="center" vertical="center" wrapText="1"/>
    </xf>
    <xf numFmtId="0" fontId="15" fillId="0" borderId="115" xfId="6" applyFont="1" applyBorder="1" applyAlignment="1">
      <alignment horizontal="center" vertical="center" wrapText="1"/>
    </xf>
    <xf numFmtId="0" fontId="15" fillId="0" borderId="116" xfId="6" applyFont="1" applyBorder="1" applyAlignment="1">
      <alignment horizontal="center" vertical="center" wrapText="1"/>
    </xf>
    <xf numFmtId="0" fontId="21" fillId="0" borderId="48" xfId="6" applyFont="1" applyBorder="1" applyAlignment="1">
      <alignment horizontal="center" vertical="center" wrapText="1"/>
    </xf>
    <xf numFmtId="0" fontId="21" fillId="0" borderId="124" xfId="6" applyFont="1" applyBorder="1" applyAlignment="1">
      <alignment horizontal="center" vertical="center" wrapText="1"/>
    </xf>
    <xf numFmtId="0" fontId="21" fillId="0" borderId="116" xfId="6" applyFont="1" applyBorder="1" applyAlignment="1">
      <alignment horizontal="center" vertical="center" wrapText="1"/>
    </xf>
    <xf numFmtId="0" fontId="21" fillId="0" borderId="125" xfId="6" applyFont="1" applyBorder="1" applyAlignment="1">
      <alignment horizontal="center" vertical="center" wrapText="1"/>
    </xf>
    <xf numFmtId="0" fontId="32" fillId="9" borderId="0" xfId="6" applyFont="1" applyFill="1" applyAlignment="1">
      <alignment horizontal="left" vertical="center"/>
    </xf>
    <xf numFmtId="0" fontId="25" fillId="4" borderId="0" xfId="6" applyFont="1" applyFill="1" applyAlignment="1">
      <alignment horizontal="right" vertical="center"/>
    </xf>
    <xf numFmtId="0" fontId="18" fillId="9" borderId="0" xfId="6" applyFont="1" applyFill="1" applyAlignment="1">
      <alignment horizontal="left" vertical="center" wrapText="1"/>
    </xf>
    <xf numFmtId="0" fontId="25" fillId="4" borderId="137" xfId="6" applyFont="1" applyFill="1" applyBorder="1" applyAlignment="1" applyProtection="1">
      <alignment horizontal="left"/>
      <protection locked="0"/>
    </xf>
    <xf numFmtId="0" fontId="25" fillId="4" borderId="138" xfId="6" applyFont="1" applyFill="1" applyBorder="1" applyAlignment="1" applyProtection="1">
      <alignment horizontal="left"/>
      <protection locked="0"/>
    </xf>
    <xf numFmtId="0" fontId="25" fillId="4" borderId="140" xfId="6" applyFont="1" applyFill="1" applyBorder="1" applyAlignment="1" applyProtection="1">
      <alignment horizontal="left"/>
      <protection locked="0"/>
    </xf>
    <xf numFmtId="0" fontId="25" fillId="4" borderId="141" xfId="6" applyFont="1" applyFill="1" applyBorder="1" applyAlignment="1" applyProtection="1">
      <alignment horizontal="left"/>
      <protection locked="0"/>
    </xf>
    <xf numFmtId="0" fontId="25" fillId="4" borderId="139" xfId="6" applyFont="1" applyFill="1" applyBorder="1" applyAlignment="1" applyProtection="1">
      <alignment horizontal="left"/>
      <protection locked="0"/>
    </xf>
    <xf numFmtId="0" fontId="25" fillId="4" borderId="134" xfId="6" applyFont="1" applyFill="1" applyBorder="1" applyAlignment="1" applyProtection="1">
      <alignment horizontal="left"/>
      <protection locked="0"/>
    </xf>
    <xf numFmtId="0" fontId="25" fillId="4" borderId="106" xfId="6" applyFont="1" applyFill="1" applyBorder="1" applyAlignment="1" applyProtection="1">
      <alignment horizontal="left"/>
      <protection locked="0"/>
    </xf>
    <xf numFmtId="0" fontId="25" fillId="4" borderId="103" xfId="6" applyFont="1" applyFill="1" applyBorder="1" applyAlignment="1" applyProtection="1">
      <alignment horizontal="left"/>
      <protection locked="0"/>
    </xf>
    <xf numFmtId="0" fontId="25" fillId="4" borderId="105" xfId="6" applyFont="1" applyFill="1" applyBorder="1" applyAlignment="1" applyProtection="1">
      <alignment horizontal="left"/>
      <protection locked="0"/>
    </xf>
    <xf numFmtId="0" fontId="78" fillId="4" borderId="106" xfId="6" applyFill="1" applyBorder="1" applyAlignment="1" applyProtection="1">
      <alignment horizontal="left"/>
      <protection locked="0"/>
    </xf>
    <xf numFmtId="0" fontId="78" fillId="4" borderId="135" xfId="6" applyFill="1" applyBorder="1" applyAlignment="1" applyProtection="1">
      <alignment horizontal="left"/>
      <protection locked="0"/>
    </xf>
    <xf numFmtId="0" fontId="12" fillId="4" borderId="29" xfId="6" applyFont="1" applyFill="1" applyBorder="1" applyAlignment="1" applyProtection="1">
      <alignment horizontal="left" vertical="center"/>
      <protection locked="0"/>
    </xf>
    <xf numFmtId="0" fontId="21" fillId="4" borderId="16" xfId="6" applyFont="1" applyFill="1" applyBorder="1" applyAlignment="1" applyProtection="1">
      <alignment horizontal="left" vertical="center"/>
      <protection locked="0"/>
    </xf>
    <xf numFmtId="0" fontId="78" fillId="4" borderId="16" xfId="6" applyFill="1" applyBorder="1" applyAlignment="1" applyProtection="1">
      <alignment horizontal="left" vertical="center"/>
      <protection locked="0"/>
    </xf>
    <xf numFmtId="0" fontId="78" fillId="4" borderId="132" xfId="6" applyFill="1" applyBorder="1" applyAlignment="1" applyProtection="1">
      <alignment horizontal="left" vertical="center"/>
      <protection locked="0"/>
    </xf>
    <xf numFmtId="0" fontId="21" fillId="4" borderId="132" xfId="6" applyFont="1" applyFill="1" applyBorder="1" applyAlignment="1" applyProtection="1">
      <alignment horizontal="left" vertical="center"/>
      <protection locked="0"/>
    </xf>
    <xf numFmtId="0" fontId="24" fillId="4" borderId="95" xfId="6" applyFont="1" applyFill="1" applyBorder="1" applyAlignment="1" applyProtection="1">
      <alignment horizontal="center"/>
      <protection locked="0"/>
    </xf>
    <xf numFmtId="0" fontId="24" fillId="4" borderId="30" xfId="6" applyFont="1" applyFill="1" applyBorder="1" applyAlignment="1" applyProtection="1">
      <alignment horizontal="center"/>
      <protection locked="0"/>
    </xf>
    <xf numFmtId="0" fontId="25" fillId="4" borderId="94" xfId="6" applyFont="1" applyFill="1" applyBorder="1" applyAlignment="1" applyProtection="1">
      <alignment horizontal="center"/>
      <protection locked="0"/>
    </xf>
    <xf numFmtId="0" fontId="25" fillId="4" borderId="35" xfId="6" applyFont="1" applyFill="1" applyBorder="1" applyAlignment="1" applyProtection="1">
      <alignment horizontal="center"/>
      <protection locked="0"/>
    </xf>
    <xf numFmtId="0" fontId="25" fillId="4" borderId="133" xfId="6" applyFont="1" applyFill="1" applyBorder="1" applyAlignment="1" applyProtection="1">
      <alignment horizontal="center"/>
      <protection locked="0"/>
    </xf>
    <xf numFmtId="0" fontId="25" fillId="4" borderId="38" xfId="6" applyFont="1" applyFill="1" applyBorder="1" applyAlignment="1" applyProtection="1">
      <alignment horizontal="center"/>
      <protection locked="0"/>
    </xf>
    <xf numFmtId="0" fontId="25" fillId="4" borderId="0" xfId="6" applyFont="1" applyFill="1" applyAlignment="1" applyProtection="1">
      <alignment horizontal="center"/>
      <protection locked="0"/>
    </xf>
    <xf numFmtId="0" fontId="21" fillId="4" borderId="0" xfId="6" applyFont="1" applyFill="1" applyAlignment="1" applyProtection="1">
      <alignment horizontal="left" vertical="center"/>
      <protection locked="0"/>
    </xf>
    <xf numFmtId="0" fontId="25" fillId="4" borderId="71" xfId="6" applyFont="1" applyFill="1" applyBorder="1" applyAlignment="1" applyProtection="1">
      <alignment horizontal="left" vertical="center"/>
      <protection locked="0"/>
    </xf>
    <xf numFmtId="0" fontId="25" fillId="4" borderId="90" xfId="6" applyFont="1" applyFill="1" applyBorder="1" applyAlignment="1" applyProtection="1">
      <alignment horizontal="left" vertical="center"/>
      <protection locked="0"/>
    </xf>
    <xf numFmtId="0" fontId="25" fillId="4" borderId="72" xfId="6" applyFont="1" applyFill="1" applyBorder="1" applyAlignment="1" applyProtection="1">
      <alignment horizontal="left" vertical="center"/>
      <protection locked="0"/>
    </xf>
    <xf numFmtId="0" fontId="78" fillId="4" borderId="15" xfId="6" applyFill="1" applyBorder="1" applyAlignment="1" applyProtection="1">
      <alignment horizontal="left" vertical="center"/>
      <protection locked="0"/>
    </xf>
    <xf numFmtId="0" fontId="78" fillId="4" borderId="136" xfId="6" applyFill="1" applyBorder="1" applyAlignment="1" applyProtection="1">
      <alignment horizontal="left" vertical="center"/>
      <protection locked="0"/>
    </xf>
    <xf numFmtId="0" fontId="21" fillId="0" borderId="142" xfId="0" applyFont="1" applyBorder="1" applyAlignment="1">
      <alignment horizontal="center"/>
    </xf>
    <xf numFmtId="0" fontId="21" fillId="0" borderId="143" xfId="0" applyFont="1" applyBorder="1" applyAlignment="1">
      <alignment horizontal="center"/>
    </xf>
    <xf numFmtId="0" fontId="21" fillId="0" borderId="2" xfId="0" applyFont="1" applyBorder="1" applyAlignment="1">
      <alignment horizontal="center" vertical="center"/>
    </xf>
    <xf numFmtId="0" fontId="21" fillId="0" borderId="41" xfId="0" applyFont="1" applyBorder="1" applyAlignment="1" applyProtection="1">
      <alignment horizontal="left" vertical="center" wrapText="1"/>
      <protection locked="0"/>
    </xf>
    <xf numFmtId="0" fontId="21" fillId="0" borderId="41" xfId="0" applyFont="1" applyBorder="1" applyAlignment="1" applyProtection="1">
      <alignment horizontal="left" vertical="center"/>
      <protection locked="0"/>
    </xf>
    <xf numFmtId="0" fontId="21" fillId="0" borderId="39" xfId="0" applyFont="1" applyBorder="1" applyAlignment="1" applyProtection="1">
      <alignment horizontal="center"/>
      <protection locked="0"/>
    </xf>
    <xf numFmtId="0" fontId="21" fillId="0" borderId="41" xfId="0" applyFont="1" applyBorder="1" applyAlignment="1" applyProtection="1">
      <alignment horizontal="center"/>
      <protection locked="0"/>
    </xf>
    <xf numFmtId="0" fontId="21" fillId="0" borderId="48" xfId="0" applyFont="1" applyBorder="1" applyAlignment="1">
      <alignment horizontal="center" vertical="center" wrapText="1"/>
    </xf>
    <xf numFmtId="0" fontId="21" fillId="0" borderId="124" xfId="0" applyFont="1" applyBorder="1" applyAlignment="1">
      <alignment horizontal="center" vertical="center" wrapText="1"/>
    </xf>
    <xf numFmtId="0" fontId="21" fillId="0" borderId="116" xfId="0" applyFont="1" applyBorder="1" applyAlignment="1">
      <alignment horizontal="center" vertical="center" wrapText="1"/>
    </xf>
    <xf numFmtId="0" fontId="21" fillId="0" borderId="125" xfId="0" applyFont="1" applyBorder="1" applyAlignment="1">
      <alignment horizontal="center" vertical="center" wrapText="1"/>
    </xf>
    <xf numFmtId="0" fontId="21" fillId="0" borderId="44" xfId="0" applyFont="1" applyBorder="1" applyAlignment="1" applyProtection="1">
      <alignment horizontal="center"/>
      <protection locked="0"/>
    </xf>
    <xf numFmtId="0" fontId="21" fillId="0" borderId="57" xfId="0" applyFont="1" applyBorder="1" applyAlignment="1" applyProtection="1">
      <alignment horizontal="center"/>
      <protection locked="0"/>
    </xf>
    <xf numFmtId="0" fontId="21" fillId="0" borderId="16" xfId="0" applyFont="1" applyBorder="1" applyAlignment="1" applyProtection="1">
      <alignment horizontal="center"/>
      <protection locked="0"/>
    </xf>
    <xf numFmtId="0" fontId="21" fillId="0" borderId="60" xfId="0" applyFont="1" applyBorder="1" applyAlignment="1" applyProtection="1">
      <alignment horizontal="center"/>
      <protection locked="0"/>
    </xf>
    <xf numFmtId="0" fontId="21" fillId="0" borderId="2" xfId="0" applyFont="1" applyBorder="1" applyAlignment="1">
      <alignment horizontal="center"/>
    </xf>
    <xf numFmtId="0" fontId="21" fillId="0" borderId="18" xfId="0" applyFont="1" applyBorder="1" applyAlignment="1">
      <alignment horizontal="center"/>
    </xf>
    <xf numFmtId="0" fontId="21" fillId="0" borderId="7" xfId="0" applyFont="1" applyBorder="1" applyAlignment="1">
      <alignment horizontal="center"/>
    </xf>
    <xf numFmtId="0" fontId="21" fillId="0" borderId="39" xfId="0" applyFont="1" applyBorder="1" applyAlignment="1" applyProtection="1">
      <alignment horizontal="left" vertical="center" wrapText="1"/>
      <protection locked="0"/>
    </xf>
    <xf numFmtId="0" fontId="21" fillId="0" borderId="39" xfId="0" applyFont="1" applyBorder="1" applyAlignment="1" applyProtection="1">
      <alignment horizontal="left" vertical="center"/>
      <protection locked="0"/>
    </xf>
    <xf numFmtId="0" fontId="21" fillId="0" borderId="4" xfId="0" applyFont="1" applyBorder="1" applyAlignment="1" applyProtection="1">
      <alignment horizontal="left" vertical="center" wrapText="1"/>
      <protection locked="0"/>
    </xf>
    <xf numFmtId="0" fontId="21" fillId="0" borderId="4" xfId="0" applyFont="1" applyBorder="1" applyAlignment="1" applyProtection="1">
      <alignment horizontal="left" vertical="center"/>
      <protection locked="0"/>
    </xf>
    <xf numFmtId="0" fontId="21" fillId="0" borderId="4" xfId="0" applyFont="1" applyBorder="1" applyAlignment="1" applyProtection="1">
      <alignment horizontal="center"/>
      <protection locked="0"/>
    </xf>
    <xf numFmtId="0" fontId="21" fillId="0" borderId="11" xfId="0" applyFont="1" applyBorder="1" applyAlignment="1" applyProtection="1">
      <alignment horizontal="center"/>
      <protection locked="0"/>
    </xf>
    <xf numFmtId="0" fontId="21" fillId="0" borderId="12" xfId="0" applyFont="1" applyBorder="1" applyAlignment="1" applyProtection="1">
      <alignment horizontal="center"/>
      <protection locked="0"/>
    </xf>
    <xf numFmtId="0" fontId="18" fillId="0" borderId="16" xfId="0" applyFont="1" applyBorder="1" applyAlignment="1" applyProtection="1">
      <alignment horizontal="left"/>
      <protection locked="0"/>
    </xf>
    <xf numFmtId="0" fontId="15" fillId="0" borderId="0" xfId="0" applyFont="1" applyAlignment="1">
      <alignment horizontal="center"/>
    </xf>
    <xf numFmtId="0" fontId="21" fillId="0" borderId="0" xfId="0" applyFont="1" applyAlignment="1">
      <alignment horizontal="center"/>
    </xf>
    <xf numFmtId="0" fontId="18" fillId="0" borderId="15" xfId="0" applyFont="1" applyBorder="1" applyAlignment="1" applyProtection="1">
      <alignment horizontal="left"/>
      <protection locked="0"/>
    </xf>
    <xf numFmtId="0" fontId="25" fillId="9" borderId="0" xfId="0" applyFont="1" applyFill="1" applyAlignment="1">
      <alignment horizontal="left" vertical="center" wrapText="1"/>
    </xf>
    <xf numFmtId="0" fontId="17" fillId="0" borderId="0" xfId="0" applyFont="1" applyAlignment="1">
      <alignment horizontal="center" vertical="center" wrapText="1"/>
    </xf>
    <xf numFmtId="0" fontId="21" fillId="0" borderId="0" xfId="0" applyFont="1" applyAlignment="1">
      <alignment horizontal="left" wrapText="1"/>
    </xf>
    <xf numFmtId="0" fontId="25" fillId="0" borderId="0" xfId="0" applyFont="1" applyAlignment="1">
      <alignment horizontal="left" wrapText="1"/>
    </xf>
    <xf numFmtId="0" fontId="25" fillId="0" borderId="0" xfId="0" applyFont="1" applyAlignment="1">
      <alignment horizontal="left"/>
    </xf>
    <xf numFmtId="0" fontId="18" fillId="0" borderId="61" xfId="0" applyFont="1" applyBorder="1" applyAlignment="1" applyProtection="1">
      <alignment horizontal="center" vertical="center" wrapText="1"/>
      <protection locked="0"/>
    </xf>
    <xf numFmtId="0" fontId="18" fillId="0" borderId="16" xfId="0" applyFont="1" applyBorder="1" applyAlignment="1" applyProtection="1">
      <alignment horizontal="center" vertical="center" wrapText="1"/>
      <protection locked="0"/>
    </xf>
    <xf numFmtId="0" fontId="18" fillId="0" borderId="60" xfId="0" applyFont="1" applyBorder="1" applyAlignment="1" applyProtection="1">
      <alignment horizontal="center" vertical="center" wrapText="1"/>
      <protection locked="0"/>
    </xf>
    <xf numFmtId="0" fontId="18" fillId="0" borderId="34" xfId="0" applyFont="1" applyBorder="1" applyAlignment="1" applyProtection="1">
      <alignment horizontal="center" vertical="center" wrapText="1"/>
      <protection locked="0"/>
    </xf>
    <xf numFmtId="0" fontId="18" fillId="0" borderId="59" xfId="0" applyFont="1" applyBorder="1" applyAlignment="1" applyProtection="1">
      <alignment horizontal="center" vertical="center" wrapText="1"/>
      <protection locked="0"/>
    </xf>
    <xf numFmtId="0" fontId="18" fillId="0" borderId="81" xfId="0" applyFont="1" applyBorder="1" applyAlignment="1" applyProtection="1">
      <alignment horizontal="center" vertical="center" wrapText="1"/>
      <protection locked="0"/>
    </xf>
    <xf numFmtId="0" fontId="18" fillId="0" borderId="117" xfId="0" applyFont="1" applyBorder="1" applyAlignment="1" applyProtection="1">
      <alignment horizontal="center" vertical="center" wrapText="1"/>
      <protection locked="0"/>
    </xf>
    <xf numFmtId="0" fontId="18" fillId="0" borderId="102" xfId="0" applyFont="1" applyBorder="1" applyAlignment="1" applyProtection="1">
      <alignment horizontal="center" vertical="center" wrapText="1"/>
      <protection locked="0"/>
    </xf>
    <xf numFmtId="0" fontId="18" fillId="0" borderId="83" xfId="0" applyFont="1" applyBorder="1" applyAlignment="1" applyProtection="1">
      <alignment horizontal="center" vertical="center" wrapText="1"/>
      <protection locked="0"/>
    </xf>
    <xf numFmtId="0" fontId="18" fillId="0" borderId="82" xfId="0" applyFont="1" applyBorder="1" applyAlignment="1" applyProtection="1">
      <alignment horizontal="center" vertical="center" wrapText="1"/>
      <protection locked="0"/>
    </xf>
    <xf numFmtId="0" fontId="21" fillId="0" borderId="16" xfId="0" applyFont="1" applyBorder="1" applyAlignment="1" applyProtection="1">
      <alignment horizontal="left" vertical="center"/>
      <protection locked="0"/>
    </xf>
    <xf numFmtId="0" fontId="18" fillId="0" borderId="66" xfId="0" applyFont="1" applyBorder="1" applyAlignment="1">
      <alignment horizontal="center" vertical="center" wrapText="1"/>
    </xf>
    <xf numFmtId="0" fontId="18" fillId="0" borderId="19" xfId="0" applyFont="1" applyBorder="1" applyAlignment="1">
      <alignment horizontal="center" vertical="center" wrapText="1"/>
    </xf>
    <xf numFmtId="0" fontId="18" fillId="0" borderId="67" xfId="0" applyFont="1" applyBorder="1" applyAlignment="1">
      <alignment horizontal="center" vertical="center" wrapText="1"/>
    </xf>
    <xf numFmtId="0" fontId="57" fillId="0" borderId="107" xfId="0" applyFont="1" applyBorder="1" applyAlignment="1">
      <alignment horizontal="center" vertical="center" wrapText="1"/>
    </xf>
    <xf numFmtId="0" fontId="57" fillId="0" borderId="118" xfId="0" applyFont="1" applyBorder="1" applyAlignment="1">
      <alignment horizontal="center" vertical="center" wrapText="1"/>
    </xf>
    <xf numFmtId="0" fontId="57" fillId="0" borderId="146" xfId="0" applyFont="1" applyBorder="1" applyAlignment="1">
      <alignment horizontal="center" vertical="center" wrapText="1"/>
    </xf>
    <xf numFmtId="0" fontId="57" fillId="0" borderId="104" xfId="0" applyFont="1" applyBorder="1" applyAlignment="1">
      <alignment horizontal="center" vertical="center" wrapText="1"/>
    </xf>
    <xf numFmtId="0" fontId="21" fillId="0" borderId="15" xfId="0" applyFont="1" applyBorder="1" applyAlignment="1" applyProtection="1">
      <alignment horizontal="left" vertical="center"/>
      <protection locked="0"/>
    </xf>
    <xf numFmtId="0" fontId="21" fillId="0" borderId="144" xfId="0" applyFont="1" applyBorder="1" applyAlignment="1">
      <alignment horizontal="center"/>
    </xf>
    <xf numFmtId="0" fontId="21" fillId="0" borderId="145" xfId="0" applyFont="1" applyBorder="1" applyAlignment="1">
      <alignment horizontal="center"/>
    </xf>
    <xf numFmtId="0" fontId="55" fillId="0" borderId="114" xfId="0" applyFont="1" applyBorder="1" applyAlignment="1">
      <alignment horizontal="center" vertical="center" wrapText="1"/>
    </xf>
    <xf numFmtId="0" fontId="55" fillId="0" borderId="48" xfId="0" applyFont="1" applyBorder="1" applyAlignment="1">
      <alignment horizontal="center" vertical="center" wrapText="1"/>
    </xf>
    <xf numFmtId="0" fontId="55" fillId="0" borderId="124" xfId="0" applyFont="1" applyBorder="1" applyAlignment="1">
      <alignment horizontal="center" vertical="center" wrapText="1"/>
    </xf>
    <xf numFmtId="0" fontId="55" fillId="0" borderId="115" xfId="0" applyFont="1" applyBorder="1" applyAlignment="1">
      <alignment horizontal="center" vertical="center" wrapText="1"/>
    </xf>
    <xf numFmtId="0" fontId="55" fillId="0" borderId="116" xfId="0" applyFont="1" applyBorder="1" applyAlignment="1">
      <alignment horizontal="center" vertical="center" wrapText="1"/>
    </xf>
    <xf numFmtId="0" fontId="55" fillId="0" borderId="125" xfId="0" applyFont="1" applyBorder="1" applyAlignment="1">
      <alignment horizontal="center" vertical="center" wrapText="1"/>
    </xf>
    <xf numFmtId="0" fontId="21" fillId="0" borderId="124" xfId="0" applyFont="1" applyBorder="1" applyAlignment="1">
      <alignment horizontal="center" vertical="center"/>
    </xf>
    <xf numFmtId="0" fontId="21" fillId="0" borderId="125" xfId="0" applyFont="1" applyBorder="1" applyAlignment="1">
      <alignment horizontal="center" vertical="center"/>
    </xf>
    <xf numFmtId="0" fontId="17" fillId="9" borderId="0" xfId="0" applyFont="1" applyFill="1" applyAlignment="1">
      <alignment horizontal="left" vertical="center" wrapText="1"/>
    </xf>
    <xf numFmtId="14" fontId="38" fillId="9" borderId="0" xfId="0" applyNumberFormat="1" applyFont="1" applyFill="1" applyAlignment="1">
      <alignment horizontal="left" vertical="center"/>
    </xf>
    <xf numFmtId="0" fontId="21" fillId="4" borderId="66" xfId="0" applyFont="1" applyFill="1" applyBorder="1" applyAlignment="1">
      <alignment horizontal="center" vertical="center"/>
    </xf>
    <xf numFmtId="0" fontId="21" fillId="4" borderId="19" xfId="0" applyFont="1" applyFill="1" applyBorder="1" applyAlignment="1">
      <alignment horizontal="center" vertical="center"/>
    </xf>
    <xf numFmtId="0" fontId="21" fillId="4" borderId="108" xfId="0" applyFont="1" applyFill="1" applyBorder="1" applyAlignment="1">
      <alignment horizontal="center" vertical="center"/>
    </xf>
    <xf numFmtId="0" fontId="21" fillId="4" borderId="113" xfId="0" applyFont="1" applyFill="1" applyBorder="1" applyAlignment="1">
      <alignment horizontal="center" vertical="center"/>
    </xf>
    <xf numFmtId="0" fontId="21" fillId="4" borderId="119" xfId="0" applyFont="1" applyFill="1" applyBorder="1" applyAlignment="1">
      <alignment horizontal="center" vertical="center"/>
    </xf>
    <xf numFmtId="0" fontId="21" fillId="4" borderId="28" xfId="0" applyFont="1" applyFill="1" applyBorder="1" applyAlignment="1">
      <alignment horizontal="left" vertical="top" wrapText="1"/>
    </xf>
    <xf numFmtId="0" fontId="21" fillId="4" borderId="36" xfId="0" applyFont="1" applyFill="1" applyBorder="1" applyAlignment="1">
      <alignment horizontal="left" vertical="top" wrapText="1"/>
    </xf>
    <xf numFmtId="0" fontId="21" fillId="4" borderId="29" xfId="0" applyFont="1" applyFill="1" applyBorder="1" applyAlignment="1">
      <alignment horizontal="left" vertical="top" wrapText="1"/>
    </xf>
    <xf numFmtId="0" fontId="21" fillId="4" borderId="30" xfId="0" applyFont="1" applyFill="1" applyBorder="1" applyAlignment="1">
      <alignment horizontal="left" vertical="top" wrapText="1"/>
    </xf>
    <xf numFmtId="0" fontId="21" fillId="4" borderId="37" xfId="0" applyFont="1" applyFill="1" applyBorder="1" applyAlignment="1">
      <alignment horizontal="left" vertical="top" wrapText="1"/>
    </xf>
    <xf numFmtId="0" fontId="21" fillId="4" borderId="38" xfId="0" applyFont="1" applyFill="1" applyBorder="1" applyAlignment="1">
      <alignment horizontal="left" vertical="top" wrapText="1"/>
    </xf>
    <xf numFmtId="0" fontId="25" fillId="4" borderId="71" xfId="0" applyFont="1" applyFill="1" applyBorder="1" applyAlignment="1">
      <alignment horizontal="center" vertical="top"/>
    </xf>
    <xf numFmtId="0" fontId="25" fillId="4" borderId="90" xfId="0" applyFont="1" applyFill="1" applyBorder="1" applyAlignment="1">
      <alignment horizontal="center" vertical="top"/>
    </xf>
    <xf numFmtId="0" fontId="25" fillId="4" borderId="37" xfId="0" applyFont="1" applyFill="1" applyBorder="1" applyAlignment="1">
      <alignment horizontal="center" vertical="top"/>
    </xf>
    <xf numFmtId="0" fontId="25" fillId="4" borderId="38" xfId="0" applyFont="1" applyFill="1" applyBorder="1" applyAlignment="1">
      <alignment horizontal="center" vertical="top"/>
    </xf>
    <xf numFmtId="0" fontId="21" fillId="4" borderId="86" xfId="0" applyFont="1" applyFill="1" applyBorder="1" applyAlignment="1">
      <alignment horizontal="center" vertical="center"/>
    </xf>
    <xf numFmtId="0" fontId="21" fillId="4" borderId="18" xfId="0" applyFont="1" applyFill="1" applyBorder="1" applyAlignment="1">
      <alignment horizontal="center" vertical="center"/>
    </xf>
    <xf numFmtId="0" fontId="21" fillId="4" borderId="7" xfId="0" applyFont="1" applyFill="1" applyBorder="1" applyAlignment="1">
      <alignment horizontal="center" vertical="center"/>
    </xf>
    <xf numFmtId="0" fontId="21" fillId="4" borderId="105" xfId="0" applyFont="1" applyFill="1" applyBorder="1" applyAlignment="1">
      <alignment horizontal="center" vertical="center"/>
    </xf>
    <xf numFmtId="0" fontId="21" fillId="4" borderId="106" xfId="0" applyFont="1" applyFill="1" applyBorder="1" applyAlignment="1">
      <alignment horizontal="center" vertical="center"/>
    </xf>
    <xf numFmtId="0" fontId="21" fillId="4" borderId="51" xfId="0" applyFont="1" applyFill="1" applyBorder="1" applyAlignment="1">
      <alignment horizontal="center" vertical="center"/>
    </xf>
    <xf numFmtId="0" fontId="21" fillId="4" borderId="29" xfId="0" applyFont="1" applyFill="1" applyBorder="1" applyAlignment="1">
      <alignment horizontal="left" vertical="top"/>
    </xf>
    <xf numFmtId="0" fontId="21" fillId="4" borderId="36" xfId="0" applyFont="1" applyFill="1" applyBorder="1" applyAlignment="1">
      <alignment horizontal="left" vertical="top"/>
    </xf>
    <xf numFmtId="0" fontId="21" fillId="4" borderId="37" xfId="0" applyFont="1" applyFill="1" applyBorder="1" applyAlignment="1">
      <alignment horizontal="left" vertical="top"/>
    </xf>
    <xf numFmtId="0" fontId="25" fillId="4" borderId="71" xfId="0" applyFont="1" applyFill="1" applyBorder="1" applyAlignment="1">
      <alignment horizontal="left" vertical="top" wrapText="1"/>
    </xf>
    <xf numFmtId="0" fontId="25" fillId="4" borderId="90" xfId="0" applyFont="1" applyFill="1" applyBorder="1" applyAlignment="1">
      <alignment horizontal="left" vertical="top" wrapText="1"/>
    </xf>
    <xf numFmtId="0" fontId="25" fillId="4" borderId="72" xfId="0" applyFont="1" applyFill="1" applyBorder="1" applyAlignment="1">
      <alignment horizontal="left" vertical="top" wrapText="1"/>
    </xf>
    <xf numFmtId="0" fontId="25" fillId="4" borderId="71" xfId="0" applyFont="1" applyFill="1" applyBorder="1" applyAlignment="1">
      <alignment horizontal="left" vertical="top"/>
    </xf>
    <xf numFmtId="0" fontId="25" fillId="4" borderId="90" xfId="0" applyFont="1" applyFill="1" applyBorder="1" applyAlignment="1">
      <alignment horizontal="left" vertical="top"/>
    </xf>
    <xf numFmtId="0" fontId="25" fillId="4" borderId="37" xfId="0" applyFont="1" applyFill="1" applyBorder="1" applyAlignment="1">
      <alignment horizontal="left" vertical="top"/>
    </xf>
    <xf numFmtId="0" fontId="25" fillId="4" borderId="38" xfId="0" applyFont="1" applyFill="1" applyBorder="1" applyAlignment="1">
      <alignment horizontal="left" vertical="top"/>
    </xf>
    <xf numFmtId="0" fontId="25" fillId="4" borderId="72" xfId="0" applyFont="1" applyFill="1" applyBorder="1" applyAlignment="1">
      <alignment horizontal="left" vertical="top"/>
    </xf>
    <xf numFmtId="0" fontId="25" fillId="4" borderId="71" xfId="0" applyFont="1" applyFill="1" applyBorder="1" applyAlignment="1">
      <alignment horizontal="center" vertical="center"/>
    </xf>
    <xf numFmtId="0" fontId="25" fillId="4" borderId="90" xfId="0" applyFont="1" applyFill="1" applyBorder="1" applyAlignment="1">
      <alignment horizontal="center" vertical="center"/>
    </xf>
    <xf numFmtId="0" fontId="25" fillId="4" borderId="72" xfId="0" applyFont="1" applyFill="1" applyBorder="1" applyAlignment="1">
      <alignment horizontal="center" vertical="center"/>
    </xf>
    <xf numFmtId="0" fontId="25" fillId="4" borderId="108" xfId="0" applyFont="1" applyFill="1" applyBorder="1" applyAlignment="1">
      <alignment horizontal="left" vertical="top" wrapText="1"/>
    </xf>
    <xf numFmtId="0" fontId="25" fillId="4" borderId="113" xfId="0" applyFont="1" applyFill="1" applyBorder="1" applyAlignment="1">
      <alignment horizontal="left" vertical="top" wrapText="1"/>
    </xf>
    <xf numFmtId="0" fontId="21" fillId="4" borderId="113" xfId="0" applyFont="1" applyFill="1" applyBorder="1" applyAlignment="1">
      <alignment horizontal="left" vertical="top" wrapText="1"/>
    </xf>
    <xf numFmtId="0" fontId="25" fillId="4" borderId="113" xfId="0" applyFont="1" applyFill="1" applyBorder="1" applyAlignment="1">
      <alignment horizontal="left" vertical="top"/>
    </xf>
    <xf numFmtId="0" fontId="21" fillId="4" borderId="105" xfId="0" applyFont="1" applyFill="1" applyBorder="1" applyAlignment="1">
      <alignment horizontal="left" vertical="top"/>
    </xf>
    <xf numFmtId="0" fontId="21" fillId="4" borderId="106" xfId="0" applyFont="1" applyFill="1" applyBorder="1" applyAlignment="1">
      <alignment horizontal="left" vertical="top"/>
    </xf>
    <xf numFmtId="0" fontId="21" fillId="4" borderId="103" xfId="0" applyFont="1" applyFill="1" applyBorder="1" applyAlignment="1">
      <alignment horizontal="left" vertical="top"/>
    </xf>
    <xf numFmtId="0" fontId="15" fillId="4" borderId="0" xfId="0" applyFont="1" applyFill="1" applyAlignment="1">
      <alignment horizontal="center" vertical="center" wrapText="1"/>
    </xf>
    <xf numFmtId="0" fontId="41" fillId="4" borderId="37" xfId="0" applyFont="1" applyFill="1" applyBorder="1" applyAlignment="1">
      <alignment horizontal="right" vertical="center"/>
    </xf>
    <xf numFmtId="0" fontId="25" fillId="4" borderId="37" xfId="0" applyFont="1" applyFill="1" applyBorder="1" applyAlignment="1">
      <alignment horizontal="right" vertical="center"/>
    </xf>
    <xf numFmtId="0" fontId="38" fillId="4" borderId="28" xfId="0" applyFont="1" applyFill="1" applyBorder="1" applyAlignment="1">
      <alignment horizontal="center" vertical="center"/>
    </xf>
    <xf numFmtId="0" fontId="38" fillId="4" borderId="29" xfId="0" applyFont="1" applyFill="1" applyBorder="1" applyAlignment="1">
      <alignment horizontal="center" vertical="center"/>
    </xf>
    <xf numFmtId="0" fontId="38" fillId="4" borderId="30" xfId="0" applyFont="1" applyFill="1" applyBorder="1" applyAlignment="1">
      <alignment horizontal="center" vertical="center"/>
    </xf>
    <xf numFmtId="0" fontId="25" fillId="4" borderId="71" xfId="0" applyFont="1" applyFill="1" applyBorder="1" applyAlignment="1">
      <alignment horizontal="left" vertical="center"/>
    </xf>
    <xf numFmtId="0" fontId="25" fillId="4" borderId="90" xfId="0" applyFont="1" applyFill="1" applyBorder="1" applyAlignment="1">
      <alignment horizontal="left" vertical="center"/>
    </xf>
    <xf numFmtId="0" fontId="21" fillId="10" borderId="90" xfId="0" applyFont="1" applyFill="1" applyBorder="1" applyAlignment="1">
      <alignment horizontal="center" vertical="center"/>
    </xf>
    <xf numFmtId="0" fontId="21" fillId="10" borderId="72" xfId="0" applyFont="1" applyFill="1" applyBorder="1" applyAlignment="1">
      <alignment horizontal="center" vertical="center"/>
    </xf>
    <xf numFmtId="0" fontId="31" fillId="0" borderId="23" xfId="0" applyFont="1" applyBorder="1" applyAlignment="1" applyProtection="1">
      <alignment horizontal="center" vertical="center"/>
      <protection locked="0"/>
    </xf>
    <xf numFmtId="0" fontId="31" fillId="0" borderId="41" xfId="0" applyFont="1" applyBorder="1" applyAlignment="1" applyProtection="1">
      <alignment horizontal="center" vertical="center"/>
      <protection locked="0"/>
    </xf>
    <xf numFmtId="0" fontId="31" fillId="0" borderId="62" xfId="0" applyFont="1" applyBorder="1" applyAlignment="1" applyProtection="1">
      <alignment horizontal="center" vertical="center"/>
      <protection locked="0"/>
    </xf>
    <xf numFmtId="0" fontId="31" fillId="0" borderId="63" xfId="0" applyFont="1" applyBorder="1" applyAlignment="1" applyProtection="1">
      <alignment horizontal="center" vertical="center"/>
      <protection locked="0"/>
    </xf>
    <xf numFmtId="0" fontId="58" fillId="0" borderId="53" xfId="0" applyFont="1" applyBorder="1" applyAlignment="1">
      <alignment horizontal="center" vertical="center"/>
    </xf>
    <xf numFmtId="0" fontId="58" fillId="0" borderId="4" xfId="0" applyFont="1" applyBorder="1" applyAlignment="1">
      <alignment horizontal="center" vertical="center"/>
    </xf>
    <xf numFmtId="0" fontId="31" fillId="0" borderId="56" xfId="0" applyFont="1" applyBorder="1" applyAlignment="1" applyProtection="1">
      <alignment horizontal="center" vertical="center"/>
      <protection locked="0"/>
    </xf>
    <xf numFmtId="0" fontId="31" fillId="0" borderId="39" xfId="0" applyFont="1" applyBorder="1" applyAlignment="1" applyProtection="1">
      <alignment horizontal="center" vertical="center"/>
      <protection locked="0"/>
    </xf>
    <xf numFmtId="0" fontId="31" fillId="0" borderId="74" xfId="0" applyFont="1" applyBorder="1" applyAlignment="1">
      <alignment horizontal="center" vertical="center" wrapText="1"/>
    </xf>
    <xf numFmtId="0" fontId="31" fillId="0" borderId="109" xfId="0" applyFont="1" applyBorder="1" applyAlignment="1">
      <alignment horizontal="center" vertical="center" wrapText="1"/>
    </xf>
    <xf numFmtId="0" fontId="31" fillId="0" borderId="119" xfId="0" applyFont="1" applyBorder="1" applyAlignment="1">
      <alignment horizontal="center" vertical="center" wrapText="1"/>
    </xf>
    <xf numFmtId="0" fontId="31" fillId="0" borderId="148" xfId="0" applyFont="1" applyBorder="1" applyAlignment="1">
      <alignment horizontal="center"/>
    </xf>
    <xf numFmtId="0" fontId="31" fillId="0" borderId="149" xfId="0" applyFont="1" applyBorder="1" applyAlignment="1">
      <alignment horizontal="center"/>
    </xf>
    <xf numFmtId="0" fontId="15" fillId="0" borderId="150" xfId="0" applyFont="1" applyBorder="1" applyAlignment="1">
      <alignment horizontal="center" vertical="center" wrapText="1"/>
    </xf>
    <xf numFmtId="0" fontId="15" fillId="0" borderId="29" xfId="0" applyFont="1" applyBorder="1" applyAlignment="1">
      <alignment horizontal="center" vertical="center" wrapText="1"/>
    </xf>
    <xf numFmtId="0" fontId="15" fillId="0" borderId="151" xfId="0" applyFont="1" applyBorder="1" applyAlignment="1">
      <alignment horizontal="center" vertical="center" wrapText="1"/>
    </xf>
    <xf numFmtId="0" fontId="15" fillId="0" borderId="125" xfId="0" applyFont="1" applyBorder="1" applyAlignment="1">
      <alignment horizontal="center" vertical="center" wrapText="1"/>
    </xf>
    <xf numFmtId="0" fontId="31" fillId="0" borderId="29" xfId="0" applyFont="1" applyBorder="1" applyAlignment="1">
      <alignment horizontal="center" vertical="center" wrapText="1"/>
    </xf>
    <xf numFmtId="0" fontId="31" fillId="0" borderId="30" xfId="0" applyFont="1" applyBorder="1" applyAlignment="1">
      <alignment horizontal="center" vertical="center" wrapText="1"/>
    </xf>
    <xf numFmtId="0" fontId="31" fillId="0" borderId="116" xfId="0" applyFont="1" applyBorder="1" applyAlignment="1">
      <alignment horizontal="center" vertical="center" wrapText="1"/>
    </xf>
    <xf numFmtId="0" fontId="31" fillId="0" borderId="152" xfId="0" applyFont="1" applyBorder="1" applyAlignment="1">
      <alignment horizontal="center" vertical="center" wrapText="1"/>
    </xf>
    <xf numFmtId="0" fontId="31" fillId="0" borderId="108" xfId="0" applyFont="1" applyBorder="1" applyAlignment="1">
      <alignment horizontal="center" vertical="center" wrapText="1"/>
    </xf>
    <xf numFmtId="0" fontId="31" fillId="0" borderId="105" xfId="0" applyFont="1" applyBorder="1" applyAlignment="1">
      <alignment horizontal="center" vertical="center" wrapText="1"/>
    </xf>
    <xf numFmtId="0" fontId="31" fillId="0" borderId="28" xfId="0" applyFont="1" applyBorder="1" applyAlignment="1">
      <alignment horizontal="center" vertical="center" wrapText="1"/>
    </xf>
    <xf numFmtId="0" fontId="31" fillId="0" borderId="79" xfId="0" applyFont="1" applyBorder="1" applyAlignment="1">
      <alignment horizontal="center" vertical="center" wrapText="1"/>
    </xf>
    <xf numFmtId="0" fontId="31" fillId="0" borderId="36" xfId="0" applyFont="1" applyBorder="1" applyAlignment="1">
      <alignment horizontal="center" vertical="center" wrapText="1"/>
    </xf>
    <xf numFmtId="0" fontId="31" fillId="0" borderId="64" xfId="0" applyFont="1" applyBorder="1" applyAlignment="1">
      <alignment horizontal="center" vertical="center" wrapText="1"/>
    </xf>
    <xf numFmtId="0" fontId="31" fillId="0" borderId="32" xfId="0" applyFont="1" applyBorder="1" applyAlignment="1">
      <alignment horizontal="center" vertical="center" wrapText="1"/>
    </xf>
    <xf numFmtId="0" fontId="31" fillId="0" borderId="113" xfId="0" applyFont="1" applyBorder="1" applyAlignment="1">
      <alignment horizontal="center" vertical="center" wrapText="1"/>
    </xf>
    <xf numFmtId="0" fontId="31" fillId="0" borderId="106" xfId="0" applyFont="1" applyBorder="1" applyAlignment="1">
      <alignment horizontal="center" vertical="center" wrapText="1"/>
    </xf>
    <xf numFmtId="0" fontId="31" fillId="0" borderId="101" xfId="0" applyFont="1" applyBorder="1" applyAlignment="1">
      <alignment horizontal="center" vertical="center" wrapText="1"/>
    </xf>
    <xf numFmtId="0" fontId="31" fillId="0" borderId="76" xfId="0" applyFont="1" applyBorder="1" applyAlignment="1">
      <alignment horizontal="center" vertical="center" wrapText="1"/>
    </xf>
    <xf numFmtId="0" fontId="15" fillId="9" borderId="0" xfId="0" applyFont="1" applyFill="1" applyAlignment="1">
      <alignment horizontal="left" vertical="center" wrapText="1"/>
    </xf>
    <xf numFmtId="0" fontId="15" fillId="9" borderId="35" xfId="0" applyFont="1" applyFill="1" applyBorder="1" applyAlignment="1">
      <alignment horizontal="left" vertical="center" wrapText="1"/>
    </xf>
    <xf numFmtId="14" fontId="21" fillId="0" borderId="14" xfId="0" applyNumberFormat="1" applyFont="1" applyBorder="1" applyAlignment="1" applyProtection="1">
      <alignment horizontal="center" vertical="center" wrapText="1"/>
      <protection locked="0"/>
    </xf>
    <xf numFmtId="14" fontId="21" fillId="0" borderId="63" xfId="0" applyNumberFormat="1" applyFont="1" applyBorder="1" applyAlignment="1" applyProtection="1">
      <alignment horizontal="center" vertical="center" wrapText="1"/>
      <protection locked="0"/>
    </xf>
    <xf numFmtId="14" fontId="21" fillId="0" borderId="46" xfId="0" applyNumberFormat="1" applyFont="1" applyBorder="1" applyAlignment="1" applyProtection="1">
      <alignment horizontal="center" vertical="center" wrapText="1"/>
      <protection locked="0"/>
    </xf>
    <xf numFmtId="14" fontId="21" fillId="0" borderId="65" xfId="0" applyNumberFormat="1" applyFont="1" applyBorder="1" applyAlignment="1" applyProtection="1">
      <alignment horizontal="center" vertical="center" wrapText="1"/>
      <protection locked="0"/>
    </xf>
    <xf numFmtId="0" fontId="21" fillId="0" borderId="70" xfId="0" applyFont="1" applyBorder="1" applyAlignment="1" applyProtection="1">
      <alignment horizontal="center" vertical="center" wrapText="1"/>
      <protection locked="0"/>
    </xf>
    <xf numFmtId="0" fontId="21" fillId="0" borderId="62" xfId="0" applyFont="1" applyBorder="1" applyAlignment="1" applyProtection="1">
      <alignment horizontal="center" vertical="center" wrapText="1"/>
      <protection locked="0"/>
    </xf>
    <xf numFmtId="0" fontId="21" fillId="0" borderId="46" xfId="0" applyFont="1" applyBorder="1" applyAlignment="1" applyProtection="1">
      <alignment horizontal="center" vertical="center" wrapText="1"/>
      <protection locked="0"/>
    </xf>
    <xf numFmtId="0" fontId="21" fillId="0" borderId="65" xfId="0" applyFont="1" applyBorder="1" applyAlignment="1" applyProtection="1">
      <alignment horizontal="center" vertical="center" wrapText="1"/>
      <protection locked="0"/>
    </xf>
    <xf numFmtId="14" fontId="21" fillId="0" borderId="70" xfId="0" applyNumberFormat="1" applyFont="1" applyBorder="1" applyAlignment="1" applyProtection="1">
      <alignment horizontal="center" vertical="center" wrapText="1"/>
      <protection locked="0"/>
    </xf>
    <xf numFmtId="14" fontId="21" fillId="0" borderId="62" xfId="0" applyNumberFormat="1" applyFont="1" applyBorder="1" applyAlignment="1" applyProtection="1">
      <alignment horizontal="center" vertical="center" wrapText="1"/>
      <protection locked="0"/>
    </xf>
    <xf numFmtId="0" fontId="21" fillId="0" borderId="53" xfId="0" applyFont="1" applyBorder="1" applyAlignment="1" applyProtection="1">
      <alignment horizontal="center" vertical="center" wrapText="1"/>
      <protection locked="0"/>
    </xf>
    <xf numFmtId="0" fontId="21" fillId="0" borderId="43" xfId="0" applyFont="1" applyBorder="1" applyAlignment="1" applyProtection="1">
      <alignment horizontal="center" vertical="center" wrapText="1"/>
      <protection locked="0"/>
    </xf>
    <xf numFmtId="14" fontId="21" fillId="0" borderId="53" xfId="0" applyNumberFormat="1" applyFont="1" applyBorder="1" applyAlignment="1" applyProtection="1">
      <alignment horizontal="center" vertical="center" wrapText="1"/>
      <protection locked="0"/>
    </xf>
    <xf numFmtId="14" fontId="21" fillId="0" borderId="4" xfId="0" applyNumberFormat="1" applyFont="1" applyBorder="1" applyAlignment="1" applyProtection="1">
      <alignment horizontal="center" vertical="center" wrapText="1"/>
      <protection locked="0"/>
    </xf>
    <xf numFmtId="14" fontId="21" fillId="0" borderId="43" xfId="0" applyNumberFormat="1" applyFont="1" applyBorder="1" applyAlignment="1" applyProtection="1">
      <alignment horizontal="center" vertical="center" wrapText="1"/>
      <protection locked="0"/>
    </xf>
    <xf numFmtId="0" fontId="21" fillId="0" borderId="0" xfId="0" applyFont="1" applyAlignment="1">
      <alignment horizontal="center" vertical="center" wrapText="1"/>
    </xf>
    <xf numFmtId="0" fontId="21" fillId="0" borderId="68" xfId="0" applyFont="1" applyBorder="1" applyAlignment="1" applyProtection="1">
      <alignment horizontal="center" vertical="center" wrapText="1"/>
      <protection locked="0"/>
    </xf>
    <xf numFmtId="0" fontId="21" fillId="0" borderId="69" xfId="0" applyFont="1" applyBorder="1" applyAlignment="1" applyProtection="1">
      <alignment horizontal="center" vertical="center" wrapText="1"/>
      <protection locked="0"/>
    </xf>
    <xf numFmtId="14" fontId="21" fillId="0" borderId="68" xfId="0" applyNumberFormat="1" applyFont="1" applyBorder="1" applyAlignment="1" applyProtection="1">
      <alignment horizontal="center" vertical="center" wrapText="1"/>
      <protection locked="0"/>
    </xf>
    <xf numFmtId="14" fontId="21" fillId="0" borderId="3" xfId="0" applyNumberFormat="1" applyFont="1" applyBorder="1" applyAlignment="1" applyProtection="1">
      <alignment horizontal="center" vertical="center" wrapText="1"/>
      <protection locked="0"/>
    </xf>
    <xf numFmtId="14" fontId="21" fillId="0" borderId="69" xfId="0" applyNumberFormat="1" applyFont="1" applyBorder="1" applyAlignment="1" applyProtection="1">
      <alignment horizontal="center" vertical="center" wrapText="1"/>
      <protection locked="0"/>
    </xf>
    <xf numFmtId="0" fontId="18" fillId="0" borderId="0" xfId="0" applyFont="1" applyAlignment="1" applyProtection="1">
      <alignment horizontal="center" vertical="center"/>
      <protection locked="0"/>
    </xf>
    <xf numFmtId="0" fontId="18" fillId="0" borderId="0" xfId="0" applyFont="1" applyAlignment="1">
      <alignment horizontal="center" vertical="center"/>
    </xf>
    <xf numFmtId="0" fontId="17" fillId="0" borderId="0" xfId="0" applyFont="1" applyAlignment="1">
      <alignment horizontal="center" vertical="center"/>
    </xf>
    <xf numFmtId="0" fontId="18" fillId="0" borderId="17" xfId="0" applyFont="1" applyBorder="1" applyAlignment="1">
      <alignment horizontal="left" vertical="top"/>
    </xf>
    <xf numFmtId="0" fontId="18" fillId="0" borderId="18" xfId="0" applyFont="1" applyBorder="1" applyAlignment="1">
      <alignment horizontal="left" vertical="top"/>
    </xf>
    <xf numFmtId="0" fontId="18" fillId="0" borderId="7" xfId="0" applyFont="1" applyBorder="1" applyAlignment="1">
      <alignment horizontal="left" vertical="top"/>
    </xf>
    <xf numFmtId="0" fontId="18" fillId="0" borderId="2" xfId="0" applyFont="1" applyBorder="1" applyAlignment="1" applyProtection="1">
      <alignment horizontal="center" vertical="center" wrapText="1"/>
      <protection locked="0"/>
    </xf>
    <xf numFmtId="0" fontId="18" fillId="0" borderId="2" xfId="0" applyFont="1" applyBorder="1" applyAlignment="1">
      <alignment horizontal="left" vertical="center"/>
    </xf>
    <xf numFmtId="0" fontId="18" fillId="0" borderId="17" xfId="0" applyFont="1" applyBorder="1" applyAlignment="1">
      <alignment horizontal="left" vertical="center"/>
    </xf>
    <xf numFmtId="0" fontId="18" fillId="0" borderId="18" xfId="0" applyFont="1" applyBorder="1" applyAlignment="1">
      <alignment horizontal="left" vertical="center"/>
    </xf>
    <xf numFmtId="0" fontId="18" fillId="0" borderId="7" xfId="0" applyFont="1" applyBorder="1" applyAlignment="1">
      <alignment horizontal="left" vertical="center"/>
    </xf>
    <xf numFmtId="0" fontId="18" fillId="0" borderId="17" xfId="0" applyFont="1" applyBorder="1" applyAlignment="1" applyProtection="1">
      <alignment horizontal="center" vertical="center" wrapText="1"/>
      <protection locked="0"/>
    </xf>
    <xf numFmtId="0" fontId="18" fillId="0" borderId="18" xfId="0" applyFont="1" applyBorder="1" applyAlignment="1" applyProtection="1">
      <alignment horizontal="center" vertical="center" wrapText="1"/>
      <protection locked="0"/>
    </xf>
    <xf numFmtId="0" fontId="18" fillId="0" borderId="7" xfId="0" applyFont="1" applyBorder="1" applyAlignment="1" applyProtection="1">
      <alignment horizontal="center" vertical="center" wrapText="1"/>
      <protection locked="0"/>
    </xf>
    <xf numFmtId="0" fontId="18" fillId="0" borderId="2" xfId="0" applyFont="1" applyBorder="1" applyAlignment="1">
      <alignment horizontal="left" vertical="center" wrapText="1"/>
    </xf>
    <xf numFmtId="0" fontId="21" fillId="0" borderId="0" xfId="0" applyFont="1" applyAlignment="1">
      <alignment horizontal="right" vertical="center" wrapText="1"/>
    </xf>
    <xf numFmtId="0" fontId="18" fillId="0" borderId="2" xfId="0" applyFont="1" applyBorder="1" applyAlignment="1">
      <alignment horizontal="center" vertical="center" wrapText="1"/>
    </xf>
    <xf numFmtId="0" fontId="33" fillId="0" borderId="0" xfId="2" applyFont="1" applyAlignment="1">
      <alignment horizontal="center" wrapText="1"/>
    </xf>
    <xf numFmtId="0" fontId="21" fillId="0" borderId="0" xfId="2" applyAlignment="1">
      <alignment horizontal="center" vertical="center" wrapText="1"/>
    </xf>
    <xf numFmtId="0" fontId="25" fillId="0" borderId="5" xfId="2" applyFont="1" applyBorder="1" applyAlignment="1">
      <alignment horizontal="center"/>
    </xf>
    <xf numFmtId="0" fontId="25" fillId="0" borderId="6" xfId="2" applyFont="1" applyBorder="1" applyAlignment="1">
      <alignment horizontal="center"/>
    </xf>
    <xf numFmtId="0" fontId="25" fillId="0" borderId="13" xfId="2" applyFont="1" applyBorder="1" applyAlignment="1">
      <alignment horizontal="center"/>
    </xf>
    <xf numFmtId="0" fontId="25" fillId="0" borderId="6" xfId="2" applyFont="1" applyBorder="1" applyAlignment="1">
      <alignment horizontal="left"/>
    </xf>
    <xf numFmtId="0" fontId="25" fillId="0" borderId="13" xfId="2" applyFont="1" applyBorder="1" applyAlignment="1">
      <alignment horizontal="left"/>
    </xf>
    <xf numFmtId="0" fontId="25" fillId="0" borderId="0" xfId="2" applyFont="1" applyAlignment="1">
      <alignment horizontal="left"/>
    </xf>
    <xf numFmtId="0" fontId="25" fillId="0" borderId="9" xfId="2" applyFont="1" applyBorder="1" applyAlignment="1">
      <alignment horizontal="left"/>
    </xf>
    <xf numFmtId="0" fontId="37" fillId="0" borderId="0" xfId="2" applyFont="1" applyAlignment="1">
      <alignment horizontal="left"/>
    </xf>
    <xf numFmtId="0" fontId="37" fillId="0" borderId="9" xfId="2" applyFont="1" applyBorder="1" applyAlignment="1">
      <alignment horizontal="left"/>
    </xf>
    <xf numFmtId="0" fontId="25" fillId="0" borderId="8" xfId="2" applyFont="1" applyBorder="1" applyAlignment="1">
      <alignment horizontal="left"/>
    </xf>
    <xf numFmtId="0" fontId="25" fillId="0" borderId="0" xfId="2" applyFont="1" applyAlignment="1">
      <alignment horizontal="center"/>
    </xf>
    <xf numFmtId="0" fontId="25" fillId="0" borderId="9" xfId="2" applyFont="1" applyBorder="1" applyAlignment="1">
      <alignment horizontal="center"/>
    </xf>
    <xf numFmtId="0" fontId="21" fillId="0" borderId="0" xfId="2" applyAlignment="1">
      <alignment horizontal="left" vertical="center" wrapText="1"/>
    </xf>
    <xf numFmtId="0" fontId="21" fillId="0" borderId="11" xfId="2" applyBorder="1" applyAlignment="1">
      <alignment horizontal="left" vertical="center" wrapText="1"/>
    </xf>
    <xf numFmtId="0" fontId="27" fillId="0" borderId="5" xfId="2" applyFont="1" applyBorder="1" applyAlignment="1">
      <alignment horizontal="left"/>
    </xf>
    <xf numFmtId="0" fontId="27" fillId="0" borderId="6" xfId="2" applyFont="1" applyBorder="1" applyAlignment="1">
      <alignment horizontal="left"/>
    </xf>
    <xf numFmtId="0" fontId="27" fillId="0" borderId="13" xfId="2" applyFont="1" applyBorder="1" applyAlignment="1">
      <alignment horizontal="left"/>
    </xf>
    <xf numFmtId="0" fontId="21" fillId="0" borderId="0" xfId="2" applyAlignment="1">
      <alignment horizontal="left"/>
    </xf>
    <xf numFmtId="0" fontId="21" fillId="0" borderId="9" xfId="2" applyBorder="1" applyAlignment="1">
      <alignment horizontal="left"/>
    </xf>
    <xf numFmtId="0" fontId="37" fillId="0" borderId="0" xfId="2" applyFont="1" applyAlignment="1">
      <alignment horizontal="center"/>
    </xf>
    <xf numFmtId="0" fontId="21" fillId="0" borderId="0" xfId="2"/>
    <xf numFmtId="0" fontId="21" fillId="0" borderId="9" xfId="2" applyBorder="1"/>
    <xf numFmtId="0" fontId="37" fillId="0" borderId="11" xfId="2" applyFont="1" applyBorder="1" applyAlignment="1">
      <alignment horizontal="center" vertical="center" wrapText="1"/>
    </xf>
    <xf numFmtId="0" fontId="37" fillId="0" borderId="12" xfId="2" applyFont="1" applyBorder="1" applyAlignment="1">
      <alignment horizontal="center" vertical="center" wrapText="1"/>
    </xf>
    <xf numFmtId="0" fontId="25" fillId="0" borderId="5" xfId="2" applyFont="1" applyBorder="1" applyAlignment="1">
      <alignment horizontal="left"/>
    </xf>
    <xf numFmtId="0" fontId="11" fillId="0" borderId="17" xfId="0" applyFont="1" applyBorder="1" applyAlignment="1">
      <alignment horizontal="left" vertical="center" wrapText="1"/>
    </xf>
    <xf numFmtId="0" fontId="11" fillId="0" borderId="18" xfId="0" applyFont="1" applyBorder="1" applyAlignment="1">
      <alignment horizontal="left" vertical="center" wrapText="1"/>
    </xf>
    <xf numFmtId="0" fontId="11" fillId="0" borderId="7" xfId="0" applyFont="1" applyBorder="1" applyAlignment="1">
      <alignment horizontal="left" vertical="center" wrapText="1"/>
    </xf>
    <xf numFmtId="0" fontId="11" fillId="0" borderId="11" xfId="0" applyFont="1" applyBorder="1" applyAlignment="1" applyProtection="1">
      <alignment horizontal="center" vertical="center" wrapText="1"/>
      <protection locked="0"/>
    </xf>
    <xf numFmtId="0" fontId="11" fillId="0" borderId="12" xfId="0" applyFont="1" applyBorder="1" applyAlignment="1" applyProtection="1">
      <alignment horizontal="center" vertical="center" wrapText="1"/>
      <protection locked="0"/>
    </xf>
    <xf numFmtId="0" fontId="11" fillId="0" borderId="0" xfId="0" applyFont="1" applyAlignment="1">
      <alignment horizontal="right" vertical="center"/>
    </xf>
    <xf numFmtId="0" fontId="11" fillId="0" borderId="17" xfId="0" applyFont="1" applyBorder="1" applyAlignment="1">
      <alignment horizontal="center" vertical="center" wrapText="1"/>
    </xf>
    <xf numFmtId="0" fontId="11" fillId="0" borderId="7" xfId="0" applyFont="1" applyBorder="1" applyAlignment="1">
      <alignment horizontal="center" vertical="center" wrapText="1"/>
    </xf>
    <xf numFmtId="0" fontId="32" fillId="0" borderId="0" xfId="0" applyFont="1" applyAlignment="1">
      <alignment horizontal="center" vertical="center"/>
    </xf>
    <xf numFmtId="0" fontId="0" fillId="0" borderId="0" xfId="0"/>
    <xf numFmtId="0" fontId="32" fillId="4" borderId="0" xfId="0" applyFont="1" applyFill="1" applyAlignment="1">
      <alignment horizontal="center" vertical="center"/>
    </xf>
    <xf numFmtId="0" fontId="21" fillId="4" borderId="0" xfId="0" applyFont="1" applyFill="1" applyAlignment="1">
      <alignment horizontal="center" vertical="center" wrapText="1"/>
    </xf>
    <xf numFmtId="14" fontId="70" fillId="4" borderId="15" xfId="0" applyNumberFormat="1" applyFont="1" applyFill="1" applyBorder="1" applyAlignment="1" applyProtection="1">
      <alignment horizontal="left"/>
      <protection locked="0"/>
    </xf>
    <xf numFmtId="0" fontId="15" fillId="4" borderId="6" xfId="0" applyFont="1" applyFill="1" applyBorder="1" applyAlignment="1">
      <alignment horizontal="center"/>
    </xf>
    <xf numFmtId="0" fontId="25" fillId="4" borderId="0" xfId="0" applyFont="1" applyFill="1" applyAlignment="1">
      <alignment horizontal="center" vertical="center"/>
    </xf>
    <xf numFmtId="0" fontId="21" fillId="10" borderId="0" xfId="0" applyFont="1" applyFill="1" applyAlignment="1">
      <alignment horizontal="left" vertical="center" wrapText="1"/>
    </xf>
    <xf numFmtId="0" fontId="70" fillId="4" borderId="17" xfId="0" applyFont="1" applyFill="1" applyBorder="1" applyAlignment="1" applyProtection="1">
      <alignment horizontal="left" vertical="top" wrapText="1"/>
      <protection locked="0"/>
    </xf>
    <xf numFmtId="0" fontId="70" fillId="4" borderId="18" xfId="0" applyFont="1" applyFill="1" applyBorder="1" applyAlignment="1" applyProtection="1">
      <alignment horizontal="left" vertical="top" wrapText="1"/>
      <protection locked="0"/>
    </xf>
    <xf numFmtId="0" fontId="70" fillId="4" borderId="7" xfId="0" applyFont="1" applyFill="1" applyBorder="1" applyAlignment="1" applyProtection="1">
      <alignment horizontal="left" vertical="top" wrapText="1"/>
      <protection locked="0"/>
    </xf>
    <xf numFmtId="0" fontId="70" fillId="4" borderId="17" xfId="0" applyFont="1" applyFill="1" applyBorder="1" applyAlignment="1" applyProtection="1">
      <alignment horizontal="left" vertical="top"/>
      <protection locked="0"/>
    </xf>
    <xf numFmtId="0" fontId="70" fillId="4" borderId="18" xfId="0" applyFont="1" applyFill="1" applyBorder="1" applyAlignment="1" applyProtection="1">
      <alignment horizontal="left" vertical="top"/>
      <protection locked="0"/>
    </xf>
    <xf numFmtId="0" fontId="70" fillId="4" borderId="7" xfId="0" applyFont="1" applyFill="1" applyBorder="1" applyAlignment="1" applyProtection="1">
      <alignment horizontal="left" vertical="top"/>
      <protection locked="0"/>
    </xf>
    <xf numFmtId="0" fontId="70" fillId="4" borderId="17" xfId="0" applyFont="1" applyFill="1" applyBorder="1" applyAlignment="1" applyProtection="1">
      <alignment horizontal="center" vertical="center"/>
      <protection locked="0"/>
    </xf>
    <xf numFmtId="0" fontId="70" fillId="4" borderId="18" xfId="0" applyFont="1" applyFill="1" applyBorder="1" applyAlignment="1" applyProtection="1">
      <alignment horizontal="center" vertical="center"/>
      <protection locked="0"/>
    </xf>
    <xf numFmtId="0" fontId="70" fillId="4" borderId="7" xfId="0" applyFont="1" applyFill="1" applyBorder="1" applyAlignment="1" applyProtection="1">
      <alignment horizontal="center" vertical="center"/>
      <protection locked="0"/>
    </xf>
    <xf numFmtId="0" fontId="70" fillId="4" borderId="15" xfId="0" applyFont="1" applyFill="1" applyBorder="1" applyAlignment="1" applyProtection="1">
      <alignment horizontal="center"/>
      <protection locked="0"/>
    </xf>
    <xf numFmtId="0" fontId="37" fillId="4" borderId="0" xfId="0" applyFont="1" applyFill="1" applyAlignment="1">
      <alignment horizontal="left"/>
    </xf>
    <xf numFmtId="0" fontId="64" fillId="0" borderId="0" xfId="0" applyFont="1" applyAlignment="1">
      <alignment horizontal="left" vertical="center" wrapText="1"/>
    </xf>
    <xf numFmtId="0" fontId="27" fillId="0" borderId="5" xfId="0" applyFont="1" applyBorder="1" applyAlignment="1">
      <alignment horizontal="left"/>
    </xf>
    <xf numFmtId="0" fontId="28" fillId="0" borderId="6" xfId="0" applyFont="1" applyBorder="1" applyAlignment="1">
      <alignment horizontal="left"/>
    </xf>
    <xf numFmtId="0" fontId="28" fillId="0" borderId="13" xfId="0" applyFont="1" applyBorder="1" applyAlignment="1">
      <alignment horizontal="left"/>
    </xf>
    <xf numFmtId="0" fontId="27" fillId="0" borderId="8" xfId="0" applyFont="1" applyBorder="1" applyAlignment="1">
      <alignment horizontal="left"/>
    </xf>
    <xf numFmtId="0" fontId="27" fillId="0" borderId="0" xfId="0" applyFont="1" applyAlignment="1">
      <alignment horizontal="left"/>
    </xf>
    <xf numFmtId="0" fontId="27" fillId="0" borderId="9" xfId="0" applyFont="1" applyBorder="1" applyAlignment="1">
      <alignment horizontal="left"/>
    </xf>
    <xf numFmtId="0" fontId="34" fillId="0" borderId="0" xfId="0" applyFont="1" applyAlignment="1">
      <alignment horizontal="center" vertical="center" wrapText="1"/>
    </xf>
    <xf numFmtId="0" fontId="28" fillId="0" borderId="5" xfId="0" applyFont="1" applyBorder="1" applyAlignment="1">
      <alignment horizontal="center"/>
    </xf>
    <xf numFmtId="0" fontId="28" fillId="0" borderId="6" xfId="0" applyFont="1" applyBorder="1" applyAlignment="1">
      <alignment horizontal="center"/>
    </xf>
    <xf numFmtId="0" fontId="28" fillId="0" borderId="13" xfId="0" applyFont="1" applyBorder="1" applyAlignment="1">
      <alignment horizontal="center"/>
    </xf>
    <xf numFmtId="0" fontId="63" fillId="0" borderId="0" xfId="0" applyFont="1" applyAlignment="1">
      <alignment horizontal="left"/>
    </xf>
    <xf numFmtId="0" fontId="63" fillId="0" borderId="9" xfId="0" applyFont="1" applyBorder="1" applyAlignment="1">
      <alignment horizontal="left"/>
    </xf>
    <xf numFmtId="0" fontId="0" fillId="0" borderId="0" xfId="0" applyAlignment="1">
      <alignment horizontal="left"/>
    </xf>
    <xf numFmtId="0" fontId="0" fillId="0" borderId="9" xfId="0" applyBorder="1" applyAlignment="1">
      <alignment horizontal="left"/>
    </xf>
    <xf numFmtId="0" fontId="25" fillId="9" borderId="37" xfId="0" applyFont="1" applyFill="1" applyBorder="1" applyAlignment="1">
      <alignment horizontal="left" vertical="center" wrapText="1"/>
    </xf>
    <xf numFmtId="0" fontId="25" fillId="0" borderId="1" xfId="10" applyFont="1" applyBorder="1" applyAlignment="1" applyProtection="1">
      <alignment horizontal="left" vertical="top" wrapText="1"/>
      <protection locked="0"/>
    </xf>
    <xf numFmtId="0" fontId="25" fillId="0" borderId="0" xfId="10" applyFont="1" applyAlignment="1" applyProtection="1">
      <alignment horizontal="left" vertical="top" wrapText="1"/>
      <protection locked="0"/>
    </xf>
    <xf numFmtId="0" fontId="25" fillId="0" borderId="35" xfId="10" applyFont="1" applyBorder="1" applyAlignment="1" applyProtection="1">
      <alignment horizontal="left" vertical="top" wrapText="1"/>
      <protection locked="0"/>
    </xf>
    <xf numFmtId="0" fontId="25" fillId="0" borderId="36" xfId="10" applyFont="1" applyBorder="1" applyAlignment="1" applyProtection="1">
      <alignment horizontal="left" vertical="top" wrapText="1"/>
      <protection locked="0"/>
    </xf>
    <xf numFmtId="0" fontId="25" fillId="0" borderId="37" xfId="10" applyFont="1" applyBorder="1" applyAlignment="1" applyProtection="1">
      <alignment horizontal="left" vertical="top" wrapText="1"/>
      <protection locked="0"/>
    </xf>
    <xf numFmtId="0" fontId="25" fillId="0" borderId="38" xfId="10" applyFont="1" applyBorder="1" applyAlignment="1" applyProtection="1">
      <alignment horizontal="left" vertical="top" wrapText="1"/>
      <protection locked="0"/>
    </xf>
    <xf numFmtId="0" fontId="11" fillId="0" borderId="0" xfId="10" applyAlignment="1">
      <alignment horizontal="center"/>
    </xf>
    <xf numFmtId="0" fontId="17" fillId="0" borderId="0" xfId="10" applyFont="1" applyAlignment="1">
      <alignment horizontal="left" vertical="center" indent="1"/>
    </xf>
    <xf numFmtId="0" fontId="17" fillId="9" borderId="0" xfId="10" applyFont="1" applyFill="1" applyAlignment="1">
      <alignment horizontal="left" vertical="center" wrapText="1"/>
    </xf>
    <xf numFmtId="0" fontId="36" fillId="2" borderId="71" xfId="10" applyFont="1" applyFill="1" applyBorder="1" applyAlignment="1">
      <alignment horizontal="center" vertical="center"/>
    </xf>
    <xf numFmtId="0" fontId="36" fillId="2" borderId="90" xfId="10" applyFont="1" applyFill="1" applyBorder="1" applyAlignment="1">
      <alignment horizontal="center" vertical="center"/>
    </xf>
    <xf numFmtId="0" fontId="36" fillId="2" borderId="72" xfId="10" applyFont="1" applyFill="1" applyBorder="1" applyAlignment="1">
      <alignment horizontal="center" vertical="center"/>
    </xf>
    <xf numFmtId="0" fontId="32" fillId="0" borderId="1" xfId="10" applyFont="1" applyBorder="1" applyAlignment="1" applyProtection="1">
      <alignment horizontal="center" vertical="center"/>
      <protection locked="0"/>
    </xf>
    <xf numFmtId="0" fontId="32" fillId="0" borderId="0" xfId="10" applyFont="1" applyAlignment="1" applyProtection="1">
      <alignment horizontal="center" vertical="center"/>
      <protection locked="0"/>
    </xf>
    <xf numFmtId="0" fontId="32" fillId="0" borderId="35" xfId="10" applyFont="1" applyBorder="1" applyAlignment="1" applyProtection="1">
      <alignment horizontal="center" vertical="center"/>
      <protection locked="0"/>
    </xf>
    <xf numFmtId="0" fontId="10" fillId="0" borderId="1" xfId="11" applyBorder="1" applyAlignment="1" applyProtection="1">
      <alignment horizontal="center"/>
      <protection locked="0"/>
    </xf>
    <xf numFmtId="0" fontId="10" fillId="0" borderId="0" xfId="11" applyAlignment="1" applyProtection="1">
      <alignment horizontal="center"/>
      <protection locked="0"/>
    </xf>
    <xf numFmtId="0" fontId="10" fillId="0" borderId="35" xfId="11" applyBorder="1" applyAlignment="1" applyProtection="1">
      <alignment horizontal="center"/>
      <protection locked="0"/>
    </xf>
    <xf numFmtId="0" fontId="32" fillId="0" borderId="114" xfId="10" applyFont="1" applyBorder="1" applyAlignment="1">
      <alignment horizontal="center" vertical="center" wrapText="1"/>
    </xf>
    <xf numFmtId="0" fontId="32" fillId="0" borderId="48" xfId="10" applyFont="1" applyBorder="1" applyAlignment="1">
      <alignment horizontal="center" vertical="center" wrapText="1"/>
    </xf>
    <xf numFmtId="0" fontId="32" fillId="0" borderId="124" xfId="10" applyFont="1" applyBorder="1" applyAlignment="1">
      <alignment horizontal="center" vertical="center" wrapText="1"/>
    </xf>
    <xf numFmtId="0" fontId="32" fillId="0" borderId="115" xfId="10" applyFont="1" applyBorder="1" applyAlignment="1">
      <alignment horizontal="center" vertical="center" wrapText="1"/>
    </xf>
    <xf numFmtId="0" fontId="32" fillId="0" borderId="116" xfId="10" applyFont="1" applyBorder="1" applyAlignment="1">
      <alignment horizontal="center" vertical="center" wrapText="1"/>
    </xf>
    <xf numFmtId="0" fontId="32" fillId="0" borderId="125" xfId="10" applyFont="1" applyBorder="1" applyAlignment="1">
      <alignment horizontal="center" vertical="center" wrapText="1"/>
    </xf>
    <xf numFmtId="0" fontId="32" fillId="9" borderId="0" xfId="10" applyFont="1" applyFill="1" applyAlignment="1">
      <alignment horizontal="left" vertical="center" wrapText="1"/>
    </xf>
    <xf numFmtId="0" fontId="21" fillId="0" borderId="5"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8" fillId="0" borderId="2" xfId="0" applyFont="1" applyBorder="1" applyAlignment="1">
      <alignment horizontal="center" vertical="center" wrapText="1"/>
    </xf>
    <xf numFmtId="0" fontId="21" fillId="0" borderId="2" xfId="0" applyFont="1" applyBorder="1" applyAlignment="1" applyProtection="1">
      <alignment horizontal="center" vertical="center" wrapText="1"/>
      <protection locked="0"/>
    </xf>
    <xf numFmtId="0" fontId="21" fillId="0" borderId="8" xfId="0" applyFont="1" applyBorder="1" applyAlignment="1">
      <alignment horizontal="center" vertical="center" wrapText="1"/>
    </xf>
    <xf numFmtId="0" fontId="15" fillId="0" borderId="142" xfId="0" applyFont="1" applyBorder="1" applyAlignment="1">
      <alignment horizontal="center"/>
    </xf>
    <xf numFmtId="0" fontId="15" fillId="0" borderId="143" xfId="0" applyFont="1" applyBorder="1" applyAlignment="1">
      <alignment horizontal="center"/>
    </xf>
    <xf numFmtId="0" fontId="15" fillId="0" borderId="144" xfId="0" applyFont="1" applyBorder="1" applyAlignment="1">
      <alignment horizontal="center" vertical="center" wrapText="1"/>
    </xf>
    <xf numFmtId="0" fontId="15" fillId="0" borderId="145" xfId="0" applyFont="1" applyBorder="1" applyAlignment="1">
      <alignment horizontal="center" vertical="center" wrapText="1"/>
    </xf>
    <xf numFmtId="0" fontId="21" fillId="0" borderId="144" xfId="0" applyFont="1" applyBorder="1" applyAlignment="1">
      <alignment horizontal="center" vertical="center" wrapText="1"/>
    </xf>
    <xf numFmtId="0" fontId="21" fillId="0" borderId="145" xfId="0" applyFont="1" applyBorder="1" applyAlignment="1">
      <alignment horizontal="center" vertical="center" wrapText="1"/>
    </xf>
    <xf numFmtId="0" fontId="32" fillId="0" borderId="8" xfId="12" applyFont="1" applyBorder="1" applyAlignment="1" applyProtection="1">
      <alignment horizontal="left" vertical="center"/>
      <protection locked="0"/>
    </xf>
    <xf numFmtId="0" fontId="32" fillId="0" borderId="0" xfId="12" applyFont="1" applyAlignment="1" applyProtection="1">
      <alignment horizontal="left" vertical="center"/>
      <protection locked="0"/>
    </xf>
    <xf numFmtId="0" fontId="32" fillId="0" borderId="9" xfId="12" applyFont="1" applyBorder="1" applyAlignment="1" applyProtection="1">
      <alignment horizontal="left" vertical="center"/>
      <protection locked="0"/>
    </xf>
    <xf numFmtId="0" fontId="31" fillId="9" borderId="0" xfId="12" applyFont="1" applyFill="1" applyAlignment="1">
      <alignment horizontal="left" vertical="center" wrapText="1"/>
    </xf>
    <xf numFmtId="0" fontId="18" fillId="0" borderId="2" xfId="12" applyFont="1" applyBorder="1" applyAlignment="1" applyProtection="1">
      <alignment horizontal="center" vertical="center" wrapText="1"/>
      <protection locked="0"/>
    </xf>
    <xf numFmtId="0" fontId="33" fillId="13" borderId="5" xfId="12" applyFont="1" applyFill="1" applyBorder="1" applyAlignment="1" applyProtection="1">
      <alignment horizontal="center" vertical="center" wrapText="1"/>
      <protection locked="0"/>
    </xf>
    <xf numFmtId="0" fontId="33" fillId="13" borderId="6" xfId="12" applyFont="1" applyFill="1" applyBorder="1" applyAlignment="1" applyProtection="1">
      <alignment horizontal="center" vertical="center" wrapText="1"/>
      <protection locked="0"/>
    </xf>
    <xf numFmtId="0" fontId="33" fillId="13" borderId="13" xfId="12" applyFont="1" applyFill="1" applyBorder="1" applyAlignment="1" applyProtection="1">
      <alignment horizontal="center" vertical="center" wrapText="1"/>
      <protection locked="0"/>
    </xf>
    <xf numFmtId="0" fontId="33" fillId="13" borderId="10" xfId="12" applyFont="1" applyFill="1" applyBorder="1" applyAlignment="1" applyProtection="1">
      <alignment horizontal="center" vertical="center" wrapText="1"/>
      <protection locked="0"/>
    </xf>
    <xf numFmtId="0" fontId="33" fillId="13" borderId="11" xfId="12" applyFont="1" applyFill="1" applyBorder="1" applyAlignment="1" applyProtection="1">
      <alignment horizontal="center" vertical="center" wrapText="1"/>
      <protection locked="0"/>
    </xf>
    <xf numFmtId="0" fontId="33" fillId="13" borderId="12" xfId="12" applyFont="1" applyFill="1" applyBorder="1" applyAlignment="1" applyProtection="1">
      <alignment horizontal="center" vertical="center" wrapText="1"/>
      <protection locked="0"/>
    </xf>
    <xf numFmtId="0" fontId="104" fillId="0" borderId="2" xfId="12" applyFont="1" applyBorder="1" applyAlignment="1" applyProtection="1">
      <alignment horizontal="center" vertical="center" wrapText="1"/>
      <protection locked="0"/>
    </xf>
    <xf numFmtId="0" fontId="30" fillId="0" borderId="8" xfId="12" applyFont="1" applyBorder="1" applyAlignment="1" applyProtection="1">
      <alignment horizontal="left" vertical="center"/>
      <protection locked="0"/>
    </xf>
    <xf numFmtId="0" fontId="30" fillId="0" borderId="0" xfId="12" applyFont="1" applyAlignment="1" applyProtection="1">
      <alignment horizontal="left" vertical="center"/>
      <protection locked="0"/>
    </xf>
    <xf numFmtId="0" fontId="30" fillId="0" borderId="9" xfId="12" applyFont="1" applyBorder="1" applyAlignment="1" applyProtection="1">
      <alignment horizontal="left" vertical="center"/>
      <protection locked="0"/>
    </xf>
    <xf numFmtId="0" fontId="32" fillId="13" borderId="160" xfId="12" applyFont="1" applyFill="1" applyBorder="1" applyAlignment="1" applyProtection="1">
      <alignment horizontal="left" vertical="center" wrapText="1"/>
      <protection locked="0"/>
    </xf>
    <xf numFmtId="0" fontId="30" fillId="0" borderId="5" xfId="12" applyFont="1" applyBorder="1" applyAlignment="1" applyProtection="1">
      <alignment horizontal="left" vertical="center" wrapText="1"/>
      <protection locked="0"/>
    </xf>
    <xf numFmtId="0" fontId="30" fillId="0" borderId="6" xfId="12" applyFont="1" applyBorder="1" applyAlignment="1" applyProtection="1">
      <alignment horizontal="left" vertical="center" wrapText="1"/>
      <protection locked="0"/>
    </xf>
    <xf numFmtId="0" fontId="30" fillId="0" borderId="13" xfId="12" applyFont="1" applyBorder="1" applyAlignment="1" applyProtection="1">
      <alignment horizontal="left" vertical="center" wrapText="1"/>
      <protection locked="0"/>
    </xf>
    <xf numFmtId="0" fontId="30" fillId="0" borderId="0" xfId="12" applyFont="1" applyAlignment="1" applyProtection="1">
      <alignment horizontal="center" vertical="center" wrapText="1"/>
      <protection locked="0"/>
    </xf>
    <xf numFmtId="0" fontId="30" fillId="0" borderId="9" xfId="12" applyFont="1" applyBorder="1" applyAlignment="1" applyProtection="1">
      <alignment horizontal="center" vertical="center" wrapText="1"/>
      <protection locked="0"/>
    </xf>
    <xf numFmtId="0" fontId="30" fillId="0" borderId="8" xfId="12" applyFont="1" applyBorder="1" applyAlignment="1" applyProtection="1">
      <alignment horizontal="left" vertical="center" wrapText="1"/>
      <protection locked="0"/>
    </xf>
    <xf numFmtId="0" fontId="30" fillId="0" borderId="0" xfId="12" applyFont="1" applyAlignment="1" applyProtection="1">
      <alignment horizontal="left" vertical="center" wrapText="1"/>
      <protection locked="0"/>
    </xf>
    <xf numFmtId="0" fontId="30" fillId="0" borderId="9" xfId="12" applyFont="1" applyBorder="1" applyAlignment="1" applyProtection="1">
      <alignment horizontal="left" vertical="center" wrapText="1"/>
      <protection locked="0"/>
    </xf>
    <xf numFmtId="0" fontId="15" fillId="9" borderId="0" xfId="12" applyFont="1" applyFill="1" applyAlignment="1">
      <alignment horizontal="left" vertical="center"/>
    </xf>
    <xf numFmtId="0" fontId="15" fillId="9" borderId="0" xfId="12" applyFont="1" applyFill="1" applyAlignment="1">
      <alignment horizontal="left" vertical="center" wrapText="1"/>
    </xf>
    <xf numFmtId="0" fontId="30" fillId="0" borderId="153" xfId="12" applyFont="1" applyBorder="1" applyAlignment="1" applyProtection="1">
      <alignment horizontal="left" vertical="center" wrapText="1"/>
      <protection locked="0"/>
    </xf>
    <xf numFmtId="0" fontId="30" fillId="0" borderId="116" xfId="12" applyFont="1" applyBorder="1" applyAlignment="1" applyProtection="1">
      <alignment horizontal="left" vertical="center" wrapText="1"/>
      <protection locked="0"/>
    </xf>
    <xf numFmtId="0" fontId="30" fillId="0" borderId="154" xfId="12" applyFont="1" applyBorder="1" applyAlignment="1" applyProtection="1">
      <alignment horizontal="left" vertical="center" wrapText="1"/>
      <protection locked="0"/>
    </xf>
    <xf numFmtId="0" fontId="30" fillId="0" borderId="2" xfId="12" applyFont="1" applyBorder="1" applyAlignment="1" applyProtection="1">
      <alignment horizontal="left" vertical="center" wrapText="1"/>
      <protection locked="0"/>
    </xf>
    <xf numFmtId="0" fontId="30" fillId="0" borderId="17" xfId="12" applyFont="1" applyBorder="1" applyAlignment="1" applyProtection="1">
      <alignment horizontal="left" vertical="center" wrapText="1"/>
      <protection locked="0"/>
    </xf>
    <xf numFmtId="0" fontId="30" fillId="0" borderId="18" xfId="12" applyFont="1" applyBorder="1" applyAlignment="1" applyProtection="1">
      <alignment horizontal="left" vertical="center" wrapText="1"/>
      <protection locked="0"/>
    </xf>
    <xf numFmtId="0" fontId="30" fillId="0" borderId="7" xfId="12" applyFont="1" applyBorder="1" applyAlignment="1" applyProtection="1">
      <alignment horizontal="left" vertical="center" wrapText="1"/>
      <protection locked="0"/>
    </xf>
    <xf numFmtId="0" fontId="30" fillId="0" borderId="10" xfId="12" applyFont="1" applyBorder="1" applyAlignment="1" applyProtection="1">
      <alignment horizontal="left" vertical="center" wrapText="1"/>
      <protection locked="0"/>
    </xf>
    <xf numFmtId="0" fontId="30" fillId="0" borderId="12" xfId="12" applyFont="1" applyBorder="1" applyAlignment="1" applyProtection="1">
      <alignment horizontal="left" vertical="center" wrapText="1"/>
      <protection locked="0"/>
    </xf>
    <xf numFmtId="0" fontId="30" fillId="0" borderId="11" xfId="12" applyFont="1" applyBorder="1" applyAlignment="1" applyProtection="1">
      <alignment horizontal="left" vertical="center" wrapText="1"/>
      <protection locked="0"/>
    </xf>
    <xf numFmtId="0" fontId="30" fillId="13" borderId="2" xfId="12" applyFont="1" applyFill="1" applyBorder="1" applyAlignment="1" applyProtection="1">
      <alignment horizontal="center" vertical="top" wrapText="1"/>
      <protection locked="0"/>
    </xf>
    <xf numFmtId="0" fontId="11" fillId="0" borderId="2" xfId="12" applyBorder="1" applyAlignment="1" applyProtection="1">
      <alignment horizontal="center" vertical="center" wrapText="1"/>
      <protection locked="0"/>
    </xf>
    <xf numFmtId="0" fontId="31" fillId="0" borderId="10" xfId="12" applyFont="1" applyBorder="1" applyAlignment="1" applyProtection="1">
      <alignment horizontal="left" vertical="center" wrapText="1"/>
      <protection locked="0"/>
    </xf>
    <xf numFmtId="0" fontId="31" fillId="0" borderId="11" xfId="12" applyFont="1" applyBorder="1" applyAlignment="1" applyProtection="1">
      <alignment horizontal="left" vertical="center" wrapText="1"/>
      <protection locked="0"/>
    </xf>
    <xf numFmtId="0" fontId="30" fillId="0" borderId="2" xfId="12" applyFont="1" applyBorder="1" applyAlignment="1" applyProtection="1">
      <alignment horizontal="center" vertical="center" wrapText="1"/>
      <protection locked="0"/>
    </xf>
    <xf numFmtId="0" fontId="30" fillId="0" borderId="0" xfId="12" applyFont="1" applyAlignment="1" applyProtection="1">
      <alignment horizontal="right" vertical="center"/>
      <protection locked="0"/>
    </xf>
    <xf numFmtId="0" fontId="32" fillId="13" borderId="158" xfId="12" applyFont="1" applyFill="1" applyBorder="1" applyAlignment="1" applyProtection="1">
      <alignment horizontal="center" vertical="center" wrapText="1"/>
      <protection locked="0"/>
    </xf>
    <xf numFmtId="0" fontId="32" fillId="13" borderId="157" xfId="12" applyFont="1" applyFill="1" applyBorder="1" applyAlignment="1" applyProtection="1">
      <alignment horizontal="center" vertical="center" wrapText="1"/>
      <protection locked="0"/>
    </xf>
    <xf numFmtId="0" fontId="32" fillId="13" borderId="161" xfId="12" applyFont="1" applyFill="1" applyBorder="1" applyAlignment="1" applyProtection="1">
      <alignment horizontal="center" vertical="center" wrapText="1"/>
      <protection locked="0"/>
    </xf>
    <xf numFmtId="0" fontId="21" fillId="4" borderId="0" xfId="0" applyFont="1" applyFill="1" applyAlignment="1" applyProtection="1">
      <alignment horizontal="left" vertical="center"/>
      <protection locked="0"/>
    </xf>
    <xf numFmtId="0" fontId="21" fillId="4" borderId="0" xfId="0" applyFont="1" applyFill="1" applyAlignment="1" applyProtection="1">
      <alignment horizontal="center" vertical="center"/>
      <protection locked="0"/>
    </xf>
    <xf numFmtId="0" fontId="18" fillId="4" borderId="0" xfId="0" applyFont="1" applyFill="1" applyAlignment="1">
      <alignment horizontal="center" vertical="center"/>
    </xf>
    <xf numFmtId="0" fontId="15" fillId="4" borderId="0" xfId="0" applyFont="1" applyFill="1" applyAlignment="1">
      <alignment horizontal="center" vertical="center"/>
    </xf>
    <xf numFmtId="0" fontId="21" fillId="4" borderId="0" xfId="0" applyFont="1" applyFill="1" applyAlignment="1">
      <alignment horizontal="center" vertical="center"/>
    </xf>
    <xf numFmtId="0" fontId="25" fillId="4" borderId="0" xfId="0" applyFont="1" applyFill="1" applyAlignment="1" applyProtection="1">
      <alignment horizontal="left" vertical="center"/>
      <protection locked="0"/>
    </xf>
    <xf numFmtId="0" fontId="17" fillId="4" borderId="0" xfId="0" applyFont="1" applyFill="1" applyAlignment="1">
      <alignment horizontal="center" vertical="top"/>
    </xf>
    <xf numFmtId="0" fontId="11" fillId="4" borderId="0" xfId="0" applyFont="1" applyFill="1" applyAlignment="1" applyProtection="1">
      <alignment horizontal="left" vertical="center" wrapText="1"/>
      <protection locked="0"/>
    </xf>
    <xf numFmtId="0" fontId="21" fillId="4" borderId="0" xfId="0" applyFont="1" applyFill="1" applyAlignment="1" applyProtection="1">
      <alignment horizontal="left" vertical="center" wrapText="1"/>
      <protection locked="0"/>
    </xf>
    <xf numFmtId="0" fontId="21" fillId="4" borderId="0" xfId="0" quotePrefix="1" applyFont="1" applyFill="1" applyAlignment="1" applyProtection="1">
      <alignment horizontal="left" vertical="center" wrapText="1"/>
      <protection locked="0"/>
    </xf>
    <xf numFmtId="0" fontId="110" fillId="15" borderId="5" xfId="23" applyFont="1" applyFill="1" applyBorder="1" applyAlignment="1">
      <alignment horizontal="center" vertical="center" wrapText="1"/>
    </xf>
    <xf numFmtId="0" fontId="110" fillId="15" borderId="13" xfId="23" applyFont="1" applyFill="1" applyBorder="1" applyAlignment="1">
      <alignment horizontal="center" vertical="center" wrapText="1"/>
    </xf>
    <xf numFmtId="0" fontId="110" fillId="15" borderId="8" xfId="23" applyFont="1" applyFill="1" applyBorder="1" applyAlignment="1">
      <alignment horizontal="center" vertical="center" wrapText="1"/>
    </xf>
    <xf numFmtId="0" fontId="110" fillId="15" borderId="9" xfId="23" applyFont="1" applyFill="1" applyBorder="1" applyAlignment="1">
      <alignment horizontal="center" vertical="center" wrapText="1"/>
    </xf>
    <xf numFmtId="0" fontId="110" fillId="15" borderId="179" xfId="23" applyFont="1" applyFill="1" applyBorder="1" applyAlignment="1">
      <alignment horizontal="center" vertical="center" wrapText="1"/>
    </xf>
    <xf numFmtId="0" fontId="110" fillId="15" borderId="181" xfId="23" applyFont="1" applyFill="1" applyBorder="1" applyAlignment="1">
      <alignment horizontal="center" vertical="center" wrapText="1"/>
    </xf>
    <xf numFmtId="0" fontId="2" fillId="0" borderId="144" xfId="22" applyBorder="1" applyAlignment="1">
      <alignment horizontal="center"/>
    </xf>
    <xf numFmtId="0" fontId="2" fillId="0" borderId="145" xfId="22" applyBorder="1" applyAlignment="1">
      <alignment horizontal="center"/>
    </xf>
    <xf numFmtId="0" fontId="126" fillId="0" borderId="114" xfId="22" applyFont="1" applyBorder="1" applyAlignment="1">
      <alignment horizontal="center" vertical="center"/>
    </xf>
    <xf numFmtId="0" fontId="126" fillId="0" borderId="48" xfId="22" applyFont="1" applyBorder="1" applyAlignment="1">
      <alignment horizontal="center" vertical="center"/>
    </xf>
    <xf numFmtId="0" fontId="126" fillId="0" borderId="124" xfId="22" applyFont="1" applyBorder="1" applyAlignment="1">
      <alignment horizontal="center" vertical="center"/>
    </xf>
    <xf numFmtId="0" fontId="126" fillId="0" borderId="115" xfId="22" applyFont="1" applyBorder="1" applyAlignment="1">
      <alignment horizontal="center" vertical="center"/>
    </xf>
    <xf numFmtId="0" fontId="126" fillId="0" borderId="116" xfId="22" applyFont="1" applyBorder="1" applyAlignment="1">
      <alignment horizontal="center" vertical="center"/>
    </xf>
    <xf numFmtId="0" fontId="126" fillId="0" borderId="125" xfId="22" applyFont="1" applyBorder="1" applyAlignment="1">
      <alignment horizontal="center" vertical="center"/>
    </xf>
    <xf numFmtId="0" fontId="122" fillId="18" borderId="0" xfId="23" applyFont="1" applyFill="1" applyAlignment="1">
      <alignment horizontal="left" vertical="center"/>
    </xf>
    <xf numFmtId="0" fontId="2" fillId="0" borderId="0" xfId="22" applyAlignment="1">
      <alignment horizontal="center"/>
    </xf>
    <xf numFmtId="0" fontId="131" fillId="0" borderId="0" xfId="22" applyFont="1" applyAlignment="1">
      <alignment horizontal="left" wrapText="1"/>
    </xf>
    <xf numFmtId="0" fontId="110" fillId="15" borderId="2" xfId="23" applyFont="1" applyFill="1" applyBorder="1" applyAlignment="1">
      <alignment horizontal="center" vertical="center" wrapText="1"/>
    </xf>
    <xf numFmtId="0" fontId="110" fillId="15" borderId="14" xfId="23" applyFont="1" applyFill="1" applyBorder="1" applyAlignment="1">
      <alignment horizontal="center" vertical="center" wrapText="1"/>
    </xf>
    <xf numFmtId="0" fontId="110" fillId="15" borderId="6" xfId="23" applyFont="1" applyFill="1" applyBorder="1" applyAlignment="1">
      <alignment horizontal="center" vertical="center" wrapText="1"/>
    </xf>
    <xf numFmtId="0" fontId="110" fillId="15" borderId="0" xfId="23" applyFont="1" applyFill="1" applyAlignment="1">
      <alignment horizontal="center" vertical="center" wrapText="1"/>
    </xf>
    <xf numFmtId="0" fontId="110" fillId="15" borderId="180" xfId="23" applyFont="1" applyFill="1" applyBorder="1" applyAlignment="1">
      <alignment horizontal="center" vertical="center" wrapText="1"/>
    </xf>
    <xf numFmtId="0" fontId="108" fillId="15" borderId="5" xfId="22" applyFont="1" applyFill="1" applyBorder="1" applyAlignment="1">
      <alignment horizontal="center" vertical="center" wrapText="1"/>
    </xf>
    <xf numFmtId="0" fontId="108" fillId="15" borderId="6" xfId="22" applyFont="1" applyFill="1" applyBorder="1" applyAlignment="1">
      <alignment horizontal="center" vertical="center" wrapText="1"/>
    </xf>
    <xf numFmtId="0" fontId="108" fillId="15" borderId="13" xfId="22" applyFont="1" applyFill="1" applyBorder="1" applyAlignment="1">
      <alignment horizontal="center" vertical="center" wrapText="1"/>
    </xf>
    <xf numFmtId="0" fontId="108" fillId="15" borderId="8" xfId="22" applyFont="1" applyFill="1" applyBorder="1" applyAlignment="1">
      <alignment horizontal="center" vertical="center" wrapText="1"/>
    </xf>
    <xf numFmtId="0" fontId="108" fillId="15" borderId="0" xfId="22" applyFont="1" applyFill="1" applyAlignment="1">
      <alignment horizontal="center" vertical="center" wrapText="1"/>
    </xf>
    <xf numFmtId="0" fontId="108" fillId="15" borderId="9" xfId="22" applyFont="1" applyFill="1" applyBorder="1" applyAlignment="1">
      <alignment horizontal="center" vertical="center" wrapText="1"/>
    </xf>
    <xf numFmtId="0" fontId="108" fillId="15" borderId="179" xfId="22" applyFont="1" applyFill="1" applyBorder="1" applyAlignment="1">
      <alignment horizontal="center" vertical="center" wrapText="1"/>
    </xf>
    <xf numFmtId="0" fontId="108" fillId="15" borderId="180" xfId="22" applyFont="1" applyFill="1" applyBorder="1" applyAlignment="1">
      <alignment horizontal="center" vertical="center" wrapText="1"/>
    </xf>
    <xf numFmtId="0" fontId="108" fillId="15" borderId="181" xfId="22" applyFont="1" applyFill="1" applyBorder="1" applyAlignment="1">
      <alignment horizontal="center" vertical="center" wrapText="1"/>
    </xf>
    <xf numFmtId="0" fontId="114" fillId="0" borderId="182" xfId="22" applyFont="1" applyBorder="1" applyAlignment="1">
      <alignment horizontal="center" vertical="center" textRotation="90"/>
    </xf>
    <xf numFmtId="0" fontId="114" fillId="0" borderId="191" xfId="22" applyFont="1" applyBorder="1" applyAlignment="1">
      <alignment horizontal="center" vertical="center" textRotation="90"/>
    </xf>
    <xf numFmtId="0" fontId="114" fillId="0" borderId="194" xfId="22" applyFont="1" applyBorder="1" applyAlignment="1">
      <alignment horizontal="center" vertical="center" textRotation="90"/>
    </xf>
    <xf numFmtId="0" fontId="111" fillId="11" borderId="183" xfId="22" applyFont="1" applyFill="1" applyBorder="1" applyAlignment="1">
      <alignment horizontal="left" vertical="center" wrapText="1"/>
    </xf>
    <xf numFmtId="0" fontId="112" fillId="11" borderId="184" xfId="22" applyFont="1" applyFill="1" applyBorder="1" applyAlignment="1">
      <alignment horizontal="left" wrapText="1"/>
    </xf>
    <xf numFmtId="0" fontId="112" fillId="11" borderId="185" xfId="22" applyFont="1" applyFill="1" applyBorder="1" applyAlignment="1">
      <alignment horizontal="left" wrapText="1"/>
    </xf>
    <xf numFmtId="0" fontId="112" fillId="11" borderId="186" xfId="22" applyFont="1" applyFill="1" applyBorder="1" applyAlignment="1">
      <alignment horizontal="left" wrapText="1"/>
    </xf>
    <xf numFmtId="0" fontId="112" fillId="0" borderId="187" xfId="22" applyFont="1" applyBorder="1" applyAlignment="1">
      <alignment horizontal="center" vertical="center"/>
    </xf>
    <xf numFmtId="0" fontId="112" fillId="0" borderId="188" xfId="22" applyFont="1" applyBorder="1" applyAlignment="1">
      <alignment horizontal="center" vertical="center"/>
    </xf>
    <xf numFmtId="0" fontId="112" fillId="0" borderId="189" xfId="22" applyFont="1" applyBorder="1" applyAlignment="1">
      <alignment horizontal="center" vertical="center"/>
    </xf>
    <xf numFmtId="0" fontId="112" fillId="0" borderId="187" xfId="22" applyFont="1" applyBorder="1" applyAlignment="1">
      <alignment horizontal="left" wrapText="1"/>
    </xf>
    <xf numFmtId="0" fontId="112" fillId="0" borderId="189" xfId="22" applyFont="1" applyBorder="1" applyAlignment="1">
      <alignment horizontal="left" wrapText="1"/>
    </xf>
    <xf numFmtId="0" fontId="111" fillId="11" borderId="2" xfId="22" applyFont="1" applyFill="1" applyBorder="1" applyAlignment="1">
      <alignment horizontal="left" vertical="center" wrapText="1"/>
    </xf>
    <xf numFmtId="0" fontId="111" fillId="11" borderId="17" xfId="22" applyFont="1" applyFill="1" applyBorder="1" applyAlignment="1">
      <alignment horizontal="left" vertical="center" wrapText="1"/>
    </xf>
    <xf numFmtId="0" fontId="112" fillId="11" borderId="2" xfId="22" applyFont="1" applyFill="1" applyBorder="1" applyAlignment="1">
      <alignment horizontal="left" wrapText="1"/>
    </xf>
    <xf numFmtId="0" fontId="112" fillId="0" borderId="17" xfId="22" applyFont="1" applyBorder="1" applyAlignment="1">
      <alignment horizontal="center" vertical="center"/>
    </xf>
    <xf numFmtId="0" fontId="112" fillId="0" borderId="18" xfId="22" applyFont="1" applyBorder="1" applyAlignment="1">
      <alignment horizontal="center" vertical="center"/>
    </xf>
    <xf numFmtId="0" fontId="112" fillId="0" borderId="7" xfId="22" applyFont="1" applyBorder="1" applyAlignment="1">
      <alignment horizontal="center" vertical="center"/>
    </xf>
    <xf numFmtId="0" fontId="112" fillId="0" borderId="2" xfId="22" applyFont="1" applyBorder="1" applyAlignment="1">
      <alignment vertical="center" wrapText="1"/>
    </xf>
    <xf numFmtId="0" fontId="112" fillId="0" borderId="2" xfId="22" applyFont="1" applyBorder="1" applyAlignment="1">
      <alignment vertical="center"/>
    </xf>
    <xf numFmtId="0" fontId="112" fillId="0" borderId="187" xfId="22" applyFont="1" applyBorder="1" applyAlignment="1">
      <alignment horizontal="left" vertical="center" wrapText="1"/>
    </xf>
    <xf numFmtId="0" fontId="112" fillId="0" borderId="190" xfId="22" applyFont="1" applyBorder="1" applyAlignment="1">
      <alignment horizontal="left" vertical="center"/>
    </xf>
    <xf numFmtId="0" fontId="112" fillId="0" borderId="2" xfId="22" applyFont="1" applyBorder="1" applyAlignment="1">
      <alignment horizontal="center" wrapText="1"/>
    </xf>
    <xf numFmtId="0" fontId="112" fillId="0" borderId="2" xfId="22" applyFont="1" applyBorder="1" applyAlignment="1">
      <alignment horizontal="left" wrapText="1"/>
    </xf>
    <xf numFmtId="0" fontId="112" fillId="0" borderId="192" xfId="22" applyFont="1" applyBorder="1" applyAlignment="1">
      <alignment horizontal="left" wrapText="1"/>
    </xf>
    <xf numFmtId="0" fontId="112" fillId="0" borderId="184" xfId="22" applyFont="1" applyBorder="1" applyAlignment="1">
      <alignment horizontal="center" wrapText="1"/>
    </xf>
    <xf numFmtId="0" fontId="112" fillId="0" borderId="185" xfId="22" applyFont="1" applyBorder="1" applyAlignment="1">
      <alignment horizontal="center" wrapText="1"/>
    </xf>
    <xf numFmtId="0" fontId="112" fillId="0" borderId="186" xfId="22" applyFont="1" applyBorder="1" applyAlignment="1">
      <alignment horizontal="center" wrapText="1"/>
    </xf>
    <xf numFmtId="0" fontId="112" fillId="0" borderId="196" xfId="22" applyFont="1" applyBorder="1" applyAlignment="1">
      <alignment horizontal="left" vertical="center" wrapText="1"/>
    </xf>
    <xf numFmtId="0" fontId="112" fillId="0" borderId="199" xfId="22" applyFont="1" applyBorder="1" applyAlignment="1">
      <alignment horizontal="left" vertical="center"/>
    </xf>
    <xf numFmtId="0" fontId="112" fillId="0" borderId="17" xfId="22" applyFont="1" applyBorder="1" applyAlignment="1">
      <alignment vertical="center" wrapText="1"/>
    </xf>
    <xf numFmtId="0" fontId="112" fillId="0" borderId="7" xfId="22" applyFont="1" applyBorder="1" applyAlignment="1">
      <alignment vertical="center" wrapText="1"/>
    </xf>
    <xf numFmtId="0" fontId="112" fillId="0" borderId="14" xfId="22" applyFont="1" applyBorder="1" applyAlignment="1">
      <alignment horizontal="left" wrapText="1"/>
    </xf>
    <xf numFmtId="0" fontId="112" fillId="0" borderId="193" xfId="22" applyFont="1" applyBorder="1" applyAlignment="1">
      <alignment horizontal="left" wrapText="1"/>
    </xf>
    <xf numFmtId="0" fontId="2" fillId="0" borderId="195" xfId="22" applyBorder="1" applyAlignment="1">
      <alignment horizontal="center"/>
    </xf>
    <xf numFmtId="0" fontId="112" fillId="0" borderId="196" xfId="22" applyFont="1" applyBorder="1" applyAlignment="1">
      <alignment horizontal="left" wrapText="1"/>
    </xf>
    <xf numFmtId="0" fontId="112" fillId="0" borderId="197" xfId="22" applyFont="1" applyBorder="1" applyAlignment="1">
      <alignment horizontal="left"/>
    </xf>
    <xf numFmtId="0" fontId="112" fillId="0" borderId="198" xfId="22" applyFont="1" applyBorder="1" applyAlignment="1">
      <alignment horizontal="left"/>
    </xf>
    <xf numFmtId="0" fontId="112" fillId="0" borderId="198" xfId="22" applyFont="1" applyBorder="1" applyAlignment="1">
      <alignment horizontal="left" wrapText="1"/>
    </xf>
    <xf numFmtId="0" fontId="112" fillId="0" borderId="10" xfId="22" applyFont="1" applyBorder="1" applyAlignment="1">
      <alignment horizontal="center" wrapText="1"/>
    </xf>
    <xf numFmtId="0" fontId="112" fillId="0" borderId="11" xfId="22" applyFont="1" applyBorder="1" applyAlignment="1">
      <alignment horizontal="center" wrapText="1"/>
    </xf>
    <xf numFmtId="0" fontId="112" fillId="0" borderId="12" xfId="22" applyFont="1" applyBorder="1" applyAlignment="1">
      <alignment horizontal="center" wrapText="1"/>
    </xf>
    <xf numFmtId="0" fontId="2" fillId="0" borderId="200" xfId="22" applyBorder="1" applyAlignment="1">
      <alignment horizontal="center" vertical="center" textRotation="90"/>
    </xf>
    <xf numFmtId="0" fontId="2" fillId="0" borderId="3" xfId="22" applyBorder="1" applyAlignment="1">
      <alignment horizontal="center" vertical="center" textRotation="90"/>
    </xf>
    <xf numFmtId="0" fontId="2" fillId="0" borderId="4" xfId="22" applyBorder="1" applyAlignment="1">
      <alignment horizontal="center" vertical="center" textRotation="90"/>
    </xf>
    <xf numFmtId="0" fontId="112" fillId="0" borderId="189" xfId="22" applyFont="1" applyBorder="1" applyAlignment="1">
      <alignment horizontal="left" vertical="center"/>
    </xf>
    <xf numFmtId="0" fontId="112" fillId="0" borderId="187" xfId="22" applyFont="1" applyBorder="1" applyAlignment="1">
      <alignment horizontal="center" vertical="center" wrapText="1"/>
    </xf>
    <xf numFmtId="0" fontId="112" fillId="0" borderId="188" xfId="22" applyFont="1" applyBorder="1" applyAlignment="1">
      <alignment horizontal="center" vertical="center" wrapText="1"/>
    </xf>
    <xf numFmtId="0" fontId="112" fillId="0" borderId="189" xfId="22" applyFont="1" applyBorder="1" applyAlignment="1">
      <alignment horizontal="center" vertical="center" wrapText="1"/>
    </xf>
    <xf numFmtId="0" fontId="112" fillId="0" borderId="10" xfId="22" applyFont="1" applyBorder="1" applyAlignment="1">
      <alignment horizontal="left" vertical="center" wrapText="1"/>
    </xf>
    <xf numFmtId="0" fontId="112" fillId="0" borderId="12" xfId="22" applyFont="1" applyBorder="1" applyAlignment="1">
      <alignment horizontal="left" vertical="center"/>
    </xf>
    <xf numFmtId="0" fontId="112" fillId="0" borderId="2" xfId="22" applyFont="1" applyBorder="1" applyAlignment="1">
      <alignment horizontal="left"/>
    </xf>
    <xf numFmtId="0" fontId="134" fillId="0" borderId="0" xfId="23" applyFont="1" applyAlignment="1">
      <alignment horizontal="left" vertical="top" wrapText="1"/>
    </xf>
    <xf numFmtId="0" fontId="135" fillId="0" borderId="0" xfId="23" applyFont="1" applyAlignment="1">
      <alignment horizontal="left" vertical="center" wrapText="1"/>
    </xf>
    <xf numFmtId="0" fontId="110" fillId="0" borderId="17" xfId="22" applyFont="1" applyBorder="1" applyAlignment="1">
      <alignment horizontal="center" vertical="center"/>
    </xf>
    <xf numFmtId="0" fontId="110" fillId="0" borderId="18" xfId="22" applyFont="1" applyBorder="1" applyAlignment="1">
      <alignment horizontal="center" vertical="center"/>
    </xf>
    <xf numFmtId="0" fontId="110" fillId="0" borderId="7" xfId="22" applyFont="1" applyBorder="1" applyAlignment="1">
      <alignment horizontal="center" vertical="center"/>
    </xf>
    <xf numFmtId="0" fontId="110" fillId="0" borderId="17" xfId="22" applyFont="1" applyBorder="1" applyAlignment="1">
      <alignment horizontal="center" vertical="center" wrapText="1"/>
    </xf>
    <xf numFmtId="0" fontId="110" fillId="0" borderId="7" xfId="22" applyFont="1" applyBorder="1" applyAlignment="1">
      <alignment horizontal="center" vertical="center" wrapText="1"/>
    </xf>
    <xf numFmtId="0" fontId="110" fillId="0" borderId="2" xfId="22" applyFont="1" applyBorder="1" applyAlignment="1">
      <alignment horizontal="center" vertical="center" wrapText="1"/>
    </xf>
    <xf numFmtId="0" fontId="2" fillId="0" borderId="2" xfId="23" applyBorder="1" applyAlignment="1">
      <alignment horizontal="center" vertical="center"/>
    </xf>
    <xf numFmtId="0" fontId="11" fillId="0" borderId="39" xfId="12" applyBorder="1" applyAlignment="1" applyProtection="1">
      <alignment horizontal="center" vertical="center"/>
      <protection locked="0"/>
    </xf>
    <xf numFmtId="0" fontId="11" fillId="0" borderId="41" xfId="12" applyBorder="1" applyAlignment="1" applyProtection="1">
      <alignment horizontal="center" vertical="center"/>
      <protection locked="0"/>
    </xf>
    <xf numFmtId="0" fontId="33" fillId="0" borderId="0" xfId="12" applyFont="1" applyAlignment="1">
      <alignment horizontal="center" wrapText="1"/>
    </xf>
    <xf numFmtId="0" fontId="33" fillId="0" borderId="0" xfId="12" applyFont="1" applyAlignment="1">
      <alignment horizontal="center"/>
    </xf>
    <xf numFmtId="0" fontId="25" fillId="9" borderId="0" xfId="12" applyFont="1" applyFill="1" applyAlignment="1">
      <alignment horizontal="left" vertical="center" wrapText="1"/>
    </xf>
    <xf numFmtId="0" fontId="17" fillId="0" borderId="0" xfId="12" applyFont="1" applyAlignment="1">
      <alignment horizontal="center"/>
    </xf>
    <xf numFmtId="0" fontId="18" fillId="0" borderId="39" xfId="12" applyFont="1" applyBorder="1" applyAlignment="1">
      <alignment horizontal="center" vertical="center" wrapText="1"/>
    </xf>
    <xf numFmtId="0" fontId="33" fillId="0" borderId="39" xfId="12" applyFont="1" applyBorder="1" applyAlignment="1" applyProtection="1">
      <alignment horizontal="center" vertical="center" wrapText="1"/>
      <protection locked="0"/>
    </xf>
    <xf numFmtId="0" fontId="18" fillId="0" borderId="41" xfId="12" applyFont="1" applyBorder="1" applyAlignment="1">
      <alignment horizontal="center" vertical="center" wrapText="1"/>
    </xf>
    <xf numFmtId="0" fontId="33" fillId="0" borderId="41" xfId="12" applyFont="1" applyBorder="1" applyAlignment="1" applyProtection="1">
      <alignment horizontal="center" vertical="center" wrapText="1"/>
      <protection locked="0"/>
    </xf>
    <xf numFmtId="0" fontId="11" fillId="0" borderId="4" xfId="12" applyBorder="1" applyAlignment="1" applyProtection="1">
      <alignment horizontal="center" vertical="center"/>
      <protection locked="0"/>
    </xf>
    <xf numFmtId="167" fontId="18" fillId="9" borderId="156" xfId="12" applyNumberFormat="1" applyFont="1" applyFill="1" applyBorder="1" applyAlignment="1">
      <alignment horizontal="center" vertical="center" wrapText="1"/>
    </xf>
    <xf numFmtId="167" fontId="18" fillId="9" borderId="88" xfId="12" applyNumberFormat="1" applyFont="1" applyFill="1" applyBorder="1" applyAlignment="1">
      <alignment horizontal="center" vertical="center" wrapText="1"/>
    </xf>
    <xf numFmtId="167" fontId="18" fillId="9" borderId="89" xfId="12" applyNumberFormat="1" applyFont="1" applyFill="1" applyBorder="1" applyAlignment="1">
      <alignment horizontal="center" vertical="center" wrapText="1"/>
    </xf>
    <xf numFmtId="0" fontId="18" fillId="0" borderId="24" xfId="12" applyFont="1" applyBorder="1" applyAlignment="1" applyProtection="1">
      <alignment horizontal="center" vertical="center" wrapText="1"/>
      <protection locked="0"/>
    </xf>
    <xf numFmtId="0" fontId="18" fillId="0" borderId="126" xfId="12" applyFont="1" applyBorder="1" applyAlignment="1" applyProtection="1">
      <alignment horizontal="center" vertical="center" wrapText="1"/>
      <protection locked="0"/>
    </xf>
    <xf numFmtId="167" fontId="33" fillId="0" borderId="126" xfId="12" applyNumberFormat="1" applyFont="1" applyBorder="1" applyAlignment="1" applyProtection="1">
      <alignment horizontal="center" vertical="center" wrapText="1"/>
      <protection locked="0"/>
    </xf>
    <xf numFmtId="0" fontId="18" fillId="0" borderId="41" xfId="12" applyFont="1" applyBorder="1" applyAlignment="1" applyProtection="1">
      <alignment horizontal="center" vertical="center" wrapText="1"/>
      <protection locked="0"/>
    </xf>
    <xf numFmtId="0" fontId="41" fillId="0" borderId="2" xfId="12" applyFont="1" applyBorder="1" applyAlignment="1">
      <alignment horizontal="center" vertical="center" wrapText="1"/>
    </xf>
    <xf numFmtId="0" fontId="115" fillId="0" borderId="0" xfId="12" applyFont="1" applyAlignment="1">
      <alignment horizontal="center" vertical="top" wrapText="1"/>
    </xf>
    <xf numFmtId="0" fontId="123" fillId="0" borderId="0" xfId="12" applyFont="1" applyAlignment="1">
      <alignment horizontal="center" vertical="center"/>
    </xf>
    <xf numFmtId="0" fontId="116" fillId="0" borderId="0" xfId="12" applyFont="1" applyAlignment="1">
      <alignment horizontal="center" vertical="center"/>
    </xf>
    <xf numFmtId="0" fontId="116" fillId="0" borderId="9" xfId="12" applyFont="1" applyBorder="1" applyAlignment="1">
      <alignment horizontal="center" vertical="center"/>
    </xf>
    <xf numFmtId="0" fontId="124" fillId="16" borderId="2" xfId="12" applyFont="1" applyFill="1" applyBorder="1" applyAlignment="1">
      <alignment horizontal="center" vertical="center" wrapText="1"/>
    </xf>
    <xf numFmtId="0" fontId="124" fillId="16" borderId="17" xfId="12" applyFont="1" applyFill="1" applyBorder="1" applyAlignment="1">
      <alignment horizontal="center" vertical="center" wrapText="1"/>
    </xf>
    <xf numFmtId="0" fontId="124" fillId="16" borderId="18" xfId="12" applyFont="1" applyFill="1" applyBorder="1" applyAlignment="1">
      <alignment horizontal="center" vertical="center" wrapText="1"/>
    </xf>
    <xf numFmtId="0" fontId="124" fillId="16" borderId="86" xfId="12" applyFont="1" applyFill="1" applyBorder="1" applyAlignment="1">
      <alignment horizontal="center" vertical="center" wrapText="1"/>
    </xf>
    <xf numFmtId="0" fontId="124" fillId="16" borderId="7" xfId="12" applyFont="1" applyFill="1" applyBorder="1" applyAlignment="1">
      <alignment horizontal="center" vertical="center" wrapText="1"/>
    </xf>
    <xf numFmtId="0" fontId="11" fillId="0" borderId="17" xfId="12" applyBorder="1" applyAlignment="1">
      <alignment horizontal="left" vertical="center" wrapText="1"/>
    </xf>
    <xf numFmtId="0" fontId="11" fillId="0" borderId="7" xfId="12" applyBorder="1" applyAlignment="1">
      <alignment horizontal="left" vertical="center" wrapText="1"/>
    </xf>
    <xf numFmtId="0" fontId="11" fillId="0" borderId="18" xfId="12" applyBorder="1" applyAlignment="1">
      <alignment horizontal="left" vertical="center" wrapText="1"/>
    </xf>
    <xf numFmtId="0" fontId="11" fillId="15" borderId="14" xfId="12" applyFill="1" applyBorder="1" applyAlignment="1">
      <alignment horizontal="right" vertical="center" wrapText="1"/>
    </xf>
    <xf numFmtId="0" fontId="11" fillId="15" borderId="4" xfId="12" applyFill="1" applyBorder="1" applyAlignment="1">
      <alignment horizontal="right" vertical="center" wrapText="1"/>
    </xf>
    <xf numFmtId="0" fontId="11" fillId="13" borderId="5" xfId="12" applyFill="1" applyBorder="1" applyAlignment="1">
      <alignment horizontal="center" vertical="center" wrapText="1"/>
    </xf>
    <xf numFmtId="0" fontId="11" fillId="13" borderId="6" xfId="12" applyFill="1" applyBorder="1" applyAlignment="1">
      <alignment horizontal="center" vertical="center" wrapText="1"/>
    </xf>
    <xf numFmtId="0" fontId="11" fillId="13" borderId="13" xfId="12" applyFill="1" applyBorder="1" applyAlignment="1">
      <alignment horizontal="center" vertical="center" wrapText="1"/>
    </xf>
    <xf numFmtId="0" fontId="11" fillId="0" borderId="17" xfId="12" applyBorder="1" applyAlignment="1">
      <alignment horizontal="center" vertical="center"/>
    </xf>
    <xf numFmtId="0" fontId="11" fillId="0" borderId="18" xfId="12" applyBorder="1" applyAlignment="1">
      <alignment horizontal="center" vertical="center"/>
    </xf>
    <xf numFmtId="0" fontId="11" fillId="0" borderId="7" xfId="12" applyBorder="1" applyAlignment="1">
      <alignment horizontal="center" vertical="center"/>
    </xf>
    <xf numFmtId="0" fontId="11" fillId="0" borderId="17" xfId="12" applyBorder="1" applyAlignment="1">
      <alignment horizontal="left" vertical="center"/>
    </xf>
    <xf numFmtId="0" fontId="11" fillId="0" borderId="18" xfId="12" applyBorder="1" applyAlignment="1">
      <alignment horizontal="left" vertical="center"/>
    </xf>
    <xf numFmtId="0" fontId="11" fillId="0" borderId="7" xfId="12" applyBorder="1" applyAlignment="1">
      <alignment horizontal="left" vertical="center"/>
    </xf>
    <xf numFmtId="0" fontId="11" fillId="0" borderId="17" xfId="12" applyBorder="1" applyAlignment="1">
      <alignment horizontal="center" vertical="center" wrapText="1"/>
    </xf>
    <xf numFmtId="0" fontId="11" fillId="0" borderId="18" xfId="12" applyBorder="1" applyAlignment="1">
      <alignment horizontal="center" vertical="center" wrapText="1"/>
    </xf>
    <xf numFmtId="0" fontId="11" fillId="0" borderId="7" xfId="12" applyBorder="1" applyAlignment="1">
      <alignment horizontal="center" vertical="center" wrapText="1"/>
    </xf>
    <xf numFmtId="0" fontId="11" fillId="0" borderId="86" xfId="12" applyBorder="1" applyAlignment="1">
      <alignment horizontal="center" vertical="center" wrapText="1"/>
    </xf>
    <xf numFmtId="0" fontId="11" fillId="15" borderId="2" xfId="12" applyFill="1" applyBorder="1" applyAlignment="1">
      <alignment horizontal="left" vertical="center" wrapText="1"/>
    </xf>
    <xf numFmtId="0" fontId="11" fillId="0" borderId="2" xfId="12" applyBorder="1" applyAlignment="1">
      <alignment horizontal="center" vertical="center" wrapText="1"/>
    </xf>
    <xf numFmtId="0" fontId="37" fillId="0" borderId="2" xfId="12" applyFont="1" applyBorder="1" applyAlignment="1">
      <alignment horizontal="left" vertical="top" wrapText="1"/>
    </xf>
    <xf numFmtId="0" fontId="11" fillId="0" borderId="2" xfId="12" applyBorder="1" applyAlignment="1">
      <alignment horizontal="left" vertical="top" wrapText="1"/>
    </xf>
    <xf numFmtId="0" fontId="11" fillId="0" borderId="0" xfId="12" applyAlignment="1">
      <alignment horizontal="center" vertical="center" wrapText="1"/>
    </xf>
    <xf numFmtId="0" fontId="11" fillId="0" borderId="11" xfId="12" applyBorder="1" applyAlignment="1">
      <alignment horizontal="center" vertical="center" wrapText="1"/>
    </xf>
    <xf numFmtId="0" fontId="11" fillId="0" borderId="2" xfId="12" applyBorder="1" applyAlignment="1">
      <alignment horizontal="left" vertical="center" wrapText="1"/>
    </xf>
    <xf numFmtId="0" fontId="11" fillId="15" borderId="17" xfId="12" applyFill="1" applyBorder="1" applyAlignment="1">
      <alignment horizontal="right" vertical="center" wrapText="1"/>
    </xf>
    <xf numFmtId="0" fontId="11" fillId="15" borderId="18" xfId="12" applyFill="1" applyBorder="1" applyAlignment="1">
      <alignment horizontal="right" vertical="center" wrapText="1"/>
    </xf>
    <xf numFmtId="0" fontId="11" fillId="15" borderId="7" xfId="12" applyFill="1" applyBorder="1" applyAlignment="1">
      <alignment horizontal="right" vertical="center" wrapText="1"/>
    </xf>
    <xf numFmtId="0" fontId="1" fillId="0" borderId="2" xfId="24" applyBorder="1" applyAlignment="1">
      <alignment horizontal="center"/>
    </xf>
    <xf numFmtId="0" fontId="139" fillId="0" borderId="2" xfId="24" applyFont="1" applyBorder="1" applyAlignment="1">
      <alignment horizontal="center" vertical="center" wrapText="1"/>
    </xf>
    <xf numFmtId="0" fontId="1" fillId="13" borderId="17" xfId="24" applyFill="1" applyBorder="1" applyAlignment="1">
      <alignment horizontal="center" vertical="center"/>
    </xf>
    <xf numFmtId="0" fontId="1" fillId="13" borderId="7" xfId="24" applyFill="1" applyBorder="1" applyAlignment="1">
      <alignment horizontal="center" vertical="center"/>
    </xf>
    <xf numFmtId="0" fontId="11" fillId="13" borderId="14" xfId="24" applyFont="1" applyFill="1" applyBorder="1" applyAlignment="1">
      <alignment horizontal="center" vertical="center" wrapText="1"/>
    </xf>
    <xf numFmtId="0" fontId="11" fillId="13" borderId="4" xfId="24" applyFont="1" applyFill="1" applyBorder="1" applyAlignment="1">
      <alignment horizontal="center" vertical="center" wrapText="1"/>
    </xf>
    <xf numFmtId="0" fontId="105" fillId="0" borderId="2" xfId="24" applyFont="1" applyBorder="1" applyAlignment="1">
      <alignment horizontal="left" vertical="top"/>
    </xf>
    <xf numFmtId="0" fontId="105" fillId="0" borderId="17" xfId="24" applyFont="1" applyBorder="1" applyAlignment="1">
      <alignment horizontal="left" vertical="top"/>
    </xf>
    <xf numFmtId="0" fontId="105" fillId="0" borderId="18" xfId="24" applyFont="1" applyBorder="1" applyAlignment="1">
      <alignment horizontal="left" vertical="top"/>
    </xf>
    <xf numFmtId="0" fontId="105" fillId="0" borderId="7" xfId="24" applyFont="1" applyBorder="1" applyAlignment="1">
      <alignment horizontal="left" vertical="top"/>
    </xf>
    <xf numFmtId="0" fontId="139" fillId="0" borderId="2" xfId="24" applyFont="1" applyBorder="1" applyAlignment="1">
      <alignment horizontal="center" vertical="center"/>
    </xf>
    <xf numFmtId="0" fontId="139" fillId="0" borderId="17" xfId="24" applyFont="1" applyBorder="1" applyAlignment="1">
      <alignment horizontal="center" vertical="center"/>
    </xf>
    <xf numFmtId="0" fontId="105" fillId="13" borderId="17" xfId="24" applyFont="1" applyFill="1" applyBorder="1" applyAlignment="1">
      <alignment horizontal="right" vertical="center"/>
    </xf>
    <xf numFmtId="0" fontId="105" fillId="13" borderId="7" xfId="24" applyFont="1" applyFill="1" applyBorder="1" applyAlignment="1">
      <alignment horizontal="right" vertical="center"/>
    </xf>
    <xf numFmtId="0" fontId="105" fillId="0" borderId="2" xfId="24" applyFont="1" applyBorder="1" applyAlignment="1">
      <alignment horizontal="left" vertical="center"/>
    </xf>
    <xf numFmtId="0" fontId="105" fillId="0" borderId="2" xfId="24" applyFont="1" applyBorder="1" applyAlignment="1">
      <alignment horizontal="center" vertical="center"/>
    </xf>
    <xf numFmtId="0" fontId="105" fillId="0" borderId="17" xfId="24" applyFont="1" applyBorder="1" applyAlignment="1">
      <alignment horizontal="center" vertical="center"/>
    </xf>
    <xf numFmtId="0" fontId="105" fillId="0" borderId="18" xfId="24" applyFont="1" applyBorder="1" applyAlignment="1">
      <alignment horizontal="center" vertical="center"/>
    </xf>
    <xf numFmtId="0" fontId="105" fillId="0" borderId="7" xfId="24" applyFont="1" applyBorder="1" applyAlignment="1">
      <alignment horizontal="center" vertical="center"/>
    </xf>
    <xf numFmtId="0" fontId="55" fillId="15" borderId="17" xfId="12" applyFont="1" applyFill="1" applyBorder="1" applyAlignment="1">
      <alignment horizontal="center" vertical="center" wrapText="1"/>
    </xf>
    <xf numFmtId="0" fontId="55" fillId="15" borderId="18" xfId="12" applyFont="1" applyFill="1" applyBorder="1" applyAlignment="1">
      <alignment horizontal="center" vertical="center" wrapText="1"/>
    </xf>
    <xf numFmtId="0" fontId="55" fillId="15" borderId="7" xfId="12" applyFont="1" applyFill="1" applyBorder="1" applyAlignment="1">
      <alignment horizontal="center" vertical="center" wrapText="1"/>
    </xf>
    <xf numFmtId="0" fontId="0" fillId="0" borderId="0" xfId="0" applyAlignment="1">
      <alignment wrapText="1"/>
    </xf>
    <xf numFmtId="0" fontId="11" fillId="0" borderId="0" xfId="0" applyFont="1"/>
    <xf numFmtId="0" fontId="11" fillId="0" borderId="0" xfId="0" applyFont="1" applyAlignment="1">
      <alignment wrapText="1"/>
    </xf>
    <xf numFmtId="165" fontId="21" fillId="0" borderId="0" xfId="0" applyNumberFormat="1" applyFont="1" applyAlignment="1" applyProtection="1">
      <alignment horizontal="left" vertical="center"/>
      <protection locked="0"/>
    </xf>
    <xf numFmtId="0" fontId="21" fillId="9" borderId="0" xfId="0" applyFont="1" applyFill="1" applyAlignment="1">
      <alignment horizontal="left" vertical="center"/>
    </xf>
    <xf numFmtId="0" fontId="17" fillId="4" borderId="0" xfId="12" applyFont="1" applyFill="1" applyAlignment="1">
      <alignment horizontal="center" vertical="top"/>
    </xf>
    <xf numFmtId="0" fontId="11" fillId="4" borderId="0" xfId="12" applyFill="1" applyAlignment="1" applyProtection="1">
      <alignment horizontal="left" vertical="center" wrapText="1"/>
      <protection locked="0"/>
    </xf>
    <xf numFmtId="0" fontId="11" fillId="4" borderId="0" xfId="12" applyFill="1" applyAlignment="1" applyProtection="1">
      <alignment horizontal="center" vertical="center" wrapText="1"/>
      <protection locked="0"/>
    </xf>
    <xf numFmtId="0" fontId="11" fillId="4" borderId="0" xfId="12" applyFill="1" applyAlignment="1" applyProtection="1">
      <alignment horizontal="left" vertical="center"/>
      <protection locked="0"/>
    </xf>
    <xf numFmtId="0" fontId="15" fillId="4" borderId="0" xfId="12" applyFont="1" applyFill="1" applyAlignment="1">
      <alignment horizontal="center" vertical="center" wrapText="1"/>
    </xf>
    <xf numFmtId="0" fontId="25" fillId="0" borderId="11" xfId="12" applyFont="1" applyBorder="1" applyAlignment="1" applyProtection="1">
      <alignment horizontal="left" vertical="center"/>
      <protection locked="0"/>
    </xf>
    <xf numFmtId="0" fontId="25" fillId="11" borderId="0" xfId="12" applyFont="1" applyFill="1" applyAlignment="1" applyProtection="1">
      <alignment horizontal="left" vertical="center"/>
      <protection locked="0"/>
    </xf>
    <xf numFmtId="0" fontId="95" fillId="0" borderId="71" xfId="12" applyFont="1" applyBorder="1" applyAlignment="1">
      <alignment horizontal="center" vertical="center" wrapText="1"/>
    </xf>
    <xf numFmtId="0" fontId="95" fillId="0" borderId="90" xfId="12" applyFont="1" applyBorder="1" applyAlignment="1">
      <alignment horizontal="center" vertical="center" wrapText="1"/>
    </xf>
    <xf numFmtId="0" fontId="97" fillId="0" borderId="71" xfId="12" applyFont="1" applyBorder="1" applyAlignment="1">
      <alignment horizontal="right" vertical="center" wrapText="1"/>
    </xf>
    <xf numFmtId="0" fontId="97" fillId="0" borderId="90" xfId="12" applyFont="1" applyBorder="1" applyAlignment="1">
      <alignment horizontal="right" vertical="center" wrapText="1"/>
    </xf>
    <xf numFmtId="0" fontId="97" fillId="0" borderId="90" xfId="12" applyFont="1" applyBorder="1" applyAlignment="1">
      <alignment horizontal="center" vertical="center" wrapText="1"/>
    </xf>
    <xf numFmtId="0" fontId="97" fillId="0" borderId="72" xfId="12" applyFont="1" applyBorder="1" applyAlignment="1">
      <alignment horizontal="center" vertical="center" wrapText="1"/>
    </xf>
    <xf numFmtId="0" fontId="97" fillId="0" borderId="165" xfId="12" applyFont="1" applyBorder="1" applyAlignment="1">
      <alignment horizontal="left" vertical="center" wrapText="1"/>
    </xf>
    <xf numFmtId="0" fontId="97" fillId="0" borderId="166" xfId="12" applyFont="1" applyBorder="1" applyAlignment="1">
      <alignment horizontal="left" vertical="center" wrapText="1"/>
    </xf>
    <xf numFmtId="0" fontId="97" fillId="0" borderId="166" xfId="12" applyFont="1" applyBorder="1" applyAlignment="1">
      <alignment horizontal="center" vertical="center" wrapText="1"/>
    </xf>
    <xf numFmtId="0" fontId="97" fillId="0" borderId="167" xfId="12" applyFont="1" applyBorder="1" applyAlignment="1">
      <alignment horizontal="center" vertical="center" wrapText="1"/>
    </xf>
    <xf numFmtId="0" fontId="97" fillId="0" borderId="1" xfId="12" applyFont="1" applyBorder="1" applyAlignment="1">
      <alignment horizontal="left" vertical="center" wrapText="1"/>
    </xf>
    <xf numFmtId="0" fontId="97" fillId="0" borderId="0" xfId="12" applyFont="1" applyAlignment="1">
      <alignment horizontal="left" vertical="center" wrapText="1"/>
    </xf>
    <xf numFmtId="0" fontId="97" fillId="0" borderId="0" xfId="12" applyFont="1" applyAlignment="1">
      <alignment horizontal="center" vertical="center" wrapText="1"/>
    </xf>
    <xf numFmtId="0" fontId="97" fillId="0" borderId="35" xfId="12" applyFont="1" applyBorder="1" applyAlignment="1">
      <alignment horizontal="center" vertical="center" wrapText="1"/>
    </xf>
    <xf numFmtId="0" fontId="98" fillId="0" borderId="90" xfId="12" applyFont="1" applyBorder="1" applyAlignment="1">
      <alignment horizontal="left" vertical="center" wrapText="1"/>
    </xf>
    <xf numFmtId="0" fontId="97" fillId="0" borderId="28" xfId="12" applyFont="1" applyBorder="1" applyAlignment="1">
      <alignment horizontal="left" vertical="center" wrapText="1"/>
    </xf>
    <xf numFmtId="0" fontId="97" fillId="0" borderId="29" xfId="12" applyFont="1" applyBorder="1" applyAlignment="1">
      <alignment horizontal="left" vertical="center" wrapText="1"/>
    </xf>
    <xf numFmtId="0" fontId="97" fillId="0" borderId="29" xfId="12" applyFont="1" applyBorder="1" applyAlignment="1">
      <alignment horizontal="center" vertical="center" wrapText="1"/>
    </xf>
    <xf numFmtId="0" fontId="97" fillId="0" borderId="30" xfId="12" applyFont="1" applyBorder="1" applyAlignment="1">
      <alignment horizontal="left" vertical="center" wrapText="1"/>
    </xf>
    <xf numFmtId="0" fontId="97" fillId="0" borderId="162" xfId="12" applyFont="1" applyBorder="1" applyAlignment="1">
      <alignment horizontal="left" vertical="center" wrapText="1"/>
    </xf>
    <xf numFmtId="0" fontId="97" fillId="0" borderId="163" xfId="12" applyFont="1" applyBorder="1" applyAlignment="1">
      <alignment horizontal="left" vertical="center" wrapText="1"/>
    </xf>
    <xf numFmtId="0" fontId="97" fillId="0" borderId="163" xfId="12" applyFont="1" applyBorder="1" applyAlignment="1">
      <alignment horizontal="center" vertical="center" wrapText="1"/>
    </xf>
    <xf numFmtId="0" fontId="97" fillId="0" borderId="164" xfId="12" applyFont="1" applyBorder="1" applyAlignment="1">
      <alignment horizontal="center" vertical="center" wrapText="1"/>
    </xf>
    <xf numFmtId="0" fontId="98" fillId="0" borderId="90" xfId="12" applyFont="1" applyBorder="1" applyAlignment="1">
      <alignment vertical="center" wrapText="1"/>
    </xf>
    <xf numFmtId="0" fontId="97" fillId="0" borderId="30" xfId="12" applyFont="1" applyBorder="1" applyAlignment="1">
      <alignment horizontal="center" vertical="center" wrapText="1"/>
    </xf>
    <xf numFmtId="0" fontId="101" fillId="0" borderId="162" xfId="12" applyFont="1" applyBorder="1" applyAlignment="1">
      <alignment vertical="center" wrapText="1"/>
    </xf>
    <xf numFmtId="0" fontId="101" fillId="0" borderId="163" xfId="12" applyFont="1" applyBorder="1" applyAlignment="1">
      <alignment vertical="center" wrapText="1"/>
    </xf>
    <xf numFmtId="0" fontId="101" fillId="0" borderId="164" xfId="12" applyFont="1" applyBorder="1" applyAlignment="1">
      <alignment vertical="center" wrapText="1"/>
    </xf>
    <xf numFmtId="0" fontId="97" fillId="0" borderId="169" xfId="12" applyFont="1" applyBorder="1" applyAlignment="1">
      <alignment vertical="center" wrapText="1"/>
    </xf>
    <xf numFmtId="0" fontId="97" fillId="0" borderId="170" xfId="12" applyFont="1" applyBorder="1" applyAlignment="1">
      <alignment vertical="center" wrapText="1"/>
    </xf>
    <xf numFmtId="0" fontId="97" fillId="0" borderId="171" xfId="12" applyFont="1" applyBorder="1" applyAlignment="1">
      <alignment vertical="center" wrapText="1"/>
    </xf>
    <xf numFmtId="0" fontId="97" fillId="0" borderId="169" xfId="12" applyFont="1" applyBorder="1" applyAlignment="1">
      <alignment horizontal="left" vertical="center" wrapText="1" indent="7"/>
    </xf>
    <xf numFmtId="0" fontId="97" fillId="0" borderId="170" xfId="12" applyFont="1" applyBorder="1" applyAlignment="1">
      <alignment horizontal="left" vertical="center" wrapText="1" indent="7"/>
    </xf>
    <xf numFmtId="0" fontId="97" fillId="0" borderId="170" xfId="12" applyFont="1" applyBorder="1" applyAlignment="1">
      <alignment horizontal="left" vertical="center" wrapText="1" indent="1"/>
    </xf>
    <xf numFmtId="0" fontId="97" fillId="0" borderId="171" xfId="12" applyFont="1" applyBorder="1" applyAlignment="1">
      <alignment horizontal="left" vertical="center" wrapText="1" indent="1"/>
    </xf>
    <xf numFmtId="0" fontId="99" fillId="0" borderId="1" xfId="12" applyFont="1" applyBorder="1" applyAlignment="1">
      <alignment vertical="center" wrapText="1"/>
    </xf>
    <xf numFmtId="0" fontId="99" fillId="0" borderId="0" xfId="12" applyFont="1" applyAlignment="1">
      <alignment vertical="center" wrapText="1"/>
    </xf>
    <xf numFmtId="0" fontId="99" fillId="0" borderId="35" xfId="12" applyFont="1" applyBorder="1" applyAlignment="1">
      <alignment vertical="center" wrapText="1"/>
    </xf>
    <xf numFmtId="0" fontId="97" fillId="0" borderId="36" xfId="12" applyFont="1" applyBorder="1" applyAlignment="1">
      <alignment horizontal="center" vertical="center" wrapText="1"/>
    </xf>
    <xf numFmtId="0" fontId="97" fillId="0" borderId="37" xfId="12" applyFont="1" applyBorder="1" applyAlignment="1">
      <alignment horizontal="center" vertical="center" wrapText="1"/>
    </xf>
    <xf numFmtId="0" fontId="97" fillId="0" borderId="38" xfId="12" applyFont="1" applyBorder="1" applyAlignment="1">
      <alignment horizontal="center" vertical="center" wrapText="1"/>
    </xf>
    <xf numFmtId="0" fontId="97" fillId="0" borderId="165" xfId="12" applyFont="1" applyBorder="1" applyAlignment="1">
      <alignment vertical="center" wrapText="1"/>
    </xf>
    <xf numFmtId="0" fontId="97" fillId="0" borderId="166" xfId="12" applyFont="1" applyBorder="1" applyAlignment="1">
      <alignment vertical="center" wrapText="1"/>
    </xf>
    <xf numFmtId="0" fontId="97" fillId="0" borderId="167" xfId="12" applyFont="1" applyBorder="1" applyAlignment="1">
      <alignment vertical="center" wrapText="1"/>
    </xf>
    <xf numFmtId="0" fontId="97" fillId="0" borderId="1" xfId="12" applyFont="1" applyBorder="1" applyAlignment="1">
      <alignment vertical="center" wrapText="1"/>
    </xf>
    <xf numFmtId="0" fontId="97" fillId="0" borderId="0" xfId="12" applyFont="1" applyAlignment="1">
      <alignment vertical="center" wrapText="1"/>
    </xf>
    <xf numFmtId="0" fontId="97" fillId="0" borderId="35" xfId="12" applyFont="1" applyBorder="1" applyAlignment="1">
      <alignment vertical="center" wrapText="1"/>
    </xf>
    <xf numFmtId="0" fontId="97" fillId="0" borderId="36" xfId="12" applyFont="1" applyBorder="1" applyAlignment="1">
      <alignment vertical="center" wrapText="1"/>
    </xf>
    <xf numFmtId="0" fontId="97" fillId="0" borderId="37" xfId="12" applyFont="1" applyBorder="1" applyAlignment="1">
      <alignment vertical="center" wrapText="1"/>
    </xf>
    <xf numFmtId="0" fontId="97" fillId="0" borderId="38" xfId="12" applyFont="1" applyBorder="1" applyAlignment="1">
      <alignment vertical="center" wrapText="1"/>
    </xf>
    <xf numFmtId="0" fontId="97" fillId="0" borderId="165" xfId="12" applyFont="1" applyBorder="1" applyAlignment="1">
      <alignment horizontal="left" vertical="top" wrapText="1"/>
    </xf>
    <xf numFmtId="0" fontId="97" fillId="0" borderId="166" xfId="12" applyFont="1" applyBorder="1" applyAlignment="1">
      <alignment horizontal="left" vertical="top" wrapText="1"/>
    </xf>
    <xf numFmtId="0" fontId="97" fillId="0" borderId="167" xfId="12" applyFont="1" applyBorder="1" applyAlignment="1">
      <alignment horizontal="left" vertical="top" wrapText="1"/>
    </xf>
    <xf numFmtId="0" fontId="97" fillId="0" borderId="175" xfId="12" applyFont="1" applyBorder="1" applyAlignment="1">
      <alignment horizontal="left" vertical="center" wrapText="1"/>
    </xf>
    <xf numFmtId="0" fontId="97" fillId="0" borderId="172" xfId="12" applyFont="1" applyBorder="1" applyAlignment="1">
      <alignment vertical="top" wrapText="1"/>
    </xf>
    <xf numFmtId="0" fontId="97" fillId="0" borderId="173" xfId="12" applyFont="1" applyBorder="1" applyAlignment="1">
      <alignment vertical="top" wrapText="1"/>
    </xf>
    <xf numFmtId="0" fontId="97" fillId="0" borderId="174" xfId="12" applyFont="1" applyBorder="1" applyAlignment="1">
      <alignment vertical="top" wrapText="1"/>
    </xf>
    <xf numFmtId="0" fontId="97" fillId="0" borderId="176" xfId="12" applyFont="1" applyBorder="1" applyAlignment="1">
      <alignment horizontal="center" vertical="center" wrapText="1"/>
    </xf>
    <xf numFmtId="0" fontId="97" fillId="0" borderId="175" xfId="12" applyFont="1" applyBorder="1" applyAlignment="1">
      <alignment horizontal="center" vertical="center" wrapText="1"/>
    </xf>
    <xf numFmtId="0" fontId="97" fillId="0" borderId="177" xfId="12" applyFont="1" applyBorder="1" applyAlignment="1">
      <alignment horizontal="left" vertical="center" wrapText="1"/>
    </xf>
    <xf numFmtId="0" fontId="101" fillId="0" borderId="116" xfId="12" applyFont="1" applyBorder="1" applyAlignment="1">
      <alignment vertical="center" wrapText="1"/>
    </xf>
    <xf numFmtId="0" fontId="103" fillId="0" borderId="155" xfId="12" applyFont="1" applyBorder="1" applyAlignment="1">
      <alignment horizontal="center" vertical="center" wrapText="1"/>
    </xf>
    <xf numFmtId="0" fontId="103" fillId="0" borderId="78" xfId="12" applyFont="1" applyBorder="1" applyAlignment="1">
      <alignment horizontal="center" vertical="center" wrapText="1"/>
    </xf>
    <xf numFmtId="0" fontId="103" fillId="0" borderId="168" xfId="12" applyFont="1" applyBorder="1" applyAlignment="1">
      <alignment horizontal="center" vertical="center" wrapText="1"/>
    </xf>
    <xf numFmtId="0" fontId="94" fillId="0" borderId="155" xfId="12" applyFont="1" applyBorder="1" applyAlignment="1">
      <alignment horizontal="center" vertical="center" wrapText="1"/>
    </xf>
    <xf numFmtId="0" fontId="94" fillId="0" borderId="78" xfId="12" applyFont="1" applyBorder="1" applyAlignment="1">
      <alignment horizontal="center" vertical="center" wrapText="1"/>
    </xf>
    <xf numFmtId="0" fontId="94" fillId="0" borderId="168" xfId="12" applyFont="1" applyBorder="1" applyAlignment="1">
      <alignment horizontal="center" vertical="center" wrapText="1"/>
    </xf>
    <xf numFmtId="0" fontId="97" fillId="0" borderId="36" xfId="12" applyFont="1" applyBorder="1" applyAlignment="1">
      <alignment horizontal="left" vertical="center" wrapText="1"/>
    </xf>
    <xf numFmtId="0" fontId="97" fillId="0" borderId="37" xfId="12" applyFont="1" applyBorder="1" applyAlignment="1">
      <alignment horizontal="left" vertical="center" wrapText="1"/>
    </xf>
    <xf numFmtId="0" fontId="97" fillId="0" borderId="38" xfId="12" applyFont="1" applyBorder="1" applyAlignment="1">
      <alignment horizontal="left" vertical="center" wrapText="1"/>
    </xf>
    <xf numFmtId="0" fontId="102" fillId="0" borderId="90" xfId="12" applyFont="1" applyBorder="1" applyAlignment="1">
      <alignment vertical="center" wrapText="1"/>
    </xf>
    <xf numFmtId="0" fontId="102" fillId="0" borderId="29" xfId="12" applyFont="1" applyBorder="1" applyAlignment="1">
      <alignment vertical="center" wrapText="1"/>
    </xf>
    <xf numFmtId="0" fontId="103" fillId="0" borderId="1" xfId="12" applyFont="1" applyBorder="1" applyAlignment="1">
      <alignment horizontal="left" vertical="center" wrapText="1"/>
    </xf>
    <xf numFmtId="0" fontId="103" fillId="0" borderId="0" xfId="12" applyFont="1" applyAlignment="1">
      <alignment horizontal="left" vertical="center" wrapText="1"/>
    </xf>
    <xf numFmtId="0" fontId="103" fillId="0" borderId="35" xfId="12" applyFont="1" applyBorder="1" applyAlignment="1">
      <alignment horizontal="left" vertical="center" wrapText="1"/>
    </xf>
    <xf numFmtId="0" fontId="97" fillId="0" borderId="71" xfId="12" applyFont="1" applyBorder="1" applyAlignment="1">
      <alignment horizontal="center" vertical="center" wrapText="1"/>
    </xf>
    <xf numFmtId="0" fontId="103" fillId="0" borderId="71" xfId="12" applyFont="1" applyBorder="1" applyAlignment="1">
      <alignment horizontal="left" vertical="center" wrapText="1"/>
    </xf>
    <xf numFmtId="0" fontId="103" fillId="0" borderId="90" xfId="12" applyFont="1" applyBorder="1" applyAlignment="1">
      <alignment horizontal="left" vertical="center" wrapText="1"/>
    </xf>
    <xf numFmtId="0" fontId="103" fillId="0" borderId="72" xfId="12" applyFont="1" applyBorder="1" applyAlignment="1">
      <alignment horizontal="left" vertical="center" wrapText="1"/>
    </xf>
    <xf numFmtId="0" fontId="97" fillId="0" borderId="71" xfId="12" applyFont="1" applyBorder="1" applyAlignment="1">
      <alignment vertical="center" wrapText="1"/>
    </xf>
    <xf numFmtId="0" fontId="97" fillId="0" borderId="90" xfId="12" applyFont="1" applyBorder="1" applyAlignment="1">
      <alignment vertical="center" wrapText="1"/>
    </xf>
    <xf numFmtId="0" fontId="97" fillId="0" borderId="72" xfId="12" applyFont="1" applyBorder="1" applyAlignment="1">
      <alignment vertical="center" wrapText="1"/>
    </xf>
    <xf numFmtId="0" fontId="103" fillId="0" borderId="71" xfId="12" applyFont="1" applyBorder="1" applyAlignment="1">
      <alignment horizontal="center" vertical="center" wrapText="1"/>
    </xf>
    <xf numFmtId="0" fontId="103" fillId="0" borderId="72" xfId="12" applyFont="1" applyBorder="1" applyAlignment="1">
      <alignment horizontal="center" vertical="center" wrapText="1"/>
    </xf>
    <xf numFmtId="0" fontId="103" fillId="0" borderId="28" xfId="12" applyFont="1" applyBorder="1" applyAlignment="1">
      <alignment horizontal="center" vertical="center" wrapText="1"/>
    </xf>
    <xf numFmtId="0" fontId="103" fillId="0" borderId="30" xfId="12" applyFont="1" applyBorder="1" applyAlignment="1">
      <alignment horizontal="center" vertical="center" wrapText="1"/>
    </xf>
    <xf numFmtId="0" fontId="103" fillId="0" borderId="90" xfId="12" applyFont="1" applyBorder="1" applyAlignment="1">
      <alignment horizontal="center" vertical="center" wrapText="1"/>
    </xf>
    <xf numFmtId="0" fontId="103" fillId="0" borderId="0" xfId="12" applyFont="1" applyAlignment="1">
      <alignment horizontal="center" vertical="center" wrapText="1"/>
    </xf>
    <xf numFmtId="0" fontId="103" fillId="0" borderId="35" xfId="12" applyFont="1" applyBorder="1" applyAlignment="1">
      <alignment horizontal="center" vertical="center" wrapText="1"/>
    </xf>
    <xf numFmtId="0" fontId="103" fillId="0" borderId="71" xfId="12" applyFont="1" applyBorder="1" applyAlignment="1">
      <alignment horizontal="left" vertical="top" wrapText="1"/>
    </xf>
    <xf numFmtId="0" fontId="103" fillId="0" borderId="90" xfId="12" applyFont="1" applyBorder="1" applyAlignment="1">
      <alignment horizontal="left" vertical="top" wrapText="1"/>
    </xf>
    <xf numFmtId="0" fontId="103" fillId="0" borderId="71" xfId="12" applyFont="1" applyBorder="1" applyAlignment="1">
      <alignment vertical="center" wrapText="1"/>
    </xf>
    <xf numFmtId="0" fontId="103" fillId="0" borderId="90" xfId="12" applyFont="1" applyBorder="1" applyAlignment="1">
      <alignment vertical="center" wrapText="1"/>
    </xf>
    <xf numFmtId="0" fontId="103" fillId="0" borderId="72" xfId="12" applyFont="1" applyBorder="1" applyAlignment="1">
      <alignment vertical="center" wrapText="1"/>
    </xf>
    <xf numFmtId="0" fontId="103" fillId="0" borderId="36" xfId="12" applyFont="1" applyBorder="1" applyAlignment="1">
      <alignment horizontal="center" vertical="center" wrapText="1"/>
    </xf>
    <xf numFmtId="0" fontId="103" fillId="0" borderId="38" xfId="12" applyFont="1" applyBorder="1" applyAlignment="1">
      <alignment horizontal="center" vertical="center" wrapText="1"/>
    </xf>
    <xf numFmtId="0" fontId="97" fillId="0" borderId="35" xfId="12" applyFont="1" applyBorder="1" applyAlignment="1">
      <alignment horizontal="left" vertical="center" wrapText="1"/>
    </xf>
    <xf numFmtId="0" fontId="103" fillId="0" borderId="72" xfId="12" applyFont="1" applyBorder="1" applyAlignment="1">
      <alignment horizontal="left" vertical="top" wrapText="1"/>
    </xf>
    <xf numFmtId="0" fontId="91" fillId="0" borderId="29" xfId="12" applyFont="1" applyBorder="1" applyAlignment="1">
      <alignment vertical="center" wrapText="1"/>
    </xf>
    <xf numFmtId="0" fontId="97" fillId="0" borderId="29" xfId="12" applyFont="1" applyBorder="1" applyAlignment="1">
      <alignment vertical="center" wrapText="1"/>
    </xf>
    <xf numFmtId="0" fontId="94" fillId="0" borderId="36" xfId="12" applyFont="1" applyBorder="1" applyAlignment="1">
      <alignment vertical="center" wrapText="1"/>
    </xf>
    <xf numFmtId="0" fontId="94" fillId="0" borderId="37" xfId="12" applyFont="1" applyBorder="1" applyAlignment="1">
      <alignment vertical="center" wrapText="1"/>
    </xf>
  </cellXfs>
  <cellStyles count="25">
    <cellStyle name="Milliers [0] 2" xfId="1" xr:uid="{00000000-0005-0000-0000-000000000000}"/>
    <cellStyle name="Normal" xfId="0" builtinId="0"/>
    <cellStyle name="Normal 10" xfId="19" xr:uid="{00000000-0005-0000-0000-000002000000}"/>
    <cellStyle name="Normal 11" xfId="20" xr:uid="{00000000-0005-0000-0000-000003000000}"/>
    <cellStyle name="Normal 12" xfId="22" xr:uid="{00000000-0005-0000-0000-000004000000}"/>
    <cellStyle name="Normal 2" xfId="2" xr:uid="{00000000-0005-0000-0000-000005000000}"/>
    <cellStyle name="Normal 2 2" xfId="3" xr:uid="{00000000-0005-0000-0000-000006000000}"/>
    <cellStyle name="Normal 2 3" xfId="4" xr:uid="{00000000-0005-0000-0000-000007000000}"/>
    <cellStyle name="Normal 2 4" xfId="5" xr:uid="{00000000-0005-0000-0000-000008000000}"/>
    <cellStyle name="Normal 2 5" xfId="12" xr:uid="{00000000-0005-0000-0000-000009000000}"/>
    <cellStyle name="Normal 3" xfId="6" xr:uid="{00000000-0005-0000-0000-00000A000000}"/>
    <cellStyle name="Normal 3 2" xfId="7" xr:uid="{00000000-0005-0000-0000-00000B000000}"/>
    <cellStyle name="Normal 3 2 2" xfId="10" xr:uid="{00000000-0005-0000-0000-00000C000000}"/>
    <cellStyle name="Normal 3 3" xfId="11" xr:uid="{00000000-0005-0000-0000-00000D000000}"/>
    <cellStyle name="Normal 3 4" xfId="13" xr:uid="{00000000-0005-0000-0000-00000E000000}"/>
    <cellStyle name="Normal 4" xfId="8" xr:uid="{00000000-0005-0000-0000-00000F000000}"/>
    <cellStyle name="Normal 4 2" xfId="14" xr:uid="{00000000-0005-0000-0000-000010000000}"/>
    <cellStyle name="Normal 5" xfId="9" xr:uid="{00000000-0005-0000-0000-000011000000}"/>
    <cellStyle name="Normal 6" xfId="15" xr:uid="{00000000-0005-0000-0000-000012000000}"/>
    <cellStyle name="Normal 7" xfId="16" xr:uid="{00000000-0005-0000-0000-000013000000}"/>
    <cellStyle name="Normal 7 2" xfId="23" xr:uid="{00000000-0005-0000-0000-000014000000}"/>
    <cellStyle name="Normal 8" xfId="17" xr:uid="{00000000-0005-0000-0000-000015000000}"/>
    <cellStyle name="Normal 8 2" xfId="21" xr:uid="{00000000-0005-0000-0000-000016000000}"/>
    <cellStyle name="Normal 8 2 2" xfId="24" xr:uid="{A29A7B5E-A342-40AD-9519-C291909AC241}"/>
    <cellStyle name="Normal 9" xfId="18" xr:uid="{00000000-0005-0000-0000-000017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3300"/>
      <rgbColor rgb="00666699"/>
      <rgbColor rgb="00969696"/>
      <rgbColor rgb="00003366"/>
      <rgbColor rgb="00339966"/>
      <rgbColor rgb="00003300"/>
      <rgbColor rgb="00333300"/>
      <rgbColor rgb="00993300"/>
      <rgbColor rgb="00993366"/>
      <rgbColor rgb="00333399"/>
      <rgbColor rgb="00333333"/>
    </indexedColors>
    <mruColors>
      <color rgb="FF00FF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8.png"/></Relationships>
</file>

<file path=xl/drawings/_rels/drawing11.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9.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3.xml.rels><?xml version="1.0" encoding="UTF-8" standalone="yes"?>
<Relationships xmlns="http://schemas.openxmlformats.org/package/2006/relationships"><Relationship Id="rId1" Type="http://schemas.openxmlformats.org/officeDocument/2006/relationships/image" Target="../media/image6.png"/></Relationships>
</file>

<file path=xl/drawings/_rels/drawing14.xml.rels><?xml version="1.0" encoding="UTF-8" standalone="yes"?>
<Relationships xmlns="http://schemas.openxmlformats.org/package/2006/relationships"><Relationship Id="rId1" Type="http://schemas.openxmlformats.org/officeDocument/2006/relationships/image" Target="../media/image6.png"/></Relationships>
</file>

<file path=xl/drawings/_rels/drawing15.xml.rels><?xml version="1.0" encoding="UTF-8" standalone="yes"?>
<Relationships xmlns="http://schemas.openxmlformats.org/package/2006/relationships"><Relationship Id="rId1" Type="http://schemas.openxmlformats.org/officeDocument/2006/relationships/image" Target="../media/image6.png"/></Relationships>
</file>

<file path=xl/drawings/_rels/drawing1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9.png"/></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1" Type="http://schemas.openxmlformats.org/officeDocument/2006/relationships/image" Target="../media/image6.png"/></Relationships>
</file>

<file path=xl/drawings/_rels/drawing19.xml.rels><?xml version="1.0" encoding="UTF-8" standalone="yes"?>
<Relationships xmlns="http://schemas.openxmlformats.org/package/2006/relationships"><Relationship Id="rId1" Type="http://schemas.openxmlformats.org/officeDocument/2006/relationships/image" Target="../media/image6.png"/></Relationships>
</file>

<file path=xl/drawings/_rels/drawing20.xml.rels><?xml version="1.0" encoding="UTF-8" standalone="yes"?>
<Relationships xmlns="http://schemas.openxmlformats.org/package/2006/relationships"><Relationship Id="rId1" Type="http://schemas.openxmlformats.org/officeDocument/2006/relationships/image" Target="../media/image6.png"/></Relationships>
</file>

<file path=xl/drawings/_rels/drawing2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2.xml.rels><?xml version="1.0" encoding="UTF-8" standalone="yes"?>
<Relationships xmlns="http://schemas.openxmlformats.org/package/2006/relationships"><Relationship Id="rId1" Type="http://schemas.openxmlformats.org/officeDocument/2006/relationships/image" Target="../media/image6.png"/></Relationships>
</file>

<file path=xl/drawings/_rels/drawing23.xml.rels><?xml version="1.0" encoding="UTF-8" standalone="yes"?>
<Relationships xmlns="http://schemas.openxmlformats.org/package/2006/relationships"><Relationship Id="rId1" Type="http://schemas.openxmlformats.org/officeDocument/2006/relationships/image" Target="../media/image6.png"/></Relationships>
</file>

<file path=xl/drawings/_rels/drawing24.xml.rels><?xml version="1.0" encoding="UTF-8" standalone="yes"?>
<Relationships xmlns="http://schemas.openxmlformats.org/package/2006/relationships"><Relationship Id="rId1" Type="http://schemas.openxmlformats.org/officeDocument/2006/relationships/image" Target="../media/image6.png"/></Relationships>
</file>

<file path=xl/drawings/_rels/drawing25.xml.rels><?xml version="1.0" encoding="UTF-8" standalone="yes"?>
<Relationships xmlns="http://schemas.openxmlformats.org/package/2006/relationships"><Relationship Id="rId1" Type="http://schemas.openxmlformats.org/officeDocument/2006/relationships/image" Target="../media/image6.png"/></Relationships>
</file>

<file path=xl/drawings/_rels/drawing26.xml.rels><?xml version="1.0" encoding="UTF-8" standalone="yes"?>
<Relationships xmlns="http://schemas.openxmlformats.org/package/2006/relationships"><Relationship Id="rId1" Type="http://schemas.openxmlformats.org/officeDocument/2006/relationships/image" Target="../media/image6.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12.png"/></Relationships>
</file>

<file path=xl/drawings/_rels/drawing30.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6.png"/></Relationships>
</file>

<file path=xl/drawings/_rels/drawing31.xml.rels><?xml version="1.0" encoding="UTF-8" standalone="yes"?>
<Relationships xmlns="http://schemas.openxmlformats.org/package/2006/relationships"><Relationship Id="rId1" Type="http://schemas.openxmlformats.org/officeDocument/2006/relationships/image" Target="../media/image6.png"/></Relationships>
</file>

<file path=xl/drawings/_rels/drawing32.xml.rels><?xml version="1.0" encoding="UTF-8" standalone="yes"?>
<Relationships xmlns="http://schemas.openxmlformats.org/package/2006/relationships"><Relationship Id="rId1" Type="http://schemas.openxmlformats.org/officeDocument/2006/relationships/image" Target="../media/image6.png"/></Relationships>
</file>

<file path=xl/drawings/_rels/drawing33.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jpeg"/></Relationships>
</file>

<file path=xl/drawings/_rels/drawing34.xml.rels><?xml version="1.0" encoding="UTF-8" standalone="yes"?>
<Relationships xmlns="http://schemas.openxmlformats.org/package/2006/relationships"><Relationship Id="rId1" Type="http://schemas.openxmlformats.org/officeDocument/2006/relationships/image" Target="../media/image17.png"/></Relationships>
</file>

<file path=xl/drawings/_rels/drawing35.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image" Target="../media/image17.png"/></Relationships>
</file>

<file path=xl/drawings/_rels/drawing36.xml.rels><?xml version="1.0" encoding="UTF-8" standalone="yes"?>
<Relationships xmlns="http://schemas.openxmlformats.org/package/2006/relationships"><Relationship Id="rId1" Type="http://schemas.openxmlformats.org/officeDocument/2006/relationships/image" Target="../media/image6.png"/></Relationships>
</file>

<file path=xl/drawings/_rels/drawing37.xml.rels><?xml version="1.0" encoding="UTF-8" standalone="yes"?>
<Relationships xmlns="http://schemas.openxmlformats.org/package/2006/relationships"><Relationship Id="rId1" Type="http://schemas.openxmlformats.org/officeDocument/2006/relationships/image" Target="../media/image6.png"/></Relationships>
</file>

<file path=xl/drawings/_rels/drawing38.xml.rels><?xml version="1.0" encoding="UTF-8" standalone="yes"?>
<Relationships xmlns="http://schemas.openxmlformats.org/package/2006/relationships"><Relationship Id="rId1" Type="http://schemas.openxmlformats.org/officeDocument/2006/relationships/image" Target="../media/image12.png"/></Relationships>
</file>

<file path=xl/drawings/_rels/drawing39.x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28576</xdr:colOff>
      <xdr:row>0</xdr:row>
      <xdr:rowOff>28576</xdr:rowOff>
    </xdr:from>
    <xdr:to>
      <xdr:col>2</xdr:col>
      <xdr:colOff>289458</xdr:colOff>
      <xdr:row>2</xdr:row>
      <xdr:rowOff>180976</xdr:rowOff>
    </xdr:to>
    <xdr:pic>
      <xdr:nvPicPr>
        <xdr:cNvPr id="5" name="Image 4">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6" y="28576"/>
          <a:ext cx="1213382"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28576</xdr:colOff>
      <xdr:row>0</xdr:row>
      <xdr:rowOff>28576</xdr:rowOff>
    </xdr:from>
    <xdr:to>
      <xdr:col>2</xdr:col>
      <xdr:colOff>289458</xdr:colOff>
      <xdr:row>2</xdr:row>
      <xdr:rowOff>180976</xdr:rowOff>
    </xdr:to>
    <xdr:pic>
      <xdr:nvPicPr>
        <xdr:cNvPr id="2" name="Imag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6" y="28576"/>
          <a:ext cx="1213382"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609600</xdr:rowOff>
    </xdr:from>
    <xdr:to>
      <xdr:col>4</xdr:col>
      <xdr:colOff>1590675</xdr:colOff>
      <xdr:row>1</xdr:row>
      <xdr:rowOff>790575</xdr:rowOff>
    </xdr:to>
    <xdr:sp macro="" textlink="">
      <xdr:nvSpPr>
        <xdr:cNvPr id="2" name="Texte 4">
          <a:extLst>
            <a:ext uri="{FF2B5EF4-FFF2-40B4-BE49-F238E27FC236}">
              <a16:creationId xmlns:a16="http://schemas.microsoft.com/office/drawing/2014/main" id="{00000000-0008-0000-0300-000002000000}"/>
            </a:ext>
          </a:extLst>
        </xdr:cNvPr>
        <xdr:cNvSpPr txBox="1">
          <a:spLocks noChangeArrowheads="1"/>
        </xdr:cNvSpPr>
      </xdr:nvSpPr>
      <xdr:spPr bwMode="auto">
        <a:xfrm>
          <a:off x="1885950" y="542925"/>
          <a:ext cx="1590675" cy="0"/>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0" anchor="t" upright="1"/>
        <a:lstStyle/>
        <a:p>
          <a:pPr algn="ctr" rtl="0">
            <a:defRPr sz="1000"/>
          </a:pPr>
          <a:r>
            <a:rPr lang="fr-FR" sz="1000" b="0" i="0" u="none" strike="noStrike" baseline="0">
              <a:solidFill>
                <a:srgbClr val="000000"/>
              </a:solidFill>
              <a:latin typeface="Arial"/>
              <a:cs typeface="Arial"/>
            </a:rPr>
            <a:t>"Ctrl+r" = Retour au sommaire</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1</xdr:row>
          <xdr:rowOff>57150</xdr:rowOff>
        </xdr:from>
        <xdr:to>
          <xdr:col>1</xdr:col>
          <xdr:colOff>609600</xdr:colOff>
          <xdr:row>1</xdr:row>
          <xdr:rowOff>333375</xdr:rowOff>
        </xdr:to>
        <xdr:sp macro="" textlink="">
          <xdr:nvSpPr>
            <xdr:cNvPr id="869377" name="cmd_onglet" hidden="1">
              <a:extLst>
                <a:ext uri="{63B3BB69-23CF-44E3-9099-C40C66FF867C}">
                  <a14:compatExt spid="_x0000_s869377"/>
                </a:ext>
                <a:ext uri="{FF2B5EF4-FFF2-40B4-BE49-F238E27FC236}">
                  <a16:creationId xmlns:a16="http://schemas.microsoft.com/office/drawing/2014/main" id="{00000000-0008-0000-0300-00000144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2238375</xdr:colOff>
          <xdr:row>1</xdr:row>
          <xdr:rowOff>57150</xdr:rowOff>
        </xdr:from>
        <xdr:to>
          <xdr:col>4</xdr:col>
          <xdr:colOff>3152775</xdr:colOff>
          <xdr:row>1</xdr:row>
          <xdr:rowOff>323850</xdr:rowOff>
        </xdr:to>
        <xdr:sp macro="" textlink="">
          <xdr:nvSpPr>
            <xdr:cNvPr id="869378" name="cmd_imprimer" hidden="1">
              <a:extLst>
                <a:ext uri="{63B3BB69-23CF-44E3-9099-C40C66FF867C}">
                  <a14:compatExt spid="_x0000_s869378"/>
                </a:ext>
                <a:ext uri="{FF2B5EF4-FFF2-40B4-BE49-F238E27FC236}">
                  <a16:creationId xmlns:a16="http://schemas.microsoft.com/office/drawing/2014/main" id="{00000000-0008-0000-0300-00000244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400050</xdr:colOff>
      <xdr:row>0</xdr:row>
      <xdr:rowOff>114300</xdr:rowOff>
    </xdr:from>
    <xdr:to>
      <xdr:col>10</xdr:col>
      <xdr:colOff>542925</xdr:colOff>
      <xdr:row>3</xdr:row>
      <xdr:rowOff>219075</xdr:rowOff>
    </xdr:to>
    <xdr:sp macro="" textlink="">
      <xdr:nvSpPr>
        <xdr:cNvPr id="2" name="Texte 7">
          <a:extLst>
            <a:ext uri="{FF2B5EF4-FFF2-40B4-BE49-F238E27FC236}">
              <a16:creationId xmlns:a16="http://schemas.microsoft.com/office/drawing/2014/main" id="{00000000-0008-0000-0400-000002000000}"/>
            </a:ext>
          </a:extLst>
        </xdr:cNvPr>
        <xdr:cNvSpPr>
          <a:spLocks noChangeArrowheads="1"/>
        </xdr:cNvSpPr>
      </xdr:nvSpPr>
      <xdr:spPr bwMode="auto">
        <a:xfrm>
          <a:off x="2619375" y="114300"/>
          <a:ext cx="5448300" cy="790575"/>
        </a:xfrm>
        <a:prstGeom prst="roundRect">
          <a:avLst>
            <a:gd name="adj" fmla="val 16667"/>
          </a:avLst>
        </a:prstGeom>
        <a:solidFill>
          <a:srgbClr val="FFFFFF"/>
        </a:solidFill>
        <a:ln w="17145">
          <a:solidFill>
            <a:srgbClr val="000000"/>
          </a:solidFill>
          <a:round/>
          <a:headEnd/>
          <a:tailEnd/>
        </a:ln>
      </xdr:spPr>
      <xdr:txBody>
        <a:bodyPr vertOverflow="clip" wrap="square" lIns="27432" tIns="18288" rIns="27432" bIns="18288" anchor="ctr" upright="1"/>
        <a:lstStyle/>
        <a:p>
          <a:pPr algn="ctr" rtl="0">
            <a:defRPr sz="1000"/>
          </a:pPr>
          <a:endParaRPr lang="fr-FR" sz="1000" b="0" i="0" strike="noStrike">
            <a:solidFill>
              <a:srgbClr val="000000"/>
            </a:solidFill>
            <a:latin typeface="Arial"/>
            <a:cs typeface="Arial"/>
          </a:endParaRPr>
        </a:p>
        <a:p>
          <a:pPr algn="ctr" rtl="0">
            <a:defRPr sz="1000"/>
          </a:pPr>
          <a:r>
            <a:rPr lang="fr-FR" sz="1800" b="1" i="0" strike="noStrike">
              <a:solidFill>
                <a:srgbClr val="000000"/>
              </a:solidFill>
              <a:latin typeface="Arial"/>
              <a:cs typeface="Arial"/>
            </a:rPr>
            <a:t>DOSSIER DE CHANTIER</a:t>
          </a:r>
          <a:endParaRPr lang="fr-FR" sz="1000" b="0" i="0" strike="noStrike">
            <a:solidFill>
              <a:srgbClr val="000000"/>
            </a:solidFill>
            <a:latin typeface="Arial"/>
            <a:cs typeface="Arial"/>
          </a:endParaRPr>
        </a:p>
        <a:p>
          <a:pPr algn="ctr" rtl="0">
            <a:defRPr sz="1000"/>
          </a:pPr>
          <a:endParaRPr lang="fr-FR" sz="1000" b="0" i="0" strike="noStrike">
            <a:solidFill>
              <a:srgbClr val="000000"/>
            </a:solidFill>
            <a:latin typeface="Arial"/>
            <a:cs typeface="Arial"/>
          </a:endParaRPr>
        </a:p>
        <a:p>
          <a:pPr algn="ctr" rtl="0">
            <a:defRPr sz="1000"/>
          </a:pPr>
          <a:endParaRPr lang="fr-FR" sz="1000" b="0" i="0" strike="noStrike">
            <a:solidFill>
              <a:srgbClr val="000000"/>
            </a:solidFill>
            <a:latin typeface="Arial"/>
            <a:cs typeface="Arial"/>
          </a:endParaRPr>
        </a:p>
      </xdr:txBody>
    </xdr:sp>
    <xdr:clientData/>
  </xdr:twoCellAnchor>
  <xdr:twoCellAnchor editAs="oneCell">
    <xdr:from>
      <xdr:col>0</xdr:col>
      <xdr:colOff>124067</xdr:colOff>
      <xdr:row>40</xdr:row>
      <xdr:rowOff>234525</xdr:rowOff>
    </xdr:from>
    <xdr:to>
      <xdr:col>0</xdr:col>
      <xdr:colOff>829237</xdr:colOff>
      <xdr:row>42</xdr:row>
      <xdr:rowOff>294344</xdr:rowOff>
    </xdr:to>
    <xdr:pic>
      <xdr:nvPicPr>
        <xdr:cNvPr id="11" name="Imag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1"/>
        <a:stretch>
          <a:fillRect/>
        </a:stretch>
      </xdr:blipFill>
      <xdr:spPr>
        <a:xfrm>
          <a:off x="124067" y="11597290"/>
          <a:ext cx="705170" cy="754583"/>
        </a:xfrm>
        <a:prstGeom prst="rect">
          <a:avLst/>
        </a:prstGeom>
      </xdr:spPr>
    </xdr:pic>
    <xdr:clientData/>
  </xdr:twoCellAnchor>
  <xdr:twoCellAnchor editAs="oneCell">
    <xdr:from>
      <xdr:col>0</xdr:col>
      <xdr:colOff>114300</xdr:colOff>
      <xdr:row>0</xdr:row>
      <xdr:rowOff>95249</xdr:rowOff>
    </xdr:from>
    <xdr:to>
      <xdr:col>1</xdr:col>
      <xdr:colOff>684926</xdr:colOff>
      <xdr:row>4</xdr:row>
      <xdr:rowOff>9524</xdr:rowOff>
    </xdr:to>
    <xdr:pic>
      <xdr:nvPicPr>
        <xdr:cNvPr id="64" name="Image 63">
          <a:extLst>
            <a:ext uri="{FF2B5EF4-FFF2-40B4-BE49-F238E27FC236}">
              <a16:creationId xmlns:a16="http://schemas.microsoft.com/office/drawing/2014/main" id="{00000000-0008-0000-0400-00004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300" y="95249"/>
          <a:ext cx="1885076" cy="828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266700</xdr:colOff>
      <xdr:row>21</xdr:row>
      <xdr:rowOff>66675</xdr:rowOff>
    </xdr:from>
    <xdr:to>
      <xdr:col>4</xdr:col>
      <xdr:colOff>447675</xdr:colOff>
      <xdr:row>27</xdr:row>
      <xdr:rowOff>0</xdr:rowOff>
    </xdr:to>
    <xdr:sp macro="" textlink="">
      <xdr:nvSpPr>
        <xdr:cNvPr id="2" name="Oval 1">
          <a:extLst>
            <a:ext uri="{FF2B5EF4-FFF2-40B4-BE49-F238E27FC236}">
              <a16:creationId xmlns:a16="http://schemas.microsoft.com/office/drawing/2014/main" id="{00000000-0008-0000-0500-000002000000}"/>
            </a:ext>
          </a:extLst>
        </xdr:cNvPr>
        <xdr:cNvSpPr>
          <a:spLocks noChangeArrowheads="1"/>
        </xdr:cNvSpPr>
      </xdr:nvSpPr>
      <xdr:spPr bwMode="auto">
        <a:xfrm>
          <a:off x="2552700" y="3676650"/>
          <a:ext cx="942975" cy="904875"/>
        </a:xfrm>
        <a:prstGeom prst="ellipse">
          <a:avLst/>
        </a:prstGeom>
        <a:solidFill>
          <a:srgbClr val="FFFFFF"/>
        </a:solidFill>
        <a:ln w="28575">
          <a:solidFill>
            <a:srgbClr val="000000"/>
          </a:solidFill>
          <a:round/>
          <a:headEnd/>
          <a:tailEnd/>
        </a:ln>
      </xdr:spPr>
    </xdr:sp>
    <xdr:clientData/>
  </xdr:twoCellAnchor>
  <xdr:twoCellAnchor>
    <xdr:from>
      <xdr:col>2</xdr:col>
      <xdr:colOff>676275</xdr:colOff>
      <xdr:row>20</xdr:row>
      <xdr:rowOff>28575</xdr:rowOff>
    </xdr:from>
    <xdr:to>
      <xdr:col>3</xdr:col>
      <xdr:colOff>390525</xdr:colOff>
      <xdr:row>21</xdr:row>
      <xdr:rowOff>57150</xdr:rowOff>
    </xdr:to>
    <xdr:sp macro="" textlink="">
      <xdr:nvSpPr>
        <xdr:cNvPr id="3" name="Text Box 2">
          <a:extLst>
            <a:ext uri="{FF2B5EF4-FFF2-40B4-BE49-F238E27FC236}">
              <a16:creationId xmlns:a16="http://schemas.microsoft.com/office/drawing/2014/main" id="{00000000-0008-0000-0500-000003000000}"/>
            </a:ext>
          </a:extLst>
        </xdr:cNvPr>
        <xdr:cNvSpPr txBox="1">
          <a:spLocks noChangeArrowheads="1"/>
        </xdr:cNvSpPr>
      </xdr:nvSpPr>
      <xdr:spPr bwMode="auto">
        <a:xfrm>
          <a:off x="2200275" y="3476625"/>
          <a:ext cx="476250"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0,50</a:t>
          </a:r>
        </a:p>
      </xdr:txBody>
    </xdr:sp>
    <xdr:clientData/>
  </xdr:twoCellAnchor>
  <xdr:twoCellAnchor>
    <xdr:from>
      <xdr:col>4</xdr:col>
      <xdr:colOff>485775</xdr:colOff>
      <xdr:row>21</xdr:row>
      <xdr:rowOff>76200</xdr:rowOff>
    </xdr:from>
    <xdr:to>
      <xdr:col>5</xdr:col>
      <xdr:colOff>200025</xdr:colOff>
      <xdr:row>22</xdr:row>
      <xdr:rowOff>104775</xdr:rowOff>
    </xdr:to>
    <xdr:sp macro="" textlink="">
      <xdr:nvSpPr>
        <xdr:cNvPr id="4" name="Text Box 3">
          <a:extLst>
            <a:ext uri="{FF2B5EF4-FFF2-40B4-BE49-F238E27FC236}">
              <a16:creationId xmlns:a16="http://schemas.microsoft.com/office/drawing/2014/main" id="{00000000-0008-0000-0500-000004000000}"/>
            </a:ext>
          </a:extLst>
        </xdr:cNvPr>
        <xdr:cNvSpPr txBox="1">
          <a:spLocks noChangeArrowheads="1"/>
        </xdr:cNvSpPr>
      </xdr:nvSpPr>
      <xdr:spPr bwMode="auto">
        <a:xfrm>
          <a:off x="3533775" y="3686175"/>
          <a:ext cx="476250"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4</xdr:col>
      <xdr:colOff>428625</xdr:colOff>
      <xdr:row>25</xdr:row>
      <xdr:rowOff>114300</xdr:rowOff>
    </xdr:from>
    <xdr:to>
      <xdr:col>5</xdr:col>
      <xdr:colOff>38100</xdr:colOff>
      <xdr:row>26</xdr:row>
      <xdr:rowOff>133350</xdr:rowOff>
    </xdr:to>
    <xdr:sp macro="" textlink="">
      <xdr:nvSpPr>
        <xdr:cNvPr id="5" name="Text Box 4">
          <a:extLst>
            <a:ext uri="{FF2B5EF4-FFF2-40B4-BE49-F238E27FC236}">
              <a16:creationId xmlns:a16="http://schemas.microsoft.com/office/drawing/2014/main" id="{00000000-0008-0000-0500-000005000000}"/>
            </a:ext>
          </a:extLst>
        </xdr:cNvPr>
        <xdr:cNvSpPr txBox="1">
          <a:spLocks noChangeArrowheads="1"/>
        </xdr:cNvSpPr>
      </xdr:nvSpPr>
      <xdr:spPr bwMode="auto">
        <a:xfrm>
          <a:off x="3476625" y="4371975"/>
          <a:ext cx="371475" cy="18097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3</xdr:col>
      <xdr:colOff>200025</xdr:colOff>
      <xdr:row>27</xdr:row>
      <xdr:rowOff>76200</xdr:rowOff>
    </xdr:from>
    <xdr:to>
      <xdr:col>3</xdr:col>
      <xdr:colOff>552450</xdr:colOff>
      <xdr:row>28</xdr:row>
      <xdr:rowOff>123825</xdr:rowOff>
    </xdr:to>
    <xdr:sp macro="" textlink="">
      <xdr:nvSpPr>
        <xdr:cNvPr id="6" name="Text Box 5">
          <a:extLst>
            <a:ext uri="{FF2B5EF4-FFF2-40B4-BE49-F238E27FC236}">
              <a16:creationId xmlns:a16="http://schemas.microsoft.com/office/drawing/2014/main" id="{00000000-0008-0000-0500-000006000000}"/>
            </a:ext>
          </a:extLst>
        </xdr:cNvPr>
        <xdr:cNvSpPr txBox="1">
          <a:spLocks noChangeArrowheads="1"/>
        </xdr:cNvSpPr>
      </xdr:nvSpPr>
      <xdr:spPr bwMode="auto">
        <a:xfrm>
          <a:off x="2486025" y="4657725"/>
          <a:ext cx="352425" cy="20955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0</xdr:col>
      <xdr:colOff>104775</xdr:colOff>
      <xdr:row>17</xdr:row>
      <xdr:rowOff>142875</xdr:rowOff>
    </xdr:from>
    <xdr:to>
      <xdr:col>2</xdr:col>
      <xdr:colOff>647700</xdr:colOff>
      <xdr:row>19</xdr:row>
      <xdr:rowOff>76200</xdr:rowOff>
    </xdr:to>
    <xdr:sp macro="" textlink="">
      <xdr:nvSpPr>
        <xdr:cNvPr id="7" name="Text Box 6">
          <a:extLst>
            <a:ext uri="{FF2B5EF4-FFF2-40B4-BE49-F238E27FC236}">
              <a16:creationId xmlns:a16="http://schemas.microsoft.com/office/drawing/2014/main" id="{00000000-0008-0000-0500-000007000000}"/>
            </a:ext>
          </a:extLst>
        </xdr:cNvPr>
        <xdr:cNvSpPr txBox="1">
          <a:spLocks noChangeArrowheads="1"/>
        </xdr:cNvSpPr>
      </xdr:nvSpPr>
      <xdr:spPr bwMode="auto">
        <a:xfrm>
          <a:off x="104775" y="3105150"/>
          <a:ext cx="2066925" cy="25717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Télécom. L.G.D et régional en terre</a:t>
          </a:r>
        </a:p>
      </xdr:txBody>
    </xdr:sp>
    <xdr:clientData/>
  </xdr:twoCellAnchor>
  <xdr:twoCellAnchor>
    <xdr:from>
      <xdr:col>2</xdr:col>
      <xdr:colOff>123825</xdr:colOff>
      <xdr:row>19</xdr:row>
      <xdr:rowOff>152400</xdr:rowOff>
    </xdr:from>
    <xdr:to>
      <xdr:col>2</xdr:col>
      <xdr:colOff>371475</xdr:colOff>
      <xdr:row>21</xdr:row>
      <xdr:rowOff>95250</xdr:rowOff>
    </xdr:to>
    <xdr:sp macro="" textlink="">
      <xdr:nvSpPr>
        <xdr:cNvPr id="8" name="Oval 7">
          <a:extLst>
            <a:ext uri="{FF2B5EF4-FFF2-40B4-BE49-F238E27FC236}">
              <a16:creationId xmlns:a16="http://schemas.microsoft.com/office/drawing/2014/main" id="{00000000-0008-0000-0500-000008000000}"/>
            </a:ext>
          </a:extLst>
        </xdr:cNvPr>
        <xdr:cNvSpPr>
          <a:spLocks noChangeArrowheads="1"/>
        </xdr:cNvSpPr>
      </xdr:nvSpPr>
      <xdr:spPr bwMode="auto">
        <a:xfrm>
          <a:off x="1647825" y="3438525"/>
          <a:ext cx="247650" cy="266700"/>
        </a:xfrm>
        <a:prstGeom prst="ellipse">
          <a:avLst/>
        </a:prstGeom>
        <a:solidFill>
          <a:srgbClr val="969696"/>
        </a:solidFill>
        <a:ln w="9525">
          <a:solidFill>
            <a:srgbClr val="000000"/>
          </a:solidFill>
          <a:round/>
          <a:headEnd/>
          <a:tailEnd/>
        </a:ln>
      </xdr:spPr>
    </xdr:sp>
    <xdr:clientData/>
  </xdr:twoCellAnchor>
  <xdr:twoCellAnchor>
    <xdr:from>
      <xdr:col>3</xdr:col>
      <xdr:colOff>457200</xdr:colOff>
      <xdr:row>29</xdr:row>
      <xdr:rowOff>28575</xdr:rowOff>
    </xdr:from>
    <xdr:to>
      <xdr:col>3</xdr:col>
      <xdr:colOff>714375</xdr:colOff>
      <xdr:row>30</xdr:row>
      <xdr:rowOff>114300</xdr:rowOff>
    </xdr:to>
    <xdr:sp macro="" textlink="">
      <xdr:nvSpPr>
        <xdr:cNvPr id="9" name="Oval 8">
          <a:extLst>
            <a:ext uri="{FF2B5EF4-FFF2-40B4-BE49-F238E27FC236}">
              <a16:creationId xmlns:a16="http://schemas.microsoft.com/office/drawing/2014/main" id="{00000000-0008-0000-0500-000009000000}"/>
            </a:ext>
          </a:extLst>
        </xdr:cNvPr>
        <xdr:cNvSpPr>
          <a:spLocks noChangeArrowheads="1"/>
        </xdr:cNvSpPr>
      </xdr:nvSpPr>
      <xdr:spPr bwMode="auto">
        <a:xfrm>
          <a:off x="2743200" y="4933950"/>
          <a:ext cx="257175" cy="247650"/>
        </a:xfrm>
        <a:prstGeom prst="ellipse">
          <a:avLst/>
        </a:prstGeom>
        <a:solidFill>
          <a:srgbClr val="969696"/>
        </a:solidFill>
        <a:ln w="9525">
          <a:solidFill>
            <a:srgbClr val="000000"/>
          </a:solidFill>
          <a:round/>
          <a:headEnd/>
          <a:tailEnd/>
        </a:ln>
      </xdr:spPr>
    </xdr:sp>
    <xdr:clientData/>
  </xdr:twoCellAnchor>
  <xdr:twoCellAnchor>
    <xdr:from>
      <xdr:col>4</xdr:col>
      <xdr:colOff>390525</xdr:colOff>
      <xdr:row>18</xdr:row>
      <xdr:rowOff>152400</xdr:rowOff>
    </xdr:from>
    <xdr:to>
      <xdr:col>4</xdr:col>
      <xdr:colOff>638175</xdr:colOff>
      <xdr:row>20</xdr:row>
      <xdr:rowOff>95250</xdr:rowOff>
    </xdr:to>
    <xdr:sp macro="" textlink="">
      <xdr:nvSpPr>
        <xdr:cNvPr id="10" name="Oval 9">
          <a:extLst>
            <a:ext uri="{FF2B5EF4-FFF2-40B4-BE49-F238E27FC236}">
              <a16:creationId xmlns:a16="http://schemas.microsoft.com/office/drawing/2014/main" id="{00000000-0008-0000-0500-00000A000000}"/>
            </a:ext>
          </a:extLst>
        </xdr:cNvPr>
        <xdr:cNvSpPr>
          <a:spLocks noChangeArrowheads="1"/>
        </xdr:cNvSpPr>
      </xdr:nvSpPr>
      <xdr:spPr bwMode="auto">
        <a:xfrm>
          <a:off x="3438525" y="3276600"/>
          <a:ext cx="247650" cy="266700"/>
        </a:xfrm>
        <a:prstGeom prst="ellipse">
          <a:avLst/>
        </a:prstGeom>
        <a:solidFill>
          <a:srgbClr val="969696"/>
        </a:solidFill>
        <a:ln w="9525">
          <a:solidFill>
            <a:srgbClr val="000000"/>
          </a:solidFill>
          <a:round/>
          <a:headEnd/>
          <a:tailEnd/>
        </a:ln>
      </xdr:spPr>
    </xdr:sp>
    <xdr:clientData/>
  </xdr:twoCellAnchor>
  <xdr:twoCellAnchor>
    <xdr:from>
      <xdr:col>5</xdr:col>
      <xdr:colOff>47625</xdr:colOff>
      <xdr:row>25</xdr:row>
      <xdr:rowOff>28575</xdr:rowOff>
    </xdr:from>
    <xdr:to>
      <xdr:col>5</xdr:col>
      <xdr:colOff>304800</xdr:colOff>
      <xdr:row>26</xdr:row>
      <xdr:rowOff>114300</xdr:rowOff>
    </xdr:to>
    <xdr:sp macro="" textlink="">
      <xdr:nvSpPr>
        <xdr:cNvPr id="11" name="Oval 10">
          <a:extLst>
            <a:ext uri="{FF2B5EF4-FFF2-40B4-BE49-F238E27FC236}">
              <a16:creationId xmlns:a16="http://schemas.microsoft.com/office/drawing/2014/main" id="{00000000-0008-0000-0500-00000B000000}"/>
            </a:ext>
          </a:extLst>
        </xdr:cNvPr>
        <xdr:cNvSpPr>
          <a:spLocks noChangeArrowheads="1"/>
        </xdr:cNvSpPr>
      </xdr:nvSpPr>
      <xdr:spPr bwMode="auto">
        <a:xfrm>
          <a:off x="3857625" y="4286250"/>
          <a:ext cx="257175" cy="247650"/>
        </a:xfrm>
        <a:prstGeom prst="ellipse">
          <a:avLst/>
        </a:prstGeom>
        <a:solidFill>
          <a:srgbClr val="969696"/>
        </a:solidFill>
        <a:ln w="9525">
          <a:solidFill>
            <a:srgbClr val="000000"/>
          </a:solidFill>
          <a:round/>
          <a:headEnd/>
          <a:tailEnd/>
        </a:ln>
      </xdr:spPr>
    </xdr:sp>
    <xdr:clientData/>
  </xdr:twoCellAnchor>
  <xdr:twoCellAnchor>
    <xdr:from>
      <xdr:col>1</xdr:col>
      <xdr:colOff>28575</xdr:colOff>
      <xdr:row>27</xdr:row>
      <xdr:rowOff>152400</xdr:rowOff>
    </xdr:from>
    <xdr:to>
      <xdr:col>1</xdr:col>
      <xdr:colOff>314325</xdr:colOff>
      <xdr:row>29</xdr:row>
      <xdr:rowOff>95250</xdr:rowOff>
    </xdr:to>
    <xdr:sp macro="" textlink="">
      <xdr:nvSpPr>
        <xdr:cNvPr id="12" name="Oval 11">
          <a:extLst>
            <a:ext uri="{FF2B5EF4-FFF2-40B4-BE49-F238E27FC236}">
              <a16:creationId xmlns:a16="http://schemas.microsoft.com/office/drawing/2014/main" id="{00000000-0008-0000-0500-00000C000000}"/>
            </a:ext>
          </a:extLst>
        </xdr:cNvPr>
        <xdr:cNvSpPr>
          <a:spLocks noChangeArrowheads="1"/>
        </xdr:cNvSpPr>
      </xdr:nvSpPr>
      <xdr:spPr bwMode="auto">
        <a:xfrm>
          <a:off x="790575" y="4733925"/>
          <a:ext cx="285750" cy="266700"/>
        </a:xfrm>
        <a:prstGeom prst="ellipse">
          <a:avLst/>
        </a:prstGeom>
        <a:solidFill>
          <a:srgbClr val="969696"/>
        </a:solidFill>
        <a:ln w="9525">
          <a:solidFill>
            <a:srgbClr val="000000"/>
          </a:solidFill>
          <a:round/>
          <a:headEnd/>
          <a:tailEnd/>
        </a:ln>
      </xdr:spPr>
    </xdr:sp>
    <xdr:clientData/>
  </xdr:twoCellAnchor>
  <xdr:twoCellAnchor>
    <xdr:from>
      <xdr:col>2</xdr:col>
      <xdr:colOff>371475</xdr:colOff>
      <xdr:row>21</xdr:row>
      <xdr:rowOff>9525</xdr:rowOff>
    </xdr:from>
    <xdr:to>
      <xdr:col>3</xdr:col>
      <xdr:colOff>371475</xdr:colOff>
      <xdr:row>22</xdr:row>
      <xdr:rowOff>104775</xdr:rowOff>
    </xdr:to>
    <xdr:sp macro="" textlink="">
      <xdr:nvSpPr>
        <xdr:cNvPr id="13" name="Line 12">
          <a:extLst>
            <a:ext uri="{FF2B5EF4-FFF2-40B4-BE49-F238E27FC236}">
              <a16:creationId xmlns:a16="http://schemas.microsoft.com/office/drawing/2014/main" id="{00000000-0008-0000-0500-00000D000000}"/>
            </a:ext>
          </a:extLst>
        </xdr:cNvPr>
        <xdr:cNvSpPr>
          <a:spLocks noChangeShapeType="1"/>
        </xdr:cNvSpPr>
      </xdr:nvSpPr>
      <xdr:spPr bwMode="auto">
        <a:xfrm>
          <a:off x="1895475" y="3619500"/>
          <a:ext cx="762000" cy="257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295275</xdr:colOff>
      <xdr:row>20</xdr:row>
      <xdr:rowOff>76200</xdr:rowOff>
    </xdr:from>
    <xdr:to>
      <xdr:col>4</xdr:col>
      <xdr:colOff>419100</xdr:colOff>
      <xdr:row>22</xdr:row>
      <xdr:rowOff>0</xdr:rowOff>
    </xdr:to>
    <xdr:sp macro="" textlink="">
      <xdr:nvSpPr>
        <xdr:cNvPr id="14" name="Line 13">
          <a:extLst>
            <a:ext uri="{FF2B5EF4-FFF2-40B4-BE49-F238E27FC236}">
              <a16:creationId xmlns:a16="http://schemas.microsoft.com/office/drawing/2014/main" id="{00000000-0008-0000-0500-00000E000000}"/>
            </a:ext>
          </a:extLst>
        </xdr:cNvPr>
        <xdr:cNvSpPr>
          <a:spLocks noChangeShapeType="1"/>
        </xdr:cNvSpPr>
      </xdr:nvSpPr>
      <xdr:spPr bwMode="auto">
        <a:xfrm flipH="1">
          <a:off x="3343275" y="3524250"/>
          <a:ext cx="123825"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419100</xdr:colOff>
      <xdr:row>24</xdr:row>
      <xdr:rowOff>104775</xdr:rowOff>
    </xdr:from>
    <xdr:to>
      <xdr:col>5</xdr:col>
      <xdr:colOff>57150</xdr:colOff>
      <xdr:row>25</xdr:row>
      <xdr:rowOff>66675</xdr:rowOff>
    </xdr:to>
    <xdr:sp macro="" textlink="">
      <xdr:nvSpPr>
        <xdr:cNvPr id="15" name="Line 14">
          <a:extLst>
            <a:ext uri="{FF2B5EF4-FFF2-40B4-BE49-F238E27FC236}">
              <a16:creationId xmlns:a16="http://schemas.microsoft.com/office/drawing/2014/main" id="{00000000-0008-0000-0500-00000F000000}"/>
            </a:ext>
          </a:extLst>
        </xdr:cNvPr>
        <xdr:cNvSpPr>
          <a:spLocks noChangeShapeType="1"/>
        </xdr:cNvSpPr>
      </xdr:nvSpPr>
      <xdr:spPr bwMode="auto">
        <a:xfrm>
          <a:off x="3467100" y="4200525"/>
          <a:ext cx="400050"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609600</xdr:colOff>
      <xdr:row>26</xdr:row>
      <xdr:rowOff>142875</xdr:rowOff>
    </xdr:from>
    <xdr:to>
      <xdr:col>3</xdr:col>
      <xdr:colOff>638175</xdr:colOff>
      <xdr:row>29</xdr:row>
      <xdr:rowOff>28575</xdr:rowOff>
    </xdr:to>
    <xdr:sp macro="" textlink="">
      <xdr:nvSpPr>
        <xdr:cNvPr id="16" name="Line 15">
          <a:extLst>
            <a:ext uri="{FF2B5EF4-FFF2-40B4-BE49-F238E27FC236}">
              <a16:creationId xmlns:a16="http://schemas.microsoft.com/office/drawing/2014/main" id="{00000000-0008-0000-0500-000010000000}"/>
            </a:ext>
          </a:extLst>
        </xdr:cNvPr>
        <xdr:cNvSpPr>
          <a:spLocks noChangeShapeType="1"/>
        </xdr:cNvSpPr>
      </xdr:nvSpPr>
      <xdr:spPr bwMode="auto">
        <a:xfrm flipV="1">
          <a:off x="2895600" y="4562475"/>
          <a:ext cx="28575" cy="3714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323850</xdr:colOff>
      <xdr:row>25</xdr:row>
      <xdr:rowOff>114300</xdr:rowOff>
    </xdr:from>
    <xdr:to>
      <xdr:col>3</xdr:col>
      <xdr:colOff>333375</xdr:colOff>
      <xdr:row>28</xdr:row>
      <xdr:rowOff>66675</xdr:rowOff>
    </xdr:to>
    <xdr:sp macro="" textlink="">
      <xdr:nvSpPr>
        <xdr:cNvPr id="17" name="Line 16">
          <a:extLst>
            <a:ext uri="{FF2B5EF4-FFF2-40B4-BE49-F238E27FC236}">
              <a16:creationId xmlns:a16="http://schemas.microsoft.com/office/drawing/2014/main" id="{00000000-0008-0000-0500-000011000000}"/>
            </a:ext>
          </a:extLst>
        </xdr:cNvPr>
        <xdr:cNvSpPr>
          <a:spLocks noChangeShapeType="1"/>
        </xdr:cNvSpPr>
      </xdr:nvSpPr>
      <xdr:spPr bwMode="auto">
        <a:xfrm flipV="1">
          <a:off x="1085850" y="4371975"/>
          <a:ext cx="1533525" cy="438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29</xdr:row>
      <xdr:rowOff>104775</xdr:rowOff>
    </xdr:from>
    <xdr:to>
      <xdr:col>3</xdr:col>
      <xdr:colOff>428625</xdr:colOff>
      <xdr:row>31</xdr:row>
      <xdr:rowOff>152400</xdr:rowOff>
    </xdr:to>
    <xdr:sp macro="" textlink="">
      <xdr:nvSpPr>
        <xdr:cNvPr id="18" name="Text Box 17">
          <a:extLst>
            <a:ext uri="{FF2B5EF4-FFF2-40B4-BE49-F238E27FC236}">
              <a16:creationId xmlns:a16="http://schemas.microsoft.com/office/drawing/2014/main" id="{00000000-0008-0000-0500-000012000000}"/>
            </a:ext>
          </a:extLst>
        </xdr:cNvPr>
        <xdr:cNvSpPr txBox="1">
          <a:spLocks noChangeArrowheads="1"/>
        </xdr:cNvSpPr>
      </xdr:nvSpPr>
      <xdr:spPr bwMode="auto">
        <a:xfrm>
          <a:off x="2286000" y="5010150"/>
          <a:ext cx="428625" cy="37147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Fluide divers </a:t>
          </a:r>
          <a:r>
            <a:rPr lang="fr-FR" sz="1000" b="1" i="0" strike="noStrike">
              <a:solidFill>
                <a:srgbClr val="000000"/>
              </a:solidFill>
              <a:latin typeface="Arial"/>
              <a:cs typeface="Arial"/>
            </a:rPr>
            <a:t>*</a:t>
          </a:r>
        </a:p>
      </xdr:txBody>
    </xdr:sp>
    <xdr:clientData/>
  </xdr:twoCellAnchor>
  <xdr:twoCellAnchor>
    <xdr:from>
      <xdr:col>4</xdr:col>
      <xdr:colOff>523875</xdr:colOff>
      <xdr:row>27</xdr:row>
      <xdr:rowOff>0</xdr:rowOff>
    </xdr:from>
    <xdr:to>
      <xdr:col>6</xdr:col>
      <xdr:colOff>619125</xdr:colOff>
      <xdr:row>28</xdr:row>
      <xdr:rowOff>28575</xdr:rowOff>
    </xdr:to>
    <xdr:sp macro="" textlink="">
      <xdr:nvSpPr>
        <xdr:cNvPr id="19" name="Text Box 18">
          <a:extLst>
            <a:ext uri="{FF2B5EF4-FFF2-40B4-BE49-F238E27FC236}">
              <a16:creationId xmlns:a16="http://schemas.microsoft.com/office/drawing/2014/main" id="{00000000-0008-0000-0500-000013000000}"/>
            </a:ext>
          </a:extLst>
        </xdr:cNvPr>
        <xdr:cNvSpPr txBox="1">
          <a:spLocks noChangeArrowheads="1"/>
        </xdr:cNvSpPr>
      </xdr:nvSpPr>
      <xdr:spPr bwMode="auto">
        <a:xfrm>
          <a:off x="3571875" y="4581525"/>
          <a:ext cx="1485900"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HTB/ HTA , BT , </a:t>
          </a:r>
          <a:r>
            <a:rPr lang="fr-FR" sz="1000" b="1" i="0" strike="noStrike">
              <a:solidFill>
                <a:srgbClr val="000000"/>
              </a:solidFill>
              <a:latin typeface="Arial"/>
              <a:cs typeface="Arial"/>
            </a:rPr>
            <a:t>EcP</a:t>
          </a:r>
          <a:r>
            <a:rPr lang="fr-FR" sz="1000" b="0" i="0" strike="noStrike">
              <a:solidFill>
                <a:srgbClr val="000000"/>
              </a:solidFill>
              <a:latin typeface="Arial"/>
              <a:cs typeface="Arial"/>
            </a:rPr>
            <a:t> </a:t>
          </a:r>
          <a:r>
            <a:rPr lang="fr-FR" sz="1000" b="1" i="0" strike="noStrike">
              <a:solidFill>
                <a:srgbClr val="000000"/>
              </a:solidFill>
              <a:latin typeface="Arial"/>
              <a:cs typeface="Arial"/>
            </a:rPr>
            <a:t>**</a:t>
          </a:r>
        </a:p>
      </xdr:txBody>
    </xdr:sp>
    <xdr:clientData/>
  </xdr:twoCellAnchor>
  <xdr:twoCellAnchor>
    <xdr:from>
      <xdr:col>0</xdr:col>
      <xdr:colOff>200025</xdr:colOff>
      <xdr:row>29</xdr:row>
      <xdr:rowOff>123825</xdr:rowOff>
    </xdr:from>
    <xdr:to>
      <xdr:col>1</xdr:col>
      <xdr:colOff>514350</xdr:colOff>
      <xdr:row>31</xdr:row>
      <xdr:rowOff>38100</xdr:rowOff>
    </xdr:to>
    <xdr:sp macro="" textlink="">
      <xdr:nvSpPr>
        <xdr:cNvPr id="20" name="Text Box 19">
          <a:extLst>
            <a:ext uri="{FF2B5EF4-FFF2-40B4-BE49-F238E27FC236}">
              <a16:creationId xmlns:a16="http://schemas.microsoft.com/office/drawing/2014/main" id="{00000000-0008-0000-0500-000014000000}"/>
            </a:ext>
          </a:extLst>
        </xdr:cNvPr>
        <xdr:cNvSpPr txBox="1">
          <a:spLocks noChangeArrowheads="1"/>
        </xdr:cNvSpPr>
      </xdr:nvSpPr>
      <xdr:spPr bwMode="auto">
        <a:xfrm>
          <a:off x="200025" y="5029200"/>
          <a:ext cx="1076325" cy="23812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Chauffage Urbain</a:t>
          </a:r>
        </a:p>
      </xdr:txBody>
    </xdr:sp>
    <xdr:clientData/>
  </xdr:twoCellAnchor>
  <xdr:twoCellAnchor>
    <xdr:from>
      <xdr:col>3</xdr:col>
      <xdr:colOff>419100</xdr:colOff>
      <xdr:row>22</xdr:row>
      <xdr:rowOff>28575</xdr:rowOff>
    </xdr:from>
    <xdr:to>
      <xdr:col>4</xdr:col>
      <xdr:colOff>323850</xdr:colOff>
      <xdr:row>26</xdr:row>
      <xdr:rowOff>66675</xdr:rowOff>
    </xdr:to>
    <xdr:sp macro="" textlink="">
      <xdr:nvSpPr>
        <xdr:cNvPr id="21" name="Text Box 20">
          <a:extLst>
            <a:ext uri="{FF2B5EF4-FFF2-40B4-BE49-F238E27FC236}">
              <a16:creationId xmlns:a16="http://schemas.microsoft.com/office/drawing/2014/main" id="{00000000-0008-0000-0500-000015000000}"/>
            </a:ext>
          </a:extLst>
        </xdr:cNvPr>
        <xdr:cNvSpPr txBox="1">
          <a:spLocks noChangeArrowheads="1"/>
        </xdr:cNvSpPr>
      </xdr:nvSpPr>
      <xdr:spPr bwMode="auto">
        <a:xfrm>
          <a:off x="2705100" y="3800475"/>
          <a:ext cx="666750" cy="685800"/>
        </a:xfrm>
        <a:prstGeom prst="rect">
          <a:avLst/>
        </a:prstGeom>
        <a:noFill/>
        <a:ln w="9525">
          <a:noFill/>
          <a:miter lim="800000"/>
          <a:headEnd/>
          <a:tailEnd/>
        </a:ln>
      </xdr:spPr>
      <xdr:txBody>
        <a:bodyPr vertOverflow="clip" wrap="square" lIns="27432" tIns="22860" rIns="27432" bIns="0" anchor="t" upright="1"/>
        <a:lstStyle/>
        <a:p>
          <a:pPr algn="ctr" rtl="1">
            <a:defRPr sz="1000"/>
          </a:pPr>
          <a:r>
            <a:rPr lang="fr-FR" sz="1000" b="1" i="0" strike="noStrike">
              <a:solidFill>
                <a:srgbClr val="000000"/>
              </a:solidFill>
              <a:latin typeface="Arial"/>
              <a:cs typeface="Arial"/>
            </a:rPr>
            <a:t>GAZ ou</a:t>
          </a:r>
        </a:p>
        <a:p>
          <a:pPr algn="ctr" rtl="1">
            <a:defRPr sz="1000"/>
          </a:pPr>
          <a:r>
            <a:rPr lang="fr-FR" sz="1000" b="1" i="0" strike="noStrike">
              <a:solidFill>
                <a:srgbClr val="000000"/>
              </a:solidFill>
              <a:latin typeface="Arial"/>
              <a:cs typeface="Arial"/>
            </a:rPr>
            <a:t>CÂBLE </a:t>
          </a:r>
        </a:p>
        <a:p>
          <a:pPr algn="ctr" rtl="1">
            <a:defRPr sz="1000"/>
          </a:pPr>
          <a:r>
            <a:rPr lang="fr-FR" sz="1000" b="1" i="0" strike="noStrike">
              <a:solidFill>
                <a:srgbClr val="000000"/>
              </a:solidFill>
              <a:latin typeface="Arial"/>
              <a:cs typeface="Arial"/>
            </a:rPr>
            <a:t>BT  HTA HTB</a:t>
          </a:r>
        </a:p>
      </xdr:txBody>
    </xdr:sp>
    <xdr:clientData/>
  </xdr:twoCellAnchor>
  <xdr:twoCellAnchor>
    <xdr:from>
      <xdr:col>2</xdr:col>
      <xdr:colOff>0</xdr:colOff>
      <xdr:row>25</xdr:row>
      <xdr:rowOff>76200</xdr:rowOff>
    </xdr:from>
    <xdr:to>
      <xdr:col>2</xdr:col>
      <xdr:colOff>361950</xdr:colOff>
      <xdr:row>26</xdr:row>
      <xdr:rowOff>95250</xdr:rowOff>
    </xdr:to>
    <xdr:sp macro="" textlink="">
      <xdr:nvSpPr>
        <xdr:cNvPr id="22" name="Text Box 21">
          <a:extLst>
            <a:ext uri="{FF2B5EF4-FFF2-40B4-BE49-F238E27FC236}">
              <a16:creationId xmlns:a16="http://schemas.microsoft.com/office/drawing/2014/main" id="{00000000-0008-0000-0500-000016000000}"/>
            </a:ext>
          </a:extLst>
        </xdr:cNvPr>
        <xdr:cNvSpPr txBox="1">
          <a:spLocks noChangeArrowheads="1"/>
        </xdr:cNvSpPr>
      </xdr:nvSpPr>
      <xdr:spPr bwMode="auto">
        <a:xfrm>
          <a:off x="1524000" y="4333875"/>
          <a:ext cx="361950" cy="18097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1,50</a:t>
          </a:r>
        </a:p>
      </xdr:txBody>
    </xdr:sp>
    <xdr:clientData/>
  </xdr:twoCellAnchor>
  <xdr:twoCellAnchor editAs="oneCell">
    <xdr:from>
      <xdr:col>5</xdr:col>
      <xdr:colOff>219075</xdr:colOff>
      <xdr:row>20</xdr:row>
      <xdr:rowOff>28575</xdr:rowOff>
    </xdr:from>
    <xdr:to>
      <xdr:col>5</xdr:col>
      <xdr:colOff>314325</xdr:colOff>
      <xdr:row>21</xdr:row>
      <xdr:rowOff>66675</xdr:rowOff>
    </xdr:to>
    <xdr:sp macro="" textlink="">
      <xdr:nvSpPr>
        <xdr:cNvPr id="23" name="Text Box 22">
          <a:extLst>
            <a:ext uri="{FF2B5EF4-FFF2-40B4-BE49-F238E27FC236}">
              <a16:creationId xmlns:a16="http://schemas.microsoft.com/office/drawing/2014/main" id="{00000000-0008-0000-0500-000017000000}"/>
            </a:ext>
          </a:extLst>
        </xdr:cNvPr>
        <xdr:cNvSpPr txBox="1">
          <a:spLocks noChangeArrowheads="1"/>
        </xdr:cNvSpPr>
      </xdr:nvSpPr>
      <xdr:spPr bwMode="auto">
        <a:xfrm>
          <a:off x="4029075" y="3476625"/>
          <a:ext cx="9525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676275</xdr:colOff>
      <xdr:row>16</xdr:row>
      <xdr:rowOff>95250</xdr:rowOff>
    </xdr:from>
    <xdr:to>
      <xdr:col>6</xdr:col>
      <xdr:colOff>542925</xdr:colOff>
      <xdr:row>18</xdr:row>
      <xdr:rowOff>66675</xdr:rowOff>
    </xdr:to>
    <xdr:sp macro="" textlink="">
      <xdr:nvSpPr>
        <xdr:cNvPr id="24" name="Text Box 23">
          <a:extLst>
            <a:ext uri="{FF2B5EF4-FFF2-40B4-BE49-F238E27FC236}">
              <a16:creationId xmlns:a16="http://schemas.microsoft.com/office/drawing/2014/main" id="{00000000-0008-0000-0500-000018000000}"/>
            </a:ext>
          </a:extLst>
        </xdr:cNvPr>
        <xdr:cNvSpPr txBox="1">
          <a:spLocks noChangeArrowheads="1"/>
        </xdr:cNvSpPr>
      </xdr:nvSpPr>
      <xdr:spPr bwMode="auto">
        <a:xfrm>
          <a:off x="2962275" y="2895600"/>
          <a:ext cx="2019300" cy="29527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Télécom.Régional (sous fourreaux)</a:t>
          </a:r>
        </a:p>
      </xdr:txBody>
    </xdr:sp>
    <xdr:clientData/>
  </xdr:twoCellAnchor>
  <xdr:twoCellAnchor>
    <xdr:from>
      <xdr:col>0</xdr:col>
      <xdr:colOff>161925</xdr:colOff>
      <xdr:row>41</xdr:row>
      <xdr:rowOff>38100</xdr:rowOff>
    </xdr:from>
    <xdr:to>
      <xdr:col>4</xdr:col>
      <xdr:colOff>657225</xdr:colOff>
      <xdr:row>44</xdr:row>
      <xdr:rowOff>47625</xdr:rowOff>
    </xdr:to>
    <xdr:sp macro="" textlink="">
      <xdr:nvSpPr>
        <xdr:cNvPr id="25" name="AutoShape 24">
          <a:extLst>
            <a:ext uri="{FF2B5EF4-FFF2-40B4-BE49-F238E27FC236}">
              <a16:creationId xmlns:a16="http://schemas.microsoft.com/office/drawing/2014/main" id="{00000000-0008-0000-0500-000019000000}"/>
            </a:ext>
          </a:extLst>
        </xdr:cNvPr>
        <xdr:cNvSpPr>
          <a:spLocks noChangeArrowheads="1"/>
        </xdr:cNvSpPr>
      </xdr:nvSpPr>
      <xdr:spPr bwMode="auto">
        <a:xfrm rot="5400000">
          <a:off x="1685925" y="5381625"/>
          <a:ext cx="495300" cy="3543300"/>
        </a:xfrm>
        <a:prstGeom prst="can">
          <a:avLst>
            <a:gd name="adj" fmla="val 112772"/>
          </a:avLst>
        </a:prstGeom>
        <a:solidFill>
          <a:srgbClr val="FFFFFF"/>
        </a:solidFill>
        <a:ln w="9525">
          <a:solidFill>
            <a:srgbClr val="000000"/>
          </a:solidFill>
          <a:round/>
          <a:headEnd/>
          <a:tailEnd/>
        </a:ln>
      </xdr:spPr>
    </xdr:sp>
    <xdr:clientData/>
  </xdr:twoCellAnchor>
  <xdr:twoCellAnchor>
    <xdr:from>
      <xdr:col>4</xdr:col>
      <xdr:colOff>219075</xdr:colOff>
      <xdr:row>41</xdr:row>
      <xdr:rowOff>104775</xdr:rowOff>
    </xdr:from>
    <xdr:to>
      <xdr:col>4</xdr:col>
      <xdr:colOff>381000</xdr:colOff>
      <xdr:row>42</xdr:row>
      <xdr:rowOff>104775</xdr:rowOff>
    </xdr:to>
    <xdr:sp macro="" textlink="">
      <xdr:nvSpPr>
        <xdr:cNvPr id="26" name="Oval 25">
          <a:extLst>
            <a:ext uri="{FF2B5EF4-FFF2-40B4-BE49-F238E27FC236}">
              <a16:creationId xmlns:a16="http://schemas.microsoft.com/office/drawing/2014/main" id="{00000000-0008-0000-0500-00001A000000}"/>
            </a:ext>
          </a:extLst>
        </xdr:cNvPr>
        <xdr:cNvSpPr>
          <a:spLocks noChangeArrowheads="1"/>
        </xdr:cNvSpPr>
      </xdr:nvSpPr>
      <xdr:spPr bwMode="auto">
        <a:xfrm flipH="1">
          <a:off x="3267075" y="6972300"/>
          <a:ext cx="161925" cy="161925"/>
        </a:xfrm>
        <a:prstGeom prst="ellipse">
          <a:avLst/>
        </a:prstGeom>
        <a:solidFill>
          <a:srgbClr val="FFFFFF"/>
        </a:solidFill>
        <a:ln w="9525">
          <a:solidFill>
            <a:srgbClr val="000000"/>
          </a:solidFill>
          <a:round/>
          <a:headEnd/>
          <a:tailEnd/>
        </a:ln>
      </xdr:spPr>
    </xdr:sp>
    <xdr:clientData/>
  </xdr:twoCellAnchor>
  <xdr:twoCellAnchor>
    <xdr:from>
      <xdr:col>4</xdr:col>
      <xdr:colOff>428625</xdr:colOff>
      <xdr:row>42</xdr:row>
      <xdr:rowOff>66675</xdr:rowOff>
    </xdr:from>
    <xdr:to>
      <xdr:col>4</xdr:col>
      <xdr:colOff>609600</xdr:colOff>
      <xdr:row>43</xdr:row>
      <xdr:rowOff>76200</xdr:rowOff>
    </xdr:to>
    <xdr:sp macro="" textlink="">
      <xdr:nvSpPr>
        <xdr:cNvPr id="27" name="Oval 26">
          <a:extLst>
            <a:ext uri="{FF2B5EF4-FFF2-40B4-BE49-F238E27FC236}">
              <a16:creationId xmlns:a16="http://schemas.microsoft.com/office/drawing/2014/main" id="{00000000-0008-0000-0500-00001B000000}"/>
            </a:ext>
          </a:extLst>
        </xdr:cNvPr>
        <xdr:cNvSpPr>
          <a:spLocks noChangeArrowheads="1"/>
        </xdr:cNvSpPr>
      </xdr:nvSpPr>
      <xdr:spPr bwMode="auto">
        <a:xfrm>
          <a:off x="3476625" y="7096125"/>
          <a:ext cx="180975" cy="171450"/>
        </a:xfrm>
        <a:prstGeom prst="ellipse">
          <a:avLst/>
        </a:prstGeom>
        <a:solidFill>
          <a:srgbClr val="FFFFFF"/>
        </a:solidFill>
        <a:ln w="9525">
          <a:solidFill>
            <a:srgbClr val="000000"/>
          </a:solidFill>
          <a:round/>
          <a:headEnd/>
          <a:tailEnd/>
        </a:ln>
      </xdr:spPr>
    </xdr:sp>
    <xdr:clientData/>
  </xdr:twoCellAnchor>
  <xdr:twoCellAnchor>
    <xdr:from>
      <xdr:col>4</xdr:col>
      <xdr:colOff>219075</xdr:colOff>
      <xdr:row>42</xdr:row>
      <xdr:rowOff>142875</xdr:rowOff>
    </xdr:from>
    <xdr:to>
      <xdr:col>4</xdr:col>
      <xdr:colOff>409575</xdr:colOff>
      <xdr:row>44</xdr:row>
      <xdr:rowOff>0</xdr:rowOff>
    </xdr:to>
    <xdr:sp macro="" textlink="">
      <xdr:nvSpPr>
        <xdr:cNvPr id="28" name="Oval 27">
          <a:extLst>
            <a:ext uri="{FF2B5EF4-FFF2-40B4-BE49-F238E27FC236}">
              <a16:creationId xmlns:a16="http://schemas.microsoft.com/office/drawing/2014/main" id="{00000000-0008-0000-0500-00001C000000}"/>
            </a:ext>
          </a:extLst>
        </xdr:cNvPr>
        <xdr:cNvSpPr>
          <a:spLocks noChangeArrowheads="1"/>
        </xdr:cNvSpPr>
      </xdr:nvSpPr>
      <xdr:spPr bwMode="auto">
        <a:xfrm>
          <a:off x="3267075" y="7172325"/>
          <a:ext cx="190500" cy="180975"/>
        </a:xfrm>
        <a:prstGeom prst="ellipse">
          <a:avLst/>
        </a:prstGeom>
        <a:solidFill>
          <a:srgbClr val="FFFFFF"/>
        </a:solidFill>
        <a:ln w="9525">
          <a:solidFill>
            <a:srgbClr val="000000"/>
          </a:solidFill>
          <a:round/>
          <a:headEnd/>
          <a:tailEnd/>
        </a:ln>
      </xdr:spPr>
    </xdr:sp>
    <xdr:clientData/>
  </xdr:twoCellAnchor>
  <xdr:twoCellAnchor>
    <xdr:from>
      <xdr:col>0</xdr:col>
      <xdr:colOff>485775</xdr:colOff>
      <xdr:row>42</xdr:row>
      <xdr:rowOff>38100</xdr:rowOff>
    </xdr:from>
    <xdr:to>
      <xdr:col>4</xdr:col>
      <xdr:colOff>28575</xdr:colOff>
      <xdr:row>43</xdr:row>
      <xdr:rowOff>114300</xdr:rowOff>
    </xdr:to>
    <xdr:sp macro="" textlink="">
      <xdr:nvSpPr>
        <xdr:cNvPr id="29" name="Text Box 28">
          <a:extLst>
            <a:ext uri="{FF2B5EF4-FFF2-40B4-BE49-F238E27FC236}">
              <a16:creationId xmlns:a16="http://schemas.microsoft.com/office/drawing/2014/main" id="{00000000-0008-0000-0500-00001D000000}"/>
            </a:ext>
          </a:extLst>
        </xdr:cNvPr>
        <xdr:cNvSpPr txBox="1">
          <a:spLocks noChangeArrowheads="1"/>
        </xdr:cNvSpPr>
      </xdr:nvSpPr>
      <xdr:spPr bwMode="auto">
        <a:xfrm>
          <a:off x="485775" y="7067550"/>
          <a:ext cx="2590800" cy="238125"/>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1" i="0" strike="noStrike">
              <a:solidFill>
                <a:srgbClr val="000000"/>
              </a:solidFill>
              <a:latin typeface="Arial"/>
              <a:cs typeface="Arial"/>
            </a:rPr>
            <a:t>CABLE ELECTRIQUE HTA HTB ou BT</a:t>
          </a:r>
        </a:p>
      </xdr:txBody>
    </xdr:sp>
    <xdr:clientData/>
  </xdr:twoCellAnchor>
  <xdr:twoCellAnchor>
    <xdr:from>
      <xdr:col>1</xdr:col>
      <xdr:colOff>276225</xdr:colOff>
      <xdr:row>44</xdr:row>
      <xdr:rowOff>66675</xdr:rowOff>
    </xdr:from>
    <xdr:to>
      <xdr:col>1</xdr:col>
      <xdr:colOff>276225</xdr:colOff>
      <xdr:row>47</xdr:row>
      <xdr:rowOff>66675</xdr:rowOff>
    </xdr:to>
    <xdr:sp macro="" textlink="">
      <xdr:nvSpPr>
        <xdr:cNvPr id="30" name="Line 29">
          <a:extLst>
            <a:ext uri="{FF2B5EF4-FFF2-40B4-BE49-F238E27FC236}">
              <a16:creationId xmlns:a16="http://schemas.microsoft.com/office/drawing/2014/main" id="{00000000-0008-0000-0500-00001E000000}"/>
            </a:ext>
          </a:extLst>
        </xdr:cNvPr>
        <xdr:cNvSpPr>
          <a:spLocks noChangeShapeType="1"/>
        </xdr:cNvSpPr>
      </xdr:nvSpPr>
      <xdr:spPr bwMode="auto">
        <a:xfrm flipH="1">
          <a:off x="1038225" y="7419975"/>
          <a:ext cx="0" cy="485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647700</xdr:colOff>
      <xdr:row>44</xdr:row>
      <xdr:rowOff>85725</xdr:rowOff>
    </xdr:from>
    <xdr:to>
      <xdr:col>3</xdr:col>
      <xdr:colOff>647700</xdr:colOff>
      <xdr:row>48</xdr:row>
      <xdr:rowOff>228600</xdr:rowOff>
    </xdr:to>
    <xdr:sp macro="" textlink="">
      <xdr:nvSpPr>
        <xdr:cNvPr id="31" name="Line 30">
          <a:extLst>
            <a:ext uri="{FF2B5EF4-FFF2-40B4-BE49-F238E27FC236}">
              <a16:creationId xmlns:a16="http://schemas.microsoft.com/office/drawing/2014/main" id="{00000000-0008-0000-0500-00001F000000}"/>
            </a:ext>
          </a:extLst>
        </xdr:cNvPr>
        <xdr:cNvSpPr>
          <a:spLocks noChangeShapeType="1"/>
        </xdr:cNvSpPr>
      </xdr:nvSpPr>
      <xdr:spPr bwMode="auto">
        <a:xfrm>
          <a:off x="2933700" y="7439025"/>
          <a:ext cx="0" cy="7905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619125</xdr:colOff>
      <xdr:row>44</xdr:row>
      <xdr:rowOff>47625</xdr:rowOff>
    </xdr:from>
    <xdr:to>
      <xdr:col>0</xdr:col>
      <xdr:colOff>628650</xdr:colOff>
      <xdr:row>50</xdr:row>
      <xdr:rowOff>85725</xdr:rowOff>
    </xdr:to>
    <xdr:sp macro="" textlink="">
      <xdr:nvSpPr>
        <xdr:cNvPr id="32" name="Line 31">
          <a:extLst>
            <a:ext uri="{FF2B5EF4-FFF2-40B4-BE49-F238E27FC236}">
              <a16:creationId xmlns:a16="http://schemas.microsoft.com/office/drawing/2014/main" id="{00000000-0008-0000-0500-000020000000}"/>
            </a:ext>
          </a:extLst>
        </xdr:cNvPr>
        <xdr:cNvSpPr>
          <a:spLocks noChangeShapeType="1"/>
        </xdr:cNvSpPr>
      </xdr:nvSpPr>
      <xdr:spPr bwMode="auto">
        <a:xfrm flipH="1">
          <a:off x="619125" y="7400925"/>
          <a:ext cx="9525" cy="11144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342900</xdr:colOff>
      <xdr:row>45</xdr:row>
      <xdr:rowOff>38100</xdr:rowOff>
    </xdr:from>
    <xdr:to>
      <xdr:col>1</xdr:col>
      <xdr:colOff>657225</xdr:colOff>
      <xdr:row>46</xdr:row>
      <xdr:rowOff>66675</xdr:rowOff>
    </xdr:to>
    <xdr:sp macro="" textlink="">
      <xdr:nvSpPr>
        <xdr:cNvPr id="33" name="Text Box 32">
          <a:extLst>
            <a:ext uri="{FF2B5EF4-FFF2-40B4-BE49-F238E27FC236}">
              <a16:creationId xmlns:a16="http://schemas.microsoft.com/office/drawing/2014/main" id="{00000000-0008-0000-0500-000021000000}"/>
            </a:ext>
          </a:extLst>
        </xdr:cNvPr>
        <xdr:cNvSpPr txBox="1">
          <a:spLocks noChangeArrowheads="1"/>
        </xdr:cNvSpPr>
      </xdr:nvSpPr>
      <xdr:spPr bwMode="auto">
        <a:xfrm>
          <a:off x="1104900" y="7553325"/>
          <a:ext cx="314325"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2</xdr:col>
      <xdr:colOff>619125</xdr:colOff>
      <xdr:row>45</xdr:row>
      <xdr:rowOff>57150</xdr:rowOff>
    </xdr:from>
    <xdr:to>
      <xdr:col>3</xdr:col>
      <xdr:colOff>219075</xdr:colOff>
      <xdr:row>46</xdr:row>
      <xdr:rowOff>85725</xdr:rowOff>
    </xdr:to>
    <xdr:sp macro="" textlink="">
      <xdr:nvSpPr>
        <xdr:cNvPr id="34" name="Text Box 33">
          <a:extLst>
            <a:ext uri="{FF2B5EF4-FFF2-40B4-BE49-F238E27FC236}">
              <a16:creationId xmlns:a16="http://schemas.microsoft.com/office/drawing/2014/main" id="{00000000-0008-0000-0500-000022000000}"/>
            </a:ext>
          </a:extLst>
        </xdr:cNvPr>
        <xdr:cNvSpPr txBox="1">
          <a:spLocks noChangeArrowheads="1"/>
        </xdr:cNvSpPr>
      </xdr:nvSpPr>
      <xdr:spPr bwMode="auto">
        <a:xfrm>
          <a:off x="2143125" y="7572375"/>
          <a:ext cx="361950"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3</xdr:col>
      <xdr:colOff>714375</xdr:colOff>
      <xdr:row>45</xdr:row>
      <xdr:rowOff>9525</xdr:rowOff>
    </xdr:from>
    <xdr:to>
      <xdr:col>5</xdr:col>
      <xdr:colOff>123825</xdr:colOff>
      <xdr:row>49</xdr:row>
      <xdr:rowOff>38100</xdr:rowOff>
    </xdr:to>
    <xdr:sp macro="" textlink="">
      <xdr:nvSpPr>
        <xdr:cNvPr id="35" name="Text Box 34">
          <a:extLst>
            <a:ext uri="{FF2B5EF4-FFF2-40B4-BE49-F238E27FC236}">
              <a16:creationId xmlns:a16="http://schemas.microsoft.com/office/drawing/2014/main" id="{00000000-0008-0000-0500-000023000000}"/>
            </a:ext>
          </a:extLst>
        </xdr:cNvPr>
        <xdr:cNvSpPr txBox="1">
          <a:spLocks noChangeArrowheads="1"/>
        </xdr:cNvSpPr>
      </xdr:nvSpPr>
      <xdr:spPr bwMode="auto">
        <a:xfrm>
          <a:off x="3000375" y="7524750"/>
          <a:ext cx="933450" cy="78105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0,40</a:t>
          </a:r>
        </a:p>
        <a:p>
          <a:pPr algn="l" rtl="1">
            <a:defRPr sz="1000"/>
          </a:pPr>
          <a:endParaRPr lang="fr-FR" sz="1000" b="0" i="0" strike="noStrike">
            <a:solidFill>
              <a:srgbClr val="000000"/>
            </a:solidFill>
            <a:latin typeface="Arial"/>
            <a:cs typeface="Arial"/>
          </a:endParaRPr>
        </a:p>
        <a:p>
          <a:pPr algn="l" rtl="1">
            <a:defRPr sz="1000"/>
          </a:pPr>
          <a:r>
            <a:rPr lang="fr-FR" sz="1200" b="1" i="1" u="sng" strike="noStrike">
              <a:solidFill>
                <a:srgbClr val="000000"/>
              </a:solidFill>
              <a:latin typeface="Arial"/>
              <a:cs typeface="Arial"/>
            </a:rPr>
            <a:t>EXCEPTE</a:t>
          </a:r>
          <a:endParaRPr lang="fr-FR" sz="1000" b="0" i="0" strike="noStrike">
            <a:solidFill>
              <a:srgbClr val="000000"/>
            </a:solidFill>
            <a:latin typeface="Arial"/>
            <a:cs typeface="Arial"/>
          </a:endParaRPr>
        </a:p>
        <a:p>
          <a:pPr algn="l" rtl="1">
            <a:defRPr sz="1000"/>
          </a:pPr>
          <a:r>
            <a:rPr lang="fr-FR" sz="1000" b="1" i="0" strike="noStrike">
              <a:solidFill>
                <a:srgbClr val="000000"/>
              </a:solidFill>
              <a:latin typeface="Arial"/>
              <a:cs typeface="Arial"/>
            </a:rPr>
            <a:t>HTB</a:t>
          </a:r>
          <a:r>
            <a:rPr lang="fr-FR" sz="1000" b="0" i="0" strike="noStrike">
              <a:solidFill>
                <a:srgbClr val="000000"/>
              </a:solidFill>
              <a:latin typeface="Arial"/>
              <a:cs typeface="Arial"/>
            </a:rPr>
            <a:t> </a:t>
          </a:r>
          <a:r>
            <a:rPr lang="fr-FR" sz="1000" b="1" i="0" strike="noStrike">
              <a:solidFill>
                <a:srgbClr val="000000"/>
              </a:solidFill>
              <a:latin typeface="Arial"/>
              <a:cs typeface="Arial"/>
            </a:rPr>
            <a:t>0,50</a:t>
          </a:r>
        </a:p>
      </xdr:txBody>
    </xdr:sp>
    <xdr:clientData/>
  </xdr:twoCellAnchor>
  <xdr:twoCellAnchor>
    <xdr:from>
      <xdr:col>1</xdr:col>
      <xdr:colOff>752475</xdr:colOff>
      <xdr:row>44</xdr:row>
      <xdr:rowOff>76200</xdr:rowOff>
    </xdr:from>
    <xdr:to>
      <xdr:col>1</xdr:col>
      <xdr:colOff>752475</xdr:colOff>
      <xdr:row>47</xdr:row>
      <xdr:rowOff>76200</xdr:rowOff>
    </xdr:to>
    <xdr:sp macro="" textlink="">
      <xdr:nvSpPr>
        <xdr:cNvPr id="36" name="Line 35">
          <a:extLst>
            <a:ext uri="{FF2B5EF4-FFF2-40B4-BE49-F238E27FC236}">
              <a16:creationId xmlns:a16="http://schemas.microsoft.com/office/drawing/2014/main" id="{00000000-0008-0000-0500-000024000000}"/>
            </a:ext>
          </a:extLst>
        </xdr:cNvPr>
        <xdr:cNvSpPr>
          <a:spLocks noChangeShapeType="1"/>
        </xdr:cNvSpPr>
      </xdr:nvSpPr>
      <xdr:spPr bwMode="auto">
        <a:xfrm flipH="1">
          <a:off x="1514475" y="7429500"/>
          <a:ext cx="0" cy="485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104775</xdr:colOff>
      <xdr:row>52</xdr:row>
      <xdr:rowOff>76200</xdr:rowOff>
    </xdr:from>
    <xdr:to>
      <xdr:col>1</xdr:col>
      <xdr:colOff>419100</xdr:colOff>
      <xdr:row>53</xdr:row>
      <xdr:rowOff>152400</xdr:rowOff>
    </xdr:to>
    <xdr:sp macro="" textlink="">
      <xdr:nvSpPr>
        <xdr:cNvPr id="37" name="Text Box 36">
          <a:extLst>
            <a:ext uri="{FF2B5EF4-FFF2-40B4-BE49-F238E27FC236}">
              <a16:creationId xmlns:a16="http://schemas.microsoft.com/office/drawing/2014/main" id="{00000000-0008-0000-0500-000025000000}"/>
            </a:ext>
          </a:extLst>
        </xdr:cNvPr>
        <xdr:cNvSpPr txBox="1">
          <a:spLocks noChangeArrowheads="1"/>
        </xdr:cNvSpPr>
      </xdr:nvSpPr>
      <xdr:spPr bwMode="auto">
        <a:xfrm>
          <a:off x="104775" y="8829675"/>
          <a:ext cx="1076325" cy="238125"/>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Chauffage Urbain</a:t>
          </a:r>
        </a:p>
      </xdr:txBody>
    </xdr:sp>
    <xdr:clientData/>
  </xdr:twoCellAnchor>
  <xdr:twoCellAnchor>
    <xdr:from>
      <xdr:col>0</xdr:col>
      <xdr:colOff>723900</xdr:colOff>
      <xdr:row>49</xdr:row>
      <xdr:rowOff>123825</xdr:rowOff>
    </xdr:from>
    <xdr:to>
      <xdr:col>1</xdr:col>
      <xdr:colOff>609600</xdr:colOff>
      <xdr:row>52</xdr:row>
      <xdr:rowOff>47625</xdr:rowOff>
    </xdr:to>
    <xdr:sp macro="" textlink="">
      <xdr:nvSpPr>
        <xdr:cNvPr id="38" name="Text Box 37">
          <a:extLst>
            <a:ext uri="{FF2B5EF4-FFF2-40B4-BE49-F238E27FC236}">
              <a16:creationId xmlns:a16="http://schemas.microsoft.com/office/drawing/2014/main" id="{00000000-0008-0000-0500-000026000000}"/>
            </a:ext>
          </a:extLst>
        </xdr:cNvPr>
        <xdr:cNvSpPr txBox="1">
          <a:spLocks noChangeArrowheads="1"/>
        </xdr:cNvSpPr>
      </xdr:nvSpPr>
      <xdr:spPr bwMode="auto">
        <a:xfrm>
          <a:off x="723900" y="8391525"/>
          <a:ext cx="647700" cy="409575"/>
        </a:xfrm>
        <a:prstGeom prst="rect">
          <a:avLst/>
        </a:prstGeom>
        <a:solidFill>
          <a:srgbClr val="FFFFFF"/>
        </a:solidFill>
        <a:ln w="9525">
          <a:noFill/>
          <a:miter lim="800000"/>
          <a:headEnd/>
          <a:tailEnd/>
        </a:ln>
      </xdr:spPr>
      <xdr:txBody>
        <a:bodyPr vertOverflow="clip" wrap="square" lIns="27432" tIns="18288" rIns="27432" bIns="0" anchor="t" upright="1"/>
        <a:lstStyle/>
        <a:p>
          <a:pPr algn="ctr" rtl="1">
            <a:defRPr sz="1000"/>
          </a:pPr>
          <a:r>
            <a:rPr lang="fr-FR" sz="1000" b="0" i="0" strike="noStrike">
              <a:solidFill>
                <a:srgbClr val="000000"/>
              </a:solidFill>
              <a:latin typeface="Arial"/>
              <a:cs typeface="Arial"/>
            </a:rPr>
            <a:t> EDF :</a:t>
          </a:r>
        </a:p>
        <a:p>
          <a:pPr algn="ctr" rtl="1">
            <a:defRPr sz="1000"/>
          </a:pPr>
          <a:r>
            <a:rPr lang="fr-FR" sz="1000" b="0" i="0" strike="noStrike">
              <a:solidFill>
                <a:srgbClr val="000000"/>
              </a:solidFill>
              <a:latin typeface="Arial"/>
              <a:cs typeface="Arial"/>
            </a:rPr>
            <a:t>HTA , BT </a:t>
          </a:r>
        </a:p>
      </xdr:txBody>
    </xdr:sp>
    <xdr:clientData/>
  </xdr:twoCellAnchor>
  <xdr:twoCellAnchor>
    <xdr:from>
      <xdr:col>1</xdr:col>
      <xdr:colOff>533400</xdr:colOff>
      <xdr:row>49</xdr:row>
      <xdr:rowOff>142875</xdr:rowOff>
    </xdr:from>
    <xdr:to>
      <xdr:col>2</xdr:col>
      <xdr:colOff>295275</xdr:colOff>
      <xdr:row>52</xdr:row>
      <xdr:rowOff>57150</xdr:rowOff>
    </xdr:to>
    <xdr:sp macro="" textlink="">
      <xdr:nvSpPr>
        <xdr:cNvPr id="39" name="Text Box 38">
          <a:extLst>
            <a:ext uri="{FF2B5EF4-FFF2-40B4-BE49-F238E27FC236}">
              <a16:creationId xmlns:a16="http://schemas.microsoft.com/office/drawing/2014/main" id="{00000000-0008-0000-0500-000027000000}"/>
            </a:ext>
          </a:extLst>
        </xdr:cNvPr>
        <xdr:cNvSpPr txBox="1">
          <a:spLocks noChangeArrowheads="1"/>
        </xdr:cNvSpPr>
      </xdr:nvSpPr>
      <xdr:spPr bwMode="auto">
        <a:xfrm>
          <a:off x="1295400" y="8410575"/>
          <a:ext cx="523875" cy="400050"/>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Fluide</a:t>
          </a:r>
        </a:p>
        <a:p>
          <a:pPr algn="l" rtl="1">
            <a:defRPr sz="1000"/>
          </a:pPr>
          <a:r>
            <a:rPr lang="fr-FR" sz="1000" b="0" i="0" strike="noStrike">
              <a:solidFill>
                <a:srgbClr val="000000"/>
              </a:solidFill>
              <a:latin typeface="Arial"/>
              <a:cs typeface="Arial"/>
            </a:rPr>
            <a:t> divers </a:t>
          </a:r>
          <a:r>
            <a:rPr lang="fr-FR" sz="800" b="1" i="0" strike="noStrike">
              <a:solidFill>
                <a:srgbClr val="000000"/>
              </a:solidFill>
              <a:latin typeface="Arial"/>
              <a:cs typeface="Arial"/>
            </a:rPr>
            <a:t>*</a:t>
          </a:r>
        </a:p>
      </xdr:txBody>
    </xdr:sp>
    <xdr:clientData/>
  </xdr:twoCellAnchor>
  <xdr:twoCellAnchor>
    <xdr:from>
      <xdr:col>3</xdr:col>
      <xdr:colOff>333375</xdr:colOff>
      <xdr:row>51</xdr:row>
      <xdr:rowOff>28575</xdr:rowOff>
    </xdr:from>
    <xdr:to>
      <xdr:col>4</xdr:col>
      <xdr:colOff>247650</xdr:colOff>
      <xdr:row>53</xdr:row>
      <xdr:rowOff>57150</xdr:rowOff>
    </xdr:to>
    <xdr:sp macro="" textlink="">
      <xdr:nvSpPr>
        <xdr:cNvPr id="40" name="Text Box 39">
          <a:extLst>
            <a:ext uri="{FF2B5EF4-FFF2-40B4-BE49-F238E27FC236}">
              <a16:creationId xmlns:a16="http://schemas.microsoft.com/office/drawing/2014/main" id="{00000000-0008-0000-0500-000028000000}"/>
            </a:ext>
          </a:extLst>
        </xdr:cNvPr>
        <xdr:cNvSpPr txBox="1">
          <a:spLocks noChangeArrowheads="1"/>
        </xdr:cNvSpPr>
      </xdr:nvSpPr>
      <xdr:spPr bwMode="auto">
        <a:xfrm>
          <a:off x="2619375" y="8620125"/>
          <a:ext cx="676275" cy="352425"/>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Télécom</a:t>
          </a:r>
        </a:p>
        <a:p>
          <a:pPr algn="l" rtl="1">
            <a:defRPr sz="1000"/>
          </a:pPr>
          <a:r>
            <a:rPr lang="fr-FR" sz="1000" b="0" i="0" strike="noStrike">
              <a:solidFill>
                <a:srgbClr val="000000"/>
              </a:solidFill>
              <a:latin typeface="Arial"/>
              <a:cs typeface="Arial"/>
            </a:rPr>
            <a:t>.L.G.D</a:t>
          </a:r>
        </a:p>
      </xdr:txBody>
    </xdr:sp>
    <xdr:clientData/>
  </xdr:twoCellAnchor>
  <xdr:twoCellAnchor>
    <xdr:from>
      <xdr:col>0</xdr:col>
      <xdr:colOff>476250</xdr:colOff>
      <xdr:row>51</xdr:row>
      <xdr:rowOff>9525</xdr:rowOff>
    </xdr:from>
    <xdr:to>
      <xdr:col>0</xdr:col>
      <xdr:colOff>733425</xdr:colOff>
      <xdr:row>52</xdr:row>
      <xdr:rowOff>85725</xdr:rowOff>
    </xdr:to>
    <xdr:sp macro="" textlink="">
      <xdr:nvSpPr>
        <xdr:cNvPr id="41" name="Oval 40">
          <a:extLst>
            <a:ext uri="{FF2B5EF4-FFF2-40B4-BE49-F238E27FC236}">
              <a16:creationId xmlns:a16="http://schemas.microsoft.com/office/drawing/2014/main" id="{00000000-0008-0000-0500-000029000000}"/>
            </a:ext>
          </a:extLst>
        </xdr:cNvPr>
        <xdr:cNvSpPr>
          <a:spLocks noChangeArrowheads="1"/>
        </xdr:cNvSpPr>
      </xdr:nvSpPr>
      <xdr:spPr bwMode="auto">
        <a:xfrm>
          <a:off x="476250" y="8601075"/>
          <a:ext cx="257175" cy="238125"/>
        </a:xfrm>
        <a:prstGeom prst="ellipse">
          <a:avLst/>
        </a:prstGeom>
        <a:solidFill>
          <a:srgbClr val="969696"/>
        </a:solidFill>
        <a:ln w="9525">
          <a:solidFill>
            <a:srgbClr val="000000"/>
          </a:solidFill>
          <a:round/>
          <a:headEnd/>
          <a:tailEnd/>
        </a:ln>
      </xdr:spPr>
    </xdr:sp>
    <xdr:clientData/>
  </xdr:twoCellAnchor>
  <xdr:twoCellAnchor>
    <xdr:from>
      <xdr:col>3</xdr:col>
      <xdr:colOff>523875</xdr:colOff>
      <xdr:row>49</xdr:row>
      <xdr:rowOff>38100</xdr:rowOff>
    </xdr:from>
    <xdr:to>
      <xdr:col>4</xdr:col>
      <xdr:colOff>19050</xdr:colOff>
      <xdr:row>50</xdr:row>
      <xdr:rowOff>114300</xdr:rowOff>
    </xdr:to>
    <xdr:sp macro="" textlink="">
      <xdr:nvSpPr>
        <xdr:cNvPr id="42" name="Oval 41">
          <a:extLst>
            <a:ext uri="{FF2B5EF4-FFF2-40B4-BE49-F238E27FC236}">
              <a16:creationId xmlns:a16="http://schemas.microsoft.com/office/drawing/2014/main" id="{00000000-0008-0000-0500-00002A000000}"/>
            </a:ext>
          </a:extLst>
        </xdr:cNvPr>
        <xdr:cNvSpPr>
          <a:spLocks noChangeArrowheads="1"/>
        </xdr:cNvSpPr>
      </xdr:nvSpPr>
      <xdr:spPr bwMode="auto">
        <a:xfrm>
          <a:off x="2809875" y="8305800"/>
          <a:ext cx="257175" cy="238125"/>
        </a:xfrm>
        <a:prstGeom prst="ellipse">
          <a:avLst/>
        </a:prstGeom>
        <a:solidFill>
          <a:srgbClr val="969696"/>
        </a:solidFill>
        <a:ln w="9525">
          <a:solidFill>
            <a:srgbClr val="000000"/>
          </a:solidFill>
          <a:round/>
          <a:headEnd/>
          <a:tailEnd/>
        </a:ln>
      </xdr:spPr>
    </xdr:sp>
    <xdr:clientData/>
  </xdr:twoCellAnchor>
  <xdr:twoCellAnchor>
    <xdr:from>
      <xdr:col>0</xdr:col>
      <xdr:colOff>95250</xdr:colOff>
      <xdr:row>46</xdr:row>
      <xdr:rowOff>38100</xdr:rowOff>
    </xdr:from>
    <xdr:to>
      <xdr:col>0</xdr:col>
      <xdr:colOff>571500</xdr:colOff>
      <xdr:row>47</xdr:row>
      <xdr:rowOff>66675</xdr:rowOff>
    </xdr:to>
    <xdr:sp macro="" textlink="">
      <xdr:nvSpPr>
        <xdr:cNvPr id="43" name="Text Box 42">
          <a:extLst>
            <a:ext uri="{FF2B5EF4-FFF2-40B4-BE49-F238E27FC236}">
              <a16:creationId xmlns:a16="http://schemas.microsoft.com/office/drawing/2014/main" id="{00000000-0008-0000-0500-00002B000000}"/>
            </a:ext>
          </a:extLst>
        </xdr:cNvPr>
        <xdr:cNvSpPr txBox="1">
          <a:spLocks noChangeArrowheads="1"/>
        </xdr:cNvSpPr>
      </xdr:nvSpPr>
      <xdr:spPr bwMode="auto">
        <a:xfrm>
          <a:off x="95250" y="7715250"/>
          <a:ext cx="476250"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0,50 ***</a:t>
          </a:r>
        </a:p>
      </xdr:txBody>
    </xdr:sp>
    <xdr:clientData/>
  </xdr:twoCellAnchor>
  <xdr:twoCellAnchor>
    <xdr:from>
      <xdr:col>2</xdr:col>
      <xdr:colOff>523875</xdr:colOff>
      <xdr:row>44</xdr:row>
      <xdr:rowOff>57150</xdr:rowOff>
    </xdr:from>
    <xdr:to>
      <xdr:col>2</xdr:col>
      <xdr:colOff>523875</xdr:colOff>
      <xdr:row>47</xdr:row>
      <xdr:rowOff>104775</xdr:rowOff>
    </xdr:to>
    <xdr:sp macro="" textlink="">
      <xdr:nvSpPr>
        <xdr:cNvPr id="44" name="Line 43">
          <a:extLst>
            <a:ext uri="{FF2B5EF4-FFF2-40B4-BE49-F238E27FC236}">
              <a16:creationId xmlns:a16="http://schemas.microsoft.com/office/drawing/2014/main" id="{00000000-0008-0000-0500-00002C000000}"/>
            </a:ext>
          </a:extLst>
        </xdr:cNvPr>
        <xdr:cNvSpPr>
          <a:spLocks noChangeShapeType="1"/>
        </xdr:cNvSpPr>
      </xdr:nvSpPr>
      <xdr:spPr bwMode="auto">
        <a:xfrm>
          <a:off x="2047875" y="7410450"/>
          <a:ext cx="0" cy="533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57150</xdr:colOff>
      <xdr:row>45</xdr:row>
      <xdr:rowOff>38100</xdr:rowOff>
    </xdr:from>
    <xdr:to>
      <xdr:col>2</xdr:col>
      <xdr:colOff>371475</xdr:colOff>
      <xdr:row>46</xdr:row>
      <xdr:rowOff>66675</xdr:rowOff>
    </xdr:to>
    <xdr:sp macro="" textlink="">
      <xdr:nvSpPr>
        <xdr:cNvPr id="45" name="Text Box 44">
          <a:extLst>
            <a:ext uri="{FF2B5EF4-FFF2-40B4-BE49-F238E27FC236}">
              <a16:creationId xmlns:a16="http://schemas.microsoft.com/office/drawing/2014/main" id="{00000000-0008-0000-0500-00002D000000}"/>
            </a:ext>
          </a:extLst>
        </xdr:cNvPr>
        <xdr:cNvSpPr txBox="1">
          <a:spLocks noChangeArrowheads="1"/>
        </xdr:cNvSpPr>
      </xdr:nvSpPr>
      <xdr:spPr bwMode="auto">
        <a:xfrm>
          <a:off x="1581150" y="7553325"/>
          <a:ext cx="314325"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2</xdr:col>
      <xdr:colOff>285750</xdr:colOff>
      <xdr:row>49</xdr:row>
      <xdr:rowOff>133350</xdr:rowOff>
    </xdr:from>
    <xdr:to>
      <xdr:col>3</xdr:col>
      <xdr:colOff>66675</xdr:colOff>
      <xdr:row>52</xdr:row>
      <xdr:rowOff>0</xdr:rowOff>
    </xdr:to>
    <xdr:sp macro="" textlink="">
      <xdr:nvSpPr>
        <xdr:cNvPr id="46" name="Text Box 45">
          <a:extLst>
            <a:ext uri="{FF2B5EF4-FFF2-40B4-BE49-F238E27FC236}">
              <a16:creationId xmlns:a16="http://schemas.microsoft.com/office/drawing/2014/main" id="{00000000-0008-0000-0500-00002E000000}"/>
            </a:ext>
          </a:extLst>
        </xdr:cNvPr>
        <xdr:cNvSpPr txBox="1">
          <a:spLocks noChangeArrowheads="1"/>
        </xdr:cNvSpPr>
      </xdr:nvSpPr>
      <xdr:spPr bwMode="auto">
        <a:xfrm>
          <a:off x="1809750" y="8401050"/>
          <a:ext cx="542925" cy="352425"/>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Télécom</a:t>
          </a:r>
        </a:p>
        <a:p>
          <a:pPr algn="l" rtl="1">
            <a:defRPr sz="1000"/>
          </a:pPr>
          <a:r>
            <a:rPr lang="fr-FR" sz="1000" b="0" i="0" strike="noStrike">
              <a:solidFill>
                <a:srgbClr val="000000"/>
              </a:solidFill>
              <a:latin typeface="Arial"/>
              <a:cs typeface="Arial"/>
            </a:rPr>
            <a:t>régional</a:t>
          </a:r>
        </a:p>
      </xdr:txBody>
    </xdr:sp>
    <xdr:clientData/>
  </xdr:twoCellAnchor>
  <xdr:twoCellAnchor>
    <xdr:from>
      <xdr:col>1</xdr:col>
      <xdr:colOff>619125</xdr:colOff>
      <xdr:row>48</xdr:row>
      <xdr:rowOff>66675</xdr:rowOff>
    </xdr:from>
    <xdr:to>
      <xdr:col>2</xdr:col>
      <xdr:colOff>114300</xdr:colOff>
      <xdr:row>49</xdr:row>
      <xdr:rowOff>38100</xdr:rowOff>
    </xdr:to>
    <xdr:sp macro="" textlink="">
      <xdr:nvSpPr>
        <xdr:cNvPr id="47" name="Oval 46">
          <a:extLst>
            <a:ext uri="{FF2B5EF4-FFF2-40B4-BE49-F238E27FC236}">
              <a16:creationId xmlns:a16="http://schemas.microsoft.com/office/drawing/2014/main" id="{00000000-0008-0000-0500-00002F000000}"/>
            </a:ext>
          </a:extLst>
        </xdr:cNvPr>
        <xdr:cNvSpPr>
          <a:spLocks noChangeArrowheads="1"/>
        </xdr:cNvSpPr>
      </xdr:nvSpPr>
      <xdr:spPr bwMode="auto">
        <a:xfrm>
          <a:off x="1381125" y="8067675"/>
          <a:ext cx="257175" cy="238125"/>
        </a:xfrm>
        <a:prstGeom prst="ellipse">
          <a:avLst/>
        </a:prstGeom>
        <a:solidFill>
          <a:srgbClr val="969696"/>
        </a:solidFill>
        <a:ln w="9525">
          <a:solidFill>
            <a:srgbClr val="000000"/>
          </a:solidFill>
          <a:round/>
          <a:headEnd/>
          <a:tailEnd/>
        </a:ln>
      </xdr:spPr>
    </xdr:sp>
    <xdr:clientData/>
  </xdr:twoCellAnchor>
  <xdr:twoCellAnchor>
    <xdr:from>
      <xdr:col>1</xdr:col>
      <xdr:colOff>142875</xdr:colOff>
      <xdr:row>48</xdr:row>
      <xdr:rowOff>66675</xdr:rowOff>
    </xdr:from>
    <xdr:to>
      <xdr:col>1</xdr:col>
      <xdr:colOff>400050</xdr:colOff>
      <xdr:row>49</xdr:row>
      <xdr:rowOff>38100</xdr:rowOff>
    </xdr:to>
    <xdr:sp macro="" textlink="">
      <xdr:nvSpPr>
        <xdr:cNvPr id="48" name="Oval 47">
          <a:extLst>
            <a:ext uri="{FF2B5EF4-FFF2-40B4-BE49-F238E27FC236}">
              <a16:creationId xmlns:a16="http://schemas.microsoft.com/office/drawing/2014/main" id="{00000000-0008-0000-0500-000030000000}"/>
            </a:ext>
          </a:extLst>
        </xdr:cNvPr>
        <xdr:cNvSpPr>
          <a:spLocks noChangeArrowheads="1"/>
        </xdr:cNvSpPr>
      </xdr:nvSpPr>
      <xdr:spPr bwMode="auto">
        <a:xfrm>
          <a:off x="904875" y="8067675"/>
          <a:ext cx="257175" cy="238125"/>
        </a:xfrm>
        <a:prstGeom prst="ellipse">
          <a:avLst/>
        </a:prstGeom>
        <a:solidFill>
          <a:srgbClr val="969696"/>
        </a:solidFill>
        <a:ln w="9525">
          <a:solidFill>
            <a:srgbClr val="000000"/>
          </a:solidFill>
          <a:round/>
          <a:headEnd/>
          <a:tailEnd/>
        </a:ln>
      </xdr:spPr>
    </xdr:sp>
    <xdr:clientData/>
  </xdr:twoCellAnchor>
  <xdr:twoCellAnchor>
    <xdr:from>
      <xdr:col>2</xdr:col>
      <xdr:colOff>390525</xdr:colOff>
      <xdr:row>48</xdr:row>
      <xdr:rowOff>66675</xdr:rowOff>
    </xdr:from>
    <xdr:to>
      <xdr:col>2</xdr:col>
      <xdr:colOff>647700</xdr:colOff>
      <xdr:row>49</xdr:row>
      <xdr:rowOff>38100</xdr:rowOff>
    </xdr:to>
    <xdr:sp macro="" textlink="">
      <xdr:nvSpPr>
        <xdr:cNvPr id="49" name="Oval 48">
          <a:extLst>
            <a:ext uri="{FF2B5EF4-FFF2-40B4-BE49-F238E27FC236}">
              <a16:creationId xmlns:a16="http://schemas.microsoft.com/office/drawing/2014/main" id="{00000000-0008-0000-0500-000031000000}"/>
            </a:ext>
          </a:extLst>
        </xdr:cNvPr>
        <xdr:cNvSpPr>
          <a:spLocks noChangeArrowheads="1"/>
        </xdr:cNvSpPr>
      </xdr:nvSpPr>
      <xdr:spPr bwMode="auto">
        <a:xfrm>
          <a:off x="1914525" y="8067675"/>
          <a:ext cx="257175" cy="238125"/>
        </a:xfrm>
        <a:prstGeom prst="ellipse">
          <a:avLst/>
        </a:prstGeom>
        <a:solidFill>
          <a:srgbClr val="969696"/>
        </a:solidFill>
        <a:ln w="9525">
          <a:solidFill>
            <a:srgbClr val="000000"/>
          </a:solidFill>
          <a:round/>
          <a:headEnd/>
          <a:tailEnd/>
        </a:ln>
      </xdr:spPr>
    </xdr:sp>
    <xdr:clientData/>
  </xdr:twoCellAnchor>
  <xdr:twoCellAnchor>
    <xdr:from>
      <xdr:col>5</xdr:col>
      <xdr:colOff>295275</xdr:colOff>
      <xdr:row>41</xdr:row>
      <xdr:rowOff>142875</xdr:rowOff>
    </xdr:from>
    <xdr:to>
      <xdr:col>6</xdr:col>
      <xdr:colOff>1266825</xdr:colOff>
      <xdr:row>53</xdr:row>
      <xdr:rowOff>28575</xdr:rowOff>
    </xdr:to>
    <xdr:grpSp>
      <xdr:nvGrpSpPr>
        <xdr:cNvPr id="50" name="Group 49">
          <a:extLst>
            <a:ext uri="{FF2B5EF4-FFF2-40B4-BE49-F238E27FC236}">
              <a16:creationId xmlns:a16="http://schemas.microsoft.com/office/drawing/2014/main" id="{00000000-0008-0000-0500-000032000000}"/>
            </a:ext>
          </a:extLst>
        </xdr:cNvPr>
        <xdr:cNvGrpSpPr>
          <a:grpSpLocks/>
        </xdr:cNvGrpSpPr>
      </xdr:nvGrpSpPr>
      <xdr:grpSpPr bwMode="auto">
        <a:xfrm>
          <a:off x="4105275" y="7010400"/>
          <a:ext cx="1600200" cy="1933575"/>
          <a:chOff x="361" y="741"/>
          <a:chExt cx="168" cy="203"/>
        </a:xfrm>
      </xdr:grpSpPr>
      <xdr:sp macro="" textlink="">
        <xdr:nvSpPr>
          <xdr:cNvPr id="51" name="Line 50">
            <a:extLst>
              <a:ext uri="{FF2B5EF4-FFF2-40B4-BE49-F238E27FC236}">
                <a16:creationId xmlns:a16="http://schemas.microsoft.com/office/drawing/2014/main" id="{00000000-0008-0000-0500-000033000000}"/>
              </a:ext>
            </a:extLst>
          </xdr:cNvPr>
          <xdr:cNvSpPr>
            <a:spLocks noChangeShapeType="1"/>
          </xdr:cNvSpPr>
        </xdr:nvSpPr>
        <xdr:spPr bwMode="auto">
          <a:xfrm flipH="1">
            <a:off x="486" y="770"/>
            <a:ext cx="1" cy="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2" name="Line 51">
            <a:extLst>
              <a:ext uri="{FF2B5EF4-FFF2-40B4-BE49-F238E27FC236}">
                <a16:creationId xmlns:a16="http://schemas.microsoft.com/office/drawing/2014/main" id="{00000000-0008-0000-0500-000034000000}"/>
              </a:ext>
            </a:extLst>
          </xdr:cNvPr>
          <xdr:cNvSpPr>
            <a:spLocks noChangeShapeType="1"/>
          </xdr:cNvSpPr>
        </xdr:nvSpPr>
        <xdr:spPr bwMode="auto">
          <a:xfrm flipH="1">
            <a:off x="395" y="770"/>
            <a:ext cx="1" cy="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3" name="AutoShape 52">
            <a:extLst>
              <a:ext uri="{FF2B5EF4-FFF2-40B4-BE49-F238E27FC236}">
                <a16:creationId xmlns:a16="http://schemas.microsoft.com/office/drawing/2014/main" id="{00000000-0008-0000-0500-000035000000}"/>
              </a:ext>
            </a:extLst>
          </xdr:cNvPr>
          <xdr:cNvSpPr>
            <a:spLocks noChangeArrowheads="1"/>
          </xdr:cNvSpPr>
        </xdr:nvSpPr>
        <xdr:spPr bwMode="auto">
          <a:xfrm rot="5400000">
            <a:off x="431" y="685"/>
            <a:ext cx="28" cy="140"/>
          </a:xfrm>
          <a:prstGeom prst="can">
            <a:avLst>
              <a:gd name="adj" fmla="val 125000"/>
            </a:avLst>
          </a:prstGeom>
          <a:solidFill>
            <a:srgbClr val="FFFFFF"/>
          </a:solidFill>
          <a:ln w="9525">
            <a:solidFill>
              <a:srgbClr val="000000"/>
            </a:solidFill>
            <a:round/>
            <a:headEnd/>
            <a:tailEnd/>
          </a:ln>
        </xdr:spPr>
      </xdr:sp>
      <xdr:sp macro="" textlink="">
        <xdr:nvSpPr>
          <xdr:cNvPr id="54" name="Text Box 53">
            <a:extLst>
              <a:ext uri="{FF2B5EF4-FFF2-40B4-BE49-F238E27FC236}">
                <a16:creationId xmlns:a16="http://schemas.microsoft.com/office/drawing/2014/main" id="{00000000-0008-0000-0500-000036000000}"/>
              </a:ext>
            </a:extLst>
          </xdr:cNvPr>
          <xdr:cNvSpPr txBox="1">
            <a:spLocks noChangeArrowheads="1"/>
          </xdr:cNvSpPr>
        </xdr:nvSpPr>
        <xdr:spPr bwMode="auto">
          <a:xfrm>
            <a:off x="411" y="747"/>
            <a:ext cx="63" cy="16"/>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1" i="0" strike="noStrike">
                <a:solidFill>
                  <a:srgbClr val="000000"/>
                </a:solidFill>
                <a:latin typeface="Arial"/>
                <a:cs typeface="Arial"/>
              </a:rPr>
              <a:t>GAZ</a:t>
            </a:r>
          </a:p>
        </xdr:txBody>
      </xdr:sp>
      <xdr:sp macro="" textlink="">
        <xdr:nvSpPr>
          <xdr:cNvPr id="55" name="Text Box 54">
            <a:extLst>
              <a:ext uri="{FF2B5EF4-FFF2-40B4-BE49-F238E27FC236}">
                <a16:creationId xmlns:a16="http://schemas.microsoft.com/office/drawing/2014/main" id="{00000000-0008-0000-0500-000037000000}"/>
              </a:ext>
            </a:extLst>
          </xdr:cNvPr>
          <xdr:cNvSpPr txBox="1">
            <a:spLocks noChangeArrowheads="1"/>
          </xdr:cNvSpPr>
        </xdr:nvSpPr>
        <xdr:spPr bwMode="auto">
          <a:xfrm>
            <a:off x="497" y="792"/>
            <a:ext cx="24" cy="2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0,50</a:t>
            </a:r>
            <a:r>
              <a:rPr lang="fr-FR" sz="1000" b="1" i="0" strike="noStrike">
                <a:solidFill>
                  <a:srgbClr val="000000"/>
                </a:solidFill>
                <a:latin typeface="Arial"/>
                <a:cs typeface="Arial"/>
              </a:rPr>
              <a:t>***</a:t>
            </a:r>
          </a:p>
        </xdr:txBody>
      </xdr:sp>
      <xdr:sp macro="" textlink="">
        <xdr:nvSpPr>
          <xdr:cNvPr id="56" name="Text Box 55">
            <a:extLst>
              <a:ext uri="{FF2B5EF4-FFF2-40B4-BE49-F238E27FC236}">
                <a16:creationId xmlns:a16="http://schemas.microsoft.com/office/drawing/2014/main" id="{00000000-0008-0000-0500-000038000000}"/>
              </a:ext>
            </a:extLst>
          </xdr:cNvPr>
          <xdr:cNvSpPr txBox="1">
            <a:spLocks noChangeArrowheads="1"/>
          </xdr:cNvSpPr>
        </xdr:nvSpPr>
        <xdr:spPr bwMode="auto">
          <a:xfrm>
            <a:off x="412" y="787"/>
            <a:ext cx="36" cy="2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sp macro="" textlink="">
        <xdr:nvSpPr>
          <xdr:cNvPr id="57" name="Oval 56">
            <a:extLst>
              <a:ext uri="{FF2B5EF4-FFF2-40B4-BE49-F238E27FC236}">
                <a16:creationId xmlns:a16="http://schemas.microsoft.com/office/drawing/2014/main" id="{00000000-0008-0000-0500-000039000000}"/>
              </a:ext>
            </a:extLst>
          </xdr:cNvPr>
          <xdr:cNvSpPr>
            <a:spLocks noChangeArrowheads="1"/>
          </xdr:cNvSpPr>
        </xdr:nvSpPr>
        <xdr:spPr bwMode="auto">
          <a:xfrm>
            <a:off x="473" y="868"/>
            <a:ext cx="27" cy="25"/>
          </a:xfrm>
          <a:prstGeom prst="ellipse">
            <a:avLst/>
          </a:prstGeom>
          <a:solidFill>
            <a:srgbClr val="969696"/>
          </a:solidFill>
          <a:ln w="9525">
            <a:solidFill>
              <a:srgbClr val="000000"/>
            </a:solidFill>
            <a:round/>
            <a:headEnd/>
            <a:tailEnd/>
          </a:ln>
        </xdr:spPr>
      </xdr:sp>
      <xdr:sp macro="" textlink="">
        <xdr:nvSpPr>
          <xdr:cNvPr id="58" name="Text Box 57">
            <a:extLst>
              <a:ext uri="{FF2B5EF4-FFF2-40B4-BE49-F238E27FC236}">
                <a16:creationId xmlns:a16="http://schemas.microsoft.com/office/drawing/2014/main" id="{00000000-0008-0000-0500-00003A000000}"/>
              </a:ext>
            </a:extLst>
          </xdr:cNvPr>
          <xdr:cNvSpPr txBox="1">
            <a:spLocks noChangeArrowheads="1"/>
          </xdr:cNvSpPr>
        </xdr:nvSpPr>
        <xdr:spPr bwMode="auto">
          <a:xfrm>
            <a:off x="361" y="886"/>
            <a:ext cx="64" cy="37"/>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Télécom</a:t>
            </a:r>
          </a:p>
          <a:p>
            <a:pPr algn="l" rtl="1">
              <a:defRPr sz="1000"/>
            </a:pPr>
            <a:r>
              <a:rPr lang="fr-FR" sz="1000" b="0" i="0" strike="noStrike">
                <a:solidFill>
                  <a:srgbClr val="000000"/>
                </a:solidFill>
                <a:latin typeface="Arial"/>
                <a:cs typeface="Arial"/>
              </a:rPr>
              <a:t>.L.G.D</a:t>
            </a:r>
          </a:p>
        </xdr:txBody>
      </xdr:sp>
      <xdr:sp macro="" textlink="">
        <xdr:nvSpPr>
          <xdr:cNvPr id="59" name="Text Box 58">
            <a:extLst>
              <a:ext uri="{FF2B5EF4-FFF2-40B4-BE49-F238E27FC236}">
                <a16:creationId xmlns:a16="http://schemas.microsoft.com/office/drawing/2014/main" id="{00000000-0008-0000-0500-00003B000000}"/>
              </a:ext>
            </a:extLst>
          </xdr:cNvPr>
          <xdr:cNvSpPr txBox="1">
            <a:spLocks noChangeArrowheads="1"/>
          </xdr:cNvSpPr>
        </xdr:nvSpPr>
        <xdr:spPr bwMode="auto">
          <a:xfrm>
            <a:off x="457" y="903"/>
            <a:ext cx="72" cy="41"/>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Chauffage Urbain</a:t>
            </a:r>
          </a:p>
        </xdr:txBody>
      </xdr:sp>
      <xdr:sp macro="" textlink="">
        <xdr:nvSpPr>
          <xdr:cNvPr id="60" name="Oval 59">
            <a:extLst>
              <a:ext uri="{FF2B5EF4-FFF2-40B4-BE49-F238E27FC236}">
                <a16:creationId xmlns:a16="http://schemas.microsoft.com/office/drawing/2014/main" id="{00000000-0008-0000-0500-00003C000000}"/>
              </a:ext>
            </a:extLst>
          </xdr:cNvPr>
          <xdr:cNvSpPr>
            <a:spLocks noChangeArrowheads="1"/>
          </xdr:cNvSpPr>
        </xdr:nvSpPr>
        <xdr:spPr bwMode="auto">
          <a:xfrm>
            <a:off x="381" y="847"/>
            <a:ext cx="27" cy="25"/>
          </a:xfrm>
          <a:prstGeom prst="ellipse">
            <a:avLst/>
          </a:prstGeom>
          <a:solidFill>
            <a:srgbClr val="969696"/>
          </a:solidFill>
          <a:ln w="9525">
            <a:solidFill>
              <a:srgbClr val="000000"/>
            </a:solidFill>
            <a:round/>
            <a:headEnd/>
            <a:tailEnd/>
          </a:ln>
        </xdr:spPr>
      </xdr:sp>
    </xdr:grpSp>
    <xdr:clientData/>
  </xdr:twoCellAnchor>
  <xdr:twoCellAnchor>
    <xdr:from>
      <xdr:col>6</xdr:col>
      <xdr:colOff>714375</xdr:colOff>
      <xdr:row>16</xdr:row>
      <xdr:rowOff>142875</xdr:rowOff>
    </xdr:from>
    <xdr:to>
      <xdr:col>6</xdr:col>
      <xdr:colOff>895350</xdr:colOff>
      <xdr:row>17</xdr:row>
      <xdr:rowOff>152400</xdr:rowOff>
    </xdr:to>
    <xdr:grpSp>
      <xdr:nvGrpSpPr>
        <xdr:cNvPr id="61" name="Group 61">
          <a:extLst>
            <a:ext uri="{FF2B5EF4-FFF2-40B4-BE49-F238E27FC236}">
              <a16:creationId xmlns:a16="http://schemas.microsoft.com/office/drawing/2014/main" id="{00000000-0008-0000-0500-00003D000000}"/>
            </a:ext>
          </a:extLst>
        </xdr:cNvPr>
        <xdr:cNvGrpSpPr>
          <a:grpSpLocks/>
        </xdr:cNvGrpSpPr>
      </xdr:nvGrpSpPr>
      <xdr:grpSpPr bwMode="auto">
        <a:xfrm>
          <a:off x="5153025" y="2943225"/>
          <a:ext cx="180975" cy="171450"/>
          <a:chOff x="212" y="528"/>
          <a:chExt cx="19" cy="18"/>
        </a:xfrm>
      </xdr:grpSpPr>
      <xdr:sp macro="" textlink="">
        <xdr:nvSpPr>
          <xdr:cNvPr id="62" name="Oval 62">
            <a:extLst>
              <a:ext uri="{FF2B5EF4-FFF2-40B4-BE49-F238E27FC236}">
                <a16:creationId xmlns:a16="http://schemas.microsoft.com/office/drawing/2014/main" id="{00000000-0008-0000-0500-00003E000000}"/>
              </a:ext>
            </a:extLst>
          </xdr:cNvPr>
          <xdr:cNvSpPr>
            <a:spLocks noChangeArrowheads="1"/>
          </xdr:cNvSpPr>
        </xdr:nvSpPr>
        <xdr:spPr bwMode="auto">
          <a:xfrm>
            <a:off x="212" y="530"/>
            <a:ext cx="11" cy="10"/>
          </a:xfrm>
          <a:prstGeom prst="ellipse">
            <a:avLst/>
          </a:prstGeom>
          <a:solidFill>
            <a:srgbClr val="C0C0C0"/>
          </a:solidFill>
          <a:ln w="9525" algn="ctr">
            <a:solidFill>
              <a:srgbClr val="000000"/>
            </a:solidFill>
            <a:round/>
            <a:headEnd/>
            <a:tailEnd/>
          </a:ln>
        </xdr:spPr>
      </xdr:sp>
      <xdr:sp macro="" textlink="">
        <xdr:nvSpPr>
          <xdr:cNvPr id="63" name="Oval 63">
            <a:extLst>
              <a:ext uri="{FF2B5EF4-FFF2-40B4-BE49-F238E27FC236}">
                <a16:creationId xmlns:a16="http://schemas.microsoft.com/office/drawing/2014/main" id="{00000000-0008-0000-0500-00003F000000}"/>
              </a:ext>
            </a:extLst>
          </xdr:cNvPr>
          <xdr:cNvSpPr>
            <a:spLocks noChangeArrowheads="1"/>
          </xdr:cNvSpPr>
        </xdr:nvSpPr>
        <xdr:spPr bwMode="auto">
          <a:xfrm>
            <a:off x="220" y="528"/>
            <a:ext cx="11" cy="10"/>
          </a:xfrm>
          <a:prstGeom prst="ellipse">
            <a:avLst/>
          </a:prstGeom>
          <a:solidFill>
            <a:srgbClr val="C0C0C0"/>
          </a:solidFill>
          <a:ln w="9525" algn="ctr">
            <a:solidFill>
              <a:srgbClr val="000000"/>
            </a:solidFill>
            <a:round/>
            <a:headEnd/>
            <a:tailEnd/>
          </a:ln>
        </xdr:spPr>
      </xdr:sp>
      <xdr:sp macro="" textlink="">
        <xdr:nvSpPr>
          <xdr:cNvPr id="64" name="Oval 64">
            <a:extLst>
              <a:ext uri="{FF2B5EF4-FFF2-40B4-BE49-F238E27FC236}">
                <a16:creationId xmlns:a16="http://schemas.microsoft.com/office/drawing/2014/main" id="{00000000-0008-0000-0500-000040000000}"/>
              </a:ext>
            </a:extLst>
          </xdr:cNvPr>
          <xdr:cNvSpPr>
            <a:spLocks noChangeArrowheads="1"/>
          </xdr:cNvSpPr>
        </xdr:nvSpPr>
        <xdr:spPr bwMode="auto">
          <a:xfrm>
            <a:off x="220" y="536"/>
            <a:ext cx="11" cy="10"/>
          </a:xfrm>
          <a:prstGeom prst="ellipse">
            <a:avLst/>
          </a:prstGeom>
          <a:solidFill>
            <a:srgbClr val="C0C0C0"/>
          </a:solidFill>
          <a:ln w="9525" algn="ctr">
            <a:solidFill>
              <a:srgbClr val="000000"/>
            </a:solidFill>
            <a:round/>
            <a:headEnd/>
            <a:tailEnd/>
          </a:ln>
        </xdr:spPr>
      </xdr:sp>
    </xdr:grpSp>
    <xdr:clientData/>
  </xdr:twoCellAnchor>
  <xdr:twoCellAnchor>
    <xdr:from>
      <xdr:col>6</xdr:col>
      <xdr:colOff>866775</xdr:colOff>
      <xdr:row>19</xdr:row>
      <xdr:rowOff>85725</xdr:rowOff>
    </xdr:from>
    <xdr:to>
      <xdr:col>6</xdr:col>
      <xdr:colOff>1228725</xdr:colOff>
      <xdr:row>20</xdr:row>
      <xdr:rowOff>114300</xdr:rowOff>
    </xdr:to>
    <xdr:sp macro="" textlink="">
      <xdr:nvSpPr>
        <xdr:cNvPr id="65" name="Text Box 65">
          <a:extLst>
            <a:ext uri="{FF2B5EF4-FFF2-40B4-BE49-F238E27FC236}">
              <a16:creationId xmlns:a16="http://schemas.microsoft.com/office/drawing/2014/main" id="{00000000-0008-0000-0500-000041000000}"/>
            </a:ext>
          </a:extLst>
        </xdr:cNvPr>
        <xdr:cNvSpPr txBox="1">
          <a:spLocks noChangeArrowheads="1"/>
        </xdr:cNvSpPr>
      </xdr:nvSpPr>
      <xdr:spPr bwMode="auto">
        <a:xfrm>
          <a:off x="5305425" y="3371850"/>
          <a:ext cx="361950" cy="190500"/>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1" i="0" strike="noStrike">
              <a:solidFill>
                <a:srgbClr val="000000"/>
              </a:solidFill>
              <a:latin typeface="Arial"/>
              <a:cs typeface="Arial"/>
            </a:rPr>
            <a:t>0,70</a:t>
          </a:r>
        </a:p>
      </xdr:txBody>
    </xdr:sp>
    <xdr:clientData/>
  </xdr:twoCellAnchor>
  <xdr:twoCellAnchor>
    <xdr:from>
      <xdr:col>6</xdr:col>
      <xdr:colOff>571500</xdr:colOff>
      <xdr:row>15</xdr:row>
      <xdr:rowOff>0</xdr:rowOff>
    </xdr:from>
    <xdr:to>
      <xdr:col>6</xdr:col>
      <xdr:colOff>1066800</xdr:colOff>
      <xdr:row>16</xdr:row>
      <xdr:rowOff>9525</xdr:rowOff>
    </xdr:to>
    <xdr:sp macro="" textlink="">
      <xdr:nvSpPr>
        <xdr:cNvPr id="66" name="Text Box 66">
          <a:extLst>
            <a:ext uri="{FF2B5EF4-FFF2-40B4-BE49-F238E27FC236}">
              <a16:creationId xmlns:a16="http://schemas.microsoft.com/office/drawing/2014/main" id="{00000000-0008-0000-0500-000042000000}"/>
            </a:ext>
          </a:extLst>
        </xdr:cNvPr>
        <xdr:cNvSpPr txBox="1">
          <a:spLocks noChangeArrowheads="1"/>
        </xdr:cNvSpPr>
      </xdr:nvSpPr>
      <xdr:spPr bwMode="auto">
        <a:xfrm>
          <a:off x="5010150" y="2638425"/>
          <a:ext cx="495300" cy="171450"/>
        </a:xfrm>
        <a:prstGeom prst="rect">
          <a:avLst/>
        </a:prstGeom>
        <a:solidFill>
          <a:srgbClr val="FFFFFF"/>
        </a:solidFill>
        <a:ln w="9525" algn="ctr">
          <a:solidFill>
            <a:srgbClr val="000000"/>
          </a:solidFill>
          <a:miter lim="800000"/>
          <a:headEnd/>
          <a:tailEnd/>
        </a:ln>
        <a:effectLst/>
      </xdr:spPr>
      <xdr:txBody>
        <a:bodyPr vertOverflow="clip" wrap="square" lIns="27432" tIns="22860" rIns="27432" bIns="0" anchor="t" upright="1"/>
        <a:lstStyle/>
        <a:p>
          <a:pPr algn="ctr" rtl="1">
            <a:defRPr sz="1000"/>
          </a:pPr>
          <a:r>
            <a:rPr lang="fr-FR" sz="1000" b="1" i="0" strike="noStrike">
              <a:solidFill>
                <a:srgbClr val="000000"/>
              </a:solidFill>
              <a:latin typeface="Arial"/>
              <a:cs typeface="Arial"/>
            </a:rPr>
            <a:t>HTB</a:t>
          </a:r>
        </a:p>
      </xdr:txBody>
    </xdr:sp>
    <xdr:clientData/>
  </xdr:twoCellAnchor>
  <xdr:twoCellAnchor>
    <xdr:from>
      <xdr:col>6</xdr:col>
      <xdr:colOff>800100</xdr:colOff>
      <xdr:row>18</xdr:row>
      <xdr:rowOff>38100</xdr:rowOff>
    </xdr:from>
    <xdr:to>
      <xdr:col>6</xdr:col>
      <xdr:colOff>800100</xdr:colOff>
      <xdr:row>24</xdr:row>
      <xdr:rowOff>66675</xdr:rowOff>
    </xdr:to>
    <xdr:sp macro="" textlink="">
      <xdr:nvSpPr>
        <xdr:cNvPr id="67" name="Line 67">
          <a:extLst>
            <a:ext uri="{FF2B5EF4-FFF2-40B4-BE49-F238E27FC236}">
              <a16:creationId xmlns:a16="http://schemas.microsoft.com/office/drawing/2014/main" id="{00000000-0008-0000-0500-000043000000}"/>
            </a:ext>
          </a:extLst>
        </xdr:cNvPr>
        <xdr:cNvSpPr>
          <a:spLocks noChangeShapeType="1"/>
        </xdr:cNvSpPr>
      </xdr:nvSpPr>
      <xdr:spPr bwMode="auto">
        <a:xfrm flipV="1">
          <a:off x="5238750" y="3162300"/>
          <a:ext cx="0" cy="1000125"/>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600075</xdr:colOff>
      <xdr:row>26</xdr:row>
      <xdr:rowOff>0</xdr:rowOff>
    </xdr:from>
    <xdr:to>
      <xdr:col>6</xdr:col>
      <xdr:colOff>1095375</xdr:colOff>
      <xdr:row>27</xdr:row>
      <xdr:rowOff>38100</xdr:rowOff>
    </xdr:to>
    <xdr:sp macro="" textlink="">
      <xdr:nvSpPr>
        <xdr:cNvPr id="68" name="Text Box 68">
          <a:extLst>
            <a:ext uri="{FF2B5EF4-FFF2-40B4-BE49-F238E27FC236}">
              <a16:creationId xmlns:a16="http://schemas.microsoft.com/office/drawing/2014/main" id="{00000000-0008-0000-0500-000044000000}"/>
            </a:ext>
          </a:extLst>
        </xdr:cNvPr>
        <xdr:cNvSpPr txBox="1">
          <a:spLocks noChangeArrowheads="1"/>
        </xdr:cNvSpPr>
      </xdr:nvSpPr>
      <xdr:spPr bwMode="auto">
        <a:xfrm>
          <a:off x="5038725" y="4419600"/>
          <a:ext cx="495300" cy="200025"/>
        </a:xfrm>
        <a:prstGeom prst="rect">
          <a:avLst/>
        </a:prstGeom>
        <a:solidFill>
          <a:srgbClr val="FFFFFF"/>
        </a:solidFill>
        <a:ln w="9525">
          <a:solidFill>
            <a:srgbClr val="000000"/>
          </a:solidFill>
          <a:miter lim="800000"/>
          <a:headEnd/>
          <a:tailEnd/>
        </a:ln>
      </xdr:spPr>
      <xdr:txBody>
        <a:bodyPr vertOverflow="clip" wrap="square" lIns="27432" tIns="22860" rIns="27432" bIns="0" anchor="t" upright="1"/>
        <a:lstStyle/>
        <a:p>
          <a:pPr algn="ctr" rtl="1">
            <a:defRPr sz="1000"/>
          </a:pPr>
          <a:r>
            <a:rPr lang="fr-FR" sz="1000" b="1" i="0" strike="noStrike">
              <a:solidFill>
                <a:srgbClr val="000000"/>
              </a:solidFill>
              <a:latin typeface="Arial"/>
              <a:cs typeface="Arial"/>
            </a:rPr>
            <a:t>HTB</a:t>
          </a:r>
        </a:p>
      </xdr:txBody>
    </xdr:sp>
    <xdr:clientData/>
  </xdr:twoCellAnchor>
  <xdr:twoCellAnchor>
    <xdr:from>
      <xdr:col>6</xdr:col>
      <xdr:colOff>714375</xdr:colOff>
      <xdr:row>24</xdr:row>
      <xdr:rowOff>114300</xdr:rowOff>
    </xdr:from>
    <xdr:to>
      <xdr:col>6</xdr:col>
      <xdr:colOff>895350</xdr:colOff>
      <xdr:row>25</xdr:row>
      <xdr:rowOff>123825</xdr:rowOff>
    </xdr:to>
    <xdr:grpSp>
      <xdr:nvGrpSpPr>
        <xdr:cNvPr id="69" name="Group 69">
          <a:extLst>
            <a:ext uri="{FF2B5EF4-FFF2-40B4-BE49-F238E27FC236}">
              <a16:creationId xmlns:a16="http://schemas.microsoft.com/office/drawing/2014/main" id="{00000000-0008-0000-0500-000045000000}"/>
            </a:ext>
          </a:extLst>
        </xdr:cNvPr>
        <xdr:cNvGrpSpPr>
          <a:grpSpLocks/>
        </xdr:cNvGrpSpPr>
      </xdr:nvGrpSpPr>
      <xdr:grpSpPr bwMode="auto">
        <a:xfrm>
          <a:off x="5153025" y="4210050"/>
          <a:ext cx="180975" cy="171450"/>
          <a:chOff x="212" y="528"/>
          <a:chExt cx="19" cy="18"/>
        </a:xfrm>
      </xdr:grpSpPr>
      <xdr:sp macro="" textlink="">
        <xdr:nvSpPr>
          <xdr:cNvPr id="70" name="Oval 70">
            <a:extLst>
              <a:ext uri="{FF2B5EF4-FFF2-40B4-BE49-F238E27FC236}">
                <a16:creationId xmlns:a16="http://schemas.microsoft.com/office/drawing/2014/main" id="{00000000-0008-0000-0500-000046000000}"/>
              </a:ext>
            </a:extLst>
          </xdr:cNvPr>
          <xdr:cNvSpPr>
            <a:spLocks noChangeArrowheads="1"/>
          </xdr:cNvSpPr>
        </xdr:nvSpPr>
        <xdr:spPr bwMode="auto">
          <a:xfrm>
            <a:off x="212" y="530"/>
            <a:ext cx="11" cy="10"/>
          </a:xfrm>
          <a:prstGeom prst="ellipse">
            <a:avLst/>
          </a:prstGeom>
          <a:solidFill>
            <a:srgbClr val="C0C0C0"/>
          </a:solidFill>
          <a:ln w="9525" algn="ctr">
            <a:solidFill>
              <a:srgbClr val="000000"/>
            </a:solidFill>
            <a:round/>
            <a:headEnd/>
            <a:tailEnd/>
          </a:ln>
        </xdr:spPr>
      </xdr:sp>
      <xdr:sp macro="" textlink="">
        <xdr:nvSpPr>
          <xdr:cNvPr id="71" name="Oval 71">
            <a:extLst>
              <a:ext uri="{FF2B5EF4-FFF2-40B4-BE49-F238E27FC236}">
                <a16:creationId xmlns:a16="http://schemas.microsoft.com/office/drawing/2014/main" id="{00000000-0008-0000-0500-000047000000}"/>
              </a:ext>
            </a:extLst>
          </xdr:cNvPr>
          <xdr:cNvSpPr>
            <a:spLocks noChangeArrowheads="1"/>
          </xdr:cNvSpPr>
        </xdr:nvSpPr>
        <xdr:spPr bwMode="auto">
          <a:xfrm>
            <a:off x="220" y="528"/>
            <a:ext cx="11" cy="10"/>
          </a:xfrm>
          <a:prstGeom prst="ellipse">
            <a:avLst/>
          </a:prstGeom>
          <a:solidFill>
            <a:srgbClr val="C0C0C0"/>
          </a:solidFill>
          <a:ln w="9525" algn="ctr">
            <a:solidFill>
              <a:srgbClr val="000000"/>
            </a:solidFill>
            <a:round/>
            <a:headEnd/>
            <a:tailEnd/>
          </a:ln>
        </xdr:spPr>
      </xdr:sp>
      <xdr:sp macro="" textlink="">
        <xdr:nvSpPr>
          <xdr:cNvPr id="72" name="Oval 72">
            <a:extLst>
              <a:ext uri="{FF2B5EF4-FFF2-40B4-BE49-F238E27FC236}">
                <a16:creationId xmlns:a16="http://schemas.microsoft.com/office/drawing/2014/main" id="{00000000-0008-0000-0500-000048000000}"/>
              </a:ext>
            </a:extLst>
          </xdr:cNvPr>
          <xdr:cNvSpPr>
            <a:spLocks noChangeArrowheads="1"/>
          </xdr:cNvSpPr>
        </xdr:nvSpPr>
        <xdr:spPr bwMode="auto">
          <a:xfrm>
            <a:off x="220" y="536"/>
            <a:ext cx="11" cy="10"/>
          </a:xfrm>
          <a:prstGeom prst="ellipse">
            <a:avLst/>
          </a:prstGeom>
          <a:solidFill>
            <a:srgbClr val="C0C0C0"/>
          </a:solidFill>
          <a:ln w="9525" algn="ctr">
            <a:solidFill>
              <a:srgbClr val="000000"/>
            </a:solidFill>
            <a:round/>
            <a:headEnd/>
            <a:tailEnd/>
          </a:ln>
        </xdr:spPr>
      </xdr:sp>
    </xdr:grpSp>
    <xdr:clientData/>
  </xdr:twoCellAnchor>
  <xdr:twoCellAnchor>
    <xdr:from>
      <xdr:col>5</xdr:col>
      <xdr:colOff>304800</xdr:colOff>
      <xdr:row>23</xdr:row>
      <xdr:rowOff>47625</xdr:rowOff>
    </xdr:from>
    <xdr:to>
      <xdr:col>6</xdr:col>
      <xdr:colOff>628650</xdr:colOff>
      <xdr:row>24</xdr:row>
      <xdr:rowOff>104775</xdr:rowOff>
    </xdr:to>
    <xdr:sp macro="" textlink="">
      <xdr:nvSpPr>
        <xdr:cNvPr id="73" name="Text Box 73">
          <a:extLst>
            <a:ext uri="{FF2B5EF4-FFF2-40B4-BE49-F238E27FC236}">
              <a16:creationId xmlns:a16="http://schemas.microsoft.com/office/drawing/2014/main" id="{00000000-0008-0000-0500-000049000000}"/>
            </a:ext>
          </a:extLst>
        </xdr:cNvPr>
        <xdr:cNvSpPr txBox="1">
          <a:spLocks noChangeArrowheads="1"/>
        </xdr:cNvSpPr>
      </xdr:nvSpPr>
      <xdr:spPr bwMode="auto">
        <a:xfrm>
          <a:off x="4114800" y="3981450"/>
          <a:ext cx="952500" cy="219075"/>
        </a:xfrm>
        <a:prstGeom prst="rect">
          <a:avLst/>
        </a:prstGeom>
        <a:solidFill>
          <a:srgbClr val="FFFFFF"/>
        </a:solidFill>
        <a:ln w="9525" algn="ctr">
          <a:solidFill>
            <a:srgbClr val="000000"/>
          </a:solidFill>
          <a:miter lim="800000"/>
          <a:headEnd/>
          <a:tailEnd/>
        </a:ln>
        <a:effectLst/>
      </xdr:spPr>
      <xdr:txBody>
        <a:bodyPr vertOverflow="clip" wrap="square" lIns="36576" tIns="22860" rIns="36576" bIns="0" anchor="t" upright="1"/>
        <a:lstStyle/>
        <a:p>
          <a:pPr algn="ctr" rtl="1">
            <a:defRPr sz="1000"/>
          </a:pPr>
          <a:r>
            <a:rPr lang="fr-FR" sz="1200" b="1" i="1" u="sng" strike="noStrike">
              <a:solidFill>
                <a:srgbClr val="000000"/>
              </a:solidFill>
              <a:latin typeface="Arial"/>
              <a:cs typeface="Arial"/>
            </a:rPr>
            <a:t>EXCEPTE</a:t>
          </a:r>
        </a:p>
      </xdr:txBody>
    </xdr:sp>
    <xdr:clientData/>
  </xdr:twoCellAnchor>
  <xdr:twoCellAnchor editAs="oneCell">
    <xdr:from>
      <xdr:col>0</xdr:col>
      <xdr:colOff>38100</xdr:colOff>
      <xdr:row>0</xdr:row>
      <xdr:rowOff>47625</xdr:rowOff>
    </xdr:from>
    <xdr:to>
      <xdr:col>1</xdr:col>
      <xdr:colOff>229472</xdr:colOff>
      <xdr:row>1</xdr:row>
      <xdr:rowOff>304800</xdr:rowOff>
    </xdr:to>
    <xdr:pic>
      <xdr:nvPicPr>
        <xdr:cNvPr id="75" name="Image 74">
          <a:extLst>
            <a:ext uri="{FF2B5EF4-FFF2-40B4-BE49-F238E27FC236}">
              <a16:creationId xmlns:a16="http://schemas.microsoft.com/office/drawing/2014/main" id="{00000000-0008-0000-0500-00004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476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11</xdr:col>
      <xdr:colOff>371475</xdr:colOff>
      <xdr:row>30</xdr:row>
      <xdr:rowOff>38100</xdr:rowOff>
    </xdr:from>
    <xdr:to>
      <xdr:col>12</xdr:col>
      <xdr:colOff>323850</xdr:colOff>
      <xdr:row>32</xdr:row>
      <xdr:rowOff>47625</xdr:rowOff>
    </xdr:to>
    <xdr:sp macro="" textlink="">
      <xdr:nvSpPr>
        <xdr:cNvPr id="2" name="AutoShape 4">
          <a:extLst>
            <a:ext uri="{FF2B5EF4-FFF2-40B4-BE49-F238E27FC236}">
              <a16:creationId xmlns:a16="http://schemas.microsoft.com/office/drawing/2014/main" id="{00000000-0008-0000-0600-000002000000}"/>
            </a:ext>
          </a:extLst>
        </xdr:cNvPr>
        <xdr:cNvSpPr>
          <a:spLocks noChangeArrowheads="1"/>
        </xdr:cNvSpPr>
      </xdr:nvSpPr>
      <xdr:spPr bwMode="auto">
        <a:xfrm rot="5400000">
          <a:off x="11572875" y="7048500"/>
          <a:ext cx="495300" cy="666750"/>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000000"/>
        </a:solidFill>
        <a:ln w="9525">
          <a:solidFill>
            <a:srgbClr val="000000"/>
          </a:solidFill>
          <a:miter lim="800000"/>
          <a:headEnd/>
          <a:tailEnd/>
        </a:ln>
      </xdr:spPr>
    </xdr:sp>
    <xdr:clientData/>
  </xdr:twoCellAnchor>
  <xdr:twoCellAnchor>
    <xdr:from>
      <xdr:col>11</xdr:col>
      <xdr:colOff>304800</xdr:colOff>
      <xdr:row>21</xdr:row>
      <xdr:rowOff>114300</xdr:rowOff>
    </xdr:from>
    <xdr:to>
      <xdr:col>12</xdr:col>
      <xdr:colOff>314325</xdr:colOff>
      <xdr:row>23</xdr:row>
      <xdr:rowOff>123825</xdr:rowOff>
    </xdr:to>
    <xdr:sp macro="" textlink="">
      <xdr:nvSpPr>
        <xdr:cNvPr id="3" name="AutoShape 5">
          <a:extLst>
            <a:ext uri="{FF2B5EF4-FFF2-40B4-BE49-F238E27FC236}">
              <a16:creationId xmlns:a16="http://schemas.microsoft.com/office/drawing/2014/main" id="{00000000-0008-0000-0600-000003000000}"/>
            </a:ext>
          </a:extLst>
        </xdr:cNvPr>
        <xdr:cNvSpPr>
          <a:spLocks noChangeArrowheads="1"/>
        </xdr:cNvSpPr>
      </xdr:nvSpPr>
      <xdr:spPr bwMode="auto">
        <a:xfrm rot="5400000">
          <a:off x="11534775" y="4962525"/>
          <a:ext cx="495300" cy="723900"/>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000000"/>
        </a:solidFill>
        <a:ln w="9525">
          <a:solidFill>
            <a:srgbClr val="000000"/>
          </a:solidFill>
          <a:miter lim="800000"/>
          <a:headEnd/>
          <a:tailEnd/>
        </a:ln>
      </xdr:spPr>
    </xdr:sp>
    <xdr:clientData/>
  </xdr:twoCellAnchor>
  <xdr:twoCellAnchor>
    <xdr:from>
      <xdr:col>11</xdr:col>
      <xdr:colOff>357868</xdr:colOff>
      <xdr:row>12</xdr:row>
      <xdr:rowOff>163285</xdr:rowOff>
    </xdr:from>
    <xdr:to>
      <xdr:col>12</xdr:col>
      <xdr:colOff>338818</xdr:colOff>
      <xdr:row>14</xdr:row>
      <xdr:rowOff>172810</xdr:rowOff>
    </xdr:to>
    <xdr:sp macro="" textlink="">
      <xdr:nvSpPr>
        <xdr:cNvPr id="4" name="AutoShape 6">
          <a:extLst>
            <a:ext uri="{FF2B5EF4-FFF2-40B4-BE49-F238E27FC236}">
              <a16:creationId xmlns:a16="http://schemas.microsoft.com/office/drawing/2014/main" id="{00000000-0008-0000-0600-000004000000}"/>
            </a:ext>
          </a:extLst>
        </xdr:cNvPr>
        <xdr:cNvSpPr>
          <a:spLocks noChangeArrowheads="1"/>
        </xdr:cNvSpPr>
      </xdr:nvSpPr>
      <xdr:spPr bwMode="auto">
        <a:xfrm rot="5400000">
          <a:off x="11573556" y="2892197"/>
          <a:ext cx="495300" cy="695325"/>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000000"/>
        </a:solidFill>
        <a:ln w="9525">
          <a:solidFill>
            <a:srgbClr val="000000"/>
          </a:solidFill>
          <a:miter lim="800000"/>
          <a:headEnd/>
          <a:tailEnd/>
        </a:ln>
      </xdr:spPr>
    </xdr:sp>
    <xdr:clientData/>
  </xdr:twoCellAnchor>
  <xdr:twoCellAnchor>
    <xdr:from>
      <xdr:col>11</xdr:col>
      <xdr:colOff>314325</xdr:colOff>
      <xdr:row>2</xdr:row>
      <xdr:rowOff>9525</xdr:rowOff>
    </xdr:from>
    <xdr:to>
      <xdr:col>12</xdr:col>
      <xdr:colOff>314325</xdr:colOff>
      <xdr:row>3</xdr:row>
      <xdr:rowOff>228600</xdr:rowOff>
    </xdr:to>
    <xdr:sp macro="" textlink="">
      <xdr:nvSpPr>
        <xdr:cNvPr id="5" name="AutoShape 7">
          <a:extLst>
            <a:ext uri="{FF2B5EF4-FFF2-40B4-BE49-F238E27FC236}">
              <a16:creationId xmlns:a16="http://schemas.microsoft.com/office/drawing/2014/main" id="{00000000-0008-0000-0600-000005000000}"/>
            </a:ext>
          </a:extLst>
        </xdr:cNvPr>
        <xdr:cNvSpPr>
          <a:spLocks noChangeArrowheads="1"/>
        </xdr:cNvSpPr>
      </xdr:nvSpPr>
      <xdr:spPr bwMode="auto">
        <a:xfrm rot="5400000">
          <a:off x="11553825" y="352425"/>
          <a:ext cx="466725" cy="714375"/>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000000"/>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40821</xdr:colOff>
      <xdr:row>0</xdr:row>
      <xdr:rowOff>40821</xdr:rowOff>
    </xdr:from>
    <xdr:to>
      <xdr:col>3</xdr:col>
      <xdr:colOff>149678</xdr:colOff>
      <xdr:row>3</xdr:row>
      <xdr:rowOff>639</xdr:rowOff>
    </xdr:to>
    <xdr:pic>
      <xdr:nvPicPr>
        <xdr:cNvPr id="3" name="Image 2">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821" y="40821"/>
          <a:ext cx="1115786" cy="490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161925</xdr:colOff>
      <xdr:row>0</xdr:row>
      <xdr:rowOff>28575</xdr:rowOff>
    </xdr:from>
    <xdr:to>
      <xdr:col>8</xdr:col>
      <xdr:colOff>533400</xdr:colOff>
      <xdr:row>0</xdr:row>
      <xdr:rowOff>409575</xdr:rowOff>
    </xdr:to>
    <xdr:sp macro="" textlink="">
      <xdr:nvSpPr>
        <xdr:cNvPr id="210780" name="Oval 1">
          <a:extLst>
            <a:ext uri="{FF2B5EF4-FFF2-40B4-BE49-F238E27FC236}">
              <a16:creationId xmlns:a16="http://schemas.microsoft.com/office/drawing/2014/main" id="{00000000-0008-0000-0800-00005C370300}"/>
            </a:ext>
          </a:extLst>
        </xdr:cNvPr>
        <xdr:cNvSpPr>
          <a:spLocks noChangeArrowheads="1"/>
        </xdr:cNvSpPr>
      </xdr:nvSpPr>
      <xdr:spPr bwMode="auto">
        <a:xfrm>
          <a:off x="5743575" y="28575"/>
          <a:ext cx="1133475" cy="381000"/>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7</xdr:col>
      <xdr:colOff>247650</xdr:colOff>
      <xdr:row>0</xdr:row>
      <xdr:rowOff>95250</xdr:rowOff>
    </xdr:from>
    <xdr:to>
      <xdr:col>8</xdr:col>
      <xdr:colOff>390525</xdr:colOff>
      <xdr:row>0</xdr:row>
      <xdr:rowOff>447675</xdr:rowOff>
    </xdr:to>
    <xdr:sp macro="" textlink="">
      <xdr:nvSpPr>
        <xdr:cNvPr id="7170" name="Text Box 2">
          <a:extLst>
            <a:ext uri="{FF2B5EF4-FFF2-40B4-BE49-F238E27FC236}">
              <a16:creationId xmlns:a16="http://schemas.microsoft.com/office/drawing/2014/main" id="{00000000-0008-0000-0800-0000021C0000}"/>
            </a:ext>
          </a:extLst>
        </xdr:cNvPr>
        <xdr:cNvSpPr txBox="1">
          <a:spLocks noChangeArrowheads="1"/>
        </xdr:cNvSpPr>
      </xdr:nvSpPr>
      <xdr:spPr bwMode="auto">
        <a:xfrm>
          <a:off x="5829300" y="95250"/>
          <a:ext cx="904875" cy="352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800" b="0" i="0" u="none" strike="noStrike" baseline="0">
              <a:solidFill>
                <a:srgbClr val="000000"/>
              </a:solidFill>
              <a:latin typeface="Arial"/>
              <a:cs typeface="Arial"/>
            </a:rPr>
            <a:t>An1/Pr1/4.10/SO</a:t>
          </a:r>
        </a:p>
        <a:p>
          <a:pPr algn="ctr" rtl="0">
            <a:defRPr sz="1000"/>
          </a:pPr>
          <a:r>
            <a:rPr lang="fr-FR" sz="800" b="0" i="0" u="none" strike="noStrike" baseline="0">
              <a:solidFill>
                <a:srgbClr val="000000"/>
              </a:solidFill>
              <a:latin typeface="Arial"/>
              <a:cs typeface="Arial"/>
            </a:rPr>
            <a:t>b</a:t>
          </a:r>
        </a:p>
      </xdr:txBody>
    </xdr:sp>
    <xdr:clientData/>
  </xdr:twoCellAnchor>
  <xdr:twoCellAnchor>
    <xdr:from>
      <xdr:col>0</xdr:col>
      <xdr:colOff>609600</xdr:colOff>
      <xdr:row>17</xdr:row>
      <xdr:rowOff>104775</xdr:rowOff>
    </xdr:from>
    <xdr:to>
      <xdr:col>2</xdr:col>
      <xdr:colOff>152400</xdr:colOff>
      <xdr:row>19</xdr:row>
      <xdr:rowOff>85725</xdr:rowOff>
    </xdr:to>
    <xdr:sp macro="" textlink="">
      <xdr:nvSpPr>
        <xdr:cNvPr id="7171" name="Text Box 3">
          <a:extLst>
            <a:ext uri="{FF2B5EF4-FFF2-40B4-BE49-F238E27FC236}">
              <a16:creationId xmlns:a16="http://schemas.microsoft.com/office/drawing/2014/main" id="{00000000-0008-0000-0800-0000031C0000}"/>
            </a:ext>
          </a:extLst>
        </xdr:cNvPr>
        <xdr:cNvSpPr txBox="1">
          <a:spLocks noChangeArrowheads="1"/>
        </xdr:cNvSpPr>
      </xdr:nvSpPr>
      <xdr:spPr bwMode="auto">
        <a:xfrm>
          <a:off x="609600" y="3495675"/>
          <a:ext cx="1200150" cy="304800"/>
        </a:xfrm>
        <a:prstGeom prst="rect">
          <a:avLst/>
        </a:prstGeom>
        <a:solidFill>
          <a:srgbClr xmlns:mc="http://schemas.openxmlformats.org/markup-compatibility/2006" xmlns:a14="http://schemas.microsoft.com/office/drawing/2010/main" val="FFFFFF" mc:Ignorable="a14" a14:legacySpreadsheetColorIndex="65">
            <a:alpha val="96001"/>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Sous chaussée</a:t>
          </a:r>
        </a:p>
      </xdr:txBody>
    </xdr:sp>
    <xdr:clientData/>
  </xdr:twoCellAnchor>
  <xdr:twoCellAnchor>
    <xdr:from>
      <xdr:col>6</xdr:col>
      <xdr:colOff>0</xdr:colOff>
      <xdr:row>17</xdr:row>
      <xdr:rowOff>66675</xdr:rowOff>
    </xdr:from>
    <xdr:to>
      <xdr:col>7</xdr:col>
      <xdr:colOff>342900</xdr:colOff>
      <xdr:row>19</xdr:row>
      <xdr:rowOff>76200</xdr:rowOff>
    </xdr:to>
    <xdr:sp macro="" textlink="">
      <xdr:nvSpPr>
        <xdr:cNvPr id="7172" name="Text Box 4">
          <a:extLst>
            <a:ext uri="{FF2B5EF4-FFF2-40B4-BE49-F238E27FC236}">
              <a16:creationId xmlns:a16="http://schemas.microsoft.com/office/drawing/2014/main" id="{00000000-0008-0000-0800-0000041C0000}"/>
            </a:ext>
          </a:extLst>
        </xdr:cNvPr>
        <xdr:cNvSpPr txBox="1">
          <a:spLocks noChangeArrowheads="1"/>
        </xdr:cNvSpPr>
      </xdr:nvSpPr>
      <xdr:spPr bwMode="auto">
        <a:xfrm>
          <a:off x="4772025" y="3457575"/>
          <a:ext cx="1152525" cy="333375"/>
        </a:xfrm>
        <a:prstGeom prst="rect">
          <a:avLst/>
        </a:prstGeom>
        <a:solidFill>
          <a:srgbClr xmlns:mc="http://schemas.openxmlformats.org/markup-compatibility/2006" xmlns:a14="http://schemas.microsoft.com/office/drawing/2010/main" val="FFFFFF" mc:Ignorable="a14" a14:legacySpreadsheetColorIndex="65">
            <a:alpha val="96001"/>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Sous espace vert</a:t>
          </a:r>
        </a:p>
      </xdr:txBody>
    </xdr:sp>
    <xdr:clientData/>
  </xdr:twoCellAnchor>
  <xdr:twoCellAnchor>
    <xdr:from>
      <xdr:col>3</xdr:col>
      <xdr:colOff>190500</xdr:colOff>
      <xdr:row>17</xdr:row>
      <xdr:rowOff>104775</xdr:rowOff>
    </xdr:from>
    <xdr:to>
      <xdr:col>4</xdr:col>
      <xdr:colOff>695325</xdr:colOff>
      <xdr:row>20</xdr:row>
      <xdr:rowOff>0</xdr:rowOff>
    </xdr:to>
    <xdr:sp macro="" textlink="">
      <xdr:nvSpPr>
        <xdr:cNvPr id="7173" name="Text Box 5">
          <a:extLst>
            <a:ext uri="{FF2B5EF4-FFF2-40B4-BE49-F238E27FC236}">
              <a16:creationId xmlns:a16="http://schemas.microsoft.com/office/drawing/2014/main" id="{00000000-0008-0000-0800-0000051C0000}"/>
            </a:ext>
          </a:extLst>
        </xdr:cNvPr>
        <xdr:cNvSpPr txBox="1">
          <a:spLocks noChangeArrowheads="1"/>
        </xdr:cNvSpPr>
      </xdr:nvSpPr>
      <xdr:spPr bwMode="auto">
        <a:xfrm>
          <a:off x="2695575" y="3495675"/>
          <a:ext cx="1152525" cy="381000"/>
        </a:xfrm>
        <a:prstGeom prst="rect">
          <a:avLst/>
        </a:prstGeom>
        <a:solidFill>
          <a:srgbClr xmlns:mc="http://schemas.openxmlformats.org/markup-compatibility/2006" xmlns:a14="http://schemas.microsoft.com/office/drawing/2010/main" val="FFFFFF" mc:Ignorable="a14" a14:legacySpreadsheetColorIndex="65">
            <a:alpha val="96001"/>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lnSpc>
              <a:spcPts val="1100"/>
            </a:lnSpc>
            <a:defRPr sz="1000"/>
          </a:pPr>
          <a:r>
            <a:rPr lang="fr-FR" sz="1000" b="0" i="0" u="none" strike="noStrike" baseline="0">
              <a:solidFill>
                <a:srgbClr val="000000"/>
              </a:solidFill>
              <a:latin typeface="Arial"/>
              <a:cs typeface="Arial"/>
            </a:rPr>
            <a:t>Sous trottoir </a:t>
          </a:r>
          <a:r>
            <a:rPr lang="fr-FR" sz="1000" b="0" i="0" u="none" strike="noStrike" baseline="0">
              <a:solidFill>
                <a:srgbClr val="000000"/>
              </a:solidFill>
              <a:latin typeface="Arial Narrow"/>
            </a:rPr>
            <a:t>&amp;</a:t>
          </a:r>
          <a:r>
            <a:rPr lang="fr-FR" sz="1000" b="0" i="0" u="none" strike="noStrike" baseline="0">
              <a:solidFill>
                <a:srgbClr val="000000"/>
              </a:solidFill>
              <a:latin typeface="Arial"/>
              <a:cs typeface="Arial"/>
            </a:rPr>
            <a:t> accotement</a:t>
          </a:r>
        </a:p>
      </xdr:txBody>
    </xdr:sp>
    <xdr:clientData/>
  </xdr:twoCellAnchor>
  <xdr:twoCellAnchor>
    <xdr:from>
      <xdr:col>0</xdr:col>
      <xdr:colOff>533400</xdr:colOff>
      <xdr:row>20</xdr:row>
      <xdr:rowOff>85725</xdr:rowOff>
    </xdr:from>
    <xdr:to>
      <xdr:col>2</xdr:col>
      <xdr:colOff>238125</xdr:colOff>
      <xdr:row>21</xdr:row>
      <xdr:rowOff>0</xdr:rowOff>
    </xdr:to>
    <xdr:sp macro="" textlink="">
      <xdr:nvSpPr>
        <xdr:cNvPr id="210785" name="Rectangle 6">
          <a:extLst>
            <a:ext uri="{FF2B5EF4-FFF2-40B4-BE49-F238E27FC236}">
              <a16:creationId xmlns:a16="http://schemas.microsoft.com/office/drawing/2014/main" id="{00000000-0008-0000-0800-000061370300}"/>
            </a:ext>
          </a:extLst>
        </xdr:cNvPr>
        <xdr:cNvSpPr>
          <a:spLocks noChangeArrowheads="1"/>
        </xdr:cNvSpPr>
      </xdr:nvSpPr>
      <xdr:spPr bwMode="auto">
        <a:xfrm>
          <a:off x="533400" y="3962400"/>
          <a:ext cx="1362075" cy="762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752475</xdr:colOff>
      <xdr:row>21</xdr:row>
      <xdr:rowOff>9525</xdr:rowOff>
    </xdr:from>
    <xdr:to>
      <xdr:col>2</xdr:col>
      <xdr:colOff>0</xdr:colOff>
      <xdr:row>23</xdr:row>
      <xdr:rowOff>0</xdr:rowOff>
    </xdr:to>
    <xdr:sp macro="" textlink="">
      <xdr:nvSpPr>
        <xdr:cNvPr id="210786" name="Rectangle 7">
          <a:extLst>
            <a:ext uri="{FF2B5EF4-FFF2-40B4-BE49-F238E27FC236}">
              <a16:creationId xmlns:a16="http://schemas.microsoft.com/office/drawing/2014/main" id="{00000000-0008-0000-0800-000062370300}"/>
            </a:ext>
          </a:extLst>
        </xdr:cNvPr>
        <xdr:cNvSpPr>
          <a:spLocks noChangeArrowheads="1"/>
        </xdr:cNvSpPr>
      </xdr:nvSpPr>
      <xdr:spPr bwMode="auto">
        <a:xfrm>
          <a:off x="752475" y="4048125"/>
          <a:ext cx="904875" cy="314325"/>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752475</xdr:colOff>
      <xdr:row>23</xdr:row>
      <xdr:rowOff>0</xdr:rowOff>
    </xdr:from>
    <xdr:to>
      <xdr:col>2</xdr:col>
      <xdr:colOff>9525</xdr:colOff>
      <xdr:row>23</xdr:row>
      <xdr:rowOff>0</xdr:rowOff>
    </xdr:to>
    <xdr:sp macro="" textlink="">
      <xdr:nvSpPr>
        <xdr:cNvPr id="210787" name="Line 8">
          <a:extLst>
            <a:ext uri="{FF2B5EF4-FFF2-40B4-BE49-F238E27FC236}">
              <a16:creationId xmlns:a16="http://schemas.microsoft.com/office/drawing/2014/main" id="{00000000-0008-0000-0800-000063370300}"/>
            </a:ext>
          </a:extLst>
        </xdr:cNvPr>
        <xdr:cNvSpPr>
          <a:spLocks noChangeShapeType="1"/>
        </xdr:cNvSpPr>
      </xdr:nvSpPr>
      <xdr:spPr bwMode="auto">
        <a:xfrm>
          <a:off x="752475" y="4362450"/>
          <a:ext cx="9144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352425</xdr:colOff>
      <xdr:row>20</xdr:row>
      <xdr:rowOff>152400</xdr:rowOff>
    </xdr:from>
    <xdr:to>
      <xdr:col>4</xdr:col>
      <xdr:colOff>590550</xdr:colOff>
      <xdr:row>24</xdr:row>
      <xdr:rowOff>0</xdr:rowOff>
    </xdr:to>
    <xdr:sp macro="" textlink="">
      <xdr:nvSpPr>
        <xdr:cNvPr id="210788" name="Rectangle 9">
          <a:extLst>
            <a:ext uri="{FF2B5EF4-FFF2-40B4-BE49-F238E27FC236}">
              <a16:creationId xmlns:a16="http://schemas.microsoft.com/office/drawing/2014/main" id="{00000000-0008-0000-0800-000064370300}"/>
            </a:ext>
          </a:extLst>
        </xdr:cNvPr>
        <xdr:cNvSpPr>
          <a:spLocks noChangeArrowheads="1"/>
        </xdr:cNvSpPr>
      </xdr:nvSpPr>
      <xdr:spPr bwMode="auto">
        <a:xfrm>
          <a:off x="2857500" y="4029075"/>
          <a:ext cx="885825" cy="495300"/>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180975</xdr:colOff>
      <xdr:row>21</xdr:row>
      <xdr:rowOff>0</xdr:rowOff>
    </xdr:from>
    <xdr:to>
      <xdr:col>7</xdr:col>
      <xdr:colOff>257175</xdr:colOff>
      <xdr:row>23</xdr:row>
      <xdr:rowOff>0</xdr:rowOff>
    </xdr:to>
    <xdr:sp macro="" textlink="">
      <xdr:nvSpPr>
        <xdr:cNvPr id="210789" name="Rectangle 10">
          <a:extLst>
            <a:ext uri="{FF2B5EF4-FFF2-40B4-BE49-F238E27FC236}">
              <a16:creationId xmlns:a16="http://schemas.microsoft.com/office/drawing/2014/main" id="{00000000-0008-0000-0800-000065370300}"/>
            </a:ext>
          </a:extLst>
        </xdr:cNvPr>
        <xdr:cNvSpPr>
          <a:spLocks noChangeArrowheads="1"/>
        </xdr:cNvSpPr>
      </xdr:nvSpPr>
      <xdr:spPr bwMode="auto">
        <a:xfrm>
          <a:off x="4953000" y="4038600"/>
          <a:ext cx="885825" cy="323850"/>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800100</xdr:colOff>
      <xdr:row>20</xdr:row>
      <xdr:rowOff>152400</xdr:rowOff>
    </xdr:from>
    <xdr:to>
      <xdr:col>7</xdr:col>
      <xdr:colOff>381000</xdr:colOff>
      <xdr:row>20</xdr:row>
      <xdr:rowOff>152400</xdr:rowOff>
    </xdr:to>
    <xdr:sp macro="" textlink="">
      <xdr:nvSpPr>
        <xdr:cNvPr id="210790" name="Line 11">
          <a:extLst>
            <a:ext uri="{FF2B5EF4-FFF2-40B4-BE49-F238E27FC236}">
              <a16:creationId xmlns:a16="http://schemas.microsoft.com/office/drawing/2014/main" id="{00000000-0008-0000-0800-000066370300}"/>
            </a:ext>
          </a:extLst>
        </xdr:cNvPr>
        <xdr:cNvSpPr>
          <a:spLocks noChangeShapeType="1"/>
        </xdr:cNvSpPr>
      </xdr:nvSpPr>
      <xdr:spPr bwMode="auto">
        <a:xfrm>
          <a:off x="4762500" y="4029075"/>
          <a:ext cx="1200150"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123825</xdr:colOff>
      <xdr:row>21</xdr:row>
      <xdr:rowOff>0</xdr:rowOff>
    </xdr:from>
    <xdr:to>
      <xdr:col>5</xdr:col>
      <xdr:colOff>0</xdr:colOff>
      <xdr:row>21</xdr:row>
      <xdr:rowOff>0</xdr:rowOff>
    </xdr:to>
    <xdr:sp macro="" textlink="">
      <xdr:nvSpPr>
        <xdr:cNvPr id="210791" name="Line 12">
          <a:extLst>
            <a:ext uri="{FF2B5EF4-FFF2-40B4-BE49-F238E27FC236}">
              <a16:creationId xmlns:a16="http://schemas.microsoft.com/office/drawing/2014/main" id="{00000000-0008-0000-0800-000067370300}"/>
            </a:ext>
          </a:extLst>
        </xdr:cNvPr>
        <xdr:cNvSpPr>
          <a:spLocks noChangeShapeType="1"/>
        </xdr:cNvSpPr>
      </xdr:nvSpPr>
      <xdr:spPr bwMode="auto">
        <a:xfrm>
          <a:off x="2628900" y="4038600"/>
          <a:ext cx="1333500"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152400</xdr:colOff>
      <xdr:row>21</xdr:row>
      <xdr:rowOff>95250</xdr:rowOff>
    </xdr:from>
    <xdr:to>
      <xdr:col>1</xdr:col>
      <xdr:colOff>666750</xdr:colOff>
      <xdr:row>22</xdr:row>
      <xdr:rowOff>142875</xdr:rowOff>
    </xdr:to>
    <xdr:sp macro="" textlink="">
      <xdr:nvSpPr>
        <xdr:cNvPr id="7181" name="Text Box 13">
          <a:extLst>
            <a:ext uri="{FF2B5EF4-FFF2-40B4-BE49-F238E27FC236}">
              <a16:creationId xmlns:a16="http://schemas.microsoft.com/office/drawing/2014/main" id="{00000000-0008-0000-0800-00000D1C0000}"/>
            </a:ext>
          </a:extLst>
        </xdr:cNvPr>
        <xdr:cNvSpPr txBox="1">
          <a:spLocks noChangeArrowheads="1"/>
        </xdr:cNvSpPr>
      </xdr:nvSpPr>
      <xdr:spPr bwMode="auto">
        <a:xfrm>
          <a:off x="962025" y="4133850"/>
          <a:ext cx="5143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q2</a:t>
          </a:r>
        </a:p>
      </xdr:txBody>
    </xdr:sp>
    <xdr:clientData/>
  </xdr:twoCellAnchor>
  <xdr:twoCellAnchor>
    <xdr:from>
      <xdr:col>0</xdr:col>
      <xdr:colOff>752475</xdr:colOff>
      <xdr:row>23</xdr:row>
      <xdr:rowOff>0</xdr:rowOff>
    </xdr:from>
    <xdr:to>
      <xdr:col>2</xdr:col>
      <xdr:colOff>0</xdr:colOff>
      <xdr:row>26</xdr:row>
      <xdr:rowOff>152400</xdr:rowOff>
    </xdr:to>
    <xdr:sp macro="" textlink="">
      <xdr:nvSpPr>
        <xdr:cNvPr id="210793" name="Rectangle 14">
          <a:extLst>
            <a:ext uri="{FF2B5EF4-FFF2-40B4-BE49-F238E27FC236}">
              <a16:creationId xmlns:a16="http://schemas.microsoft.com/office/drawing/2014/main" id="{00000000-0008-0000-0800-000069370300}"/>
            </a:ext>
          </a:extLst>
        </xdr:cNvPr>
        <xdr:cNvSpPr>
          <a:spLocks noChangeArrowheads="1"/>
        </xdr:cNvSpPr>
      </xdr:nvSpPr>
      <xdr:spPr bwMode="auto">
        <a:xfrm>
          <a:off x="752475" y="4362450"/>
          <a:ext cx="904875" cy="638175"/>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752475</xdr:colOff>
      <xdr:row>26</xdr:row>
      <xdr:rowOff>152400</xdr:rowOff>
    </xdr:from>
    <xdr:to>
      <xdr:col>2</xdr:col>
      <xdr:colOff>0</xdr:colOff>
      <xdr:row>27</xdr:row>
      <xdr:rowOff>95250</xdr:rowOff>
    </xdr:to>
    <xdr:sp macro="" textlink="">
      <xdr:nvSpPr>
        <xdr:cNvPr id="210794" name="Rectangle 15">
          <a:extLst>
            <a:ext uri="{FF2B5EF4-FFF2-40B4-BE49-F238E27FC236}">
              <a16:creationId xmlns:a16="http://schemas.microsoft.com/office/drawing/2014/main" id="{00000000-0008-0000-0800-00006A370300}"/>
            </a:ext>
          </a:extLst>
        </xdr:cNvPr>
        <xdr:cNvSpPr>
          <a:spLocks noChangeArrowheads="1"/>
        </xdr:cNvSpPr>
      </xdr:nvSpPr>
      <xdr:spPr bwMode="auto">
        <a:xfrm>
          <a:off x="752475" y="5000625"/>
          <a:ext cx="904875" cy="104775"/>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752475</xdr:colOff>
      <xdr:row>27</xdr:row>
      <xdr:rowOff>95250</xdr:rowOff>
    </xdr:from>
    <xdr:to>
      <xdr:col>2</xdr:col>
      <xdr:colOff>0</xdr:colOff>
      <xdr:row>29</xdr:row>
      <xdr:rowOff>104775</xdr:rowOff>
    </xdr:to>
    <xdr:sp macro="" textlink="">
      <xdr:nvSpPr>
        <xdr:cNvPr id="210795" name="Rectangle 16">
          <a:extLst>
            <a:ext uri="{FF2B5EF4-FFF2-40B4-BE49-F238E27FC236}">
              <a16:creationId xmlns:a16="http://schemas.microsoft.com/office/drawing/2014/main" id="{00000000-0008-0000-0800-00006B370300}"/>
            </a:ext>
          </a:extLst>
        </xdr:cNvPr>
        <xdr:cNvSpPr>
          <a:spLocks noChangeArrowheads="1"/>
        </xdr:cNvSpPr>
      </xdr:nvSpPr>
      <xdr:spPr bwMode="auto">
        <a:xfrm>
          <a:off x="752475" y="5105400"/>
          <a:ext cx="904875" cy="333375"/>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752475</xdr:colOff>
      <xdr:row>29</xdr:row>
      <xdr:rowOff>104775</xdr:rowOff>
    </xdr:from>
    <xdr:to>
      <xdr:col>2</xdr:col>
      <xdr:colOff>0</xdr:colOff>
      <xdr:row>30</xdr:row>
      <xdr:rowOff>28575</xdr:rowOff>
    </xdr:to>
    <xdr:sp macro="" textlink="">
      <xdr:nvSpPr>
        <xdr:cNvPr id="210796" name="Rectangle 17">
          <a:extLst>
            <a:ext uri="{FF2B5EF4-FFF2-40B4-BE49-F238E27FC236}">
              <a16:creationId xmlns:a16="http://schemas.microsoft.com/office/drawing/2014/main" id="{00000000-0008-0000-0800-00006C370300}"/>
            </a:ext>
          </a:extLst>
        </xdr:cNvPr>
        <xdr:cNvSpPr>
          <a:spLocks noChangeArrowheads="1"/>
        </xdr:cNvSpPr>
      </xdr:nvSpPr>
      <xdr:spPr bwMode="auto">
        <a:xfrm>
          <a:off x="752475" y="5438775"/>
          <a:ext cx="904875" cy="85725"/>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352425</xdr:colOff>
      <xdr:row>29</xdr:row>
      <xdr:rowOff>85725</xdr:rowOff>
    </xdr:from>
    <xdr:to>
      <xdr:col>4</xdr:col>
      <xdr:colOff>590550</xdr:colOff>
      <xdr:row>30</xdr:row>
      <xdr:rowOff>9525</xdr:rowOff>
    </xdr:to>
    <xdr:sp macro="" textlink="">
      <xdr:nvSpPr>
        <xdr:cNvPr id="210797" name="Rectangle 18">
          <a:extLst>
            <a:ext uri="{FF2B5EF4-FFF2-40B4-BE49-F238E27FC236}">
              <a16:creationId xmlns:a16="http://schemas.microsoft.com/office/drawing/2014/main" id="{00000000-0008-0000-0800-00006D370300}"/>
            </a:ext>
          </a:extLst>
        </xdr:cNvPr>
        <xdr:cNvSpPr>
          <a:spLocks noChangeArrowheads="1"/>
        </xdr:cNvSpPr>
      </xdr:nvSpPr>
      <xdr:spPr bwMode="auto">
        <a:xfrm>
          <a:off x="2857500" y="5419725"/>
          <a:ext cx="885825" cy="85725"/>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180975</xdr:colOff>
      <xdr:row>29</xdr:row>
      <xdr:rowOff>95250</xdr:rowOff>
    </xdr:from>
    <xdr:to>
      <xdr:col>7</xdr:col>
      <xdr:colOff>257175</xdr:colOff>
      <xdr:row>30</xdr:row>
      <xdr:rowOff>28575</xdr:rowOff>
    </xdr:to>
    <xdr:sp macro="" textlink="">
      <xdr:nvSpPr>
        <xdr:cNvPr id="210798" name="Rectangle 19">
          <a:extLst>
            <a:ext uri="{FF2B5EF4-FFF2-40B4-BE49-F238E27FC236}">
              <a16:creationId xmlns:a16="http://schemas.microsoft.com/office/drawing/2014/main" id="{00000000-0008-0000-0800-00006E370300}"/>
            </a:ext>
          </a:extLst>
        </xdr:cNvPr>
        <xdr:cNvSpPr>
          <a:spLocks noChangeArrowheads="1"/>
        </xdr:cNvSpPr>
      </xdr:nvSpPr>
      <xdr:spPr bwMode="auto">
        <a:xfrm>
          <a:off x="4953000" y="5429250"/>
          <a:ext cx="885825" cy="9525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104775</xdr:colOff>
      <xdr:row>24</xdr:row>
      <xdr:rowOff>85725</xdr:rowOff>
    </xdr:from>
    <xdr:to>
      <xdr:col>1</xdr:col>
      <xdr:colOff>771525</xdr:colOff>
      <xdr:row>25</xdr:row>
      <xdr:rowOff>133350</xdr:rowOff>
    </xdr:to>
    <xdr:sp macro="" textlink="">
      <xdr:nvSpPr>
        <xdr:cNvPr id="7188" name="Text Box 20">
          <a:extLst>
            <a:ext uri="{FF2B5EF4-FFF2-40B4-BE49-F238E27FC236}">
              <a16:creationId xmlns:a16="http://schemas.microsoft.com/office/drawing/2014/main" id="{00000000-0008-0000-0800-0000141C0000}"/>
            </a:ext>
          </a:extLst>
        </xdr:cNvPr>
        <xdr:cNvSpPr txBox="1">
          <a:spLocks noChangeArrowheads="1"/>
        </xdr:cNvSpPr>
      </xdr:nvSpPr>
      <xdr:spPr bwMode="auto">
        <a:xfrm>
          <a:off x="914400" y="4610100"/>
          <a:ext cx="6667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q3</a:t>
          </a:r>
        </a:p>
      </xdr:txBody>
    </xdr:sp>
    <xdr:clientData/>
  </xdr:twoCellAnchor>
  <xdr:twoCellAnchor>
    <xdr:from>
      <xdr:col>1</xdr:col>
      <xdr:colOff>152400</xdr:colOff>
      <xdr:row>26</xdr:row>
      <xdr:rowOff>104775</xdr:rowOff>
    </xdr:from>
    <xdr:to>
      <xdr:col>1</xdr:col>
      <xdr:colOff>628650</xdr:colOff>
      <xdr:row>27</xdr:row>
      <xdr:rowOff>152400</xdr:rowOff>
    </xdr:to>
    <xdr:sp macro="" textlink="">
      <xdr:nvSpPr>
        <xdr:cNvPr id="7189" name="Text Box 21">
          <a:extLst>
            <a:ext uri="{FF2B5EF4-FFF2-40B4-BE49-F238E27FC236}">
              <a16:creationId xmlns:a16="http://schemas.microsoft.com/office/drawing/2014/main" id="{00000000-0008-0000-0800-0000151C0000}"/>
            </a:ext>
          </a:extLst>
        </xdr:cNvPr>
        <xdr:cNvSpPr txBox="1">
          <a:spLocks noChangeArrowheads="1"/>
        </xdr:cNvSpPr>
      </xdr:nvSpPr>
      <xdr:spPr bwMode="auto">
        <a:xfrm>
          <a:off x="962025" y="4953000"/>
          <a:ext cx="476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q4</a:t>
          </a:r>
        </a:p>
      </xdr:txBody>
    </xdr:sp>
    <xdr:clientData/>
  </xdr:twoCellAnchor>
  <xdr:twoCellAnchor>
    <xdr:from>
      <xdr:col>1</xdr:col>
      <xdr:colOff>285750</xdr:colOff>
      <xdr:row>28</xdr:row>
      <xdr:rowOff>95250</xdr:rowOff>
    </xdr:from>
    <xdr:to>
      <xdr:col>1</xdr:col>
      <xdr:colOff>476250</xdr:colOff>
      <xdr:row>29</xdr:row>
      <xdr:rowOff>95250</xdr:rowOff>
    </xdr:to>
    <xdr:sp macro="" textlink="">
      <xdr:nvSpPr>
        <xdr:cNvPr id="210801" name="Oval 22">
          <a:extLst>
            <a:ext uri="{FF2B5EF4-FFF2-40B4-BE49-F238E27FC236}">
              <a16:creationId xmlns:a16="http://schemas.microsoft.com/office/drawing/2014/main" id="{00000000-0008-0000-0800-000071370300}"/>
            </a:ext>
          </a:extLst>
        </xdr:cNvPr>
        <xdr:cNvSpPr>
          <a:spLocks noChangeArrowheads="1"/>
        </xdr:cNvSpPr>
      </xdr:nvSpPr>
      <xdr:spPr bwMode="auto">
        <a:xfrm>
          <a:off x="1095375" y="5267325"/>
          <a:ext cx="190500" cy="161925"/>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447675</xdr:colOff>
      <xdr:row>21</xdr:row>
      <xdr:rowOff>9525</xdr:rowOff>
    </xdr:from>
    <xdr:to>
      <xdr:col>3</xdr:col>
      <xdr:colOff>95250</xdr:colOff>
      <xdr:row>22</xdr:row>
      <xdr:rowOff>114300</xdr:rowOff>
    </xdr:to>
    <xdr:sp macro="" textlink="">
      <xdr:nvSpPr>
        <xdr:cNvPr id="7191" name="Text Box 23">
          <a:extLst>
            <a:ext uri="{FF2B5EF4-FFF2-40B4-BE49-F238E27FC236}">
              <a16:creationId xmlns:a16="http://schemas.microsoft.com/office/drawing/2014/main" id="{00000000-0008-0000-0800-0000171C0000}"/>
            </a:ext>
          </a:extLst>
        </xdr:cNvPr>
        <xdr:cNvSpPr txBox="1">
          <a:spLocks noChangeArrowheads="1"/>
        </xdr:cNvSpPr>
      </xdr:nvSpPr>
      <xdr:spPr bwMode="auto">
        <a:xfrm>
          <a:off x="2105025" y="4048125"/>
          <a:ext cx="495300" cy="2667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Réfection définitive</a:t>
          </a:r>
        </a:p>
      </xdr:txBody>
    </xdr:sp>
    <xdr:clientData/>
  </xdr:twoCellAnchor>
  <xdr:twoCellAnchor>
    <xdr:from>
      <xdr:col>2</xdr:col>
      <xdr:colOff>285750</xdr:colOff>
      <xdr:row>20</xdr:row>
      <xdr:rowOff>133350</xdr:rowOff>
    </xdr:from>
    <xdr:to>
      <xdr:col>2</xdr:col>
      <xdr:colOff>400050</xdr:colOff>
      <xdr:row>22</xdr:row>
      <xdr:rowOff>123825</xdr:rowOff>
    </xdr:to>
    <xdr:sp macro="" textlink="">
      <xdr:nvSpPr>
        <xdr:cNvPr id="210803" name="AutoShape 24">
          <a:extLst>
            <a:ext uri="{FF2B5EF4-FFF2-40B4-BE49-F238E27FC236}">
              <a16:creationId xmlns:a16="http://schemas.microsoft.com/office/drawing/2014/main" id="{00000000-0008-0000-0800-000073370300}"/>
            </a:ext>
          </a:extLst>
        </xdr:cNvPr>
        <xdr:cNvSpPr>
          <a:spLocks/>
        </xdr:cNvSpPr>
      </xdr:nvSpPr>
      <xdr:spPr bwMode="auto">
        <a:xfrm>
          <a:off x="1943100" y="4010025"/>
          <a:ext cx="114300" cy="314325"/>
        </a:xfrm>
        <a:prstGeom prst="rightBracket">
          <a:avLst>
            <a:gd name="adj" fmla="val 22917"/>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161925</xdr:colOff>
      <xdr:row>23</xdr:row>
      <xdr:rowOff>19050</xdr:rowOff>
    </xdr:from>
    <xdr:to>
      <xdr:col>2</xdr:col>
      <xdr:colOff>171450</xdr:colOff>
      <xdr:row>26</xdr:row>
      <xdr:rowOff>152400</xdr:rowOff>
    </xdr:to>
    <xdr:sp macro="" textlink="">
      <xdr:nvSpPr>
        <xdr:cNvPr id="210804" name="Line 25">
          <a:extLst>
            <a:ext uri="{FF2B5EF4-FFF2-40B4-BE49-F238E27FC236}">
              <a16:creationId xmlns:a16="http://schemas.microsoft.com/office/drawing/2014/main" id="{00000000-0008-0000-0800-000074370300}"/>
            </a:ext>
          </a:extLst>
        </xdr:cNvPr>
        <xdr:cNvSpPr>
          <a:spLocks noChangeShapeType="1"/>
        </xdr:cNvSpPr>
      </xdr:nvSpPr>
      <xdr:spPr bwMode="auto">
        <a:xfrm>
          <a:off x="1819275" y="4381500"/>
          <a:ext cx="9525" cy="619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276225</xdr:colOff>
      <xdr:row>23</xdr:row>
      <xdr:rowOff>47625</xdr:rowOff>
    </xdr:from>
    <xdr:to>
      <xdr:col>3</xdr:col>
      <xdr:colOff>295275</xdr:colOff>
      <xdr:row>26</xdr:row>
      <xdr:rowOff>123825</xdr:rowOff>
    </xdr:to>
    <xdr:sp macro="" textlink="">
      <xdr:nvSpPr>
        <xdr:cNvPr id="7194" name="Text Box 26">
          <a:extLst>
            <a:ext uri="{FF2B5EF4-FFF2-40B4-BE49-F238E27FC236}">
              <a16:creationId xmlns:a16="http://schemas.microsoft.com/office/drawing/2014/main" id="{00000000-0008-0000-0800-00001A1C0000}"/>
            </a:ext>
          </a:extLst>
        </xdr:cNvPr>
        <xdr:cNvSpPr txBox="1">
          <a:spLocks noChangeArrowheads="1"/>
        </xdr:cNvSpPr>
      </xdr:nvSpPr>
      <xdr:spPr bwMode="auto">
        <a:xfrm>
          <a:off x="1933575" y="4410075"/>
          <a:ext cx="866775" cy="561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60 cm = Route Nationale</a:t>
          </a:r>
        </a:p>
        <a:p>
          <a:pPr algn="l" rtl="0">
            <a:defRPr sz="1000"/>
          </a:pPr>
          <a:r>
            <a:rPr lang="fr-FR" sz="800" b="0" i="0" u="none" strike="noStrike" baseline="0">
              <a:solidFill>
                <a:srgbClr val="000000"/>
              </a:solidFill>
              <a:latin typeface="Arial"/>
              <a:cs typeface="Arial"/>
            </a:rPr>
            <a:t>45 cm = Route départementale.</a:t>
          </a:r>
        </a:p>
      </xdr:txBody>
    </xdr:sp>
    <xdr:clientData/>
  </xdr:twoCellAnchor>
  <xdr:twoCellAnchor>
    <xdr:from>
      <xdr:col>2</xdr:col>
      <xdr:colOff>47625</xdr:colOff>
      <xdr:row>23</xdr:row>
      <xdr:rowOff>28575</xdr:rowOff>
    </xdr:from>
    <xdr:to>
      <xdr:col>2</xdr:col>
      <xdr:colOff>285750</xdr:colOff>
      <xdr:row>23</xdr:row>
      <xdr:rowOff>28575</xdr:rowOff>
    </xdr:to>
    <xdr:sp macro="" textlink="">
      <xdr:nvSpPr>
        <xdr:cNvPr id="210806" name="Line 27">
          <a:extLst>
            <a:ext uri="{FF2B5EF4-FFF2-40B4-BE49-F238E27FC236}">
              <a16:creationId xmlns:a16="http://schemas.microsoft.com/office/drawing/2014/main" id="{00000000-0008-0000-0800-000076370300}"/>
            </a:ext>
          </a:extLst>
        </xdr:cNvPr>
        <xdr:cNvSpPr>
          <a:spLocks noChangeShapeType="1"/>
        </xdr:cNvSpPr>
      </xdr:nvSpPr>
      <xdr:spPr bwMode="auto">
        <a:xfrm>
          <a:off x="1704975" y="4391025"/>
          <a:ext cx="2381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47625</xdr:colOff>
      <xdr:row>26</xdr:row>
      <xdr:rowOff>152400</xdr:rowOff>
    </xdr:from>
    <xdr:to>
      <xdr:col>2</xdr:col>
      <xdr:colOff>285750</xdr:colOff>
      <xdr:row>26</xdr:row>
      <xdr:rowOff>152400</xdr:rowOff>
    </xdr:to>
    <xdr:sp macro="" textlink="">
      <xdr:nvSpPr>
        <xdr:cNvPr id="210807" name="Line 28">
          <a:extLst>
            <a:ext uri="{FF2B5EF4-FFF2-40B4-BE49-F238E27FC236}">
              <a16:creationId xmlns:a16="http://schemas.microsoft.com/office/drawing/2014/main" id="{00000000-0008-0000-0800-000077370300}"/>
            </a:ext>
          </a:extLst>
        </xdr:cNvPr>
        <xdr:cNvSpPr>
          <a:spLocks noChangeShapeType="1"/>
        </xdr:cNvSpPr>
      </xdr:nvSpPr>
      <xdr:spPr bwMode="auto">
        <a:xfrm>
          <a:off x="1704975" y="5000625"/>
          <a:ext cx="2381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123825</xdr:colOff>
      <xdr:row>28</xdr:row>
      <xdr:rowOff>28575</xdr:rowOff>
    </xdr:from>
    <xdr:to>
      <xdr:col>2</xdr:col>
      <xdr:colOff>828675</xdr:colOff>
      <xdr:row>29</xdr:row>
      <xdr:rowOff>19050</xdr:rowOff>
    </xdr:to>
    <xdr:sp macro="" textlink="">
      <xdr:nvSpPr>
        <xdr:cNvPr id="7197" name="Text Box 29">
          <a:extLst>
            <a:ext uri="{FF2B5EF4-FFF2-40B4-BE49-F238E27FC236}">
              <a16:creationId xmlns:a16="http://schemas.microsoft.com/office/drawing/2014/main" id="{00000000-0008-0000-0800-00001D1C0000}"/>
            </a:ext>
          </a:extLst>
        </xdr:cNvPr>
        <xdr:cNvSpPr txBox="1">
          <a:spLocks noChangeArrowheads="1"/>
        </xdr:cNvSpPr>
      </xdr:nvSpPr>
      <xdr:spPr bwMode="auto">
        <a:xfrm>
          <a:off x="1781175" y="5200650"/>
          <a:ext cx="7048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Enrobage</a:t>
          </a:r>
        </a:p>
      </xdr:txBody>
    </xdr:sp>
    <xdr:clientData/>
  </xdr:twoCellAnchor>
  <xdr:twoCellAnchor>
    <xdr:from>
      <xdr:col>1</xdr:col>
      <xdr:colOff>714375</xdr:colOff>
      <xdr:row>30</xdr:row>
      <xdr:rowOff>0</xdr:rowOff>
    </xdr:from>
    <xdr:to>
      <xdr:col>2</xdr:col>
      <xdr:colOff>152400</xdr:colOff>
      <xdr:row>30</xdr:row>
      <xdr:rowOff>0</xdr:rowOff>
    </xdr:to>
    <xdr:sp macro="" textlink="">
      <xdr:nvSpPr>
        <xdr:cNvPr id="210809" name="Line 30">
          <a:extLst>
            <a:ext uri="{FF2B5EF4-FFF2-40B4-BE49-F238E27FC236}">
              <a16:creationId xmlns:a16="http://schemas.microsoft.com/office/drawing/2014/main" id="{00000000-0008-0000-0800-000079370300}"/>
            </a:ext>
          </a:extLst>
        </xdr:cNvPr>
        <xdr:cNvSpPr>
          <a:spLocks noChangeShapeType="1"/>
        </xdr:cNvSpPr>
      </xdr:nvSpPr>
      <xdr:spPr bwMode="auto">
        <a:xfrm flipH="1" flipV="1">
          <a:off x="1524000" y="5495925"/>
          <a:ext cx="2857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219075</xdr:colOff>
      <xdr:row>29</xdr:row>
      <xdr:rowOff>95250</xdr:rowOff>
    </xdr:from>
    <xdr:to>
      <xdr:col>3</xdr:col>
      <xdr:colOff>104775</xdr:colOff>
      <xdr:row>30</xdr:row>
      <xdr:rowOff>114300</xdr:rowOff>
    </xdr:to>
    <xdr:sp macro="" textlink="">
      <xdr:nvSpPr>
        <xdr:cNvPr id="7199" name="Text Box 31">
          <a:extLst>
            <a:ext uri="{FF2B5EF4-FFF2-40B4-BE49-F238E27FC236}">
              <a16:creationId xmlns:a16="http://schemas.microsoft.com/office/drawing/2014/main" id="{00000000-0008-0000-0800-00001F1C0000}"/>
            </a:ext>
          </a:extLst>
        </xdr:cNvPr>
        <xdr:cNvSpPr txBox="1">
          <a:spLocks noChangeArrowheads="1"/>
        </xdr:cNvSpPr>
      </xdr:nvSpPr>
      <xdr:spPr bwMode="auto">
        <a:xfrm>
          <a:off x="1876425" y="5429250"/>
          <a:ext cx="7334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Lit de pose</a:t>
          </a:r>
        </a:p>
      </xdr:txBody>
    </xdr:sp>
    <xdr:clientData/>
  </xdr:twoCellAnchor>
  <xdr:twoCellAnchor>
    <xdr:from>
      <xdr:col>7</xdr:col>
      <xdr:colOff>142875</xdr:colOff>
      <xdr:row>29</xdr:row>
      <xdr:rowOff>142875</xdr:rowOff>
    </xdr:from>
    <xdr:to>
      <xdr:col>7</xdr:col>
      <xdr:colOff>428625</xdr:colOff>
      <xdr:row>29</xdr:row>
      <xdr:rowOff>142875</xdr:rowOff>
    </xdr:to>
    <xdr:sp macro="" textlink="">
      <xdr:nvSpPr>
        <xdr:cNvPr id="210811" name="Line 32">
          <a:extLst>
            <a:ext uri="{FF2B5EF4-FFF2-40B4-BE49-F238E27FC236}">
              <a16:creationId xmlns:a16="http://schemas.microsoft.com/office/drawing/2014/main" id="{00000000-0008-0000-0800-00007B370300}"/>
            </a:ext>
          </a:extLst>
        </xdr:cNvPr>
        <xdr:cNvSpPr>
          <a:spLocks noChangeShapeType="1"/>
        </xdr:cNvSpPr>
      </xdr:nvSpPr>
      <xdr:spPr bwMode="auto">
        <a:xfrm flipH="1" flipV="1">
          <a:off x="5724525" y="5476875"/>
          <a:ext cx="2857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400050</xdr:colOff>
      <xdr:row>29</xdr:row>
      <xdr:rowOff>133350</xdr:rowOff>
    </xdr:from>
    <xdr:to>
      <xdr:col>4</xdr:col>
      <xdr:colOff>685800</xdr:colOff>
      <xdr:row>29</xdr:row>
      <xdr:rowOff>133350</xdr:rowOff>
    </xdr:to>
    <xdr:sp macro="" textlink="">
      <xdr:nvSpPr>
        <xdr:cNvPr id="210812" name="Line 33">
          <a:extLst>
            <a:ext uri="{FF2B5EF4-FFF2-40B4-BE49-F238E27FC236}">
              <a16:creationId xmlns:a16="http://schemas.microsoft.com/office/drawing/2014/main" id="{00000000-0008-0000-0800-00007C370300}"/>
            </a:ext>
          </a:extLst>
        </xdr:cNvPr>
        <xdr:cNvSpPr>
          <a:spLocks noChangeShapeType="1"/>
        </xdr:cNvSpPr>
      </xdr:nvSpPr>
      <xdr:spPr bwMode="auto">
        <a:xfrm flipH="1" flipV="1">
          <a:off x="3552825" y="5467350"/>
          <a:ext cx="2857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752475</xdr:colOff>
      <xdr:row>29</xdr:row>
      <xdr:rowOff>76200</xdr:rowOff>
    </xdr:from>
    <xdr:to>
      <xdr:col>5</xdr:col>
      <xdr:colOff>676275</xdr:colOff>
      <xdr:row>30</xdr:row>
      <xdr:rowOff>95250</xdr:rowOff>
    </xdr:to>
    <xdr:sp macro="" textlink="">
      <xdr:nvSpPr>
        <xdr:cNvPr id="7202" name="Text Box 34">
          <a:extLst>
            <a:ext uri="{FF2B5EF4-FFF2-40B4-BE49-F238E27FC236}">
              <a16:creationId xmlns:a16="http://schemas.microsoft.com/office/drawing/2014/main" id="{00000000-0008-0000-0800-0000221C0000}"/>
            </a:ext>
          </a:extLst>
        </xdr:cNvPr>
        <xdr:cNvSpPr txBox="1">
          <a:spLocks noChangeArrowheads="1"/>
        </xdr:cNvSpPr>
      </xdr:nvSpPr>
      <xdr:spPr bwMode="auto">
        <a:xfrm>
          <a:off x="3905250" y="5410200"/>
          <a:ext cx="7334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Lit de pose</a:t>
          </a:r>
        </a:p>
      </xdr:txBody>
    </xdr:sp>
    <xdr:clientData/>
  </xdr:twoCellAnchor>
  <xdr:twoCellAnchor>
    <xdr:from>
      <xdr:col>7</xdr:col>
      <xdr:colOff>514350</xdr:colOff>
      <xdr:row>29</xdr:row>
      <xdr:rowOff>47625</xdr:rowOff>
    </xdr:from>
    <xdr:to>
      <xdr:col>8</xdr:col>
      <xdr:colOff>485775</xdr:colOff>
      <xdr:row>30</xdr:row>
      <xdr:rowOff>66675</xdr:rowOff>
    </xdr:to>
    <xdr:sp macro="" textlink="">
      <xdr:nvSpPr>
        <xdr:cNvPr id="7203" name="Text Box 35">
          <a:extLst>
            <a:ext uri="{FF2B5EF4-FFF2-40B4-BE49-F238E27FC236}">
              <a16:creationId xmlns:a16="http://schemas.microsoft.com/office/drawing/2014/main" id="{00000000-0008-0000-0800-0000231C0000}"/>
            </a:ext>
          </a:extLst>
        </xdr:cNvPr>
        <xdr:cNvSpPr txBox="1">
          <a:spLocks noChangeArrowheads="1"/>
        </xdr:cNvSpPr>
      </xdr:nvSpPr>
      <xdr:spPr bwMode="auto">
        <a:xfrm>
          <a:off x="6096000" y="5381625"/>
          <a:ext cx="7334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Lit de pose</a:t>
          </a:r>
        </a:p>
      </xdr:txBody>
    </xdr:sp>
    <xdr:clientData/>
  </xdr:twoCellAnchor>
  <xdr:twoCellAnchor>
    <xdr:from>
      <xdr:col>3</xdr:col>
      <xdr:colOff>352425</xdr:colOff>
      <xdr:row>24</xdr:row>
      <xdr:rowOff>0</xdr:rowOff>
    </xdr:from>
    <xdr:to>
      <xdr:col>4</xdr:col>
      <xdr:colOff>590550</xdr:colOff>
      <xdr:row>28</xdr:row>
      <xdr:rowOff>38100</xdr:rowOff>
    </xdr:to>
    <xdr:sp macro="" textlink="">
      <xdr:nvSpPr>
        <xdr:cNvPr id="210815" name="Rectangle 36">
          <a:extLst>
            <a:ext uri="{FF2B5EF4-FFF2-40B4-BE49-F238E27FC236}">
              <a16:creationId xmlns:a16="http://schemas.microsoft.com/office/drawing/2014/main" id="{00000000-0008-0000-0800-00007F370300}"/>
            </a:ext>
          </a:extLst>
        </xdr:cNvPr>
        <xdr:cNvSpPr>
          <a:spLocks noChangeArrowheads="1"/>
        </xdr:cNvSpPr>
      </xdr:nvSpPr>
      <xdr:spPr bwMode="auto">
        <a:xfrm>
          <a:off x="2857500" y="4524375"/>
          <a:ext cx="885825" cy="68580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352425</xdr:colOff>
      <xdr:row>28</xdr:row>
      <xdr:rowOff>38100</xdr:rowOff>
    </xdr:from>
    <xdr:to>
      <xdr:col>4</xdr:col>
      <xdr:colOff>590550</xdr:colOff>
      <xdr:row>29</xdr:row>
      <xdr:rowOff>85725</xdr:rowOff>
    </xdr:to>
    <xdr:sp macro="" textlink="">
      <xdr:nvSpPr>
        <xdr:cNvPr id="210816" name="Rectangle 37">
          <a:extLst>
            <a:ext uri="{FF2B5EF4-FFF2-40B4-BE49-F238E27FC236}">
              <a16:creationId xmlns:a16="http://schemas.microsoft.com/office/drawing/2014/main" id="{00000000-0008-0000-0800-000080370300}"/>
            </a:ext>
          </a:extLst>
        </xdr:cNvPr>
        <xdr:cNvSpPr>
          <a:spLocks noChangeArrowheads="1"/>
        </xdr:cNvSpPr>
      </xdr:nvSpPr>
      <xdr:spPr bwMode="auto">
        <a:xfrm>
          <a:off x="2857500" y="5210175"/>
          <a:ext cx="885825" cy="209550"/>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523875</xdr:colOff>
      <xdr:row>21</xdr:row>
      <xdr:rowOff>152400</xdr:rowOff>
    </xdr:from>
    <xdr:to>
      <xdr:col>4</xdr:col>
      <xdr:colOff>457200</xdr:colOff>
      <xdr:row>23</xdr:row>
      <xdr:rowOff>9525</xdr:rowOff>
    </xdr:to>
    <xdr:sp macro="" textlink="">
      <xdr:nvSpPr>
        <xdr:cNvPr id="7206" name="Text Box 38">
          <a:extLst>
            <a:ext uri="{FF2B5EF4-FFF2-40B4-BE49-F238E27FC236}">
              <a16:creationId xmlns:a16="http://schemas.microsoft.com/office/drawing/2014/main" id="{00000000-0008-0000-0800-0000261C0000}"/>
            </a:ext>
          </a:extLst>
        </xdr:cNvPr>
        <xdr:cNvSpPr txBox="1">
          <a:spLocks noChangeArrowheads="1"/>
        </xdr:cNvSpPr>
      </xdr:nvSpPr>
      <xdr:spPr bwMode="auto">
        <a:xfrm>
          <a:off x="3028950" y="4191000"/>
          <a:ext cx="581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q3</a:t>
          </a:r>
        </a:p>
      </xdr:txBody>
    </xdr:sp>
    <xdr:clientData/>
  </xdr:twoCellAnchor>
  <xdr:twoCellAnchor>
    <xdr:from>
      <xdr:col>3</xdr:col>
      <xdr:colOff>504825</xdr:colOff>
      <xdr:row>25</xdr:row>
      <xdr:rowOff>123825</xdr:rowOff>
    </xdr:from>
    <xdr:to>
      <xdr:col>4</xdr:col>
      <xdr:colOff>419100</xdr:colOff>
      <xdr:row>27</xdr:row>
      <xdr:rowOff>9525</xdr:rowOff>
    </xdr:to>
    <xdr:sp macro="" textlink="">
      <xdr:nvSpPr>
        <xdr:cNvPr id="7207" name="Text Box 39">
          <a:extLst>
            <a:ext uri="{FF2B5EF4-FFF2-40B4-BE49-F238E27FC236}">
              <a16:creationId xmlns:a16="http://schemas.microsoft.com/office/drawing/2014/main" id="{00000000-0008-0000-0800-0000271C0000}"/>
            </a:ext>
          </a:extLst>
        </xdr:cNvPr>
        <xdr:cNvSpPr txBox="1">
          <a:spLocks noChangeArrowheads="1"/>
        </xdr:cNvSpPr>
      </xdr:nvSpPr>
      <xdr:spPr bwMode="auto">
        <a:xfrm>
          <a:off x="3009900" y="4810125"/>
          <a:ext cx="56197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q4</a:t>
          </a:r>
        </a:p>
      </xdr:txBody>
    </xdr:sp>
    <xdr:clientData/>
  </xdr:twoCellAnchor>
  <xdr:twoCellAnchor>
    <xdr:from>
      <xdr:col>4</xdr:col>
      <xdr:colOff>38100</xdr:colOff>
      <xdr:row>28</xdr:row>
      <xdr:rowOff>104775</xdr:rowOff>
    </xdr:from>
    <xdr:to>
      <xdr:col>4</xdr:col>
      <xdr:colOff>209550</xdr:colOff>
      <xdr:row>29</xdr:row>
      <xdr:rowOff>85725</xdr:rowOff>
    </xdr:to>
    <xdr:sp macro="" textlink="">
      <xdr:nvSpPr>
        <xdr:cNvPr id="210819" name="Oval 40">
          <a:extLst>
            <a:ext uri="{FF2B5EF4-FFF2-40B4-BE49-F238E27FC236}">
              <a16:creationId xmlns:a16="http://schemas.microsoft.com/office/drawing/2014/main" id="{00000000-0008-0000-0800-000083370300}"/>
            </a:ext>
          </a:extLst>
        </xdr:cNvPr>
        <xdr:cNvSpPr>
          <a:spLocks noChangeArrowheads="1"/>
        </xdr:cNvSpPr>
      </xdr:nvSpPr>
      <xdr:spPr bwMode="auto">
        <a:xfrm>
          <a:off x="3190875" y="5276850"/>
          <a:ext cx="171450" cy="142875"/>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4</xdr:col>
      <xdr:colOff>695325</xdr:colOff>
      <xdr:row>21</xdr:row>
      <xdr:rowOff>47625</xdr:rowOff>
    </xdr:from>
    <xdr:to>
      <xdr:col>4</xdr:col>
      <xdr:colOff>695325</xdr:colOff>
      <xdr:row>24</xdr:row>
      <xdr:rowOff>0</xdr:rowOff>
    </xdr:to>
    <xdr:sp macro="" textlink="">
      <xdr:nvSpPr>
        <xdr:cNvPr id="210820" name="Line 41">
          <a:extLst>
            <a:ext uri="{FF2B5EF4-FFF2-40B4-BE49-F238E27FC236}">
              <a16:creationId xmlns:a16="http://schemas.microsoft.com/office/drawing/2014/main" id="{00000000-0008-0000-0800-000084370300}"/>
            </a:ext>
          </a:extLst>
        </xdr:cNvPr>
        <xdr:cNvSpPr>
          <a:spLocks noChangeShapeType="1"/>
        </xdr:cNvSpPr>
      </xdr:nvSpPr>
      <xdr:spPr bwMode="auto">
        <a:xfrm>
          <a:off x="3848100" y="4086225"/>
          <a:ext cx="0" cy="438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628650</xdr:colOff>
      <xdr:row>24</xdr:row>
      <xdr:rowOff>9525</xdr:rowOff>
    </xdr:from>
    <xdr:to>
      <xdr:col>5</xdr:col>
      <xdr:colOff>0</xdr:colOff>
      <xdr:row>24</xdr:row>
      <xdr:rowOff>9525</xdr:rowOff>
    </xdr:to>
    <xdr:sp macro="" textlink="">
      <xdr:nvSpPr>
        <xdr:cNvPr id="210821" name="Line 42">
          <a:extLst>
            <a:ext uri="{FF2B5EF4-FFF2-40B4-BE49-F238E27FC236}">
              <a16:creationId xmlns:a16="http://schemas.microsoft.com/office/drawing/2014/main" id="{00000000-0008-0000-0800-000085370300}"/>
            </a:ext>
          </a:extLst>
        </xdr:cNvPr>
        <xdr:cNvSpPr>
          <a:spLocks noChangeShapeType="1"/>
        </xdr:cNvSpPr>
      </xdr:nvSpPr>
      <xdr:spPr bwMode="auto">
        <a:xfrm>
          <a:off x="3781425" y="4533900"/>
          <a:ext cx="1809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714375</xdr:colOff>
      <xdr:row>22</xdr:row>
      <xdr:rowOff>0</xdr:rowOff>
    </xdr:from>
    <xdr:to>
      <xdr:col>5</xdr:col>
      <xdr:colOff>333375</xdr:colOff>
      <xdr:row>22</xdr:row>
      <xdr:rowOff>152400</xdr:rowOff>
    </xdr:to>
    <xdr:sp macro="" textlink="">
      <xdr:nvSpPr>
        <xdr:cNvPr id="7211" name="Text Box 43">
          <a:extLst>
            <a:ext uri="{FF2B5EF4-FFF2-40B4-BE49-F238E27FC236}">
              <a16:creationId xmlns:a16="http://schemas.microsoft.com/office/drawing/2014/main" id="{00000000-0008-0000-0800-00002B1C0000}"/>
            </a:ext>
          </a:extLst>
        </xdr:cNvPr>
        <xdr:cNvSpPr txBox="1">
          <a:spLocks noChangeArrowheads="1"/>
        </xdr:cNvSpPr>
      </xdr:nvSpPr>
      <xdr:spPr bwMode="auto">
        <a:xfrm>
          <a:off x="3867150" y="4200525"/>
          <a:ext cx="4286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30 cm</a:t>
          </a:r>
        </a:p>
      </xdr:txBody>
    </xdr:sp>
    <xdr:clientData/>
  </xdr:twoCellAnchor>
  <xdr:twoCellAnchor>
    <xdr:from>
      <xdr:col>5</xdr:col>
      <xdr:colOff>114300</xdr:colOff>
      <xdr:row>21</xdr:row>
      <xdr:rowOff>9525</xdr:rowOff>
    </xdr:from>
    <xdr:to>
      <xdr:col>5</xdr:col>
      <xdr:colOff>238125</xdr:colOff>
      <xdr:row>28</xdr:row>
      <xdr:rowOff>38100</xdr:rowOff>
    </xdr:to>
    <xdr:sp macro="" textlink="">
      <xdr:nvSpPr>
        <xdr:cNvPr id="210823" name="AutoShape 44">
          <a:extLst>
            <a:ext uri="{FF2B5EF4-FFF2-40B4-BE49-F238E27FC236}">
              <a16:creationId xmlns:a16="http://schemas.microsoft.com/office/drawing/2014/main" id="{00000000-0008-0000-0800-000087370300}"/>
            </a:ext>
          </a:extLst>
        </xdr:cNvPr>
        <xdr:cNvSpPr>
          <a:spLocks/>
        </xdr:cNvSpPr>
      </xdr:nvSpPr>
      <xdr:spPr bwMode="auto">
        <a:xfrm>
          <a:off x="4076700" y="4048125"/>
          <a:ext cx="123825" cy="1162050"/>
        </a:xfrm>
        <a:prstGeom prst="rightBracket">
          <a:avLst>
            <a:gd name="adj" fmla="val 78205"/>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304800</xdr:colOff>
      <xdr:row>24</xdr:row>
      <xdr:rowOff>28575</xdr:rowOff>
    </xdr:from>
    <xdr:to>
      <xdr:col>5</xdr:col>
      <xdr:colOff>762000</xdr:colOff>
      <xdr:row>25</xdr:row>
      <xdr:rowOff>57150</xdr:rowOff>
    </xdr:to>
    <xdr:sp macro="" textlink="">
      <xdr:nvSpPr>
        <xdr:cNvPr id="7213" name="Text Box 45">
          <a:extLst>
            <a:ext uri="{FF2B5EF4-FFF2-40B4-BE49-F238E27FC236}">
              <a16:creationId xmlns:a16="http://schemas.microsoft.com/office/drawing/2014/main" id="{00000000-0008-0000-0800-00002D1C0000}"/>
            </a:ext>
          </a:extLst>
        </xdr:cNvPr>
        <xdr:cNvSpPr txBox="1">
          <a:spLocks noChangeArrowheads="1"/>
        </xdr:cNvSpPr>
      </xdr:nvSpPr>
      <xdr:spPr bwMode="auto">
        <a:xfrm>
          <a:off x="4267200" y="4552950"/>
          <a:ext cx="4572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Remblai</a:t>
          </a:r>
        </a:p>
      </xdr:txBody>
    </xdr:sp>
    <xdr:clientData/>
  </xdr:twoCellAnchor>
  <xdr:twoCellAnchor>
    <xdr:from>
      <xdr:col>4</xdr:col>
      <xdr:colOff>781050</xdr:colOff>
      <xdr:row>28</xdr:row>
      <xdr:rowOff>57150</xdr:rowOff>
    </xdr:from>
    <xdr:to>
      <xdr:col>5</xdr:col>
      <xdr:colOff>476250</xdr:colOff>
      <xdr:row>29</xdr:row>
      <xdr:rowOff>47625</xdr:rowOff>
    </xdr:to>
    <xdr:sp macro="" textlink="">
      <xdr:nvSpPr>
        <xdr:cNvPr id="7214" name="Text Box 46">
          <a:extLst>
            <a:ext uri="{FF2B5EF4-FFF2-40B4-BE49-F238E27FC236}">
              <a16:creationId xmlns:a16="http://schemas.microsoft.com/office/drawing/2014/main" id="{00000000-0008-0000-0800-00002E1C0000}"/>
            </a:ext>
          </a:extLst>
        </xdr:cNvPr>
        <xdr:cNvSpPr txBox="1">
          <a:spLocks noChangeArrowheads="1"/>
        </xdr:cNvSpPr>
      </xdr:nvSpPr>
      <xdr:spPr bwMode="auto">
        <a:xfrm>
          <a:off x="3933825" y="5229225"/>
          <a:ext cx="5048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Enrobage</a:t>
          </a:r>
        </a:p>
      </xdr:txBody>
    </xdr:sp>
    <xdr:clientData/>
  </xdr:twoCellAnchor>
  <xdr:twoCellAnchor>
    <xdr:from>
      <xdr:col>6</xdr:col>
      <xdr:colOff>180975</xdr:colOff>
      <xdr:row>23</xdr:row>
      <xdr:rowOff>0</xdr:rowOff>
    </xdr:from>
    <xdr:to>
      <xdr:col>7</xdr:col>
      <xdr:colOff>257175</xdr:colOff>
      <xdr:row>28</xdr:row>
      <xdr:rowOff>19050</xdr:rowOff>
    </xdr:to>
    <xdr:sp macro="" textlink="">
      <xdr:nvSpPr>
        <xdr:cNvPr id="210826" name="Rectangle 47">
          <a:extLst>
            <a:ext uri="{FF2B5EF4-FFF2-40B4-BE49-F238E27FC236}">
              <a16:creationId xmlns:a16="http://schemas.microsoft.com/office/drawing/2014/main" id="{00000000-0008-0000-0800-00008A370300}"/>
            </a:ext>
          </a:extLst>
        </xdr:cNvPr>
        <xdr:cNvSpPr>
          <a:spLocks noChangeArrowheads="1"/>
        </xdr:cNvSpPr>
      </xdr:nvSpPr>
      <xdr:spPr bwMode="auto">
        <a:xfrm>
          <a:off x="4953000" y="4362450"/>
          <a:ext cx="885825" cy="828675"/>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180975</xdr:colOff>
      <xdr:row>28</xdr:row>
      <xdr:rowOff>19050</xdr:rowOff>
    </xdr:from>
    <xdr:to>
      <xdr:col>7</xdr:col>
      <xdr:colOff>257175</xdr:colOff>
      <xdr:row>29</xdr:row>
      <xdr:rowOff>95250</xdr:rowOff>
    </xdr:to>
    <xdr:sp macro="" textlink="">
      <xdr:nvSpPr>
        <xdr:cNvPr id="210827" name="Rectangle 48">
          <a:extLst>
            <a:ext uri="{FF2B5EF4-FFF2-40B4-BE49-F238E27FC236}">
              <a16:creationId xmlns:a16="http://schemas.microsoft.com/office/drawing/2014/main" id="{00000000-0008-0000-0800-00008B370300}"/>
            </a:ext>
          </a:extLst>
        </xdr:cNvPr>
        <xdr:cNvSpPr>
          <a:spLocks noChangeArrowheads="1"/>
        </xdr:cNvSpPr>
      </xdr:nvSpPr>
      <xdr:spPr bwMode="auto">
        <a:xfrm>
          <a:off x="4953000" y="5191125"/>
          <a:ext cx="885825" cy="238125"/>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228600</xdr:colOff>
      <xdr:row>21</xdr:row>
      <xdr:rowOff>28575</xdr:rowOff>
    </xdr:from>
    <xdr:to>
      <xdr:col>7</xdr:col>
      <xdr:colOff>152400</xdr:colOff>
      <xdr:row>23</xdr:row>
      <xdr:rowOff>9525</xdr:rowOff>
    </xdr:to>
    <xdr:sp macro="" textlink="">
      <xdr:nvSpPr>
        <xdr:cNvPr id="7217" name="Text Box 49">
          <a:extLst>
            <a:ext uri="{FF2B5EF4-FFF2-40B4-BE49-F238E27FC236}">
              <a16:creationId xmlns:a16="http://schemas.microsoft.com/office/drawing/2014/main" id="{00000000-0008-0000-0800-0000311C0000}"/>
            </a:ext>
          </a:extLst>
        </xdr:cNvPr>
        <xdr:cNvSpPr txBox="1">
          <a:spLocks noChangeArrowheads="1"/>
        </xdr:cNvSpPr>
      </xdr:nvSpPr>
      <xdr:spPr bwMode="auto">
        <a:xfrm>
          <a:off x="5000625" y="4067175"/>
          <a:ext cx="733425"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800" b="1" i="0" u="none" strike="noStrike" baseline="0">
              <a:solidFill>
                <a:srgbClr val="000000"/>
              </a:solidFill>
              <a:latin typeface="Arial"/>
              <a:cs typeface="Arial"/>
            </a:rPr>
            <a:t>Terre végétale</a:t>
          </a:r>
        </a:p>
      </xdr:txBody>
    </xdr:sp>
    <xdr:clientData/>
  </xdr:twoCellAnchor>
  <xdr:twoCellAnchor>
    <xdr:from>
      <xdr:col>6</xdr:col>
      <xdr:colOff>371475</xdr:colOff>
      <xdr:row>25</xdr:row>
      <xdr:rowOff>0</xdr:rowOff>
    </xdr:from>
    <xdr:to>
      <xdr:col>7</xdr:col>
      <xdr:colOff>57150</xdr:colOff>
      <xdr:row>26</xdr:row>
      <xdr:rowOff>66675</xdr:rowOff>
    </xdr:to>
    <xdr:sp macro="" textlink="">
      <xdr:nvSpPr>
        <xdr:cNvPr id="7218" name="Text Box 50">
          <a:extLst>
            <a:ext uri="{FF2B5EF4-FFF2-40B4-BE49-F238E27FC236}">
              <a16:creationId xmlns:a16="http://schemas.microsoft.com/office/drawing/2014/main" id="{00000000-0008-0000-0800-0000321C0000}"/>
            </a:ext>
          </a:extLst>
        </xdr:cNvPr>
        <xdr:cNvSpPr txBox="1">
          <a:spLocks noChangeArrowheads="1"/>
        </xdr:cNvSpPr>
      </xdr:nvSpPr>
      <xdr:spPr bwMode="auto">
        <a:xfrm>
          <a:off x="5143500" y="4686300"/>
          <a:ext cx="495300"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q4</a:t>
          </a:r>
        </a:p>
      </xdr:txBody>
    </xdr:sp>
    <xdr:clientData/>
  </xdr:twoCellAnchor>
  <xdr:twoCellAnchor>
    <xdr:from>
      <xdr:col>6</xdr:col>
      <xdr:colOff>533400</xdr:colOff>
      <xdr:row>28</xdr:row>
      <xdr:rowOff>104775</xdr:rowOff>
    </xdr:from>
    <xdr:to>
      <xdr:col>6</xdr:col>
      <xdr:colOff>714375</xdr:colOff>
      <xdr:row>29</xdr:row>
      <xdr:rowOff>85725</xdr:rowOff>
    </xdr:to>
    <xdr:sp macro="" textlink="">
      <xdr:nvSpPr>
        <xdr:cNvPr id="210830" name="Oval 51">
          <a:extLst>
            <a:ext uri="{FF2B5EF4-FFF2-40B4-BE49-F238E27FC236}">
              <a16:creationId xmlns:a16="http://schemas.microsoft.com/office/drawing/2014/main" id="{00000000-0008-0000-0800-00008E370300}"/>
            </a:ext>
          </a:extLst>
        </xdr:cNvPr>
        <xdr:cNvSpPr>
          <a:spLocks noChangeArrowheads="1"/>
        </xdr:cNvSpPr>
      </xdr:nvSpPr>
      <xdr:spPr bwMode="auto">
        <a:xfrm>
          <a:off x="5305425" y="5276850"/>
          <a:ext cx="180975" cy="142875"/>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7</xdr:col>
      <xdr:colOff>428625</xdr:colOff>
      <xdr:row>20</xdr:row>
      <xdr:rowOff>142875</xdr:rowOff>
    </xdr:from>
    <xdr:to>
      <xdr:col>7</xdr:col>
      <xdr:colOff>504825</xdr:colOff>
      <xdr:row>28</xdr:row>
      <xdr:rowOff>38100</xdr:rowOff>
    </xdr:to>
    <xdr:sp macro="" textlink="">
      <xdr:nvSpPr>
        <xdr:cNvPr id="210831" name="AutoShape 52">
          <a:extLst>
            <a:ext uri="{FF2B5EF4-FFF2-40B4-BE49-F238E27FC236}">
              <a16:creationId xmlns:a16="http://schemas.microsoft.com/office/drawing/2014/main" id="{00000000-0008-0000-0800-00008F370300}"/>
            </a:ext>
          </a:extLst>
        </xdr:cNvPr>
        <xdr:cNvSpPr>
          <a:spLocks/>
        </xdr:cNvSpPr>
      </xdr:nvSpPr>
      <xdr:spPr bwMode="auto">
        <a:xfrm>
          <a:off x="6010275" y="4019550"/>
          <a:ext cx="76200" cy="1190625"/>
        </a:xfrm>
        <a:prstGeom prst="rightBracket">
          <a:avLst>
            <a:gd name="adj" fmla="val 130208"/>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295275</xdr:colOff>
      <xdr:row>28</xdr:row>
      <xdr:rowOff>57150</xdr:rowOff>
    </xdr:from>
    <xdr:to>
      <xdr:col>8</xdr:col>
      <xdr:colOff>38100</xdr:colOff>
      <xdr:row>29</xdr:row>
      <xdr:rowOff>47625</xdr:rowOff>
    </xdr:to>
    <xdr:sp macro="" textlink="">
      <xdr:nvSpPr>
        <xdr:cNvPr id="7221" name="Text Box 53">
          <a:extLst>
            <a:ext uri="{FF2B5EF4-FFF2-40B4-BE49-F238E27FC236}">
              <a16:creationId xmlns:a16="http://schemas.microsoft.com/office/drawing/2014/main" id="{00000000-0008-0000-0800-0000351C0000}"/>
            </a:ext>
          </a:extLst>
        </xdr:cNvPr>
        <xdr:cNvSpPr txBox="1">
          <a:spLocks noChangeArrowheads="1"/>
        </xdr:cNvSpPr>
      </xdr:nvSpPr>
      <xdr:spPr bwMode="auto">
        <a:xfrm>
          <a:off x="5876925" y="5229225"/>
          <a:ext cx="5048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Enrobage</a:t>
          </a:r>
        </a:p>
      </xdr:txBody>
    </xdr:sp>
    <xdr:clientData/>
  </xdr:twoCellAnchor>
  <xdr:twoCellAnchor>
    <xdr:from>
      <xdr:col>7</xdr:col>
      <xdr:colOff>523875</xdr:colOff>
      <xdr:row>22</xdr:row>
      <xdr:rowOff>133350</xdr:rowOff>
    </xdr:from>
    <xdr:to>
      <xdr:col>8</xdr:col>
      <xdr:colOff>219075</xdr:colOff>
      <xdr:row>24</xdr:row>
      <xdr:rowOff>0</xdr:rowOff>
    </xdr:to>
    <xdr:sp macro="" textlink="">
      <xdr:nvSpPr>
        <xdr:cNvPr id="7222" name="Text Box 54">
          <a:extLst>
            <a:ext uri="{FF2B5EF4-FFF2-40B4-BE49-F238E27FC236}">
              <a16:creationId xmlns:a16="http://schemas.microsoft.com/office/drawing/2014/main" id="{00000000-0008-0000-0800-0000361C0000}"/>
            </a:ext>
          </a:extLst>
        </xdr:cNvPr>
        <xdr:cNvSpPr txBox="1">
          <a:spLocks noChangeArrowheads="1"/>
        </xdr:cNvSpPr>
      </xdr:nvSpPr>
      <xdr:spPr bwMode="auto">
        <a:xfrm>
          <a:off x="6105525" y="4333875"/>
          <a:ext cx="4572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Remblai</a:t>
          </a:r>
        </a:p>
      </xdr:txBody>
    </xdr:sp>
    <xdr:clientData/>
  </xdr:twoCellAnchor>
  <xdr:twoCellAnchor>
    <xdr:from>
      <xdr:col>6</xdr:col>
      <xdr:colOff>276225</xdr:colOff>
      <xdr:row>43</xdr:row>
      <xdr:rowOff>76200</xdr:rowOff>
    </xdr:from>
    <xdr:to>
      <xdr:col>6</xdr:col>
      <xdr:colOff>419100</xdr:colOff>
      <xdr:row>43</xdr:row>
      <xdr:rowOff>76200</xdr:rowOff>
    </xdr:to>
    <xdr:sp macro="" textlink="">
      <xdr:nvSpPr>
        <xdr:cNvPr id="210834" name="Line 55">
          <a:extLst>
            <a:ext uri="{FF2B5EF4-FFF2-40B4-BE49-F238E27FC236}">
              <a16:creationId xmlns:a16="http://schemas.microsoft.com/office/drawing/2014/main" id="{00000000-0008-0000-0800-000092370300}"/>
            </a:ext>
          </a:extLst>
        </xdr:cNvPr>
        <xdr:cNvSpPr>
          <a:spLocks noChangeShapeType="1"/>
        </xdr:cNvSpPr>
      </xdr:nvSpPr>
      <xdr:spPr bwMode="auto">
        <a:xfrm>
          <a:off x="5048250" y="7696200"/>
          <a:ext cx="142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285750</xdr:colOff>
      <xdr:row>44</xdr:row>
      <xdr:rowOff>66675</xdr:rowOff>
    </xdr:from>
    <xdr:to>
      <xdr:col>6</xdr:col>
      <xdr:colOff>428625</xdr:colOff>
      <xdr:row>44</xdr:row>
      <xdr:rowOff>66675</xdr:rowOff>
    </xdr:to>
    <xdr:sp macro="" textlink="">
      <xdr:nvSpPr>
        <xdr:cNvPr id="210835" name="Line 56">
          <a:extLst>
            <a:ext uri="{FF2B5EF4-FFF2-40B4-BE49-F238E27FC236}">
              <a16:creationId xmlns:a16="http://schemas.microsoft.com/office/drawing/2014/main" id="{00000000-0008-0000-0800-000093370300}"/>
            </a:ext>
          </a:extLst>
        </xdr:cNvPr>
        <xdr:cNvSpPr>
          <a:spLocks noChangeShapeType="1"/>
        </xdr:cNvSpPr>
      </xdr:nvSpPr>
      <xdr:spPr bwMode="auto">
        <a:xfrm>
          <a:off x="5057775" y="7848600"/>
          <a:ext cx="142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219075</xdr:colOff>
      <xdr:row>58</xdr:row>
      <xdr:rowOff>123825</xdr:rowOff>
    </xdr:from>
    <xdr:to>
      <xdr:col>8</xdr:col>
      <xdr:colOff>361950</xdr:colOff>
      <xdr:row>58</xdr:row>
      <xdr:rowOff>476250</xdr:rowOff>
    </xdr:to>
    <xdr:sp macro="" textlink="">
      <xdr:nvSpPr>
        <xdr:cNvPr id="7225" name="Text Box 57">
          <a:extLst>
            <a:ext uri="{FF2B5EF4-FFF2-40B4-BE49-F238E27FC236}">
              <a16:creationId xmlns:a16="http://schemas.microsoft.com/office/drawing/2014/main" id="{00000000-0008-0000-0800-0000391C0000}"/>
            </a:ext>
          </a:extLst>
        </xdr:cNvPr>
        <xdr:cNvSpPr txBox="1">
          <a:spLocks noChangeArrowheads="1"/>
        </xdr:cNvSpPr>
      </xdr:nvSpPr>
      <xdr:spPr bwMode="auto">
        <a:xfrm>
          <a:off x="5800725" y="10696575"/>
          <a:ext cx="904875" cy="352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800" b="0" i="0" u="none" strike="noStrike" baseline="0">
              <a:solidFill>
                <a:srgbClr val="000000"/>
              </a:solidFill>
              <a:latin typeface="Arial"/>
              <a:cs typeface="Arial"/>
            </a:rPr>
            <a:t>An1/Pr1/4.10/SO</a:t>
          </a:r>
        </a:p>
        <a:p>
          <a:pPr algn="ctr" rtl="0">
            <a:defRPr sz="1000"/>
          </a:pPr>
          <a:r>
            <a:rPr lang="fr-FR" sz="800" b="0" i="0" u="none" strike="noStrike" baseline="0">
              <a:solidFill>
                <a:srgbClr val="000000"/>
              </a:solidFill>
              <a:latin typeface="Arial"/>
              <a:cs typeface="Arial"/>
            </a:rPr>
            <a:t>b</a:t>
          </a:r>
        </a:p>
      </xdr:txBody>
    </xdr:sp>
    <xdr:clientData/>
  </xdr:twoCellAnchor>
  <xdr:twoCellAnchor>
    <xdr:from>
      <xdr:col>7</xdr:col>
      <xdr:colOff>123825</xdr:colOff>
      <xdr:row>58</xdr:row>
      <xdr:rowOff>28575</xdr:rowOff>
    </xdr:from>
    <xdr:to>
      <xdr:col>8</xdr:col>
      <xdr:colOff>495300</xdr:colOff>
      <xdr:row>58</xdr:row>
      <xdr:rowOff>409575</xdr:rowOff>
    </xdr:to>
    <xdr:sp macro="" textlink="">
      <xdr:nvSpPr>
        <xdr:cNvPr id="210837" name="Oval 58">
          <a:extLst>
            <a:ext uri="{FF2B5EF4-FFF2-40B4-BE49-F238E27FC236}">
              <a16:creationId xmlns:a16="http://schemas.microsoft.com/office/drawing/2014/main" id="{00000000-0008-0000-0800-000095370300}"/>
            </a:ext>
          </a:extLst>
        </xdr:cNvPr>
        <xdr:cNvSpPr>
          <a:spLocks noChangeArrowheads="1"/>
        </xdr:cNvSpPr>
      </xdr:nvSpPr>
      <xdr:spPr bwMode="auto">
        <a:xfrm>
          <a:off x="5705475" y="10601325"/>
          <a:ext cx="1133475" cy="381000"/>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95250</xdr:colOff>
      <xdr:row>65</xdr:row>
      <xdr:rowOff>85725</xdr:rowOff>
    </xdr:from>
    <xdr:to>
      <xdr:col>4</xdr:col>
      <xdr:colOff>685800</xdr:colOff>
      <xdr:row>65</xdr:row>
      <xdr:rowOff>85725</xdr:rowOff>
    </xdr:to>
    <xdr:sp macro="" textlink="">
      <xdr:nvSpPr>
        <xdr:cNvPr id="210838" name="Line 59">
          <a:extLst>
            <a:ext uri="{FF2B5EF4-FFF2-40B4-BE49-F238E27FC236}">
              <a16:creationId xmlns:a16="http://schemas.microsoft.com/office/drawing/2014/main" id="{00000000-0008-0000-0800-000096370300}"/>
            </a:ext>
          </a:extLst>
        </xdr:cNvPr>
        <xdr:cNvSpPr>
          <a:spLocks noChangeShapeType="1"/>
        </xdr:cNvSpPr>
      </xdr:nvSpPr>
      <xdr:spPr bwMode="auto">
        <a:xfrm>
          <a:off x="3248025" y="12134850"/>
          <a:ext cx="590550"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a:tailEnd type="triangle" w="lg" len="med"/>
        </a:ln>
        <a:extLst>
          <a:ext uri="{909E8E84-426E-40DD-AFC4-6F175D3DCCD1}">
            <a14:hiddenFill xmlns:a14="http://schemas.microsoft.com/office/drawing/2010/main">
              <a:noFill/>
            </a14:hiddenFill>
          </a:ext>
        </a:extLst>
      </xdr:spPr>
    </xdr:sp>
    <xdr:clientData/>
  </xdr:twoCellAnchor>
  <xdr:twoCellAnchor>
    <xdr:from>
      <xdr:col>6</xdr:col>
      <xdr:colOff>228600</xdr:colOff>
      <xdr:row>67</xdr:row>
      <xdr:rowOff>104775</xdr:rowOff>
    </xdr:from>
    <xdr:to>
      <xdr:col>7</xdr:col>
      <xdr:colOff>581025</xdr:colOff>
      <xdr:row>69</xdr:row>
      <xdr:rowOff>57150</xdr:rowOff>
    </xdr:to>
    <xdr:sp macro="" textlink="">
      <xdr:nvSpPr>
        <xdr:cNvPr id="7228" name="Text Box 60">
          <a:extLst>
            <a:ext uri="{FF2B5EF4-FFF2-40B4-BE49-F238E27FC236}">
              <a16:creationId xmlns:a16="http://schemas.microsoft.com/office/drawing/2014/main" id="{00000000-0008-0000-0800-00003C1C0000}"/>
            </a:ext>
          </a:extLst>
        </xdr:cNvPr>
        <xdr:cNvSpPr txBox="1">
          <a:spLocks noChangeArrowheads="1"/>
        </xdr:cNvSpPr>
      </xdr:nvSpPr>
      <xdr:spPr bwMode="auto">
        <a:xfrm>
          <a:off x="5000625" y="12477750"/>
          <a:ext cx="1162050" cy="2762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Sous chaussée</a:t>
          </a:r>
        </a:p>
      </xdr:txBody>
    </xdr:sp>
    <xdr:clientData/>
  </xdr:twoCellAnchor>
  <xdr:twoCellAnchor>
    <xdr:from>
      <xdr:col>6</xdr:col>
      <xdr:colOff>323850</xdr:colOff>
      <xdr:row>70</xdr:row>
      <xdr:rowOff>0</xdr:rowOff>
    </xdr:from>
    <xdr:to>
      <xdr:col>7</xdr:col>
      <xdr:colOff>457200</xdr:colOff>
      <xdr:row>70</xdr:row>
      <xdr:rowOff>0</xdr:rowOff>
    </xdr:to>
    <xdr:sp macro="" textlink="">
      <xdr:nvSpPr>
        <xdr:cNvPr id="210840" name="Line 61">
          <a:extLst>
            <a:ext uri="{FF2B5EF4-FFF2-40B4-BE49-F238E27FC236}">
              <a16:creationId xmlns:a16="http://schemas.microsoft.com/office/drawing/2014/main" id="{00000000-0008-0000-0800-000098370300}"/>
            </a:ext>
          </a:extLst>
        </xdr:cNvPr>
        <xdr:cNvSpPr>
          <a:spLocks noChangeShapeType="1"/>
        </xdr:cNvSpPr>
      </xdr:nvSpPr>
      <xdr:spPr bwMode="auto">
        <a:xfrm>
          <a:off x="5095875" y="12858750"/>
          <a:ext cx="942975"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6</xdr:col>
      <xdr:colOff>438150</xdr:colOff>
      <xdr:row>70</xdr:row>
      <xdr:rowOff>9525</xdr:rowOff>
    </xdr:from>
    <xdr:to>
      <xdr:col>7</xdr:col>
      <xdr:colOff>352425</xdr:colOff>
      <xdr:row>72</xdr:row>
      <xdr:rowOff>28575</xdr:rowOff>
    </xdr:to>
    <xdr:sp macro="" textlink="">
      <xdr:nvSpPr>
        <xdr:cNvPr id="210841" name="Rectangle 62">
          <a:extLst>
            <a:ext uri="{FF2B5EF4-FFF2-40B4-BE49-F238E27FC236}">
              <a16:creationId xmlns:a16="http://schemas.microsoft.com/office/drawing/2014/main" id="{00000000-0008-0000-0800-000099370300}"/>
            </a:ext>
          </a:extLst>
        </xdr:cNvPr>
        <xdr:cNvSpPr>
          <a:spLocks noChangeArrowheads="1"/>
        </xdr:cNvSpPr>
      </xdr:nvSpPr>
      <xdr:spPr bwMode="auto">
        <a:xfrm>
          <a:off x="5210175" y="12868275"/>
          <a:ext cx="723900" cy="342900"/>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438150</xdr:colOff>
      <xdr:row>72</xdr:row>
      <xdr:rowOff>38100</xdr:rowOff>
    </xdr:from>
    <xdr:to>
      <xdr:col>7</xdr:col>
      <xdr:colOff>352425</xdr:colOff>
      <xdr:row>74</xdr:row>
      <xdr:rowOff>114300</xdr:rowOff>
    </xdr:to>
    <xdr:sp macro="" textlink="">
      <xdr:nvSpPr>
        <xdr:cNvPr id="210842" name="Rectangle 63">
          <a:extLst>
            <a:ext uri="{FF2B5EF4-FFF2-40B4-BE49-F238E27FC236}">
              <a16:creationId xmlns:a16="http://schemas.microsoft.com/office/drawing/2014/main" id="{00000000-0008-0000-0800-00009A370300}"/>
            </a:ext>
          </a:extLst>
        </xdr:cNvPr>
        <xdr:cNvSpPr>
          <a:spLocks noChangeArrowheads="1"/>
        </xdr:cNvSpPr>
      </xdr:nvSpPr>
      <xdr:spPr bwMode="auto">
        <a:xfrm>
          <a:off x="5210175" y="13220700"/>
          <a:ext cx="723900" cy="40005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438150</xdr:colOff>
      <xdr:row>74</xdr:row>
      <xdr:rowOff>123825</xdr:rowOff>
    </xdr:from>
    <xdr:to>
      <xdr:col>7</xdr:col>
      <xdr:colOff>352425</xdr:colOff>
      <xdr:row>76</xdr:row>
      <xdr:rowOff>9525</xdr:rowOff>
    </xdr:to>
    <xdr:sp macro="" textlink="">
      <xdr:nvSpPr>
        <xdr:cNvPr id="210843" name="Rectangle 64">
          <a:extLst>
            <a:ext uri="{FF2B5EF4-FFF2-40B4-BE49-F238E27FC236}">
              <a16:creationId xmlns:a16="http://schemas.microsoft.com/office/drawing/2014/main" id="{00000000-0008-0000-0800-00009B370300}"/>
            </a:ext>
          </a:extLst>
        </xdr:cNvPr>
        <xdr:cNvSpPr>
          <a:spLocks noChangeArrowheads="1"/>
        </xdr:cNvSpPr>
      </xdr:nvSpPr>
      <xdr:spPr bwMode="auto">
        <a:xfrm>
          <a:off x="5210175" y="13630275"/>
          <a:ext cx="723900" cy="209550"/>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438150</xdr:colOff>
      <xdr:row>76</xdr:row>
      <xdr:rowOff>19050</xdr:rowOff>
    </xdr:from>
    <xdr:to>
      <xdr:col>7</xdr:col>
      <xdr:colOff>352425</xdr:colOff>
      <xdr:row>76</xdr:row>
      <xdr:rowOff>133350</xdr:rowOff>
    </xdr:to>
    <xdr:sp macro="" textlink="">
      <xdr:nvSpPr>
        <xdr:cNvPr id="210844" name="Rectangle 65">
          <a:extLst>
            <a:ext uri="{FF2B5EF4-FFF2-40B4-BE49-F238E27FC236}">
              <a16:creationId xmlns:a16="http://schemas.microsoft.com/office/drawing/2014/main" id="{00000000-0008-0000-0800-00009C370300}"/>
            </a:ext>
          </a:extLst>
        </xdr:cNvPr>
        <xdr:cNvSpPr>
          <a:spLocks noChangeArrowheads="1"/>
        </xdr:cNvSpPr>
      </xdr:nvSpPr>
      <xdr:spPr bwMode="auto">
        <a:xfrm>
          <a:off x="5210175" y="13849350"/>
          <a:ext cx="723900" cy="11430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6</xdr:col>
      <xdr:colOff>609600</xdr:colOff>
      <xdr:row>70</xdr:row>
      <xdr:rowOff>66675</xdr:rowOff>
    </xdr:from>
    <xdr:to>
      <xdr:col>7</xdr:col>
      <xdr:colOff>171450</xdr:colOff>
      <xdr:row>71</xdr:row>
      <xdr:rowOff>123825</xdr:rowOff>
    </xdr:to>
    <xdr:sp macro="" textlink="">
      <xdr:nvSpPr>
        <xdr:cNvPr id="7234" name="Text Box 66">
          <a:extLst>
            <a:ext uri="{FF2B5EF4-FFF2-40B4-BE49-F238E27FC236}">
              <a16:creationId xmlns:a16="http://schemas.microsoft.com/office/drawing/2014/main" id="{00000000-0008-0000-0800-0000421C0000}"/>
            </a:ext>
          </a:extLst>
        </xdr:cNvPr>
        <xdr:cNvSpPr txBox="1">
          <a:spLocks noChangeArrowheads="1"/>
        </xdr:cNvSpPr>
      </xdr:nvSpPr>
      <xdr:spPr bwMode="auto">
        <a:xfrm>
          <a:off x="5381625" y="12925425"/>
          <a:ext cx="3714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q2</a:t>
          </a:r>
        </a:p>
      </xdr:txBody>
    </xdr:sp>
    <xdr:clientData/>
  </xdr:twoCellAnchor>
  <xdr:twoCellAnchor>
    <xdr:from>
      <xdr:col>6</xdr:col>
      <xdr:colOff>600075</xdr:colOff>
      <xdr:row>72</xdr:row>
      <xdr:rowOff>104775</xdr:rowOff>
    </xdr:from>
    <xdr:to>
      <xdr:col>7</xdr:col>
      <xdr:colOff>171450</xdr:colOff>
      <xdr:row>74</xdr:row>
      <xdr:rowOff>9525</xdr:rowOff>
    </xdr:to>
    <xdr:sp macro="" textlink="">
      <xdr:nvSpPr>
        <xdr:cNvPr id="7235" name="Text Box 67">
          <a:extLst>
            <a:ext uri="{FF2B5EF4-FFF2-40B4-BE49-F238E27FC236}">
              <a16:creationId xmlns:a16="http://schemas.microsoft.com/office/drawing/2014/main" id="{00000000-0008-0000-0800-0000431C0000}"/>
            </a:ext>
          </a:extLst>
        </xdr:cNvPr>
        <xdr:cNvSpPr txBox="1">
          <a:spLocks noChangeArrowheads="1"/>
        </xdr:cNvSpPr>
      </xdr:nvSpPr>
      <xdr:spPr bwMode="auto">
        <a:xfrm>
          <a:off x="5372100" y="13287375"/>
          <a:ext cx="381000"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q3</a:t>
          </a:r>
        </a:p>
      </xdr:txBody>
    </xdr:sp>
    <xdr:clientData/>
  </xdr:twoCellAnchor>
  <xdr:twoCellAnchor>
    <xdr:from>
      <xdr:col>6</xdr:col>
      <xdr:colOff>714375</xdr:colOff>
      <xdr:row>75</xdr:row>
      <xdr:rowOff>0</xdr:rowOff>
    </xdr:from>
    <xdr:to>
      <xdr:col>7</xdr:col>
      <xdr:colOff>38100</xdr:colOff>
      <xdr:row>75</xdr:row>
      <xdr:rowOff>142875</xdr:rowOff>
    </xdr:to>
    <xdr:sp macro="" textlink="">
      <xdr:nvSpPr>
        <xdr:cNvPr id="210847" name="Oval 68">
          <a:extLst>
            <a:ext uri="{FF2B5EF4-FFF2-40B4-BE49-F238E27FC236}">
              <a16:creationId xmlns:a16="http://schemas.microsoft.com/office/drawing/2014/main" id="{00000000-0008-0000-0800-00009F370300}"/>
            </a:ext>
          </a:extLst>
        </xdr:cNvPr>
        <xdr:cNvSpPr>
          <a:spLocks noChangeArrowheads="1"/>
        </xdr:cNvSpPr>
      </xdr:nvSpPr>
      <xdr:spPr bwMode="auto">
        <a:xfrm>
          <a:off x="5486400" y="13668375"/>
          <a:ext cx="133350" cy="142875"/>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7</xdr:col>
      <xdr:colOff>495300</xdr:colOff>
      <xdr:row>70</xdr:row>
      <xdr:rowOff>38100</xdr:rowOff>
    </xdr:from>
    <xdr:to>
      <xdr:col>7</xdr:col>
      <xdr:colOff>495300</xdr:colOff>
      <xdr:row>72</xdr:row>
      <xdr:rowOff>9525</xdr:rowOff>
    </xdr:to>
    <xdr:sp macro="" textlink="">
      <xdr:nvSpPr>
        <xdr:cNvPr id="210848" name="Line 69">
          <a:extLst>
            <a:ext uri="{FF2B5EF4-FFF2-40B4-BE49-F238E27FC236}">
              <a16:creationId xmlns:a16="http://schemas.microsoft.com/office/drawing/2014/main" id="{00000000-0008-0000-0800-0000A0370300}"/>
            </a:ext>
          </a:extLst>
        </xdr:cNvPr>
        <xdr:cNvSpPr>
          <a:spLocks noChangeShapeType="1"/>
        </xdr:cNvSpPr>
      </xdr:nvSpPr>
      <xdr:spPr bwMode="auto">
        <a:xfrm>
          <a:off x="6076950" y="12896850"/>
          <a:ext cx="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495300</xdr:colOff>
      <xdr:row>72</xdr:row>
      <xdr:rowOff>66675</xdr:rowOff>
    </xdr:from>
    <xdr:to>
      <xdr:col>7</xdr:col>
      <xdr:colOff>495300</xdr:colOff>
      <xdr:row>74</xdr:row>
      <xdr:rowOff>114300</xdr:rowOff>
    </xdr:to>
    <xdr:sp macro="" textlink="">
      <xdr:nvSpPr>
        <xdr:cNvPr id="210849" name="Line 70">
          <a:extLst>
            <a:ext uri="{FF2B5EF4-FFF2-40B4-BE49-F238E27FC236}">
              <a16:creationId xmlns:a16="http://schemas.microsoft.com/office/drawing/2014/main" id="{00000000-0008-0000-0800-0000A1370300}"/>
            </a:ext>
          </a:extLst>
        </xdr:cNvPr>
        <xdr:cNvSpPr>
          <a:spLocks noChangeShapeType="1"/>
        </xdr:cNvSpPr>
      </xdr:nvSpPr>
      <xdr:spPr bwMode="auto">
        <a:xfrm>
          <a:off x="6076950" y="13249275"/>
          <a:ext cx="0" cy="371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190500</xdr:colOff>
      <xdr:row>70</xdr:row>
      <xdr:rowOff>19050</xdr:rowOff>
    </xdr:from>
    <xdr:to>
      <xdr:col>8</xdr:col>
      <xdr:colOff>190500</xdr:colOff>
      <xdr:row>75</xdr:row>
      <xdr:rowOff>19050</xdr:rowOff>
    </xdr:to>
    <xdr:sp macro="" textlink="">
      <xdr:nvSpPr>
        <xdr:cNvPr id="210850" name="Line 71">
          <a:extLst>
            <a:ext uri="{FF2B5EF4-FFF2-40B4-BE49-F238E27FC236}">
              <a16:creationId xmlns:a16="http://schemas.microsoft.com/office/drawing/2014/main" id="{00000000-0008-0000-0800-0000A2370300}"/>
            </a:ext>
          </a:extLst>
        </xdr:cNvPr>
        <xdr:cNvSpPr>
          <a:spLocks noChangeShapeType="1"/>
        </xdr:cNvSpPr>
      </xdr:nvSpPr>
      <xdr:spPr bwMode="auto">
        <a:xfrm>
          <a:off x="6534150" y="12877800"/>
          <a:ext cx="0" cy="809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428625</xdr:colOff>
      <xdr:row>70</xdr:row>
      <xdr:rowOff>0</xdr:rowOff>
    </xdr:from>
    <xdr:to>
      <xdr:col>8</xdr:col>
      <xdr:colOff>276225</xdr:colOff>
      <xdr:row>70</xdr:row>
      <xdr:rowOff>0</xdr:rowOff>
    </xdr:to>
    <xdr:sp macro="" textlink="">
      <xdr:nvSpPr>
        <xdr:cNvPr id="210851" name="Line 72">
          <a:extLst>
            <a:ext uri="{FF2B5EF4-FFF2-40B4-BE49-F238E27FC236}">
              <a16:creationId xmlns:a16="http://schemas.microsoft.com/office/drawing/2014/main" id="{00000000-0008-0000-0800-0000A3370300}"/>
            </a:ext>
          </a:extLst>
        </xdr:cNvPr>
        <xdr:cNvSpPr>
          <a:spLocks noChangeShapeType="1"/>
        </xdr:cNvSpPr>
      </xdr:nvSpPr>
      <xdr:spPr bwMode="auto">
        <a:xfrm>
          <a:off x="6010275" y="12858750"/>
          <a:ext cx="609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381000</xdr:colOff>
      <xdr:row>72</xdr:row>
      <xdr:rowOff>38100</xdr:rowOff>
    </xdr:from>
    <xdr:to>
      <xdr:col>7</xdr:col>
      <xdr:colOff>723900</xdr:colOff>
      <xdr:row>72</xdr:row>
      <xdr:rowOff>38100</xdr:rowOff>
    </xdr:to>
    <xdr:sp macro="" textlink="">
      <xdr:nvSpPr>
        <xdr:cNvPr id="210852" name="Line 73">
          <a:extLst>
            <a:ext uri="{FF2B5EF4-FFF2-40B4-BE49-F238E27FC236}">
              <a16:creationId xmlns:a16="http://schemas.microsoft.com/office/drawing/2014/main" id="{00000000-0008-0000-0800-0000A4370300}"/>
            </a:ext>
          </a:extLst>
        </xdr:cNvPr>
        <xdr:cNvSpPr>
          <a:spLocks noChangeShapeType="1"/>
        </xdr:cNvSpPr>
      </xdr:nvSpPr>
      <xdr:spPr bwMode="auto">
        <a:xfrm>
          <a:off x="5962650" y="13220700"/>
          <a:ext cx="3429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390525</xdr:colOff>
      <xdr:row>75</xdr:row>
      <xdr:rowOff>0</xdr:rowOff>
    </xdr:from>
    <xdr:to>
      <xdr:col>7</xdr:col>
      <xdr:colOff>666750</xdr:colOff>
      <xdr:row>75</xdr:row>
      <xdr:rowOff>0</xdr:rowOff>
    </xdr:to>
    <xdr:sp macro="" textlink="">
      <xdr:nvSpPr>
        <xdr:cNvPr id="210853" name="Line 74">
          <a:extLst>
            <a:ext uri="{FF2B5EF4-FFF2-40B4-BE49-F238E27FC236}">
              <a16:creationId xmlns:a16="http://schemas.microsoft.com/office/drawing/2014/main" id="{00000000-0008-0000-0800-0000A5370300}"/>
            </a:ext>
          </a:extLst>
        </xdr:cNvPr>
        <xdr:cNvSpPr>
          <a:spLocks noChangeShapeType="1"/>
        </xdr:cNvSpPr>
      </xdr:nvSpPr>
      <xdr:spPr bwMode="auto">
        <a:xfrm>
          <a:off x="5972175" y="13668375"/>
          <a:ext cx="2762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476250</xdr:colOff>
      <xdr:row>77</xdr:row>
      <xdr:rowOff>66675</xdr:rowOff>
    </xdr:from>
    <xdr:to>
      <xdr:col>7</xdr:col>
      <xdr:colOff>314325</xdr:colOff>
      <xdr:row>77</xdr:row>
      <xdr:rowOff>66675</xdr:rowOff>
    </xdr:to>
    <xdr:sp macro="" textlink="">
      <xdr:nvSpPr>
        <xdr:cNvPr id="210854" name="Line 75">
          <a:extLst>
            <a:ext uri="{FF2B5EF4-FFF2-40B4-BE49-F238E27FC236}">
              <a16:creationId xmlns:a16="http://schemas.microsoft.com/office/drawing/2014/main" id="{00000000-0008-0000-0800-0000A6370300}"/>
            </a:ext>
          </a:extLst>
        </xdr:cNvPr>
        <xdr:cNvSpPr>
          <a:spLocks noChangeShapeType="1"/>
        </xdr:cNvSpPr>
      </xdr:nvSpPr>
      <xdr:spPr bwMode="auto">
        <a:xfrm>
          <a:off x="5248275" y="14058900"/>
          <a:ext cx="6477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447675</xdr:colOff>
      <xdr:row>76</xdr:row>
      <xdr:rowOff>152400</xdr:rowOff>
    </xdr:from>
    <xdr:to>
      <xdr:col>6</xdr:col>
      <xdr:colOff>447675</xdr:colOff>
      <xdr:row>78</xdr:row>
      <xdr:rowOff>47625</xdr:rowOff>
    </xdr:to>
    <xdr:sp macro="" textlink="">
      <xdr:nvSpPr>
        <xdr:cNvPr id="210855" name="Line 76">
          <a:extLst>
            <a:ext uri="{FF2B5EF4-FFF2-40B4-BE49-F238E27FC236}">
              <a16:creationId xmlns:a16="http://schemas.microsoft.com/office/drawing/2014/main" id="{00000000-0008-0000-0800-0000A7370300}"/>
            </a:ext>
          </a:extLst>
        </xdr:cNvPr>
        <xdr:cNvSpPr>
          <a:spLocks noChangeShapeType="1"/>
        </xdr:cNvSpPr>
      </xdr:nvSpPr>
      <xdr:spPr bwMode="auto">
        <a:xfrm>
          <a:off x="5219700" y="13982700"/>
          <a:ext cx="0" cy="2190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352425</xdr:colOff>
      <xdr:row>76</xdr:row>
      <xdr:rowOff>142875</xdr:rowOff>
    </xdr:from>
    <xdr:to>
      <xdr:col>7</xdr:col>
      <xdr:colOff>352425</xdr:colOff>
      <xdr:row>78</xdr:row>
      <xdr:rowOff>47625</xdr:rowOff>
    </xdr:to>
    <xdr:sp macro="" textlink="">
      <xdr:nvSpPr>
        <xdr:cNvPr id="210856" name="Line 77">
          <a:extLst>
            <a:ext uri="{FF2B5EF4-FFF2-40B4-BE49-F238E27FC236}">
              <a16:creationId xmlns:a16="http://schemas.microsoft.com/office/drawing/2014/main" id="{00000000-0008-0000-0800-0000A8370300}"/>
            </a:ext>
          </a:extLst>
        </xdr:cNvPr>
        <xdr:cNvSpPr>
          <a:spLocks noChangeShapeType="1"/>
        </xdr:cNvSpPr>
      </xdr:nvSpPr>
      <xdr:spPr bwMode="auto">
        <a:xfrm>
          <a:off x="5934075" y="13973175"/>
          <a:ext cx="0" cy="228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495300</xdr:colOff>
      <xdr:row>75</xdr:row>
      <xdr:rowOff>57150</xdr:rowOff>
    </xdr:from>
    <xdr:to>
      <xdr:col>7</xdr:col>
      <xdr:colOff>495300</xdr:colOff>
      <xdr:row>76</xdr:row>
      <xdr:rowOff>47625</xdr:rowOff>
    </xdr:to>
    <xdr:sp macro="" textlink="">
      <xdr:nvSpPr>
        <xdr:cNvPr id="210857" name="Line 78">
          <a:extLst>
            <a:ext uri="{FF2B5EF4-FFF2-40B4-BE49-F238E27FC236}">
              <a16:creationId xmlns:a16="http://schemas.microsoft.com/office/drawing/2014/main" id="{00000000-0008-0000-0800-0000A9370300}"/>
            </a:ext>
          </a:extLst>
        </xdr:cNvPr>
        <xdr:cNvSpPr>
          <a:spLocks noChangeShapeType="1"/>
        </xdr:cNvSpPr>
      </xdr:nvSpPr>
      <xdr:spPr bwMode="auto">
        <a:xfrm flipH="1" flipV="1">
          <a:off x="6076950" y="13725525"/>
          <a:ext cx="0" cy="152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361950</xdr:colOff>
      <xdr:row>75</xdr:row>
      <xdr:rowOff>95250</xdr:rowOff>
    </xdr:from>
    <xdr:to>
      <xdr:col>8</xdr:col>
      <xdr:colOff>381000</xdr:colOff>
      <xdr:row>75</xdr:row>
      <xdr:rowOff>95250</xdr:rowOff>
    </xdr:to>
    <xdr:sp macro="" textlink="">
      <xdr:nvSpPr>
        <xdr:cNvPr id="210858" name="Line 79">
          <a:extLst>
            <a:ext uri="{FF2B5EF4-FFF2-40B4-BE49-F238E27FC236}">
              <a16:creationId xmlns:a16="http://schemas.microsoft.com/office/drawing/2014/main" id="{00000000-0008-0000-0800-0000AA370300}"/>
            </a:ext>
          </a:extLst>
        </xdr:cNvPr>
        <xdr:cNvSpPr>
          <a:spLocks noChangeShapeType="1"/>
        </xdr:cNvSpPr>
      </xdr:nvSpPr>
      <xdr:spPr bwMode="auto">
        <a:xfrm>
          <a:off x="5943600" y="13763625"/>
          <a:ext cx="7810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666750</xdr:colOff>
      <xdr:row>72</xdr:row>
      <xdr:rowOff>28575</xdr:rowOff>
    </xdr:from>
    <xdr:to>
      <xdr:col>8</xdr:col>
      <xdr:colOff>142875</xdr:colOff>
      <xdr:row>73</xdr:row>
      <xdr:rowOff>38100</xdr:rowOff>
    </xdr:to>
    <xdr:sp macro="" textlink="">
      <xdr:nvSpPr>
        <xdr:cNvPr id="7248" name="Text Box 80">
          <a:extLst>
            <a:ext uri="{FF2B5EF4-FFF2-40B4-BE49-F238E27FC236}">
              <a16:creationId xmlns:a16="http://schemas.microsoft.com/office/drawing/2014/main" id="{00000000-0008-0000-0800-0000501C0000}"/>
            </a:ext>
          </a:extLst>
        </xdr:cNvPr>
        <xdr:cNvSpPr txBox="1">
          <a:spLocks noChangeArrowheads="1"/>
        </xdr:cNvSpPr>
      </xdr:nvSpPr>
      <xdr:spPr bwMode="auto">
        <a:xfrm>
          <a:off x="6248400" y="13211175"/>
          <a:ext cx="2381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25</a:t>
          </a:r>
        </a:p>
      </xdr:txBody>
    </xdr:sp>
    <xdr:clientData/>
  </xdr:twoCellAnchor>
  <xdr:twoCellAnchor>
    <xdr:from>
      <xdr:col>7</xdr:col>
      <xdr:colOff>666750</xdr:colOff>
      <xdr:row>74</xdr:row>
      <xdr:rowOff>57150</xdr:rowOff>
    </xdr:from>
    <xdr:to>
      <xdr:col>8</xdr:col>
      <xdr:colOff>190500</xdr:colOff>
      <xdr:row>75</xdr:row>
      <xdr:rowOff>76200</xdr:rowOff>
    </xdr:to>
    <xdr:sp macro="" textlink="">
      <xdr:nvSpPr>
        <xdr:cNvPr id="7249" name="Text Box 81">
          <a:extLst>
            <a:ext uri="{FF2B5EF4-FFF2-40B4-BE49-F238E27FC236}">
              <a16:creationId xmlns:a16="http://schemas.microsoft.com/office/drawing/2014/main" id="{00000000-0008-0000-0800-0000511C0000}"/>
            </a:ext>
          </a:extLst>
        </xdr:cNvPr>
        <xdr:cNvSpPr txBox="1">
          <a:spLocks noChangeArrowheads="1"/>
        </xdr:cNvSpPr>
      </xdr:nvSpPr>
      <xdr:spPr bwMode="auto">
        <a:xfrm>
          <a:off x="6248400" y="13563600"/>
          <a:ext cx="2857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45</a:t>
          </a:r>
        </a:p>
      </xdr:txBody>
    </xdr:sp>
    <xdr:clientData/>
  </xdr:twoCellAnchor>
  <xdr:twoCellAnchor>
    <xdr:from>
      <xdr:col>8</xdr:col>
      <xdr:colOff>247650</xdr:colOff>
      <xdr:row>72</xdr:row>
      <xdr:rowOff>28575</xdr:rowOff>
    </xdr:from>
    <xdr:to>
      <xdr:col>8</xdr:col>
      <xdr:colOff>647700</xdr:colOff>
      <xdr:row>73</xdr:row>
      <xdr:rowOff>104775</xdr:rowOff>
    </xdr:to>
    <xdr:sp macro="" textlink="">
      <xdr:nvSpPr>
        <xdr:cNvPr id="7250" name="Text Box 82">
          <a:extLst>
            <a:ext uri="{FF2B5EF4-FFF2-40B4-BE49-F238E27FC236}">
              <a16:creationId xmlns:a16="http://schemas.microsoft.com/office/drawing/2014/main" id="{00000000-0008-0000-0800-0000521C0000}"/>
            </a:ext>
          </a:extLst>
        </xdr:cNvPr>
        <xdr:cNvSpPr txBox="1">
          <a:spLocks noChangeArrowheads="1"/>
        </xdr:cNvSpPr>
      </xdr:nvSpPr>
      <xdr:spPr bwMode="auto">
        <a:xfrm>
          <a:off x="6591300" y="13211175"/>
          <a:ext cx="40005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80</a:t>
          </a:r>
        </a:p>
      </xdr:txBody>
    </xdr:sp>
    <xdr:clientData/>
  </xdr:twoCellAnchor>
  <xdr:twoCellAnchor>
    <xdr:from>
      <xdr:col>7</xdr:col>
      <xdr:colOff>628650</xdr:colOff>
      <xdr:row>75</xdr:row>
      <xdr:rowOff>114300</xdr:rowOff>
    </xdr:from>
    <xdr:to>
      <xdr:col>8</xdr:col>
      <xdr:colOff>333375</xdr:colOff>
      <xdr:row>76</xdr:row>
      <xdr:rowOff>133350</xdr:rowOff>
    </xdr:to>
    <xdr:sp macro="" textlink="">
      <xdr:nvSpPr>
        <xdr:cNvPr id="7251" name="Text Box 83">
          <a:extLst>
            <a:ext uri="{FF2B5EF4-FFF2-40B4-BE49-F238E27FC236}">
              <a16:creationId xmlns:a16="http://schemas.microsoft.com/office/drawing/2014/main" id="{00000000-0008-0000-0800-0000531C0000}"/>
            </a:ext>
          </a:extLst>
        </xdr:cNvPr>
        <xdr:cNvSpPr txBox="1">
          <a:spLocks noChangeArrowheads="1"/>
        </xdr:cNvSpPr>
      </xdr:nvSpPr>
      <xdr:spPr bwMode="auto">
        <a:xfrm>
          <a:off x="6210300" y="13782675"/>
          <a:ext cx="4667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10</a:t>
          </a:r>
        </a:p>
      </xdr:txBody>
    </xdr:sp>
    <xdr:clientData/>
  </xdr:twoCellAnchor>
  <xdr:twoCellAnchor>
    <xdr:from>
      <xdr:col>6</xdr:col>
      <xdr:colOff>609600</xdr:colOff>
      <xdr:row>77</xdr:row>
      <xdr:rowOff>57150</xdr:rowOff>
    </xdr:from>
    <xdr:to>
      <xdr:col>7</xdr:col>
      <xdr:colOff>209550</xdr:colOff>
      <xdr:row>78</xdr:row>
      <xdr:rowOff>85725</xdr:rowOff>
    </xdr:to>
    <xdr:sp macro="" textlink="">
      <xdr:nvSpPr>
        <xdr:cNvPr id="7252" name="Text Box 84">
          <a:extLst>
            <a:ext uri="{FF2B5EF4-FFF2-40B4-BE49-F238E27FC236}">
              <a16:creationId xmlns:a16="http://schemas.microsoft.com/office/drawing/2014/main" id="{00000000-0008-0000-0800-0000541C0000}"/>
            </a:ext>
          </a:extLst>
        </xdr:cNvPr>
        <xdr:cNvSpPr txBox="1">
          <a:spLocks noChangeArrowheads="1"/>
        </xdr:cNvSpPr>
      </xdr:nvSpPr>
      <xdr:spPr bwMode="auto">
        <a:xfrm>
          <a:off x="5381625" y="14049375"/>
          <a:ext cx="4095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0" i="0" u="none" strike="noStrike" baseline="0">
              <a:solidFill>
                <a:srgbClr val="000000"/>
              </a:solidFill>
              <a:latin typeface="Arial"/>
              <a:cs typeface="Arial"/>
            </a:rPr>
            <a:t>65</a:t>
          </a:r>
        </a:p>
      </xdr:txBody>
    </xdr:sp>
    <xdr:clientData/>
  </xdr:twoCellAnchor>
  <xdr:twoCellAnchor>
    <xdr:from>
      <xdr:col>7</xdr:col>
      <xdr:colOff>476250</xdr:colOff>
      <xdr:row>76</xdr:row>
      <xdr:rowOff>114300</xdr:rowOff>
    </xdr:from>
    <xdr:to>
      <xdr:col>8</xdr:col>
      <xdr:colOff>476250</xdr:colOff>
      <xdr:row>78</xdr:row>
      <xdr:rowOff>133350</xdr:rowOff>
    </xdr:to>
    <xdr:sp macro="" textlink="">
      <xdr:nvSpPr>
        <xdr:cNvPr id="7253" name="Text Box 85">
          <a:extLst>
            <a:ext uri="{FF2B5EF4-FFF2-40B4-BE49-F238E27FC236}">
              <a16:creationId xmlns:a16="http://schemas.microsoft.com/office/drawing/2014/main" id="{00000000-0008-0000-0800-0000551C0000}"/>
            </a:ext>
          </a:extLst>
        </xdr:cNvPr>
        <xdr:cNvSpPr txBox="1">
          <a:spLocks noChangeArrowheads="1"/>
        </xdr:cNvSpPr>
      </xdr:nvSpPr>
      <xdr:spPr bwMode="auto">
        <a:xfrm>
          <a:off x="6057900" y="13944600"/>
          <a:ext cx="762000" cy="3429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900" b="0" i="0" u="none" strike="noStrike" baseline="0">
              <a:solidFill>
                <a:srgbClr val="000000"/>
              </a:solidFill>
              <a:latin typeface="Arial"/>
              <a:cs typeface="Arial"/>
            </a:rPr>
            <a:t>Enrobage en sable</a:t>
          </a:r>
        </a:p>
      </xdr:txBody>
    </xdr:sp>
    <xdr:clientData/>
  </xdr:twoCellAnchor>
  <xdr:twoCellAnchor>
    <xdr:from>
      <xdr:col>4</xdr:col>
      <xdr:colOff>704850</xdr:colOff>
      <xdr:row>86</xdr:row>
      <xdr:rowOff>76200</xdr:rowOff>
    </xdr:from>
    <xdr:to>
      <xdr:col>5</xdr:col>
      <xdr:colOff>609600</xdr:colOff>
      <xdr:row>86</xdr:row>
      <xdr:rowOff>76200</xdr:rowOff>
    </xdr:to>
    <xdr:sp macro="" textlink="">
      <xdr:nvSpPr>
        <xdr:cNvPr id="210865" name="Line 86">
          <a:extLst>
            <a:ext uri="{FF2B5EF4-FFF2-40B4-BE49-F238E27FC236}">
              <a16:creationId xmlns:a16="http://schemas.microsoft.com/office/drawing/2014/main" id="{00000000-0008-0000-0800-0000B1370300}"/>
            </a:ext>
          </a:extLst>
        </xdr:cNvPr>
        <xdr:cNvSpPr>
          <a:spLocks noChangeShapeType="1"/>
        </xdr:cNvSpPr>
      </xdr:nvSpPr>
      <xdr:spPr bwMode="auto">
        <a:xfrm>
          <a:off x="3857625" y="15525750"/>
          <a:ext cx="714375"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0</xdr:colOff>
      <xdr:row>94</xdr:row>
      <xdr:rowOff>76200</xdr:rowOff>
    </xdr:from>
    <xdr:to>
      <xdr:col>10</xdr:col>
      <xdr:colOff>0</xdr:colOff>
      <xdr:row>94</xdr:row>
      <xdr:rowOff>76200</xdr:rowOff>
    </xdr:to>
    <xdr:sp macro="" textlink="">
      <xdr:nvSpPr>
        <xdr:cNvPr id="210866" name="Line 87">
          <a:extLst>
            <a:ext uri="{FF2B5EF4-FFF2-40B4-BE49-F238E27FC236}">
              <a16:creationId xmlns:a16="http://schemas.microsoft.com/office/drawing/2014/main" id="{00000000-0008-0000-0800-0000B2370300}"/>
            </a:ext>
          </a:extLst>
        </xdr:cNvPr>
        <xdr:cNvSpPr>
          <a:spLocks noChangeShapeType="1"/>
        </xdr:cNvSpPr>
      </xdr:nvSpPr>
      <xdr:spPr bwMode="auto">
        <a:xfrm>
          <a:off x="7867650" y="168211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95</xdr:row>
      <xdr:rowOff>66675</xdr:rowOff>
    </xdr:from>
    <xdr:to>
      <xdr:col>10</xdr:col>
      <xdr:colOff>0</xdr:colOff>
      <xdr:row>95</xdr:row>
      <xdr:rowOff>66675</xdr:rowOff>
    </xdr:to>
    <xdr:sp macro="" textlink="">
      <xdr:nvSpPr>
        <xdr:cNvPr id="210867" name="Line 88">
          <a:extLst>
            <a:ext uri="{FF2B5EF4-FFF2-40B4-BE49-F238E27FC236}">
              <a16:creationId xmlns:a16="http://schemas.microsoft.com/office/drawing/2014/main" id="{00000000-0008-0000-0800-0000B3370300}"/>
            </a:ext>
          </a:extLst>
        </xdr:cNvPr>
        <xdr:cNvSpPr>
          <a:spLocks noChangeShapeType="1"/>
        </xdr:cNvSpPr>
      </xdr:nvSpPr>
      <xdr:spPr bwMode="auto">
        <a:xfrm>
          <a:off x="7867650" y="169735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28575</xdr:colOff>
      <xdr:row>93</xdr:row>
      <xdr:rowOff>0</xdr:rowOff>
    </xdr:from>
    <xdr:to>
      <xdr:col>2</xdr:col>
      <xdr:colOff>800100</xdr:colOff>
      <xdr:row>108</xdr:row>
      <xdr:rowOff>0</xdr:rowOff>
    </xdr:to>
    <xdr:sp macro="" textlink="">
      <xdr:nvSpPr>
        <xdr:cNvPr id="7257" name="Text Box 89">
          <a:extLst>
            <a:ext uri="{FF2B5EF4-FFF2-40B4-BE49-F238E27FC236}">
              <a16:creationId xmlns:a16="http://schemas.microsoft.com/office/drawing/2014/main" id="{00000000-0008-0000-0800-0000591C0000}"/>
            </a:ext>
          </a:extLst>
        </xdr:cNvPr>
        <xdr:cNvSpPr txBox="1">
          <a:spLocks noChangeArrowheads="1"/>
        </xdr:cNvSpPr>
      </xdr:nvSpPr>
      <xdr:spPr bwMode="auto">
        <a:xfrm>
          <a:off x="28575" y="16583025"/>
          <a:ext cx="2428875" cy="24288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  Suivant le tableau, l'épaisseur </a:t>
          </a:r>
          <a:r>
            <a:rPr lang="fr-FR" sz="800" b="0" i="0" u="sng" strike="noStrike" baseline="0">
              <a:solidFill>
                <a:srgbClr val="000000"/>
              </a:solidFill>
              <a:latin typeface="Arial"/>
              <a:cs typeface="Arial"/>
            </a:rPr>
            <a:t>maximale</a:t>
          </a:r>
          <a:r>
            <a:rPr lang="fr-FR" sz="800" b="0" i="0" u="none" strike="noStrike" baseline="0">
              <a:solidFill>
                <a:srgbClr val="000000"/>
              </a:solidFill>
              <a:latin typeface="Arial"/>
              <a:cs typeface="Arial"/>
            </a:rPr>
            <a:t> une fois compactée est de </a:t>
          </a:r>
          <a:r>
            <a:rPr lang="fr-FR" sz="800" b="1" i="0" u="none" strike="noStrike" baseline="0">
              <a:solidFill>
                <a:srgbClr val="000000"/>
              </a:solidFill>
              <a:latin typeface="Arial"/>
              <a:cs typeface="Arial"/>
            </a:rPr>
            <a:t>30</a:t>
          </a:r>
          <a:r>
            <a:rPr lang="fr-FR" sz="800" b="0" i="0" u="none" strike="noStrike" baseline="0">
              <a:solidFill>
                <a:srgbClr val="000000"/>
              </a:solidFill>
              <a:latin typeface="Arial"/>
              <a:cs typeface="Arial"/>
            </a:rPr>
            <a:t> cm pour obtenir un objectif </a:t>
          </a:r>
          <a:r>
            <a:rPr lang="fr-FR" sz="800" b="1" i="0" u="none" strike="noStrike" baseline="0">
              <a:solidFill>
                <a:srgbClr val="000000"/>
              </a:solidFill>
              <a:latin typeface="Arial"/>
              <a:cs typeface="Arial"/>
            </a:rPr>
            <a:t>q3</a:t>
          </a:r>
          <a:r>
            <a:rPr lang="fr-FR" sz="800" b="0" i="0" u="none" strike="noStrike" baseline="0">
              <a:solidFill>
                <a:srgbClr val="000000"/>
              </a:solidFill>
              <a:latin typeface="Arial"/>
              <a:cs typeface="Arial"/>
            </a:rPr>
            <a:t>.</a:t>
          </a:r>
        </a:p>
        <a:p>
          <a:pPr algn="l" rtl="0">
            <a:defRPr sz="1000"/>
          </a:pPr>
          <a:r>
            <a:rPr lang="fr-FR" sz="800" b="0" i="0" u="none" strike="noStrike" baseline="0">
              <a:solidFill>
                <a:srgbClr val="000000"/>
              </a:solidFill>
              <a:latin typeface="Arial"/>
              <a:cs typeface="Arial"/>
            </a:rPr>
            <a:t>  On réalisera la partie </a:t>
          </a:r>
          <a:r>
            <a:rPr lang="fr-FR" sz="800" b="1" i="0" u="none" strike="noStrike" baseline="0">
              <a:solidFill>
                <a:srgbClr val="000000"/>
              </a:solidFill>
              <a:latin typeface="Arial"/>
              <a:cs typeface="Arial"/>
            </a:rPr>
            <a:t>q3</a:t>
          </a:r>
          <a:r>
            <a:rPr lang="fr-FR" sz="800" b="0" i="0" u="none" strike="noStrike" baseline="0">
              <a:solidFill>
                <a:srgbClr val="000000"/>
              </a:solidFill>
              <a:latin typeface="Arial"/>
              <a:cs typeface="Arial"/>
            </a:rPr>
            <a:t> en </a:t>
          </a:r>
          <a:r>
            <a:rPr lang="fr-FR" sz="800" b="1" i="0" u="none" strike="noStrike" baseline="0">
              <a:solidFill>
                <a:srgbClr val="000000"/>
              </a:solidFill>
              <a:latin typeface="Arial"/>
              <a:cs typeface="Arial"/>
            </a:rPr>
            <a:t>2</a:t>
          </a:r>
          <a:r>
            <a:rPr lang="fr-FR" sz="800" b="0" i="0" u="none" strike="noStrike" baseline="0">
              <a:solidFill>
                <a:srgbClr val="000000"/>
              </a:solidFill>
              <a:latin typeface="Arial"/>
              <a:cs typeface="Arial"/>
            </a:rPr>
            <a:t> couches successives : une de 30 cm et une de 15 cm. </a:t>
          </a:r>
        </a:p>
        <a:p>
          <a:pPr algn="l" rtl="0">
            <a:defRPr sz="1000"/>
          </a:pPr>
          <a:r>
            <a:rPr lang="fr-FR" sz="800" b="0" i="0" u="none" strike="noStrike" baseline="0">
              <a:solidFill>
                <a:srgbClr val="000000"/>
              </a:solidFill>
              <a:latin typeface="Arial"/>
              <a:cs typeface="Arial"/>
            </a:rPr>
            <a:t>                             (30+</a:t>
          </a:r>
          <a:r>
            <a:rPr lang="fr-FR" sz="800" b="1" i="0" u="none" strike="noStrike" baseline="0">
              <a:solidFill>
                <a:srgbClr val="000000"/>
              </a:solidFill>
              <a:latin typeface="Arial"/>
              <a:cs typeface="Arial"/>
            </a:rPr>
            <a:t>15</a:t>
          </a:r>
          <a:r>
            <a:rPr lang="fr-FR" sz="800" b="0" i="0" u="none" strike="noStrike" baseline="0">
              <a:solidFill>
                <a:srgbClr val="000000"/>
              </a:solidFill>
              <a:latin typeface="Arial"/>
              <a:cs typeface="Arial"/>
            </a:rPr>
            <a:t>=45)</a:t>
          </a:r>
        </a:p>
        <a:p>
          <a:pPr algn="l" rtl="0">
            <a:defRPr sz="1000"/>
          </a:pPr>
          <a:r>
            <a:rPr lang="fr-FR" sz="800" b="0" i="0" u="none" strike="noStrike" baseline="0">
              <a:solidFill>
                <a:srgbClr val="000000"/>
              </a:solidFill>
              <a:latin typeface="Arial"/>
              <a:cs typeface="Arial"/>
            </a:rPr>
            <a:t> Pour la couche de </a:t>
          </a:r>
          <a:r>
            <a:rPr lang="fr-FR" sz="800" b="1" i="0" u="none" strike="noStrike" baseline="0">
              <a:solidFill>
                <a:srgbClr val="000000"/>
              </a:solidFill>
              <a:latin typeface="Arial"/>
              <a:cs typeface="Arial"/>
            </a:rPr>
            <a:t>30</a:t>
          </a:r>
          <a:r>
            <a:rPr lang="fr-FR" sz="800" b="0" i="0" u="none" strike="noStrike" baseline="0">
              <a:solidFill>
                <a:srgbClr val="000000"/>
              </a:solidFill>
              <a:latin typeface="Arial"/>
              <a:cs typeface="Arial"/>
            </a:rPr>
            <a:t> cm, le nombre de passe </a:t>
          </a:r>
          <a:r>
            <a:rPr lang="fr-FR" sz="800" b="1" i="0" u="none" strike="noStrike" baseline="0">
              <a:solidFill>
                <a:srgbClr val="000000"/>
              </a:solidFill>
              <a:latin typeface="Arial"/>
              <a:cs typeface="Arial"/>
            </a:rPr>
            <a:t>= 6</a:t>
          </a:r>
          <a:endParaRPr lang="fr-FR" sz="800" b="0" i="0" u="none" strike="noStrike" baseline="0">
            <a:solidFill>
              <a:srgbClr val="000000"/>
            </a:solidFill>
            <a:latin typeface="Arial"/>
            <a:cs typeface="Arial"/>
          </a:endParaRPr>
        </a:p>
        <a:p>
          <a:pPr algn="l" rtl="0">
            <a:defRPr sz="1000"/>
          </a:pPr>
          <a:r>
            <a:rPr lang="fr-FR" sz="800" b="0" i="0" u="none" strike="noStrike" baseline="0">
              <a:solidFill>
                <a:srgbClr val="000000"/>
              </a:solidFill>
              <a:latin typeface="Arial"/>
              <a:cs typeface="Arial"/>
            </a:rPr>
            <a:t>                (conformément au tableau)</a:t>
          </a:r>
        </a:p>
        <a:p>
          <a:pPr algn="l" rtl="0">
            <a:defRPr sz="1000"/>
          </a:pPr>
          <a:r>
            <a:rPr lang="fr-FR" sz="800" b="0" i="0" u="none" strike="noStrike" baseline="0">
              <a:solidFill>
                <a:srgbClr val="000000"/>
              </a:solidFill>
              <a:latin typeface="Arial"/>
              <a:cs typeface="Arial"/>
            </a:rPr>
            <a:t> Pour la couche de </a:t>
          </a:r>
          <a:r>
            <a:rPr lang="fr-FR" sz="800" b="1" i="0" u="none" strike="noStrike" baseline="0">
              <a:solidFill>
                <a:srgbClr val="000000"/>
              </a:solidFill>
              <a:latin typeface="Arial"/>
              <a:cs typeface="Arial"/>
            </a:rPr>
            <a:t>15</a:t>
          </a:r>
          <a:r>
            <a:rPr lang="fr-FR" sz="800" b="0" i="0" u="none" strike="noStrike" baseline="0">
              <a:solidFill>
                <a:srgbClr val="000000"/>
              </a:solidFill>
              <a:latin typeface="Arial"/>
              <a:cs typeface="Arial"/>
            </a:rPr>
            <a:t> cm, le nombre de passe sera proportionnel à l'épaisseur à compacter. C'est-à-dire :</a:t>
          </a:r>
        </a:p>
        <a:p>
          <a:pPr algn="l" rtl="0">
            <a:defRPr sz="1000"/>
          </a:pPr>
          <a:r>
            <a:rPr lang="fr-FR" sz="800" b="0" i="0" u="none" strike="noStrike" baseline="0">
              <a:solidFill>
                <a:srgbClr val="000000"/>
              </a:solidFill>
              <a:latin typeface="Arial"/>
              <a:cs typeface="Arial"/>
            </a:rPr>
            <a:t>   si, pour </a:t>
          </a:r>
          <a:r>
            <a:rPr lang="fr-FR" sz="800" b="1" i="0" u="none" strike="noStrike" baseline="0">
              <a:solidFill>
                <a:srgbClr val="000000"/>
              </a:solidFill>
              <a:latin typeface="Arial"/>
              <a:cs typeface="Arial"/>
            </a:rPr>
            <a:t>30</a:t>
          </a:r>
          <a:r>
            <a:rPr lang="fr-FR" sz="800" b="0" i="0" u="none" strike="noStrike" baseline="0">
              <a:solidFill>
                <a:srgbClr val="000000"/>
              </a:solidFill>
              <a:latin typeface="Arial"/>
              <a:cs typeface="Arial"/>
            </a:rPr>
            <a:t> cm, on réalise </a:t>
          </a:r>
          <a:r>
            <a:rPr lang="fr-FR" sz="800" b="1" i="0" u="none" strike="noStrike" baseline="0">
              <a:solidFill>
                <a:srgbClr val="000000"/>
              </a:solidFill>
              <a:latin typeface="Arial"/>
              <a:cs typeface="Arial"/>
            </a:rPr>
            <a:t>6</a:t>
          </a:r>
          <a:r>
            <a:rPr lang="fr-FR" sz="800" b="0" i="0" u="none" strike="noStrike" baseline="0">
              <a:solidFill>
                <a:srgbClr val="000000"/>
              </a:solidFill>
              <a:latin typeface="Arial"/>
              <a:cs typeface="Arial"/>
            </a:rPr>
            <a:t> passes, pour </a:t>
          </a:r>
          <a:r>
            <a:rPr lang="fr-FR" sz="800" b="1" i="0" u="none" strike="noStrike" baseline="0">
              <a:solidFill>
                <a:srgbClr val="000000"/>
              </a:solidFill>
              <a:latin typeface="Arial"/>
              <a:cs typeface="Arial"/>
            </a:rPr>
            <a:t>15</a:t>
          </a:r>
          <a:r>
            <a:rPr lang="fr-FR" sz="800" b="0" i="0" u="none" strike="noStrike" baseline="0">
              <a:solidFill>
                <a:srgbClr val="000000"/>
              </a:solidFill>
              <a:latin typeface="Arial"/>
              <a:cs typeface="Arial"/>
            </a:rPr>
            <a:t> on réalisera : 30 divisé 15 = </a:t>
          </a:r>
          <a:r>
            <a:rPr lang="fr-FR" sz="800" b="1" i="0" u="none" strike="noStrike" baseline="0">
              <a:solidFill>
                <a:srgbClr val="000000"/>
              </a:solidFill>
              <a:latin typeface="Arial"/>
              <a:cs typeface="Arial"/>
            </a:rPr>
            <a:t>2</a:t>
          </a:r>
          <a:r>
            <a:rPr lang="fr-FR" sz="800" b="0" i="0" u="none" strike="noStrike" baseline="0">
              <a:solidFill>
                <a:srgbClr val="000000"/>
              </a:solidFill>
              <a:latin typeface="Arial"/>
              <a:cs typeface="Arial"/>
            </a:rPr>
            <a:t> ; soit </a:t>
          </a:r>
          <a:r>
            <a:rPr lang="fr-FR" sz="800" b="1" i="0" u="none" strike="noStrike" baseline="0">
              <a:solidFill>
                <a:srgbClr val="000000"/>
              </a:solidFill>
              <a:latin typeface="Arial"/>
              <a:cs typeface="Arial"/>
            </a:rPr>
            <a:t>2</a:t>
          </a:r>
          <a:r>
            <a:rPr lang="fr-FR" sz="800" b="0" i="0" u="none" strike="noStrike" baseline="0">
              <a:solidFill>
                <a:srgbClr val="000000"/>
              </a:solidFill>
              <a:latin typeface="Arial"/>
              <a:cs typeface="Arial"/>
            </a:rPr>
            <a:t> fois moins de passes que pour les 30 cm soit </a:t>
          </a:r>
          <a:r>
            <a:rPr lang="fr-FR" sz="800" b="1" i="0" u="none" strike="noStrike" baseline="0">
              <a:solidFill>
                <a:srgbClr val="000000"/>
              </a:solidFill>
              <a:latin typeface="Arial"/>
              <a:cs typeface="Arial"/>
            </a:rPr>
            <a:t>6</a:t>
          </a:r>
          <a:r>
            <a:rPr lang="fr-FR" sz="800" b="0" i="0" u="none" strike="noStrike" baseline="0">
              <a:solidFill>
                <a:srgbClr val="000000"/>
              </a:solidFill>
              <a:latin typeface="Arial"/>
              <a:cs typeface="Arial"/>
            </a:rPr>
            <a:t>/2=</a:t>
          </a:r>
          <a:r>
            <a:rPr lang="fr-FR" sz="800" b="1" i="0" u="sng" strike="noStrike" baseline="0">
              <a:solidFill>
                <a:srgbClr val="000000"/>
              </a:solidFill>
              <a:latin typeface="Arial"/>
              <a:cs typeface="Arial"/>
            </a:rPr>
            <a:t>3</a:t>
          </a:r>
          <a:r>
            <a:rPr lang="fr-FR" sz="800" b="0" i="0" u="sng" strike="noStrike" baseline="0">
              <a:solidFill>
                <a:srgbClr val="000000"/>
              </a:solidFill>
              <a:latin typeface="Arial"/>
              <a:cs typeface="Arial"/>
            </a:rPr>
            <a:t> passes</a:t>
          </a: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a:p>
          <a:pPr algn="l" rtl="0">
            <a:defRPr sz="1000"/>
          </a:pPr>
          <a:r>
            <a:rPr lang="fr-FR" sz="800" b="0" i="0" u="none" strike="noStrike" baseline="0">
              <a:solidFill>
                <a:srgbClr val="000000"/>
              </a:solidFill>
              <a:latin typeface="Arial"/>
              <a:cs typeface="Arial"/>
            </a:rPr>
            <a:t>Il faudra exécuter : </a:t>
          </a:r>
          <a:r>
            <a:rPr lang="fr-FR" sz="800" b="1" i="0" u="none" strike="noStrike" baseline="0">
              <a:solidFill>
                <a:srgbClr val="000000"/>
              </a:solidFill>
              <a:latin typeface="Arial"/>
              <a:cs typeface="Arial"/>
            </a:rPr>
            <a:t>6</a:t>
          </a:r>
          <a:r>
            <a:rPr lang="fr-FR" sz="800" b="0" i="0" u="none" strike="noStrike" baseline="0">
              <a:solidFill>
                <a:srgbClr val="000000"/>
              </a:solidFill>
              <a:latin typeface="Arial"/>
              <a:cs typeface="Arial"/>
            </a:rPr>
            <a:t> passes pour les </a:t>
          </a:r>
          <a:r>
            <a:rPr lang="fr-FR" sz="800" b="1" i="0" u="none" strike="noStrike" baseline="0">
              <a:solidFill>
                <a:srgbClr val="000000"/>
              </a:solidFill>
              <a:latin typeface="Arial"/>
              <a:cs typeface="Arial"/>
            </a:rPr>
            <a:t>30</a:t>
          </a:r>
          <a:r>
            <a:rPr lang="fr-FR" sz="800" b="0" i="0" u="none" strike="noStrike" baseline="0">
              <a:solidFill>
                <a:srgbClr val="000000"/>
              </a:solidFill>
              <a:latin typeface="Arial"/>
              <a:cs typeface="Arial"/>
            </a:rPr>
            <a:t> cm</a:t>
          </a:r>
        </a:p>
        <a:p>
          <a:pPr algn="l" rtl="0">
            <a:defRPr sz="1000"/>
          </a:pPr>
          <a:r>
            <a:rPr lang="fr-FR" sz="800" b="0" i="0" u="none" strike="noStrike" baseline="0">
              <a:solidFill>
                <a:srgbClr val="000000"/>
              </a:solidFill>
              <a:latin typeface="Arial"/>
              <a:cs typeface="Arial"/>
            </a:rPr>
            <a:t>                               </a:t>
          </a:r>
          <a:r>
            <a:rPr lang="fr-FR" sz="800" b="1" i="0" u="none" strike="noStrike" baseline="0">
              <a:solidFill>
                <a:srgbClr val="000000"/>
              </a:solidFill>
              <a:latin typeface="Arial"/>
              <a:cs typeface="Arial"/>
            </a:rPr>
            <a:t>3 </a:t>
          </a:r>
          <a:r>
            <a:rPr lang="fr-FR" sz="800" b="0" i="0" u="none" strike="noStrike" baseline="0">
              <a:solidFill>
                <a:srgbClr val="000000"/>
              </a:solidFill>
              <a:latin typeface="Arial"/>
              <a:cs typeface="Arial"/>
            </a:rPr>
            <a:t>passes pour les </a:t>
          </a:r>
          <a:r>
            <a:rPr lang="fr-FR" sz="800" b="1" i="0" u="none" strike="noStrike" baseline="0">
              <a:solidFill>
                <a:srgbClr val="000000"/>
              </a:solidFill>
              <a:latin typeface="Arial"/>
              <a:cs typeface="Arial"/>
            </a:rPr>
            <a:t>15</a:t>
          </a:r>
          <a:r>
            <a:rPr lang="fr-FR" sz="800" b="0" i="0" u="none" strike="noStrike" baseline="0">
              <a:solidFill>
                <a:srgbClr val="000000"/>
              </a:solidFill>
              <a:latin typeface="Arial"/>
              <a:cs typeface="Arial"/>
            </a:rPr>
            <a:t> cm</a:t>
          </a: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0</xdr:col>
      <xdr:colOff>47625</xdr:colOff>
      <xdr:row>109</xdr:row>
      <xdr:rowOff>76200</xdr:rowOff>
    </xdr:from>
    <xdr:to>
      <xdr:col>2</xdr:col>
      <xdr:colOff>828675</xdr:colOff>
      <xdr:row>118</xdr:row>
      <xdr:rowOff>114300</xdr:rowOff>
    </xdr:to>
    <xdr:sp macro="" textlink="">
      <xdr:nvSpPr>
        <xdr:cNvPr id="7258" name="Text Box 90">
          <a:extLst>
            <a:ext uri="{FF2B5EF4-FFF2-40B4-BE49-F238E27FC236}">
              <a16:creationId xmlns:a16="http://schemas.microsoft.com/office/drawing/2014/main" id="{00000000-0008-0000-0800-00005A1C0000}"/>
            </a:ext>
          </a:extLst>
        </xdr:cNvPr>
        <xdr:cNvSpPr txBox="1">
          <a:spLocks noChangeArrowheads="1"/>
        </xdr:cNvSpPr>
      </xdr:nvSpPr>
      <xdr:spPr bwMode="auto">
        <a:xfrm>
          <a:off x="47625" y="19250025"/>
          <a:ext cx="2438400" cy="14954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  En fonction de la largeur du patin, réaliser autant de traces de compactage qu'il faut pour couvrir la largueur totale de la tranchée.</a:t>
          </a:r>
        </a:p>
        <a:p>
          <a:pPr algn="l" rtl="0">
            <a:defRPr sz="1000"/>
          </a:pPr>
          <a:endParaRPr lang="fr-FR" sz="800" b="0" i="0" u="none" strike="noStrike" baseline="0">
            <a:solidFill>
              <a:srgbClr val="000000"/>
            </a:solidFill>
            <a:latin typeface="Arial"/>
            <a:cs typeface="Arial"/>
          </a:endParaRPr>
        </a:p>
        <a:p>
          <a:pPr algn="l" rtl="0">
            <a:defRPr sz="1000"/>
          </a:pPr>
          <a:r>
            <a:rPr lang="fr-FR" sz="800" b="0" i="0" u="none" strike="noStrike" baseline="0">
              <a:solidFill>
                <a:srgbClr val="000000"/>
              </a:solidFill>
              <a:latin typeface="Arial"/>
              <a:cs typeface="Arial"/>
            </a:rPr>
            <a:t>  Exemple :</a:t>
          </a:r>
        </a:p>
        <a:p>
          <a:pPr algn="l" rtl="0">
            <a:defRPr sz="1000"/>
          </a:pPr>
          <a:r>
            <a:rPr lang="fr-FR" sz="800" b="0" i="0" u="none" strike="noStrike" baseline="0">
              <a:solidFill>
                <a:srgbClr val="000000"/>
              </a:solidFill>
              <a:latin typeface="Arial"/>
              <a:cs typeface="Arial"/>
            </a:rPr>
            <a:t> Avec la </a:t>
          </a:r>
          <a:r>
            <a:rPr lang="fr-FR" sz="800" b="1" i="0" u="none" strike="noStrike" baseline="0">
              <a:solidFill>
                <a:srgbClr val="000000"/>
              </a:solidFill>
              <a:latin typeface="Arial"/>
              <a:cs typeface="Arial"/>
            </a:rPr>
            <a:t>WAKER DS 72Y</a:t>
          </a:r>
          <a:r>
            <a:rPr lang="fr-FR" sz="800" b="0" i="0" u="none" strike="noStrike" baseline="0">
              <a:solidFill>
                <a:srgbClr val="000000"/>
              </a:solidFill>
              <a:latin typeface="Arial"/>
              <a:cs typeface="Arial"/>
            </a:rPr>
            <a:t> le patin fait </a:t>
          </a:r>
          <a:r>
            <a:rPr lang="fr-FR" sz="800" b="1" i="0" u="none" strike="noStrike" baseline="0">
              <a:solidFill>
                <a:srgbClr val="000000"/>
              </a:solidFill>
              <a:latin typeface="Arial"/>
              <a:cs typeface="Arial"/>
            </a:rPr>
            <a:t>28</a:t>
          </a:r>
          <a:r>
            <a:rPr lang="fr-FR" sz="800" b="0" i="0" u="none" strike="noStrike" baseline="0">
              <a:solidFill>
                <a:srgbClr val="000000"/>
              </a:solidFill>
              <a:latin typeface="Arial"/>
              <a:cs typeface="Arial"/>
            </a:rPr>
            <a:t> cm de large</a:t>
          </a:r>
        </a:p>
        <a:p>
          <a:pPr algn="l" rtl="0">
            <a:defRPr sz="1000"/>
          </a:pPr>
          <a:r>
            <a:rPr lang="fr-FR" sz="800" b="0" i="0" u="none" strike="noStrike" baseline="0">
              <a:solidFill>
                <a:srgbClr val="000000"/>
              </a:solidFill>
              <a:latin typeface="Arial"/>
              <a:cs typeface="Arial"/>
            </a:rPr>
            <a:t>      Pour une tranhée de 65 cm, on aura :</a:t>
          </a:r>
        </a:p>
        <a:p>
          <a:pPr algn="l" rtl="0">
            <a:defRPr sz="1000"/>
          </a:pPr>
          <a:r>
            <a:rPr lang="fr-FR" sz="800" b="0" i="0" u="none" strike="noStrike" baseline="0">
              <a:solidFill>
                <a:srgbClr val="000000"/>
              </a:solidFill>
              <a:latin typeface="Arial"/>
              <a:cs typeface="Arial"/>
            </a:rPr>
            <a:t> </a:t>
          </a:r>
          <a:r>
            <a:rPr lang="fr-FR" sz="800" b="1" i="0" u="none" strike="noStrike" baseline="0">
              <a:solidFill>
                <a:srgbClr val="000000"/>
              </a:solidFill>
              <a:latin typeface="Arial"/>
              <a:cs typeface="Arial"/>
            </a:rPr>
            <a:t>65</a:t>
          </a:r>
          <a:r>
            <a:rPr lang="fr-FR" sz="800" b="0" i="0" u="none" strike="noStrike" baseline="0">
              <a:solidFill>
                <a:srgbClr val="000000"/>
              </a:solidFill>
              <a:latin typeface="Arial"/>
              <a:cs typeface="Arial"/>
            </a:rPr>
            <a:t> divisé par </a:t>
          </a:r>
          <a:r>
            <a:rPr lang="fr-FR" sz="800" b="1" i="0" u="none" strike="noStrike" baseline="0">
              <a:solidFill>
                <a:srgbClr val="000000"/>
              </a:solidFill>
              <a:latin typeface="Arial"/>
              <a:cs typeface="Arial"/>
            </a:rPr>
            <a:t>28</a:t>
          </a:r>
          <a:r>
            <a:rPr lang="fr-FR" sz="800" b="0" i="0" u="none" strike="noStrike" baseline="0">
              <a:solidFill>
                <a:srgbClr val="000000"/>
              </a:solidFill>
              <a:latin typeface="Arial"/>
              <a:cs typeface="Arial"/>
            </a:rPr>
            <a:t> = 2,3 à arrondir à </a:t>
          </a:r>
          <a:r>
            <a:rPr lang="fr-FR" sz="800" b="1" i="0" u="none" strike="noStrike" baseline="0">
              <a:solidFill>
                <a:srgbClr val="000000"/>
              </a:solidFill>
              <a:latin typeface="Arial"/>
              <a:cs typeface="Arial"/>
            </a:rPr>
            <a:t>3</a:t>
          </a:r>
          <a:endParaRPr lang="fr-FR" sz="800" b="0" i="0" u="none" strike="noStrike" baseline="0">
            <a:solidFill>
              <a:srgbClr val="000000"/>
            </a:solidFill>
            <a:latin typeface="Arial"/>
            <a:cs typeface="Arial"/>
          </a:endParaRPr>
        </a:p>
        <a:p>
          <a:pPr algn="l" rtl="0">
            <a:defRPr sz="1000"/>
          </a:pPr>
          <a:r>
            <a:rPr lang="fr-FR" sz="800" b="0" i="0" u="none" strike="noStrike" baseline="0">
              <a:solidFill>
                <a:srgbClr val="000000"/>
              </a:solidFill>
              <a:latin typeface="Arial"/>
              <a:cs typeface="Arial"/>
            </a:rPr>
            <a:t>      Il faudra donc exécuter </a:t>
          </a:r>
          <a:r>
            <a:rPr lang="fr-FR" sz="800" b="1" i="0" u="sng" strike="noStrike" baseline="0">
              <a:solidFill>
                <a:srgbClr val="000000"/>
              </a:solidFill>
              <a:latin typeface="Arial"/>
              <a:cs typeface="Arial"/>
            </a:rPr>
            <a:t>3</a:t>
          </a:r>
          <a:r>
            <a:rPr lang="fr-FR" sz="800" b="0" i="0" u="sng" strike="noStrike" baseline="0">
              <a:solidFill>
                <a:srgbClr val="000000"/>
              </a:solidFill>
              <a:latin typeface="Arial"/>
              <a:cs typeface="Arial"/>
            </a:rPr>
            <a:t> traces</a:t>
          </a:r>
          <a:r>
            <a:rPr lang="fr-FR" sz="800" b="0" i="0" u="none" strike="noStrike" baseline="0">
              <a:solidFill>
                <a:srgbClr val="000000"/>
              </a:solidFill>
              <a:latin typeface="Arial"/>
              <a:cs typeface="Arial"/>
            </a:rPr>
            <a:t> pour compacter sur toute la largueur de cette tranchée. </a:t>
          </a:r>
        </a:p>
      </xdr:txBody>
    </xdr:sp>
    <xdr:clientData/>
  </xdr:twoCellAnchor>
  <xdr:twoCellAnchor>
    <xdr:from>
      <xdr:col>4</xdr:col>
      <xdr:colOff>495300</xdr:colOff>
      <xdr:row>93</xdr:row>
      <xdr:rowOff>57150</xdr:rowOff>
    </xdr:from>
    <xdr:to>
      <xdr:col>4</xdr:col>
      <xdr:colOff>800100</xdr:colOff>
      <xdr:row>94</xdr:row>
      <xdr:rowOff>85725</xdr:rowOff>
    </xdr:to>
    <xdr:sp macro="" textlink="">
      <xdr:nvSpPr>
        <xdr:cNvPr id="7259" name="Text Box 91">
          <a:extLst>
            <a:ext uri="{FF2B5EF4-FFF2-40B4-BE49-F238E27FC236}">
              <a16:creationId xmlns:a16="http://schemas.microsoft.com/office/drawing/2014/main" id="{00000000-0008-0000-0800-00005B1C0000}"/>
            </a:ext>
          </a:extLst>
        </xdr:cNvPr>
        <xdr:cNvSpPr txBox="1">
          <a:spLocks noChangeArrowheads="1"/>
        </xdr:cNvSpPr>
      </xdr:nvSpPr>
      <xdr:spPr bwMode="auto">
        <a:xfrm>
          <a:off x="3648075" y="16640175"/>
          <a:ext cx="3048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fr-FR" sz="600" b="1" i="0" u="none" strike="noStrike" baseline="0">
              <a:solidFill>
                <a:srgbClr val="000000"/>
              </a:solidFill>
              <a:latin typeface="Arial"/>
              <a:cs typeface="Arial"/>
            </a:rPr>
            <a:t>PN2</a:t>
          </a:r>
        </a:p>
      </xdr:txBody>
    </xdr:sp>
    <xdr:clientData/>
  </xdr:twoCellAnchor>
  <xdr:twoCellAnchor>
    <xdr:from>
      <xdr:col>4</xdr:col>
      <xdr:colOff>495300</xdr:colOff>
      <xdr:row>96</xdr:row>
      <xdr:rowOff>47625</xdr:rowOff>
    </xdr:from>
    <xdr:to>
      <xdr:col>5</xdr:col>
      <xdr:colOff>28575</xdr:colOff>
      <xdr:row>97</xdr:row>
      <xdr:rowOff>38100</xdr:rowOff>
    </xdr:to>
    <xdr:sp macro="" textlink="">
      <xdr:nvSpPr>
        <xdr:cNvPr id="7260" name="Text Box 92">
          <a:extLst>
            <a:ext uri="{FF2B5EF4-FFF2-40B4-BE49-F238E27FC236}">
              <a16:creationId xmlns:a16="http://schemas.microsoft.com/office/drawing/2014/main" id="{00000000-0008-0000-0800-00005C1C0000}"/>
            </a:ext>
          </a:extLst>
        </xdr:cNvPr>
        <xdr:cNvSpPr txBox="1">
          <a:spLocks noChangeArrowheads="1"/>
        </xdr:cNvSpPr>
      </xdr:nvSpPr>
      <xdr:spPr bwMode="auto">
        <a:xfrm>
          <a:off x="3648075" y="17116425"/>
          <a:ext cx="3429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fr-FR" sz="600" b="1" i="0" u="none" strike="noStrike" baseline="0">
              <a:solidFill>
                <a:srgbClr val="000000"/>
              </a:solidFill>
              <a:latin typeface="Arial"/>
              <a:cs typeface="Arial"/>
            </a:rPr>
            <a:t>PN3</a:t>
          </a:r>
        </a:p>
      </xdr:txBody>
    </xdr:sp>
    <xdr:clientData/>
  </xdr:twoCellAnchor>
  <xdr:twoCellAnchor>
    <xdr:from>
      <xdr:col>4</xdr:col>
      <xdr:colOff>447675</xdr:colOff>
      <xdr:row>99</xdr:row>
      <xdr:rowOff>57150</xdr:rowOff>
    </xdr:from>
    <xdr:to>
      <xdr:col>4</xdr:col>
      <xdr:colOff>800100</xdr:colOff>
      <xdr:row>100</xdr:row>
      <xdr:rowOff>57150</xdr:rowOff>
    </xdr:to>
    <xdr:sp macro="" textlink="">
      <xdr:nvSpPr>
        <xdr:cNvPr id="7261" name="Text Box 93">
          <a:extLst>
            <a:ext uri="{FF2B5EF4-FFF2-40B4-BE49-F238E27FC236}">
              <a16:creationId xmlns:a16="http://schemas.microsoft.com/office/drawing/2014/main" id="{00000000-0008-0000-0800-00005D1C0000}"/>
            </a:ext>
          </a:extLst>
        </xdr:cNvPr>
        <xdr:cNvSpPr txBox="1">
          <a:spLocks noChangeArrowheads="1"/>
        </xdr:cNvSpPr>
      </xdr:nvSpPr>
      <xdr:spPr bwMode="auto">
        <a:xfrm>
          <a:off x="3600450" y="17611725"/>
          <a:ext cx="3524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fr-FR" sz="600" b="1" i="0" u="none" strike="noStrike" baseline="0">
              <a:solidFill>
                <a:srgbClr val="000000"/>
              </a:solidFill>
              <a:latin typeface="Arial"/>
              <a:cs typeface="Arial"/>
            </a:rPr>
            <a:t>PV2</a:t>
          </a:r>
        </a:p>
      </xdr:txBody>
    </xdr:sp>
    <xdr:clientData/>
  </xdr:twoCellAnchor>
  <xdr:twoCellAnchor>
    <xdr:from>
      <xdr:col>4</xdr:col>
      <xdr:colOff>390525</xdr:colOff>
      <xdr:row>102</xdr:row>
      <xdr:rowOff>28575</xdr:rowOff>
    </xdr:from>
    <xdr:to>
      <xdr:col>5</xdr:col>
      <xdr:colOff>19050</xdr:colOff>
      <xdr:row>103</xdr:row>
      <xdr:rowOff>28575</xdr:rowOff>
    </xdr:to>
    <xdr:sp macro="" textlink="">
      <xdr:nvSpPr>
        <xdr:cNvPr id="7262" name="Text Box 94">
          <a:extLst>
            <a:ext uri="{FF2B5EF4-FFF2-40B4-BE49-F238E27FC236}">
              <a16:creationId xmlns:a16="http://schemas.microsoft.com/office/drawing/2014/main" id="{00000000-0008-0000-0800-00005E1C0000}"/>
            </a:ext>
          </a:extLst>
        </xdr:cNvPr>
        <xdr:cNvSpPr txBox="1">
          <a:spLocks noChangeArrowheads="1"/>
        </xdr:cNvSpPr>
      </xdr:nvSpPr>
      <xdr:spPr bwMode="auto">
        <a:xfrm>
          <a:off x="3543300" y="18068925"/>
          <a:ext cx="4381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fr-FR" sz="600" b="1" i="0" u="none" strike="noStrike" baseline="0">
              <a:solidFill>
                <a:srgbClr val="000000"/>
              </a:solidFill>
              <a:latin typeface="Arial"/>
              <a:cs typeface="Arial"/>
            </a:rPr>
            <a:t>PQ3</a:t>
          </a:r>
        </a:p>
      </xdr:txBody>
    </xdr:sp>
    <xdr:clientData/>
  </xdr:twoCellAnchor>
  <xdr:twoCellAnchor>
    <xdr:from>
      <xdr:col>4</xdr:col>
      <xdr:colOff>447675</xdr:colOff>
      <xdr:row>105</xdr:row>
      <xdr:rowOff>28575</xdr:rowOff>
    </xdr:from>
    <xdr:to>
      <xdr:col>5</xdr:col>
      <xdr:colOff>0</xdr:colOff>
      <xdr:row>106</xdr:row>
      <xdr:rowOff>38100</xdr:rowOff>
    </xdr:to>
    <xdr:sp macro="" textlink="">
      <xdr:nvSpPr>
        <xdr:cNvPr id="7263" name="Text Box 95">
          <a:extLst>
            <a:ext uri="{FF2B5EF4-FFF2-40B4-BE49-F238E27FC236}">
              <a16:creationId xmlns:a16="http://schemas.microsoft.com/office/drawing/2014/main" id="{00000000-0008-0000-0800-00005F1C0000}"/>
            </a:ext>
          </a:extLst>
        </xdr:cNvPr>
        <xdr:cNvSpPr txBox="1">
          <a:spLocks noChangeArrowheads="1"/>
        </xdr:cNvSpPr>
      </xdr:nvSpPr>
      <xdr:spPr bwMode="auto">
        <a:xfrm>
          <a:off x="3600450" y="18554700"/>
          <a:ext cx="361950"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fr-FR" sz="600" b="1" i="0" u="none" strike="noStrike" baseline="0">
              <a:solidFill>
                <a:srgbClr val="000000"/>
              </a:solidFill>
              <a:latin typeface="Arial"/>
              <a:cs typeface="Arial"/>
            </a:rPr>
            <a:t>PQ4</a:t>
          </a:r>
        </a:p>
      </xdr:txBody>
    </xdr:sp>
    <xdr:clientData/>
  </xdr:twoCellAnchor>
  <xdr:twoCellAnchor>
    <xdr:from>
      <xdr:col>0</xdr:col>
      <xdr:colOff>57150</xdr:colOff>
      <xdr:row>119</xdr:row>
      <xdr:rowOff>9525</xdr:rowOff>
    </xdr:from>
    <xdr:to>
      <xdr:col>3</xdr:col>
      <xdr:colOff>104775</xdr:colOff>
      <xdr:row>122</xdr:row>
      <xdr:rowOff>104775</xdr:rowOff>
    </xdr:to>
    <xdr:sp macro="" textlink="">
      <xdr:nvSpPr>
        <xdr:cNvPr id="7264" name="Text Box 96">
          <a:extLst>
            <a:ext uri="{FF2B5EF4-FFF2-40B4-BE49-F238E27FC236}">
              <a16:creationId xmlns:a16="http://schemas.microsoft.com/office/drawing/2014/main" id="{00000000-0008-0000-0800-0000601C0000}"/>
            </a:ext>
          </a:extLst>
        </xdr:cNvPr>
        <xdr:cNvSpPr txBox="1">
          <a:spLocks noChangeArrowheads="1"/>
        </xdr:cNvSpPr>
      </xdr:nvSpPr>
      <xdr:spPr bwMode="auto">
        <a:xfrm>
          <a:off x="57150" y="20802600"/>
          <a:ext cx="2552700" cy="5810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fr-FR" sz="800" b="1" i="0" u="sng" strike="noStrike" baseline="0">
              <a:solidFill>
                <a:srgbClr val="000000"/>
              </a:solidFill>
              <a:latin typeface="Arial"/>
              <a:cs typeface="Arial"/>
            </a:rPr>
            <a:t>En conclusion</a:t>
          </a:r>
          <a:r>
            <a:rPr lang="fr-FR" sz="800" b="0" i="0" u="sng" strike="noStrike" baseline="0">
              <a:solidFill>
                <a:srgbClr val="000000"/>
              </a:solidFill>
              <a:latin typeface="Arial"/>
              <a:cs typeface="Arial"/>
            </a:rPr>
            <a:t> pour cet exemple, il faudra exécuter</a:t>
          </a:r>
          <a:r>
            <a:rPr lang="fr-FR" sz="800" b="0" i="0" u="none" strike="noStrike" baseline="0">
              <a:solidFill>
                <a:srgbClr val="000000"/>
              </a:solidFill>
              <a:latin typeface="Arial"/>
              <a:cs typeface="Arial"/>
            </a:rPr>
            <a:t> :</a:t>
          </a:r>
        </a:p>
        <a:p>
          <a:pPr algn="l" rtl="0">
            <a:defRPr sz="1000"/>
          </a:pPr>
          <a:r>
            <a:rPr lang="fr-FR" sz="800" b="1" i="0" u="none" strike="noStrike" baseline="0">
              <a:solidFill>
                <a:srgbClr val="000000"/>
              </a:solidFill>
              <a:latin typeface="Arial"/>
              <a:cs typeface="Arial"/>
            </a:rPr>
            <a:t>3 </a:t>
          </a:r>
          <a:r>
            <a:rPr lang="fr-FR" sz="800" b="0" i="0" u="none" strike="noStrike" baseline="0">
              <a:solidFill>
                <a:srgbClr val="000000"/>
              </a:solidFill>
              <a:latin typeface="Arial"/>
              <a:cs typeface="Arial"/>
            </a:rPr>
            <a:t>traces de </a:t>
          </a:r>
          <a:r>
            <a:rPr lang="fr-FR" sz="800" b="1" i="0" u="none" strike="noStrike" baseline="0">
              <a:solidFill>
                <a:srgbClr val="000000"/>
              </a:solidFill>
              <a:latin typeface="Arial"/>
              <a:cs typeface="Arial"/>
            </a:rPr>
            <a:t>6 </a:t>
          </a:r>
          <a:r>
            <a:rPr lang="fr-FR" sz="800" b="0" i="0" u="none" strike="noStrike" baseline="0">
              <a:solidFill>
                <a:srgbClr val="000000"/>
              </a:solidFill>
              <a:latin typeface="Arial"/>
              <a:cs typeface="Arial"/>
            </a:rPr>
            <a:t>passes pour les </a:t>
          </a:r>
          <a:r>
            <a:rPr lang="fr-FR" sz="800" b="1" i="0" u="none" strike="noStrike" baseline="0">
              <a:solidFill>
                <a:srgbClr val="000000"/>
              </a:solidFill>
              <a:latin typeface="Arial"/>
              <a:cs typeface="Arial"/>
            </a:rPr>
            <a:t>30</a:t>
          </a:r>
          <a:r>
            <a:rPr lang="fr-FR" sz="800" b="0" i="0" u="none" strike="noStrike" baseline="0">
              <a:solidFill>
                <a:srgbClr val="000000"/>
              </a:solidFill>
              <a:latin typeface="Arial"/>
              <a:cs typeface="Arial"/>
            </a:rPr>
            <a:t> premiers cm,</a:t>
          </a:r>
        </a:p>
        <a:p>
          <a:pPr algn="l" rtl="0">
            <a:defRPr sz="1000"/>
          </a:pPr>
          <a:r>
            <a:rPr lang="fr-FR" sz="800" b="1" i="0" u="none" strike="noStrike" baseline="0">
              <a:solidFill>
                <a:srgbClr val="000000"/>
              </a:solidFill>
              <a:latin typeface="Arial"/>
              <a:cs typeface="Arial"/>
            </a:rPr>
            <a:t>3</a:t>
          </a:r>
          <a:r>
            <a:rPr lang="fr-FR" sz="800" b="0" i="0" u="none" strike="noStrike" baseline="0">
              <a:solidFill>
                <a:srgbClr val="000000"/>
              </a:solidFill>
              <a:latin typeface="Arial"/>
              <a:cs typeface="Arial"/>
            </a:rPr>
            <a:t> traces de </a:t>
          </a:r>
          <a:r>
            <a:rPr lang="fr-FR" sz="800" b="1" i="0" u="none" strike="noStrike" baseline="0">
              <a:solidFill>
                <a:srgbClr val="000000"/>
              </a:solidFill>
              <a:latin typeface="Arial"/>
              <a:cs typeface="Arial"/>
            </a:rPr>
            <a:t>3</a:t>
          </a:r>
          <a:r>
            <a:rPr lang="fr-FR" sz="800" b="0" i="0" u="none" strike="noStrike" baseline="0">
              <a:solidFill>
                <a:srgbClr val="000000"/>
              </a:solidFill>
              <a:latin typeface="Arial"/>
              <a:cs typeface="Arial"/>
            </a:rPr>
            <a:t> passes pour les </a:t>
          </a:r>
          <a:r>
            <a:rPr lang="fr-FR" sz="800" b="1" i="0" u="none" strike="noStrike" baseline="0">
              <a:solidFill>
                <a:srgbClr val="000000"/>
              </a:solidFill>
              <a:latin typeface="Arial"/>
              <a:cs typeface="Arial"/>
            </a:rPr>
            <a:t>15</a:t>
          </a:r>
          <a:r>
            <a:rPr lang="fr-FR" sz="800" b="0" i="0" u="none" strike="noStrike" baseline="0">
              <a:solidFill>
                <a:srgbClr val="000000"/>
              </a:solidFill>
              <a:latin typeface="Arial"/>
              <a:cs typeface="Arial"/>
            </a:rPr>
            <a:t> derniers cm,</a:t>
          </a:r>
        </a:p>
        <a:p>
          <a:pPr algn="l" rtl="0">
            <a:defRPr sz="1000"/>
          </a:pPr>
          <a:r>
            <a:rPr lang="fr-FR" sz="800" b="0" i="0" u="none" strike="noStrike" baseline="0">
              <a:solidFill>
                <a:srgbClr val="000000"/>
              </a:solidFill>
              <a:latin typeface="Arial"/>
              <a:cs typeface="Arial"/>
            </a:rPr>
            <a:t>Soit </a:t>
          </a:r>
          <a:r>
            <a:rPr lang="fr-FR" sz="800" b="1" i="0" u="none" strike="noStrike" baseline="0">
              <a:solidFill>
                <a:srgbClr val="000000"/>
              </a:solidFill>
              <a:latin typeface="Arial"/>
              <a:cs typeface="Arial"/>
            </a:rPr>
            <a:t>(3x6)</a:t>
          </a:r>
          <a:r>
            <a:rPr lang="fr-FR" sz="800" b="0" i="0" u="none" strike="noStrike" baseline="0">
              <a:solidFill>
                <a:srgbClr val="000000"/>
              </a:solidFill>
              <a:latin typeface="Arial"/>
              <a:cs typeface="Arial"/>
            </a:rPr>
            <a:t> </a:t>
          </a:r>
          <a:r>
            <a:rPr lang="fr-FR" sz="800" b="1" i="0" u="none" strike="noStrike" baseline="0">
              <a:solidFill>
                <a:srgbClr val="000000"/>
              </a:solidFill>
              <a:latin typeface="Arial"/>
              <a:cs typeface="Arial"/>
            </a:rPr>
            <a:t>+ (3x3) = </a:t>
          </a:r>
          <a:r>
            <a:rPr lang="fr-FR" sz="800" b="1" i="0" u="sng" strike="noStrike" baseline="0">
              <a:solidFill>
                <a:srgbClr val="000000"/>
              </a:solidFill>
              <a:latin typeface="Arial"/>
              <a:cs typeface="Arial"/>
            </a:rPr>
            <a:t>27 passes</a:t>
          </a:r>
        </a:p>
      </xdr:txBody>
    </xdr:sp>
    <xdr:clientData/>
  </xdr:twoCellAnchor>
  <xdr:twoCellAnchor>
    <xdr:from>
      <xdr:col>0</xdr:col>
      <xdr:colOff>19050</xdr:colOff>
      <xdr:row>91</xdr:row>
      <xdr:rowOff>28575</xdr:rowOff>
    </xdr:from>
    <xdr:to>
      <xdr:col>0</xdr:col>
      <xdr:colOff>381000</xdr:colOff>
      <xdr:row>92</xdr:row>
      <xdr:rowOff>133350</xdr:rowOff>
    </xdr:to>
    <xdr:sp macro="" textlink="">
      <xdr:nvSpPr>
        <xdr:cNvPr id="210876" name="Oval 97">
          <a:extLst>
            <a:ext uri="{FF2B5EF4-FFF2-40B4-BE49-F238E27FC236}">
              <a16:creationId xmlns:a16="http://schemas.microsoft.com/office/drawing/2014/main" id="{00000000-0008-0000-0800-0000BC370300}"/>
            </a:ext>
          </a:extLst>
        </xdr:cNvPr>
        <xdr:cNvSpPr>
          <a:spLocks noChangeArrowheads="1"/>
        </xdr:cNvSpPr>
      </xdr:nvSpPr>
      <xdr:spPr bwMode="auto">
        <a:xfrm>
          <a:off x="19050" y="16287750"/>
          <a:ext cx="361950" cy="266700"/>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0</xdr:col>
      <xdr:colOff>123825</xdr:colOff>
      <xdr:row>91</xdr:row>
      <xdr:rowOff>66675</xdr:rowOff>
    </xdr:from>
    <xdr:to>
      <xdr:col>0</xdr:col>
      <xdr:colOff>295275</xdr:colOff>
      <xdr:row>92</xdr:row>
      <xdr:rowOff>47625</xdr:rowOff>
    </xdr:to>
    <xdr:sp macro="" textlink="">
      <xdr:nvSpPr>
        <xdr:cNvPr id="7266" name="Text Box 98">
          <a:extLst>
            <a:ext uri="{FF2B5EF4-FFF2-40B4-BE49-F238E27FC236}">
              <a16:creationId xmlns:a16="http://schemas.microsoft.com/office/drawing/2014/main" id="{00000000-0008-0000-0800-0000621C0000}"/>
            </a:ext>
          </a:extLst>
        </xdr:cNvPr>
        <xdr:cNvSpPr txBox="1">
          <a:spLocks noChangeArrowheads="1"/>
        </xdr:cNvSpPr>
      </xdr:nvSpPr>
      <xdr:spPr bwMode="auto">
        <a:xfrm>
          <a:off x="123825" y="16325850"/>
          <a:ext cx="1714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1" i="0" u="none" strike="noStrike" baseline="0">
              <a:solidFill>
                <a:srgbClr val="000000"/>
              </a:solidFill>
              <a:latin typeface="Arial"/>
              <a:cs typeface="Arial"/>
            </a:rPr>
            <a:t>1</a:t>
          </a:r>
        </a:p>
      </xdr:txBody>
    </xdr:sp>
    <xdr:clientData/>
  </xdr:twoCellAnchor>
  <xdr:twoCellAnchor>
    <xdr:from>
      <xdr:col>0</xdr:col>
      <xdr:colOff>28575</xdr:colOff>
      <xdr:row>108</xdr:row>
      <xdr:rowOff>0</xdr:rowOff>
    </xdr:from>
    <xdr:to>
      <xdr:col>0</xdr:col>
      <xdr:colOff>304800</xdr:colOff>
      <xdr:row>109</xdr:row>
      <xdr:rowOff>85725</xdr:rowOff>
    </xdr:to>
    <xdr:sp macro="" textlink="">
      <xdr:nvSpPr>
        <xdr:cNvPr id="210878" name="Oval 99">
          <a:extLst>
            <a:ext uri="{FF2B5EF4-FFF2-40B4-BE49-F238E27FC236}">
              <a16:creationId xmlns:a16="http://schemas.microsoft.com/office/drawing/2014/main" id="{00000000-0008-0000-0800-0000BE370300}"/>
            </a:ext>
          </a:extLst>
        </xdr:cNvPr>
        <xdr:cNvSpPr>
          <a:spLocks noChangeArrowheads="1"/>
        </xdr:cNvSpPr>
      </xdr:nvSpPr>
      <xdr:spPr bwMode="auto">
        <a:xfrm>
          <a:off x="28575" y="19011900"/>
          <a:ext cx="276225" cy="247650"/>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0</xdr:col>
      <xdr:colOff>57150</xdr:colOff>
      <xdr:row>108</xdr:row>
      <xdr:rowOff>19050</xdr:rowOff>
    </xdr:from>
    <xdr:to>
      <xdr:col>0</xdr:col>
      <xdr:colOff>295275</xdr:colOff>
      <xdr:row>109</xdr:row>
      <xdr:rowOff>76200</xdr:rowOff>
    </xdr:to>
    <xdr:sp macro="" textlink="">
      <xdr:nvSpPr>
        <xdr:cNvPr id="7268" name="Text Box 100">
          <a:extLst>
            <a:ext uri="{FF2B5EF4-FFF2-40B4-BE49-F238E27FC236}">
              <a16:creationId xmlns:a16="http://schemas.microsoft.com/office/drawing/2014/main" id="{00000000-0008-0000-0800-0000641C0000}"/>
            </a:ext>
          </a:extLst>
        </xdr:cNvPr>
        <xdr:cNvSpPr txBox="1">
          <a:spLocks noChangeArrowheads="1"/>
        </xdr:cNvSpPr>
      </xdr:nvSpPr>
      <xdr:spPr bwMode="auto">
        <a:xfrm>
          <a:off x="57150" y="19030950"/>
          <a:ext cx="2381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2</a:t>
          </a:r>
        </a:p>
      </xdr:txBody>
    </xdr:sp>
    <xdr:clientData/>
  </xdr:twoCellAnchor>
  <xdr:twoCellAnchor>
    <xdr:from>
      <xdr:col>4</xdr:col>
      <xdr:colOff>0</xdr:colOff>
      <xdr:row>111</xdr:row>
      <xdr:rowOff>0</xdr:rowOff>
    </xdr:from>
    <xdr:to>
      <xdr:col>5</xdr:col>
      <xdr:colOff>0</xdr:colOff>
      <xdr:row>113</xdr:row>
      <xdr:rowOff>0</xdr:rowOff>
    </xdr:to>
    <xdr:sp macro="" textlink="">
      <xdr:nvSpPr>
        <xdr:cNvPr id="210880" name="Line 101">
          <a:extLst>
            <a:ext uri="{FF2B5EF4-FFF2-40B4-BE49-F238E27FC236}">
              <a16:creationId xmlns:a16="http://schemas.microsoft.com/office/drawing/2014/main" id="{00000000-0008-0000-0800-0000C0370300}"/>
            </a:ext>
          </a:extLst>
        </xdr:cNvPr>
        <xdr:cNvSpPr>
          <a:spLocks noChangeShapeType="1"/>
        </xdr:cNvSpPr>
      </xdr:nvSpPr>
      <xdr:spPr bwMode="auto">
        <a:xfrm>
          <a:off x="3152775" y="19497675"/>
          <a:ext cx="809625" cy="323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118</xdr:row>
      <xdr:rowOff>0</xdr:rowOff>
    </xdr:from>
    <xdr:to>
      <xdr:col>5</xdr:col>
      <xdr:colOff>9525</xdr:colOff>
      <xdr:row>120</xdr:row>
      <xdr:rowOff>19050</xdr:rowOff>
    </xdr:to>
    <xdr:sp macro="" textlink="">
      <xdr:nvSpPr>
        <xdr:cNvPr id="210881" name="Line 102">
          <a:extLst>
            <a:ext uri="{FF2B5EF4-FFF2-40B4-BE49-F238E27FC236}">
              <a16:creationId xmlns:a16="http://schemas.microsoft.com/office/drawing/2014/main" id="{00000000-0008-0000-0800-0000C1370300}"/>
            </a:ext>
          </a:extLst>
        </xdr:cNvPr>
        <xdr:cNvSpPr>
          <a:spLocks noChangeShapeType="1"/>
        </xdr:cNvSpPr>
      </xdr:nvSpPr>
      <xdr:spPr bwMode="auto">
        <a:xfrm>
          <a:off x="3152775" y="20631150"/>
          <a:ext cx="819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109</xdr:row>
      <xdr:rowOff>0</xdr:rowOff>
    </xdr:from>
    <xdr:to>
      <xdr:col>6</xdr:col>
      <xdr:colOff>28575</xdr:colOff>
      <xdr:row>111</xdr:row>
      <xdr:rowOff>9525</xdr:rowOff>
    </xdr:to>
    <xdr:sp macro="" textlink="">
      <xdr:nvSpPr>
        <xdr:cNvPr id="210882" name="Line 103">
          <a:extLst>
            <a:ext uri="{FF2B5EF4-FFF2-40B4-BE49-F238E27FC236}">
              <a16:creationId xmlns:a16="http://schemas.microsoft.com/office/drawing/2014/main" id="{00000000-0008-0000-0800-0000C2370300}"/>
            </a:ext>
          </a:extLst>
        </xdr:cNvPr>
        <xdr:cNvSpPr>
          <a:spLocks noChangeShapeType="1"/>
        </xdr:cNvSpPr>
      </xdr:nvSpPr>
      <xdr:spPr bwMode="auto">
        <a:xfrm flipV="1">
          <a:off x="3162300" y="19173825"/>
          <a:ext cx="1638300" cy="333375"/>
        </a:xfrm>
        <a:prstGeom prst="line">
          <a:avLst/>
        </a:prstGeom>
        <a:noFill/>
        <a:ln w="3175"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110</xdr:row>
      <xdr:rowOff>152400</xdr:rowOff>
    </xdr:from>
    <xdr:to>
      <xdr:col>7</xdr:col>
      <xdr:colOff>9525</xdr:colOff>
      <xdr:row>113</xdr:row>
      <xdr:rowOff>9525</xdr:rowOff>
    </xdr:to>
    <xdr:sp macro="" textlink="">
      <xdr:nvSpPr>
        <xdr:cNvPr id="210883" name="Line 104">
          <a:extLst>
            <a:ext uri="{FF2B5EF4-FFF2-40B4-BE49-F238E27FC236}">
              <a16:creationId xmlns:a16="http://schemas.microsoft.com/office/drawing/2014/main" id="{00000000-0008-0000-0800-0000C3370300}"/>
            </a:ext>
          </a:extLst>
        </xdr:cNvPr>
        <xdr:cNvSpPr>
          <a:spLocks noChangeShapeType="1"/>
        </xdr:cNvSpPr>
      </xdr:nvSpPr>
      <xdr:spPr bwMode="auto">
        <a:xfrm flipV="1">
          <a:off x="3981450" y="19488150"/>
          <a:ext cx="1609725" cy="342900"/>
        </a:xfrm>
        <a:prstGeom prst="line">
          <a:avLst/>
        </a:prstGeom>
        <a:noFill/>
        <a:ln w="3175"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112</xdr:row>
      <xdr:rowOff>19050</xdr:rowOff>
    </xdr:from>
    <xdr:to>
      <xdr:col>7</xdr:col>
      <xdr:colOff>9525</xdr:colOff>
      <xdr:row>114</xdr:row>
      <xdr:rowOff>152400</xdr:rowOff>
    </xdr:to>
    <xdr:sp macro="" textlink="">
      <xdr:nvSpPr>
        <xdr:cNvPr id="210884" name="Line 105">
          <a:extLst>
            <a:ext uri="{FF2B5EF4-FFF2-40B4-BE49-F238E27FC236}">
              <a16:creationId xmlns:a16="http://schemas.microsoft.com/office/drawing/2014/main" id="{00000000-0008-0000-0800-0000C4370300}"/>
            </a:ext>
          </a:extLst>
        </xdr:cNvPr>
        <xdr:cNvSpPr>
          <a:spLocks noChangeShapeType="1"/>
        </xdr:cNvSpPr>
      </xdr:nvSpPr>
      <xdr:spPr bwMode="auto">
        <a:xfrm flipV="1">
          <a:off x="3162300" y="19678650"/>
          <a:ext cx="2428875" cy="457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115</xdr:row>
      <xdr:rowOff>0</xdr:rowOff>
    </xdr:from>
    <xdr:to>
      <xdr:col>4</xdr:col>
      <xdr:colOff>800100</xdr:colOff>
      <xdr:row>117</xdr:row>
      <xdr:rowOff>0</xdr:rowOff>
    </xdr:to>
    <xdr:sp macro="" textlink="">
      <xdr:nvSpPr>
        <xdr:cNvPr id="210885" name="Line 106">
          <a:extLst>
            <a:ext uri="{FF2B5EF4-FFF2-40B4-BE49-F238E27FC236}">
              <a16:creationId xmlns:a16="http://schemas.microsoft.com/office/drawing/2014/main" id="{00000000-0008-0000-0800-0000C5370300}"/>
            </a:ext>
          </a:extLst>
        </xdr:cNvPr>
        <xdr:cNvSpPr>
          <a:spLocks noChangeShapeType="1"/>
        </xdr:cNvSpPr>
      </xdr:nvSpPr>
      <xdr:spPr bwMode="auto">
        <a:xfrm>
          <a:off x="3171825" y="20145375"/>
          <a:ext cx="781050" cy="323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28575</xdr:colOff>
      <xdr:row>114</xdr:row>
      <xdr:rowOff>9525</xdr:rowOff>
    </xdr:from>
    <xdr:to>
      <xdr:col>8</xdr:col>
      <xdr:colOff>28575</xdr:colOff>
      <xdr:row>116</xdr:row>
      <xdr:rowOff>152400</xdr:rowOff>
    </xdr:to>
    <xdr:sp macro="" textlink="">
      <xdr:nvSpPr>
        <xdr:cNvPr id="210886" name="Line 107">
          <a:extLst>
            <a:ext uri="{FF2B5EF4-FFF2-40B4-BE49-F238E27FC236}">
              <a16:creationId xmlns:a16="http://schemas.microsoft.com/office/drawing/2014/main" id="{00000000-0008-0000-0800-0000C6370300}"/>
            </a:ext>
          </a:extLst>
        </xdr:cNvPr>
        <xdr:cNvSpPr>
          <a:spLocks noChangeShapeType="1"/>
        </xdr:cNvSpPr>
      </xdr:nvSpPr>
      <xdr:spPr bwMode="auto">
        <a:xfrm flipV="1">
          <a:off x="3990975" y="19992975"/>
          <a:ext cx="2381250" cy="466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116</xdr:row>
      <xdr:rowOff>0</xdr:rowOff>
    </xdr:from>
    <xdr:to>
      <xdr:col>4</xdr:col>
      <xdr:colOff>790575</xdr:colOff>
      <xdr:row>118</xdr:row>
      <xdr:rowOff>9525</xdr:rowOff>
    </xdr:to>
    <xdr:sp macro="" textlink="">
      <xdr:nvSpPr>
        <xdr:cNvPr id="210887" name="Line 108">
          <a:extLst>
            <a:ext uri="{FF2B5EF4-FFF2-40B4-BE49-F238E27FC236}">
              <a16:creationId xmlns:a16="http://schemas.microsoft.com/office/drawing/2014/main" id="{00000000-0008-0000-0800-0000C7370300}"/>
            </a:ext>
          </a:extLst>
        </xdr:cNvPr>
        <xdr:cNvSpPr>
          <a:spLocks noChangeShapeType="1"/>
        </xdr:cNvSpPr>
      </xdr:nvSpPr>
      <xdr:spPr bwMode="auto">
        <a:xfrm>
          <a:off x="3152775" y="20307300"/>
          <a:ext cx="790575" cy="333375"/>
        </a:xfrm>
        <a:prstGeom prst="line">
          <a:avLst/>
        </a:prstGeom>
        <a:noFill/>
        <a:ln w="3175"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5</xdr:col>
      <xdr:colOff>28575</xdr:colOff>
      <xdr:row>115</xdr:row>
      <xdr:rowOff>9525</xdr:rowOff>
    </xdr:from>
    <xdr:to>
      <xdr:col>7</xdr:col>
      <xdr:colOff>752475</xdr:colOff>
      <xdr:row>117</xdr:row>
      <xdr:rowOff>152400</xdr:rowOff>
    </xdr:to>
    <xdr:sp macro="" textlink="">
      <xdr:nvSpPr>
        <xdr:cNvPr id="210888" name="Line 109">
          <a:extLst>
            <a:ext uri="{FF2B5EF4-FFF2-40B4-BE49-F238E27FC236}">
              <a16:creationId xmlns:a16="http://schemas.microsoft.com/office/drawing/2014/main" id="{00000000-0008-0000-0800-0000C8370300}"/>
            </a:ext>
          </a:extLst>
        </xdr:cNvPr>
        <xdr:cNvSpPr>
          <a:spLocks noChangeShapeType="1"/>
        </xdr:cNvSpPr>
      </xdr:nvSpPr>
      <xdr:spPr bwMode="auto">
        <a:xfrm flipV="1">
          <a:off x="3990975" y="20154900"/>
          <a:ext cx="2343150" cy="466725"/>
        </a:xfrm>
        <a:prstGeom prst="line">
          <a:avLst/>
        </a:prstGeom>
        <a:noFill/>
        <a:ln w="3175"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117</xdr:row>
      <xdr:rowOff>9525</xdr:rowOff>
    </xdr:from>
    <xdr:to>
      <xdr:col>4</xdr:col>
      <xdr:colOff>800100</xdr:colOff>
      <xdr:row>118</xdr:row>
      <xdr:rowOff>152400</xdr:rowOff>
    </xdr:to>
    <xdr:sp macro="" textlink="">
      <xdr:nvSpPr>
        <xdr:cNvPr id="210889" name="Line 110">
          <a:extLst>
            <a:ext uri="{FF2B5EF4-FFF2-40B4-BE49-F238E27FC236}">
              <a16:creationId xmlns:a16="http://schemas.microsoft.com/office/drawing/2014/main" id="{00000000-0008-0000-0800-0000C9370300}"/>
            </a:ext>
          </a:extLst>
        </xdr:cNvPr>
        <xdr:cNvSpPr>
          <a:spLocks noChangeShapeType="1"/>
        </xdr:cNvSpPr>
      </xdr:nvSpPr>
      <xdr:spPr bwMode="auto">
        <a:xfrm>
          <a:off x="3162300" y="20478750"/>
          <a:ext cx="790575" cy="304800"/>
        </a:xfrm>
        <a:prstGeom prst="line">
          <a:avLst/>
        </a:prstGeom>
        <a:noFill/>
        <a:ln w="19050">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5</xdr:col>
      <xdr:colOff>9525</xdr:colOff>
      <xdr:row>116</xdr:row>
      <xdr:rowOff>19050</xdr:rowOff>
    </xdr:from>
    <xdr:to>
      <xdr:col>8</xdr:col>
      <xdr:colOff>19050</xdr:colOff>
      <xdr:row>119</xdr:row>
      <xdr:rowOff>0</xdr:rowOff>
    </xdr:to>
    <xdr:sp macro="" textlink="">
      <xdr:nvSpPr>
        <xdr:cNvPr id="210890" name="Line 111">
          <a:extLst>
            <a:ext uri="{FF2B5EF4-FFF2-40B4-BE49-F238E27FC236}">
              <a16:creationId xmlns:a16="http://schemas.microsoft.com/office/drawing/2014/main" id="{00000000-0008-0000-0800-0000CA370300}"/>
            </a:ext>
          </a:extLst>
        </xdr:cNvPr>
        <xdr:cNvSpPr>
          <a:spLocks noChangeShapeType="1"/>
        </xdr:cNvSpPr>
      </xdr:nvSpPr>
      <xdr:spPr bwMode="auto">
        <a:xfrm flipV="1">
          <a:off x="3971925" y="20326350"/>
          <a:ext cx="2390775" cy="466725"/>
        </a:xfrm>
        <a:prstGeom prst="line">
          <a:avLst/>
        </a:prstGeom>
        <a:noFill/>
        <a:ln w="19050">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4</xdr:col>
      <xdr:colOff>219075</xdr:colOff>
      <xdr:row>112</xdr:row>
      <xdr:rowOff>38100</xdr:rowOff>
    </xdr:from>
    <xdr:to>
      <xdr:col>7</xdr:col>
      <xdr:colOff>714375</xdr:colOff>
      <xdr:row>115</xdr:row>
      <xdr:rowOff>114300</xdr:rowOff>
    </xdr:to>
    <xdr:sp macro="" textlink="">
      <xdr:nvSpPr>
        <xdr:cNvPr id="210891" name="Line 112">
          <a:extLst>
            <a:ext uri="{FF2B5EF4-FFF2-40B4-BE49-F238E27FC236}">
              <a16:creationId xmlns:a16="http://schemas.microsoft.com/office/drawing/2014/main" id="{00000000-0008-0000-0800-0000CB370300}"/>
            </a:ext>
          </a:extLst>
        </xdr:cNvPr>
        <xdr:cNvSpPr>
          <a:spLocks noChangeShapeType="1"/>
        </xdr:cNvSpPr>
      </xdr:nvSpPr>
      <xdr:spPr bwMode="auto">
        <a:xfrm flipV="1">
          <a:off x="3371850" y="19697700"/>
          <a:ext cx="2924175" cy="561975"/>
        </a:xfrm>
        <a:prstGeom prst="line">
          <a:avLst/>
        </a:prstGeom>
        <a:noFill/>
        <a:ln w="6350">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4</xdr:col>
      <xdr:colOff>514350</xdr:colOff>
      <xdr:row>112</xdr:row>
      <xdr:rowOff>152400</xdr:rowOff>
    </xdr:from>
    <xdr:to>
      <xdr:col>8</xdr:col>
      <xdr:colOff>38100</xdr:colOff>
      <xdr:row>116</xdr:row>
      <xdr:rowOff>76200</xdr:rowOff>
    </xdr:to>
    <xdr:sp macro="" textlink="">
      <xdr:nvSpPr>
        <xdr:cNvPr id="210892" name="Line 113">
          <a:extLst>
            <a:ext uri="{FF2B5EF4-FFF2-40B4-BE49-F238E27FC236}">
              <a16:creationId xmlns:a16="http://schemas.microsoft.com/office/drawing/2014/main" id="{00000000-0008-0000-0800-0000CC370300}"/>
            </a:ext>
          </a:extLst>
        </xdr:cNvPr>
        <xdr:cNvSpPr>
          <a:spLocks noChangeShapeType="1"/>
        </xdr:cNvSpPr>
      </xdr:nvSpPr>
      <xdr:spPr bwMode="auto">
        <a:xfrm flipV="1">
          <a:off x="3667125" y="19812000"/>
          <a:ext cx="2714625" cy="571500"/>
        </a:xfrm>
        <a:prstGeom prst="line">
          <a:avLst/>
        </a:prstGeom>
        <a:noFill/>
        <a:ln w="6350">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112</xdr:row>
      <xdr:rowOff>9525</xdr:rowOff>
    </xdr:from>
    <xdr:to>
      <xdr:col>8</xdr:col>
      <xdr:colOff>28575</xdr:colOff>
      <xdr:row>114</xdr:row>
      <xdr:rowOff>0</xdr:rowOff>
    </xdr:to>
    <xdr:sp macro="" textlink="">
      <xdr:nvSpPr>
        <xdr:cNvPr id="210893" name="Line 114">
          <a:extLst>
            <a:ext uri="{FF2B5EF4-FFF2-40B4-BE49-F238E27FC236}">
              <a16:creationId xmlns:a16="http://schemas.microsoft.com/office/drawing/2014/main" id="{00000000-0008-0000-0800-0000CD370300}"/>
            </a:ext>
          </a:extLst>
        </xdr:cNvPr>
        <xdr:cNvSpPr>
          <a:spLocks noChangeShapeType="1"/>
        </xdr:cNvSpPr>
      </xdr:nvSpPr>
      <xdr:spPr bwMode="auto">
        <a:xfrm>
          <a:off x="5581650" y="19669125"/>
          <a:ext cx="790575" cy="3143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120</xdr:row>
      <xdr:rowOff>0</xdr:rowOff>
    </xdr:from>
    <xdr:to>
      <xdr:col>4</xdr:col>
      <xdr:colOff>800100</xdr:colOff>
      <xdr:row>122</xdr:row>
      <xdr:rowOff>9525</xdr:rowOff>
    </xdr:to>
    <xdr:sp macro="" textlink="">
      <xdr:nvSpPr>
        <xdr:cNvPr id="210894" name="Line 115">
          <a:extLst>
            <a:ext uri="{FF2B5EF4-FFF2-40B4-BE49-F238E27FC236}">
              <a16:creationId xmlns:a16="http://schemas.microsoft.com/office/drawing/2014/main" id="{00000000-0008-0000-0800-0000CE370300}"/>
            </a:ext>
          </a:extLst>
        </xdr:cNvPr>
        <xdr:cNvSpPr>
          <a:spLocks noChangeShapeType="1"/>
        </xdr:cNvSpPr>
      </xdr:nvSpPr>
      <xdr:spPr bwMode="auto">
        <a:xfrm>
          <a:off x="3152775" y="20955000"/>
          <a:ext cx="800100" cy="3333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119</xdr:row>
      <xdr:rowOff>0</xdr:rowOff>
    </xdr:from>
    <xdr:to>
      <xdr:col>8</xdr:col>
      <xdr:colOff>28575</xdr:colOff>
      <xdr:row>121</xdr:row>
      <xdr:rowOff>152400</xdr:rowOff>
    </xdr:to>
    <xdr:sp macro="" textlink="">
      <xdr:nvSpPr>
        <xdr:cNvPr id="210895" name="Line 116">
          <a:extLst>
            <a:ext uri="{FF2B5EF4-FFF2-40B4-BE49-F238E27FC236}">
              <a16:creationId xmlns:a16="http://schemas.microsoft.com/office/drawing/2014/main" id="{00000000-0008-0000-0800-0000CF370300}"/>
            </a:ext>
          </a:extLst>
        </xdr:cNvPr>
        <xdr:cNvSpPr>
          <a:spLocks noChangeShapeType="1"/>
        </xdr:cNvSpPr>
      </xdr:nvSpPr>
      <xdr:spPr bwMode="auto">
        <a:xfrm flipV="1">
          <a:off x="3981450" y="20793075"/>
          <a:ext cx="2390775"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800100</xdr:colOff>
      <xdr:row>117</xdr:row>
      <xdr:rowOff>0</xdr:rowOff>
    </xdr:from>
    <xdr:to>
      <xdr:col>8</xdr:col>
      <xdr:colOff>19050</xdr:colOff>
      <xdr:row>120</xdr:row>
      <xdr:rowOff>9525</xdr:rowOff>
    </xdr:to>
    <xdr:sp macro="" textlink="">
      <xdr:nvSpPr>
        <xdr:cNvPr id="210896" name="Line 117">
          <a:extLst>
            <a:ext uri="{FF2B5EF4-FFF2-40B4-BE49-F238E27FC236}">
              <a16:creationId xmlns:a16="http://schemas.microsoft.com/office/drawing/2014/main" id="{00000000-0008-0000-0800-0000D0370300}"/>
            </a:ext>
          </a:extLst>
        </xdr:cNvPr>
        <xdr:cNvSpPr>
          <a:spLocks noChangeShapeType="1"/>
        </xdr:cNvSpPr>
      </xdr:nvSpPr>
      <xdr:spPr bwMode="auto">
        <a:xfrm flipV="1">
          <a:off x="3952875" y="20469225"/>
          <a:ext cx="2409825" cy="495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276225</xdr:colOff>
      <xdr:row>90</xdr:row>
      <xdr:rowOff>47625</xdr:rowOff>
    </xdr:from>
    <xdr:to>
      <xdr:col>7</xdr:col>
      <xdr:colOff>495300</xdr:colOff>
      <xdr:row>91</xdr:row>
      <xdr:rowOff>19050</xdr:rowOff>
    </xdr:to>
    <xdr:sp macro="" textlink="">
      <xdr:nvSpPr>
        <xdr:cNvPr id="210897" name="Oval 118">
          <a:extLst>
            <a:ext uri="{FF2B5EF4-FFF2-40B4-BE49-F238E27FC236}">
              <a16:creationId xmlns:a16="http://schemas.microsoft.com/office/drawing/2014/main" id="{00000000-0008-0000-0800-0000D1370300}"/>
            </a:ext>
          </a:extLst>
        </xdr:cNvPr>
        <xdr:cNvSpPr>
          <a:spLocks noChangeArrowheads="1"/>
        </xdr:cNvSpPr>
      </xdr:nvSpPr>
      <xdr:spPr bwMode="auto">
        <a:xfrm>
          <a:off x="5857875" y="16144875"/>
          <a:ext cx="219075" cy="133350"/>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276225</xdr:colOff>
      <xdr:row>92</xdr:row>
      <xdr:rowOff>28575</xdr:rowOff>
    </xdr:from>
    <xdr:to>
      <xdr:col>7</xdr:col>
      <xdr:colOff>514350</xdr:colOff>
      <xdr:row>93</xdr:row>
      <xdr:rowOff>47625</xdr:rowOff>
    </xdr:to>
    <xdr:sp macro="" textlink="">
      <xdr:nvSpPr>
        <xdr:cNvPr id="210898" name="Oval 119">
          <a:extLst>
            <a:ext uri="{FF2B5EF4-FFF2-40B4-BE49-F238E27FC236}">
              <a16:creationId xmlns:a16="http://schemas.microsoft.com/office/drawing/2014/main" id="{00000000-0008-0000-0800-0000D2370300}"/>
            </a:ext>
          </a:extLst>
        </xdr:cNvPr>
        <xdr:cNvSpPr>
          <a:spLocks noChangeArrowheads="1"/>
        </xdr:cNvSpPr>
      </xdr:nvSpPr>
      <xdr:spPr bwMode="auto">
        <a:xfrm>
          <a:off x="5857875" y="16449675"/>
          <a:ext cx="238125" cy="180975"/>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219075</xdr:colOff>
      <xdr:row>96</xdr:row>
      <xdr:rowOff>38100</xdr:rowOff>
    </xdr:from>
    <xdr:to>
      <xdr:col>7</xdr:col>
      <xdr:colOff>600075</xdr:colOff>
      <xdr:row>98</xdr:row>
      <xdr:rowOff>66675</xdr:rowOff>
    </xdr:to>
    <xdr:sp macro="" textlink="">
      <xdr:nvSpPr>
        <xdr:cNvPr id="210899" name="Oval 120">
          <a:extLst>
            <a:ext uri="{FF2B5EF4-FFF2-40B4-BE49-F238E27FC236}">
              <a16:creationId xmlns:a16="http://schemas.microsoft.com/office/drawing/2014/main" id="{00000000-0008-0000-0800-0000D3370300}"/>
            </a:ext>
          </a:extLst>
        </xdr:cNvPr>
        <xdr:cNvSpPr>
          <a:spLocks noChangeArrowheads="1"/>
        </xdr:cNvSpPr>
      </xdr:nvSpPr>
      <xdr:spPr bwMode="auto">
        <a:xfrm>
          <a:off x="5800725" y="17106900"/>
          <a:ext cx="381000" cy="352425"/>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809625</xdr:colOff>
      <xdr:row>97</xdr:row>
      <xdr:rowOff>19050</xdr:rowOff>
    </xdr:from>
    <xdr:to>
      <xdr:col>4</xdr:col>
      <xdr:colOff>447675</xdr:colOff>
      <xdr:row>98</xdr:row>
      <xdr:rowOff>47625</xdr:rowOff>
    </xdr:to>
    <xdr:sp macro="" textlink="">
      <xdr:nvSpPr>
        <xdr:cNvPr id="210900" name="Oval 121">
          <a:extLst>
            <a:ext uri="{FF2B5EF4-FFF2-40B4-BE49-F238E27FC236}">
              <a16:creationId xmlns:a16="http://schemas.microsoft.com/office/drawing/2014/main" id="{00000000-0008-0000-0800-0000D4370300}"/>
            </a:ext>
          </a:extLst>
        </xdr:cNvPr>
        <xdr:cNvSpPr>
          <a:spLocks noChangeArrowheads="1"/>
        </xdr:cNvSpPr>
      </xdr:nvSpPr>
      <xdr:spPr bwMode="auto">
        <a:xfrm>
          <a:off x="2466975" y="17249775"/>
          <a:ext cx="1133475" cy="190500"/>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9525</xdr:colOff>
      <xdr:row>121</xdr:row>
      <xdr:rowOff>9525</xdr:rowOff>
    </xdr:from>
    <xdr:to>
      <xdr:col>5</xdr:col>
      <xdr:colOff>723900</xdr:colOff>
      <xdr:row>121</xdr:row>
      <xdr:rowOff>142875</xdr:rowOff>
    </xdr:to>
    <xdr:sp macro="" textlink="">
      <xdr:nvSpPr>
        <xdr:cNvPr id="210901" name="AutoShape 122">
          <a:extLst>
            <a:ext uri="{FF2B5EF4-FFF2-40B4-BE49-F238E27FC236}">
              <a16:creationId xmlns:a16="http://schemas.microsoft.com/office/drawing/2014/main" id="{00000000-0008-0000-0800-0000D5370300}"/>
            </a:ext>
          </a:extLst>
        </xdr:cNvPr>
        <xdr:cNvSpPr>
          <a:spLocks noChangeArrowheads="1"/>
        </xdr:cNvSpPr>
      </xdr:nvSpPr>
      <xdr:spPr bwMode="auto">
        <a:xfrm flipV="1">
          <a:off x="3971925" y="21126450"/>
          <a:ext cx="714375" cy="13335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9525</xdr:colOff>
      <xdr:row>119</xdr:row>
      <xdr:rowOff>19050</xdr:rowOff>
    </xdr:from>
    <xdr:to>
      <xdr:col>6</xdr:col>
      <xdr:colOff>0</xdr:colOff>
      <xdr:row>120</xdr:row>
      <xdr:rowOff>0</xdr:rowOff>
    </xdr:to>
    <xdr:sp macro="" textlink="">
      <xdr:nvSpPr>
        <xdr:cNvPr id="210902" name="AutoShape 123">
          <a:extLst>
            <a:ext uri="{FF2B5EF4-FFF2-40B4-BE49-F238E27FC236}">
              <a16:creationId xmlns:a16="http://schemas.microsoft.com/office/drawing/2014/main" id="{00000000-0008-0000-0800-0000D6370300}"/>
            </a:ext>
          </a:extLst>
        </xdr:cNvPr>
        <xdr:cNvSpPr>
          <a:spLocks noChangeArrowheads="1"/>
        </xdr:cNvSpPr>
      </xdr:nvSpPr>
      <xdr:spPr bwMode="auto">
        <a:xfrm flipH="1">
          <a:off x="3971925" y="20812125"/>
          <a:ext cx="800100" cy="142875"/>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0</xdr:colOff>
      <xdr:row>120</xdr:row>
      <xdr:rowOff>9525</xdr:rowOff>
    </xdr:from>
    <xdr:to>
      <xdr:col>6</xdr:col>
      <xdr:colOff>714375</xdr:colOff>
      <xdr:row>120</xdr:row>
      <xdr:rowOff>142875</xdr:rowOff>
    </xdr:to>
    <xdr:sp macro="" textlink="">
      <xdr:nvSpPr>
        <xdr:cNvPr id="210903" name="AutoShape 124">
          <a:extLst>
            <a:ext uri="{FF2B5EF4-FFF2-40B4-BE49-F238E27FC236}">
              <a16:creationId xmlns:a16="http://schemas.microsoft.com/office/drawing/2014/main" id="{00000000-0008-0000-0800-0000D7370300}"/>
            </a:ext>
          </a:extLst>
        </xdr:cNvPr>
        <xdr:cNvSpPr>
          <a:spLocks noChangeArrowheads="1"/>
        </xdr:cNvSpPr>
      </xdr:nvSpPr>
      <xdr:spPr bwMode="auto">
        <a:xfrm flipV="1">
          <a:off x="4772025" y="20964525"/>
          <a:ext cx="714375" cy="13335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119</xdr:row>
      <xdr:rowOff>9525</xdr:rowOff>
    </xdr:from>
    <xdr:to>
      <xdr:col>7</xdr:col>
      <xdr:colOff>714375</xdr:colOff>
      <xdr:row>119</xdr:row>
      <xdr:rowOff>142875</xdr:rowOff>
    </xdr:to>
    <xdr:sp macro="" textlink="">
      <xdr:nvSpPr>
        <xdr:cNvPr id="210904" name="AutoShape 125">
          <a:extLst>
            <a:ext uri="{FF2B5EF4-FFF2-40B4-BE49-F238E27FC236}">
              <a16:creationId xmlns:a16="http://schemas.microsoft.com/office/drawing/2014/main" id="{00000000-0008-0000-0800-0000D8370300}"/>
            </a:ext>
          </a:extLst>
        </xdr:cNvPr>
        <xdr:cNvSpPr>
          <a:spLocks noChangeArrowheads="1"/>
        </xdr:cNvSpPr>
      </xdr:nvSpPr>
      <xdr:spPr bwMode="auto">
        <a:xfrm flipV="1">
          <a:off x="5581650" y="20802600"/>
          <a:ext cx="714375" cy="13335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9525</xdr:colOff>
      <xdr:row>118</xdr:row>
      <xdr:rowOff>9525</xdr:rowOff>
    </xdr:from>
    <xdr:to>
      <xdr:col>7</xdr:col>
      <xdr:colOff>0</xdr:colOff>
      <xdr:row>119</xdr:row>
      <xdr:rowOff>0</xdr:rowOff>
    </xdr:to>
    <xdr:sp macro="" textlink="">
      <xdr:nvSpPr>
        <xdr:cNvPr id="210905" name="AutoShape 126">
          <a:extLst>
            <a:ext uri="{FF2B5EF4-FFF2-40B4-BE49-F238E27FC236}">
              <a16:creationId xmlns:a16="http://schemas.microsoft.com/office/drawing/2014/main" id="{00000000-0008-0000-0800-0000D9370300}"/>
            </a:ext>
          </a:extLst>
        </xdr:cNvPr>
        <xdr:cNvSpPr>
          <a:spLocks noChangeArrowheads="1"/>
        </xdr:cNvSpPr>
      </xdr:nvSpPr>
      <xdr:spPr bwMode="auto">
        <a:xfrm flipH="1">
          <a:off x="4781550" y="20640675"/>
          <a:ext cx="800100" cy="15240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781050</xdr:colOff>
      <xdr:row>117</xdr:row>
      <xdr:rowOff>19050</xdr:rowOff>
    </xdr:from>
    <xdr:to>
      <xdr:col>8</xdr:col>
      <xdr:colOff>9525</xdr:colOff>
      <xdr:row>118</xdr:row>
      <xdr:rowOff>0</xdr:rowOff>
    </xdr:to>
    <xdr:sp macro="" textlink="">
      <xdr:nvSpPr>
        <xdr:cNvPr id="210906" name="AutoShape 127">
          <a:extLst>
            <a:ext uri="{FF2B5EF4-FFF2-40B4-BE49-F238E27FC236}">
              <a16:creationId xmlns:a16="http://schemas.microsoft.com/office/drawing/2014/main" id="{00000000-0008-0000-0800-0000DA370300}"/>
            </a:ext>
          </a:extLst>
        </xdr:cNvPr>
        <xdr:cNvSpPr>
          <a:spLocks noChangeArrowheads="1"/>
        </xdr:cNvSpPr>
      </xdr:nvSpPr>
      <xdr:spPr bwMode="auto">
        <a:xfrm flipH="1">
          <a:off x="5553075" y="20488275"/>
          <a:ext cx="800100" cy="142875"/>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19050</xdr:colOff>
      <xdr:row>118</xdr:row>
      <xdr:rowOff>19050</xdr:rowOff>
    </xdr:from>
    <xdr:to>
      <xdr:col>4</xdr:col>
      <xdr:colOff>742950</xdr:colOff>
      <xdr:row>120</xdr:row>
      <xdr:rowOff>0</xdr:rowOff>
    </xdr:to>
    <xdr:sp macro="" textlink="">
      <xdr:nvSpPr>
        <xdr:cNvPr id="210907" name="AutoShape 128">
          <a:extLst>
            <a:ext uri="{FF2B5EF4-FFF2-40B4-BE49-F238E27FC236}">
              <a16:creationId xmlns:a16="http://schemas.microsoft.com/office/drawing/2014/main" id="{00000000-0008-0000-0800-0000DB370300}"/>
            </a:ext>
          </a:extLst>
        </xdr:cNvPr>
        <xdr:cNvSpPr>
          <a:spLocks noChangeArrowheads="1"/>
        </xdr:cNvSpPr>
      </xdr:nvSpPr>
      <xdr:spPr bwMode="auto">
        <a:xfrm>
          <a:off x="3171825" y="20650200"/>
          <a:ext cx="723900" cy="30480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9525</xdr:colOff>
      <xdr:row>119</xdr:row>
      <xdr:rowOff>152400</xdr:rowOff>
    </xdr:from>
    <xdr:to>
      <xdr:col>4</xdr:col>
      <xdr:colOff>800100</xdr:colOff>
      <xdr:row>122</xdr:row>
      <xdr:rowOff>9525</xdr:rowOff>
    </xdr:to>
    <xdr:sp macro="" textlink="">
      <xdr:nvSpPr>
        <xdr:cNvPr id="210908" name="AutoShape 129">
          <a:extLst>
            <a:ext uri="{FF2B5EF4-FFF2-40B4-BE49-F238E27FC236}">
              <a16:creationId xmlns:a16="http://schemas.microsoft.com/office/drawing/2014/main" id="{00000000-0008-0000-0800-0000DC370300}"/>
            </a:ext>
          </a:extLst>
        </xdr:cNvPr>
        <xdr:cNvSpPr>
          <a:spLocks noChangeArrowheads="1"/>
        </xdr:cNvSpPr>
      </xdr:nvSpPr>
      <xdr:spPr bwMode="auto">
        <a:xfrm flipH="1" flipV="1">
          <a:off x="3162300" y="20945475"/>
          <a:ext cx="790575" cy="34290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9525</xdr:colOff>
      <xdr:row>117</xdr:row>
      <xdr:rowOff>19050</xdr:rowOff>
    </xdr:from>
    <xdr:to>
      <xdr:col>4</xdr:col>
      <xdr:colOff>409575</xdr:colOff>
      <xdr:row>118</xdr:row>
      <xdr:rowOff>0</xdr:rowOff>
    </xdr:to>
    <xdr:sp macro="" textlink="">
      <xdr:nvSpPr>
        <xdr:cNvPr id="210909" name="AutoShape 130" descr="25 %">
          <a:extLst>
            <a:ext uri="{FF2B5EF4-FFF2-40B4-BE49-F238E27FC236}">
              <a16:creationId xmlns:a16="http://schemas.microsoft.com/office/drawing/2014/main" id="{00000000-0008-0000-0800-0000DD370300}"/>
            </a:ext>
          </a:extLst>
        </xdr:cNvPr>
        <xdr:cNvSpPr>
          <a:spLocks noChangeArrowheads="1"/>
        </xdr:cNvSpPr>
      </xdr:nvSpPr>
      <xdr:spPr bwMode="auto">
        <a:xfrm>
          <a:off x="3162300" y="20488275"/>
          <a:ext cx="40005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419100</xdr:colOff>
      <xdr:row>119</xdr:row>
      <xdr:rowOff>9525</xdr:rowOff>
    </xdr:from>
    <xdr:to>
      <xdr:col>4</xdr:col>
      <xdr:colOff>800100</xdr:colOff>
      <xdr:row>120</xdr:row>
      <xdr:rowOff>19050</xdr:rowOff>
    </xdr:to>
    <xdr:sp macro="" textlink="">
      <xdr:nvSpPr>
        <xdr:cNvPr id="210910" name="AutoShape 131" descr="25 %">
          <a:extLst>
            <a:ext uri="{FF2B5EF4-FFF2-40B4-BE49-F238E27FC236}">
              <a16:creationId xmlns:a16="http://schemas.microsoft.com/office/drawing/2014/main" id="{00000000-0008-0000-0800-0000DE370300}"/>
            </a:ext>
          </a:extLst>
        </xdr:cNvPr>
        <xdr:cNvSpPr>
          <a:spLocks noChangeArrowheads="1"/>
        </xdr:cNvSpPr>
      </xdr:nvSpPr>
      <xdr:spPr bwMode="auto">
        <a:xfrm flipH="1" flipV="1">
          <a:off x="3571875" y="20802600"/>
          <a:ext cx="381000" cy="171450"/>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9525</xdr:colOff>
      <xdr:row>119</xdr:row>
      <xdr:rowOff>9525</xdr:rowOff>
    </xdr:from>
    <xdr:to>
      <xdr:col>5</xdr:col>
      <xdr:colOff>723900</xdr:colOff>
      <xdr:row>119</xdr:row>
      <xdr:rowOff>142875</xdr:rowOff>
    </xdr:to>
    <xdr:sp macro="" textlink="">
      <xdr:nvSpPr>
        <xdr:cNvPr id="210911" name="AutoShape 132" descr="25 %">
          <a:extLst>
            <a:ext uri="{FF2B5EF4-FFF2-40B4-BE49-F238E27FC236}">
              <a16:creationId xmlns:a16="http://schemas.microsoft.com/office/drawing/2014/main" id="{00000000-0008-0000-0800-0000DF370300}"/>
            </a:ext>
          </a:extLst>
        </xdr:cNvPr>
        <xdr:cNvSpPr>
          <a:spLocks noChangeArrowheads="1"/>
        </xdr:cNvSpPr>
      </xdr:nvSpPr>
      <xdr:spPr bwMode="auto">
        <a:xfrm flipV="1">
          <a:off x="3971925" y="20802600"/>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0</xdr:colOff>
      <xdr:row>118</xdr:row>
      <xdr:rowOff>9525</xdr:rowOff>
    </xdr:from>
    <xdr:to>
      <xdr:col>6</xdr:col>
      <xdr:colOff>714375</xdr:colOff>
      <xdr:row>118</xdr:row>
      <xdr:rowOff>142875</xdr:rowOff>
    </xdr:to>
    <xdr:sp macro="" textlink="">
      <xdr:nvSpPr>
        <xdr:cNvPr id="210912" name="AutoShape 133" descr="25 %">
          <a:extLst>
            <a:ext uri="{FF2B5EF4-FFF2-40B4-BE49-F238E27FC236}">
              <a16:creationId xmlns:a16="http://schemas.microsoft.com/office/drawing/2014/main" id="{00000000-0008-0000-0800-0000E0370300}"/>
            </a:ext>
          </a:extLst>
        </xdr:cNvPr>
        <xdr:cNvSpPr>
          <a:spLocks noChangeArrowheads="1"/>
        </xdr:cNvSpPr>
      </xdr:nvSpPr>
      <xdr:spPr bwMode="auto">
        <a:xfrm flipV="1">
          <a:off x="4772025" y="20640675"/>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9525</xdr:colOff>
      <xdr:row>117</xdr:row>
      <xdr:rowOff>9525</xdr:rowOff>
    </xdr:from>
    <xdr:to>
      <xdr:col>7</xdr:col>
      <xdr:colOff>723900</xdr:colOff>
      <xdr:row>117</xdr:row>
      <xdr:rowOff>142875</xdr:rowOff>
    </xdr:to>
    <xdr:sp macro="" textlink="">
      <xdr:nvSpPr>
        <xdr:cNvPr id="210913" name="AutoShape 134" descr="25 %">
          <a:extLst>
            <a:ext uri="{FF2B5EF4-FFF2-40B4-BE49-F238E27FC236}">
              <a16:creationId xmlns:a16="http://schemas.microsoft.com/office/drawing/2014/main" id="{00000000-0008-0000-0800-0000E1370300}"/>
            </a:ext>
          </a:extLst>
        </xdr:cNvPr>
        <xdr:cNvSpPr>
          <a:spLocks noChangeArrowheads="1"/>
        </xdr:cNvSpPr>
      </xdr:nvSpPr>
      <xdr:spPr bwMode="auto">
        <a:xfrm flipV="1">
          <a:off x="5591175" y="20478750"/>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85725</xdr:colOff>
      <xdr:row>118</xdr:row>
      <xdr:rowOff>19050</xdr:rowOff>
    </xdr:from>
    <xdr:to>
      <xdr:col>5</xdr:col>
      <xdr:colOff>800100</xdr:colOff>
      <xdr:row>119</xdr:row>
      <xdr:rowOff>0</xdr:rowOff>
    </xdr:to>
    <xdr:sp macro="" textlink="">
      <xdr:nvSpPr>
        <xdr:cNvPr id="210914" name="AutoShape 135" descr="25 %">
          <a:extLst>
            <a:ext uri="{FF2B5EF4-FFF2-40B4-BE49-F238E27FC236}">
              <a16:creationId xmlns:a16="http://schemas.microsoft.com/office/drawing/2014/main" id="{00000000-0008-0000-0800-0000E2370300}"/>
            </a:ext>
          </a:extLst>
        </xdr:cNvPr>
        <xdr:cNvSpPr>
          <a:spLocks noChangeArrowheads="1"/>
        </xdr:cNvSpPr>
      </xdr:nvSpPr>
      <xdr:spPr bwMode="auto">
        <a:xfrm rot="10739695" flipV="1">
          <a:off x="4048125" y="20650200"/>
          <a:ext cx="714375" cy="1428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95250</xdr:colOff>
      <xdr:row>117</xdr:row>
      <xdr:rowOff>28575</xdr:rowOff>
    </xdr:from>
    <xdr:to>
      <xdr:col>6</xdr:col>
      <xdr:colOff>800100</xdr:colOff>
      <xdr:row>117</xdr:row>
      <xdr:rowOff>152400</xdr:rowOff>
    </xdr:to>
    <xdr:sp macro="" textlink="">
      <xdr:nvSpPr>
        <xdr:cNvPr id="210915" name="AutoShape 136" descr="25 %">
          <a:extLst>
            <a:ext uri="{FF2B5EF4-FFF2-40B4-BE49-F238E27FC236}">
              <a16:creationId xmlns:a16="http://schemas.microsoft.com/office/drawing/2014/main" id="{00000000-0008-0000-0800-0000E3370300}"/>
            </a:ext>
          </a:extLst>
        </xdr:cNvPr>
        <xdr:cNvSpPr>
          <a:spLocks noChangeArrowheads="1"/>
        </xdr:cNvSpPr>
      </xdr:nvSpPr>
      <xdr:spPr bwMode="auto">
        <a:xfrm rot="10739695" flipV="1">
          <a:off x="4867275" y="20497800"/>
          <a:ext cx="704850" cy="12382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47625</xdr:colOff>
      <xdr:row>116</xdr:row>
      <xdr:rowOff>38100</xdr:rowOff>
    </xdr:from>
    <xdr:to>
      <xdr:col>7</xdr:col>
      <xdr:colOff>742950</xdr:colOff>
      <xdr:row>117</xdr:row>
      <xdr:rowOff>0</xdr:rowOff>
    </xdr:to>
    <xdr:sp macro="" textlink="">
      <xdr:nvSpPr>
        <xdr:cNvPr id="210916" name="AutoShape 137" descr="25 %">
          <a:extLst>
            <a:ext uri="{FF2B5EF4-FFF2-40B4-BE49-F238E27FC236}">
              <a16:creationId xmlns:a16="http://schemas.microsoft.com/office/drawing/2014/main" id="{00000000-0008-0000-0800-0000E4370300}"/>
            </a:ext>
          </a:extLst>
        </xdr:cNvPr>
        <xdr:cNvSpPr>
          <a:spLocks noChangeArrowheads="1"/>
        </xdr:cNvSpPr>
      </xdr:nvSpPr>
      <xdr:spPr bwMode="auto">
        <a:xfrm rot="10739695" flipV="1">
          <a:off x="5629275" y="20345400"/>
          <a:ext cx="695325" cy="12382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85725</xdr:colOff>
      <xdr:row>117</xdr:row>
      <xdr:rowOff>9525</xdr:rowOff>
    </xdr:from>
    <xdr:to>
      <xdr:col>5</xdr:col>
      <xdr:colOff>800100</xdr:colOff>
      <xdr:row>117</xdr:row>
      <xdr:rowOff>152400</xdr:rowOff>
    </xdr:to>
    <xdr:sp macro="" textlink="">
      <xdr:nvSpPr>
        <xdr:cNvPr id="210917" name="AutoShape 138" descr="25 %">
          <a:extLst>
            <a:ext uri="{FF2B5EF4-FFF2-40B4-BE49-F238E27FC236}">
              <a16:creationId xmlns:a16="http://schemas.microsoft.com/office/drawing/2014/main" id="{00000000-0008-0000-0800-0000E5370300}"/>
            </a:ext>
          </a:extLst>
        </xdr:cNvPr>
        <xdr:cNvSpPr>
          <a:spLocks noChangeArrowheads="1"/>
        </xdr:cNvSpPr>
      </xdr:nvSpPr>
      <xdr:spPr bwMode="auto">
        <a:xfrm rot="10739695" flipV="1">
          <a:off x="4048125" y="20478750"/>
          <a:ext cx="714375" cy="1428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66675</xdr:colOff>
      <xdr:row>116</xdr:row>
      <xdr:rowOff>0</xdr:rowOff>
    </xdr:from>
    <xdr:to>
      <xdr:col>6</xdr:col>
      <xdr:colOff>800100</xdr:colOff>
      <xdr:row>116</xdr:row>
      <xdr:rowOff>152400</xdr:rowOff>
    </xdr:to>
    <xdr:sp macro="" textlink="">
      <xdr:nvSpPr>
        <xdr:cNvPr id="210918" name="AutoShape 139" descr="25 %">
          <a:extLst>
            <a:ext uri="{FF2B5EF4-FFF2-40B4-BE49-F238E27FC236}">
              <a16:creationId xmlns:a16="http://schemas.microsoft.com/office/drawing/2014/main" id="{00000000-0008-0000-0800-0000E6370300}"/>
            </a:ext>
          </a:extLst>
        </xdr:cNvPr>
        <xdr:cNvSpPr>
          <a:spLocks noChangeArrowheads="1"/>
        </xdr:cNvSpPr>
      </xdr:nvSpPr>
      <xdr:spPr bwMode="auto">
        <a:xfrm rot="10739695" flipV="1">
          <a:off x="4838700" y="20307300"/>
          <a:ext cx="733425" cy="15240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38100</xdr:colOff>
      <xdr:row>115</xdr:row>
      <xdr:rowOff>9525</xdr:rowOff>
    </xdr:from>
    <xdr:to>
      <xdr:col>7</xdr:col>
      <xdr:colOff>752475</xdr:colOff>
      <xdr:row>115</xdr:row>
      <xdr:rowOff>152400</xdr:rowOff>
    </xdr:to>
    <xdr:sp macro="" textlink="">
      <xdr:nvSpPr>
        <xdr:cNvPr id="210919" name="AutoShape 140" descr="25 %">
          <a:extLst>
            <a:ext uri="{FF2B5EF4-FFF2-40B4-BE49-F238E27FC236}">
              <a16:creationId xmlns:a16="http://schemas.microsoft.com/office/drawing/2014/main" id="{00000000-0008-0000-0800-0000E7370300}"/>
            </a:ext>
          </a:extLst>
        </xdr:cNvPr>
        <xdr:cNvSpPr>
          <a:spLocks noChangeArrowheads="1"/>
        </xdr:cNvSpPr>
      </xdr:nvSpPr>
      <xdr:spPr bwMode="auto">
        <a:xfrm rot="10739695" flipV="1">
          <a:off x="5619750" y="20154900"/>
          <a:ext cx="714375" cy="1428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9525</xdr:colOff>
      <xdr:row>118</xdr:row>
      <xdr:rowOff>9525</xdr:rowOff>
    </xdr:from>
    <xdr:to>
      <xdr:col>5</xdr:col>
      <xdr:colOff>723900</xdr:colOff>
      <xdr:row>118</xdr:row>
      <xdr:rowOff>142875</xdr:rowOff>
    </xdr:to>
    <xdr:sp macro="" textlink="">
      <xdr:nvSpPr>
        <xdr:cNvPr id="210920" name="AutoShape 141" descr="25 %">
          <a:extLst>
            <a:ext uri="{FF2B5EF4-FFF2-40B4-BE49-F238E27FC236}">
              <a16:creationId xmlns:a16="http://schemas.microsoft.com/office/drawing/2014/main" id="{00000000-0008-0000-0800-0000E8370300}"/>
            </a:ext>
          </a:extLst>
        </xdr:cNvPr>
        <xdr:cNvSpPr>
          <a:spLocks noChangeArrowheads="1"/>
        </xdr:cNvSpPr>
      </xdr:nvSpPr>
      <xdr:spPr bwMode="auto">
        <a:xfrm flipV="1">
          <a:off x="3971925" y="20640675"/>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0</xdr:colOff>
      <xdr:row>117</xdr:row>
      <xdr:rowOff>0</xdr:rowOff>
    </xdr:from>
    <xdr:to>
      <xdr:col>6</xdr:col>
      <xdr:colOff>714375</xdr:colOff>
      <xdr:row>117</xdr:row>
      <xdr:rowOff>152400</xdr:rowOff>
    </xdr:to>
    <xdr:sp macro="" textlink="">
      <xdr:nvSpPr>
        <xdr:cNvPr id="210921" name="AutoShape 142" descr="25 %">
          <a:extLst>
            <a:ext uri="{FF2B5EF4-FFF2-40B4-BE49-F238E27FC236}">
              <a16:creationId xmlns:a16="http://schemas.microsoft.com/office/drawing/2014/main" id="{00000000-0008-0000-0800-0000E9370300}"/>
            </a:ext>
          </a:extLst>
        </xdr:cNvPr>
        <xdr:cNvSpPr>
          <a:spLocks noChangeArrowheads="1"/>
        </xdr:cNvSpPr>
      </xdr:nvSpPr>
      <xdr:spPr bwMode="auto">
        <a:xfrm flipV="1">
          <a:off x="4772025" y="20469225"/>
          <a:ext cx="714375" cy="15240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116</xdr:row>
      <xdr:rowOff>9525</xdr:rowOff>
    </xdr:from>
    <xdr:to>
      <xdr:col>7</xdr:col>
      <xdr:colOff>714375</xdr:colOff>
      <xdr:row>116</xdr:row>
      <xdr:rowOff>142875</xdr:rowOff>
    </xdr:to>
    <xdr:sp macro="" textlink="">
      <xdr:nvSpPr>
        <xdr:cNvPr id="210922" name="AutoShape 143" descr="25 %">
          <a:extLst>
            <a:ext uri="{FF2B5EF4-FFF2-40B4-BE49-F238E27FC236}">
              <a16:creationId xmlns:a16="http://schemas.microsoft.com/office/drawing/2014/main" id="{00000000-0008-0000-0800-0000EA370300}"/>
            </a:ext>
          </a:extLst>
        </xdr:cNvPr>
        <xdr:cNvSpPr>
          <a:spLocks noChangeArrowheads="1"/>
        </xdr:cNvSpPr>
      </xdr:nvSpPr>
      <xdr:spPr bwMode="auto">
        <a:xfrm flipV="1">
          <a:off x="5581650" y="20316825"/>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409575</xdr:colOff>
      <xdr:row>118</xdr:row>
      <xdr:rowOff>9525</xdr:rowOff>
    </xdr:from>
    <xdr:to>
      <xdr:col>4</xdr:col>
      <xdr:colOff>790575</xdr:colOff>
      <xdr:row>118</xdr:row>
      <xdr:rowOff>123825</xdr:rowOff>
    </xdr:to>
    <xdr:sp macro="" textlink="">
      <xdr:nvSpPr>
        <xdr:cNvPr id="210923" name="AutoShape 144" descr="25 %">
          <a:extLst>
            <a:ext uri="{FF2B5EF4-FFF2-40B4-BE49-F238E27FC236}">
              <a16:creationId xmlns:a16="http://schemas.microsoft.com/office/drawing/2014/main" id="{00000000-0008-0000-0800-0000EB370300}"/>
            </a:ext>
          </a:extLst>
        </xdr:cNvPr>
        <xdr:cNvSpPr>
          <a:spLocks noChangeArrowheads="1"/>
        </xdr:cNvSpPr>
      </xdr:nvSpPr>
      <xdr:spPr bwMode="auto">
        <a:xfrm flipH="1" flipV="1">
          <a:off x="3562350" y="20640675"/>
          <a:ext cx="381000" cy="114300"/>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419100</xdr:colOff>
      <xdr:row>117</xdr:row>
      <xdr:rowOff>9525</xdr:rowOff>
    </xdr:from>
    <xdr:to>
      <xdr:col>4</xdr:col>
      <xdr:colOff>800100</xdr:colOff>
      <xdr:row>118</xdr:row>
      <xdr:rowOff>19050</xdr:rowOff>
    </xdr:to>
    <xdr:sp macro="" textlink="">
      <xdr:nvSpPr>
        <xdr:cNvPr id="210924" name="AutoShape 145" descr="25 %">
          <a:extLst>
            <a:ext uri="{FF2B5EF4-FFF2-40B4-BE49-F238E27FC236}">
              <a16:creationId xmlns:a16="http://schemas.microsoft.com/office/drawing/2014/main" id="{00000000-0008-0000-0800-0000EC370300}"/>
            </a:ext>
          </a:extLst>
        </xdr:cNvPr>
        <xdr:cNvSpPr>
          <a:spLocks noChangeArrowheads="1"/>
        </xdr:cNvSpPr>
      </xdr:nvSpPr>
      <xdr:spPr bwMode="auto">
        <a:xfrm flipH="1" flipV="1">
          <a:off x="3571875" y="20478750"/>
          <a:ext cx="381000" cy="171450"/>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9525</xdr:colOff>
      <xdr:row>116</xdr:row>
      <xdr:rowOff>19050</xdr:rowOff>
    </xdr:from>
    <xdr:to>
      <xdr:col>4</xdr:col>
      <xdr:colOff>409575</xdr:colOff>
      <xdr:row>117</xdr:row>
      <xdr:rowOff>0</xdr:rowOff>
    </xdr:to>
    <xdr:sp macro="" textlink="">
      <xdr:nvSpPr>
        <xdr:cNvPr id="210925" name="AutoShape 146" descr="25 %">
          <a:extLst>
            <a:ext uri="{FF2B5EF4-FFF2-40B4-BE49-F238E27FC236}">
              <a16:creationId xmlns:a16="http://schemas.microsoft.com/office/drawing/2014/main" id="{00000000-0008-0000-0800-0000ED370300}"/>
            </a:ext>
          </a:extLst>
        </xdr:cNvPr>
        <xdr:cNvSpPr>
          <a:spLocks noChangeArrowheads="1"/>
        </xdr:cNvSpPr>
      </xdr:nvSpPr>
      <xdr:spPr bwMode="auto">
        <a:xfrm>
          <a:off x="3162300" y="20326350"/>
          <a:ext cx="40005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371475</xdr:colOff>
      <xdr:row>118</xdr:row>
      <xdr:rowOff>9525</xdr:rowOff>
    </xdr:from>
    <xdr:to>
      <xdr:col>4</xdr:col>
      <xdr:colOff>771525</xdr:colOff>
      <xdr:row>118</xdr:row>
      <xdr:rowOff>152400</xdr:rowOff>
    </xdr:to>
    <xdr:sp macro="" textlink="">
      <xdr:nvSpPr>
        <xdr:cNvPr id="210926" name="AutoShape 147" descr="25 %">
          <a:extLst>
            <a:ext uri="{FF2B5EF4-FFF2-40B4-BE49-F238E27FC236}">
              <a16:creationId xmlns:a16="http://schemas.microsoft.com/office/drawing/2014/main" id="{00000000-0008-0000-0800-0000EE370300}"/>
            </a:ext>
          </a:extLst>
        </xdr:cNvPr>
        <xdr:cNvSpPr>
          <a:spLocks noChangeArrowheads="1"/>
        </xdr:cNvSpPr>
      </xdr:nvSpPr>
      <xdr:spPr bwMode="auto">
        <a:xfrm>
          <a:off x="3524250" y="20640675"/>
          <a:ext cx="40005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9525</xdr:colOff>
      <xdr:row>115</xdr:row>
      <xdr:rowOff>19050</xdr:rowOff>
    </xdr:from>
    <xdr:to>
      <xdr:col>4</xdr:col>
      <xdr:colOff>409575</xdr:colOff>
      <xdr:row>116</xdr:row>
      <xdr:rowOff>0</xdr:rowOff>
    </xdr:to>
    <xdr:sp macro="" textlink="">
      <xdr:nvSpPr>
        <xdr:cNvPr id="210927" name="AutoShape 148" descr="25 %">
          <a:extLst>
            <a:ext uri="{FF2B5EF4-FFF2-40B4-BE49-F238E27FC236}">
              <a16:creationId xmlns:a16="http://schemas.microsoft.com/office/drawing/2014/main" id="{00000000-0008-0000-0800-0000EF370300}"/>
            </a:ext>
          </a:extLst>
        </xdr:cNvPr>
        <xdr:cNvSpPr>
          <a:spLocks noChangeArrowheads="1"/>
        </xdr:cNvSpPr>
      </xdr:nvSpPr>
      <xdr:spPr bwMode="auto">
        <a:xfrm>
          <a:off x="3162300" y="20164425"/>
          <a:ext cx="40005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390525</xdr:colOff>
      <xdr:row>117</xdr:row>
      <xdr:rowOff>38100</xdr:rowOff>
    </xdr:from>
    <xdr:to>
      <xdr:col>4</xdr:col>
      <xdr:colOff>790575</xdr:colOff>
      <xdr:row>118</xdr:row>
      <xdr:rowOff>0</xdr:rowOff>
    </xdr:to>
    <xdr:sp macro="" textlink="">
      <xdr:nvSpPr>
        <xdr:cNvPr id="210928" name="AutoShape 149" descr="25 %">
          <a:extLst>
            <a:ext uri="{FF2B5EF4-FFF2-40B4-BE49-F238E27FC236}">
              <a16:creationId xmlns:a16="http://schemas.microsoft.com/office/drawing/2014/main" id="{00000000-0008-0000-0800-0000F0370300}"/>
            </a:ext>
          </a:extLst>
        </xdr:cNvPr>
        <xdr:cNvSpPr>
          <a:spLocks noChangeArrowheads="1"/>
        </xdr:cNvSpPr>
      </xdr:nvSpPr>
      <xdr:spPr bwMode="auto">
        <a:xfrm>
          <a:off x="3543300" y="20507325"/>
          <a:ext cx="400050" cy="12382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409575</xdr:colOff>
      <xdr:row>116</xdr:row>
      <xdr:rowOff>19050</xdr:rowOff>
    </xdr:from>
    <xdr:to>
      <xdr:col>5</xdr:col>
      <xdr:colOff>0</xdr:colOff>
      <xdr:row>117</xdr:row>
      <xdr:rowOff>0</xdr:rowOff>
    </xdr:to>
    <xdr:sp macro="" textlink="">
      <xdr:nvSpPr>
        <xdr:cNvPr id="210929" name="AutoShape 150" descr="25 %">
          <a:extLst>
            <a:ext uri="{FF2B5EF4-FFF2-40B4-BE49-F238E27FC236}">
              <a16:creationId xmlns:a16="http://schemas.microsoft.com/office/drawing/2014/main" id="{00000000-0008-0000-0800-0000F1370300}"/>
            </a:ext>
          </a:extLst>
        </xdr:cNvPr>
        <xdr:cNvSpPr>
          <a:spLocks noChangeArrowheads="1"/>
        </xdr:cNvSpPr>
      </xdr:nvSpPr>
      <xdr:spPr bwMode="auto">
        <a:xfrm>
          <a:off x="3562350" y="20326350"/>
          <a:ext cx="40005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28575</xdr:colOff>
      <xdr:row>118</xdr:row>
      <xdr:rowOff>0</xdr:rowOff>
    </xdr:from>
    <xdr:to>
      <xdr:col>4</xdr:col>
      <xdr:colOff>371475</xdr:colOff>
      <xdr:row>118</xdr:row>
      <xdr:rowOff>142875</xdr:rowOff>
    </xdr:to>
    <xdr:sp macro="" textlink="">
      <xdr:nvSpPr>
        <xdr:cNvPr id="210930" name="AutoShape 151" descr="25 %">
          <a:extLst>
            <a:ext uri="{FF2B5EF4-FFF2-40B4-BE49-F238E27FC236}">
              <a16:creationId xmlns:a16="http://schemas.microsoft.com/office/drawing/2014/main" id="{00000000-0008-0000-0800-0000F2370300}"/>
            </a:ext>
          </a:extLst>
        </xdr:cNvPr>
        <xdr:cNvSpPr>
          <a:spLocks noChangeArrowheads="1"/>
        </xdr:cNvSpPr>
      </xdr:nvSpPr>
      <xdr:spPr bwMode="auto">
        <a:xfrm flipH="1" flipV="1">
          <a:off x="3181350" y="20631150"/>
          <a:ext cx="34290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66675</xdr:colOff>
      <xdr:row>117</xdr:row>
      <xdr:rowOff>9525</xdr:rowOff>
    </xdr:from>
    <xdr:to>
      <xdr:col>4</xdr:col>
      <xdr:colOff>409575</xdr:colOff>
      <xdr:row>117</xdr:row>
      <xdr:rowOff>152400</xdr:rowOff>
    </xdr:to>
    <xdr:sp macro="" textlink="">
      <xdr:nvSpPr>
        <xdr:cNvPr id="210931" name="AutoShape 152" descr="25 %">
          <a:extLst>
            <a:ext uri="{FF2B5EF4-FFF2-40B4-BE49-F238E27FC236}">
              <a16:creationId xmlns:a16="http://schemas.microsoft.com/office/drawing/2014/main" id="{00000000-0008-0000-0800-0000F3370300}"/>
            </a:ext>
          </a:extLst>
        </xdr:cNvPr>
        <xdr:cNvSpPr>
          <a:spLocks noChangeArrowheads="1"/>
        </xdr:cNvSpPr>
      </xdr:nvSpPr>
      <xdr:spPr bwMode="auto">
        <a:xfrm flipH="1" flipV="1">
          <a:off x="3219450" y="20478750"/>
          <a:ext cx="34290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76200</xdr:colOff>
      <xdr:row>116</xdr:row>
      <xdr:rowOff>9525</xdr:rowOff>
    </xdr:from>
    <xdr:to>
      <xdr:col>4</xdr:col>
      <xdr:colOff>419100</xdr:colOff>
      <xdr:row>116</xdr:row>
      <xdr:rowOff>152400</xdr:rowOff>
    </xdr:to>
    <xdr:sp macro="" textlink="">
      <xdr:nvSpPr>
        <xdr:cNvPr id="210932" name="AutoShape 153" descr="25 %">
          <a:extLst>
            <a:ext uri="{FF2B5EF4-FFF2-40B4-BE49-F238E27FC236}">
              <a16:creationId xmlns:a16="http://schemas.microsoft.com/office/drawing/2014/main" id="{00000000-0008-0000-0800-0000F4370300}"/>
            </a:ext>
          </a:extLst>
        </xdr:cNvPr>
        <xdr:cNvSpPr>
          <a:spLocks noChangeArrowheads="1"/>
        </xdr:cNvSpPr>
      </xdr:nvSpPr>
      <xdr:spPr bwMode="auto">
        <a:xfrm flipH="1" flipV="1">
          <a:off x="3228975" y="20316825"/>
          <a:ext cx="34290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19050</xdr:colOff>
      <xdr:row>116</xdr:row>
      <xdr:rowOff>9525</xdr:rowOff>
    </xdr:from>
    <xdr:to>
      <xdr:col>6</xdr:col>
      <xdr:colOff>733425</xdr:colOff>
      <xdr:row>116</xdr:row>
      <xdr:rowOff>142875</xdr:rowOff>
    </xdr:to>
    <xdr:sp macro="" textlink="">
      <xdr:nvSpPr>
        <xdr:cNvPr id="210933" name="AutoShape 154" descr="25 %">
          <a:extLst>
            <a:ext uri="{FF2B5EF4-FFF2-40B4-BE49-F238E27FC236}">
              <a16:creationId xmlns:a16="http://schemas.microsoft.com/office/drawing/2014/main" id="{00000000-0008-0000-0800-0000F5370300}"/>
            </a:ext>
          </a:extLst>
        </xdr:cNvPr>
        <xdr:cNvSpPr>
          <a:spLocks noChangeArrowheads="1"/>
        </xdr:cNvSpPr>
      </xdr:nvSpPr>
      <xdr:spPr bwMode="auto">
        <a:xfrm flipV="1">
          <a:off x="4791075" y="20316825"/>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9525</xdr:colOff>
      <xdr:row>117</xdr:row>
      <xdr:rowOff>9525</xdr:rowOff>
    </xdr:from>
    <xdr:to>
      <xdr:col>5</xdr:col>
      <xdr:colOff>723900</xdr:colOff>
      <xdr:row>117</xdr:row>
      <xdr:rowOff>142875</xdr:rowOff>
    </xdr:to>
    <xdr:sp macro="" textlink="">
      <xdr:nvSpPr>
        <xdr:cNvPr id="210934" name="AutoShape 155" descr="25 %">
          <a:extLst>
            <a:ext uri="{FF2B5EF4-FFF2-40B4-BE49-F238E27FC236}">
              <a16:creationId xmlns:a16="http://schemas.microsoft.com/office/drawing/2014/main" id="{00000000-0008-0000-0800-0000F6370300}"/>
            </a:ext>
          </a:extLst>
        </xdr:cNvPr>
        <xdr:cNvSpPr>
          <a:spLocks noChangeArrowheads="1"/>
        </xdr:cNvSpPr>
      </xdr:nvSpPr>
      <xdr:spPr bwMode="auto">
        <a:xfrm flipV="1">
          <a:off x="3971925" y="20478750"/>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19050</xdr:colOff>
      <xdr:row>115</xdr:row>
      <xdr:rowOff>0</xdr:rowOff>
    </xdr:from>
    <xdr:to>
      <xdr:col>7</xdr:col>
      <xdr:colOff>733425</xdr:colOff>
      <xdr:row>115</xdr:row>
      <xdr:rowOff>133350</xdr:rowOff>
    </xdr:to>
    <xdr:sp macro="" textlink="">
      <xdr:nvSpPr>
        <xdr:cNvPr id="210935" name="AutoShape 156" descr="25 %">
          <a:extLst>
            <a:ext uri="{FF2B5EF4-FFF2-40B4-BE49-F238E27FC236}">
              <a16:creationId xmlns:a16="http://schemas.microsoft.com/office/drawing/2014/main" id="{00000000-0008-0000-0800-0000F7370300}"/>
            </a:ext>
          </a:extLst>
        </xdr:cNvPr>
        <xdr:cNvSpPr>
          <a:spLocks noChangeArrowheads="1"/>
        </xdr:cNvSpPr>
      </xdr:nvSpPr>
      <xdr:spPr bwMode="auto">
        <a:xfrm flipV="1">
          <a:off x="5600700" y="20145375"/>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76200</xdr:colOff>
      <xdr:row>116</xdr:row>
      <xdr:rowOff>9525</xdr:rowOff>
    </xdr:from>
    <xdr:to>
      <xdr:col>5</xdr:col>
      <xdr:colOff>790575</xdr:colOff>
      <xdr:row>116</xdr:row>
      <xdr:rowOff>152400</xdr:rowOff>
    </xdr:to>
    <xdr:sp macro="" textlink="">
      <xdr:nvSpPr>
        <xdr:cNvPr id="210936" name="AutoShape 157" descr="25 %">
          <a:extLst>
            <a:ext uri="{FF2B5EF4-FFF2-40B4-BE49-F238E27FC236}">
              <a16:creationId xmlns:a16="http://schemas.microsoft.com/office/drawing/2014/main" id="{00000000-0008-0000-0800-0000F8370300}"/>
            </a:ext>
          </a:extLst>
        </xdr:cNvPr>
        <xdr:cNvSpPr>
          <a:spLocks noChangeArrowheads="1"/>
        </xdr:cNvSpPr>
      </xdr:nvSpPr>
      <xdr:spPr bwMode="auto">
        <a:xfrm rot="10739695" flipV="1">
          <a:off x="4038600" y="20316825"/>
          <a:ext cx="714375" cy="1428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95250</xdr:colOff>
      <xdr:row>115</xdr:row>
      <xdr:rowOff>9525</xdr:rowOff>
    </xdr:from>
    <xdr:to>
      <xdr:col>7</xdr:col>
      <xdr:colOff>0</xdr:colOff>
      <xdr:row>115</xdr:row>
      <xdr:rowOff>152400</xdr:rowOff>
    </xdr:to>
    <xdr:sp macro="" textlink="">
      <xdr:nvSpPr>
        <xdr:cNvPr id="210937" name="AutoShape 158" descr="25 %">
          <a:extLst>
            <a:ext uri="{FF2B5EF4-FFF2-40B4-BE49-F238E27FC236}">
              <a16:creationId xmlns:a16="http://schemas.microsoft.com/office/drawing/2014/main" id="{00000000-0008-0000-0800-0000F9370300}"/>
            </a:ext>
          </a:extLst>
        </xdr:cNvPr>
        <xdr:cNvSpPr>
          <a:spLocks noChangeArrowheads="1"/>
        </xdr:cNvSpPr>
      </xdr:nvSpPr>
      <xdr:spPr bwMode="auto">
        <a:xfrm rot="10739695" flipV="1">
          <a:off x="4867275" y="20154900"/>
          <a:ext cx="714375" cy="1428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142875</xdr:colOff>
      <xdr:row>114</xdr:row>
      <xdr:rowOff>38100</xdr:rowOff>
    </xdr:from>
    <xdr:to>
      <xdr:col>8</xdr:col>
      <xdr:colOff>0</xdr:colOff>
      <xdr:row>114</xdr:row>
      <xdr:rowOff>142875</xdr:rowOff>
    </xdr:to>
    <xdr:sp macro="" textlink="">
      <xdr:nvSpPr>
        <xdr:cNvPr id="210938" name="AutoShape 159" descr="25 %">
          <a:extLst>
            <a:ext uri="{FF2B5EF4-FFF2-40B4-BE49-F238E27FC236}">
              <a16:creationId xmlns:a16="http://schemas.microsoft.com/office/drawing/2014/main" id="{00000000-0008-0000-0800-0000FA370300}"/>
            </a:ext>
          </a:extLst>
        </xdr:cNvPr>
        <xdr:cNvSpPr>
          <a:spLocks noChangeArrowheads="1"/>
        </xdr:cNvSpPr>
      </xdr:nvSpPr>
      <xdr:spPr bwMode="auto">
        <a:xfrm rot="10739695" flipV="1">
          <a:off x="5724525" y="20021550"/>
          <a:ext cx="619125" cy="1047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781050</xdr:colOff>
      <xdr:row>112</xdr:row>
      <xdr:rowOff>85725</xdr:rowOff>
    </xdr:from>
    <xdr:to>
      <xdr:col>6</xdr:col>
      <xdr:colOff>800100</xdr:colOff>
      <xdr:row>113</xdr:row>
      <xdr:rowOff>66675</xdr:rowOff>
    </xdr:to>
    <xdr:sp macro="" textlink="">
      <xdr:nvSpPr>
        <xdr:cNvPr id="210939" name="AutoShape 160">
          <a:extLst>
            <a:ext uri="{FF2B5EF4-FFF2-40B4-BE49-F238E27FC236}">
              <a16:creationId xmlns:a16="http://schemas.microsoft.com/office/drawing/2014/main" id="{00000000-0008-0000-0800-0000FB370300}"/>
            </a:ext>
          </a:extLst>
        </xdr:cNvPr>
        <xdr:cNvSpPr>
          <a:spLocks noChangeArrowheads="1"/>
        </xdr:cNvSpPr>
      </xdr:nvSpPr>
      <xdr:spPr bwMode="auto">
        <a:xfrm rot="-725685">
          <a:off x="4743450" y="19745325"/>
          <a:ext cx="828675" cy="142875"/>
        </a:xfrm>
        <a:prstGeom prst="curvedLeftArrow">
          <a:avLst>
            <a:gd name="adj1" fmla="val 20000"/>
            <a:gd name="adj2" fmla="val 40000"/>
            <a:gd name="adj3" fmla="val 193333"/>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581025</xdr:colOff>
      <xdr:row>113</xdr:row>
      <xdr:rowOff>123825</xdr:rowOff>
    </xdr:from>
    <xdr:to>
      <xdr:col>7</xdr:col>
      <xdr:colOff>600075</xdr:colOff>
      <xdr:row>114</xdr:row>
      <xdr:rowOff>104775</xdr:rowOff>
    </xdr:to>
    <xdr:sp macro="" textlink="">
      <xdr:nvSpPr>
        <xdr:cNvPr id="210940" name="AutoShape 161">
          <a:extLst>
            <a:ext uri="{FF2B5EF4-FFF2-40B4-BE49-F238E27FC236}">
              <a16:creationId xmlns:a16="http://schemas.microsoft.com/office/drawing/2014/main" id="{00000000-0008-0000-0800-0000FC370300}"/>
            </a:ext>
          </a:extLst>
        </xdr:cNvPr>
        <xdr:cNvSpPr>
          <a:spLocks noChangeArrowheads="1"/>
        </xdr:cNvSpPr>
      </xdr:nvSpPr>
      <xdr:spPr bwMode="auto">
        <a:xfrm rot="-725685">
          <a:off x="5353050" y="19945350"/>
          <a:ext cx="828675" cy="142875"/>
        </a:xfrm>
        <a:prstGeom prst="curvedLeftArrow">
          <a:avLst>
            <a:gd name="adj1" fmla="val 20000"/>
            <a:gd name="adj2" fmla="val 40000"/>
            <a:gd name="adj3" fmla="val 193333"/>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600075</xdr:colOff>
      <xdr:row>114</xdr:row>
      <xdr:rowOff>142875</xdr:rowOff>
    </xdr:from>
    <xdr:to>
      <xdr:col>5</xdr:col>
      <xdr:colOff>619125</xdr:colOff>
      <xdr:row>115</xdr:row>
      <xdr:rowOff>123825</xdr:rowOff>
    </xdr:to>
    <xdr:sp macro="" textlink="">
      <xdr:nvSpPr>
        <xdr:cNvPr id="210941" name="AutoShape 162">
          <a:extLst>
            <a:ext uri="{FF2B5EF4-FFF2-40B4-BE49-F238E27FC236}">
              <a16:creationId xmlns:a16="http://schemas.microsoft.com/office/drawing/2014/main" id="{00000000-0008-0000-0800-0000FD370300}"/>
            </a:ext>
          </a:extLst>
        </xdr:cNvPr>
        <xdr:cNvSpPr>
          <a:spLocks noChangeArrowheads="1"/>
        </xdr:cNvSpPr>
      </xdr:nvSpPr>
      <xdr:spPr bwMode="auto">
        <a:xfrm rot="10049911">
          <a:off x="3752850" y="20126325"/>
          <a:ext cx="828675" cy="142875"/>
        </a:xfrm>
        <a:prstGeom prst="curvedLeftArrow">
          <a:avLst>
            <a:gd name="adj1" fmla="val 20000"/>
            <a:gd name="adj2" fmla="val 40000"/>
            <a:gd name="adj3" fmla="val 193333"/>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714375</xdr:colOff>
      <xdr:row>114</xdr:row>
      <xdr:rowOff>142875</xdr:rowOff>
    </xdr:from>
    <xdr:to>
      <xdr:col>8</xdr:col>
      <xdr:colOff>657225</xdr:colOff>
      <xdr:row>116</xdr:row>
      <xdr:rowOff>152400</xdr:rowOff>
    </xdr:to>
    <xdr:sp macro="" textlink="">
      <xdr:nvSpPr>
        <xdr:cNvPr id="7331" name="Text Box 163">
          <a:extLst>
            <a:ext uri="{FF2B5EF4-FFF2-40B4-BE49-F238E27FC236}">
              <a16:creationId xmlns:a16="http://schemas.microsoft.com/office/drawing/2014/main" id="{00000000-0008-0000-0800-0000A31C0000}"/>
            </a:ext>
          </a:extLst>
        </xdr:cNvPr>
        <xdr:cNvSpPr txBox="1">
          <a:spLocks noChangeArrowheads="1"/>
        </xdr:cNvSpPr>
      </xdr:nvSpPr>
      <xdr:spPr bwMode="auto">
        <a:xfrm>
          <a:off x="6296025" y="20126325"/>
          <a:ext cx="704850" cy="3333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Grillage avertisseur</a:t>
          </a:r>
        </a:p>
      </xdr:txBody>
    </xdr:sp>
    <xdr:clientData/>
  </xdr:twoCellAnchor>
  <xdr:twoCellAnchor>
    <xdr:from>
      <xdr:col>5</xdr:col>
      <xdr:colOff>542925</xdr:colOff>
      <xdr:row>116</xdr:row>
      <xdr:rowOff>47625</xdr:rowOff>
    </xdr:from>
    <xdr:to>
      <xdr:col>5</xdr:col>
      <xdr:colOff>800100</xdr:colOff>
      <xdr:row>117</xdr:row>
      <xdr:rowOff>114300</xdr:rowOff>
    </xdr:to>
    <xdr:sp macro="" textlink="">
      <xdr:nvSpPr>
        <xdr:cNvPr id="7332" name="Text Box 164">
          <a:extLst>
            <a:ext uri="{FF2B5EF4-FFF2-40B4-BE49-F238E27FC236}">
              <a16:creationId xmlns:a16="http://schemas.microsoft.com/office/drawing/2014/main" id="{00000000-0008-0000-0800-0000A41C0000}"/>
            </a:ext>
          </a:extLst>
        </xdr:cNvPr>
        <xdr:cNvSpPr txBox="1">
          <a:spLocks noChangeArrowheads="1"/>
        </xdr:cNvSpPr>
      </xdr:nvSpPr>
      <xdr:spPr bwMode="auto">
        <a:xfrm>
          <a:off x="4505325" y="20354925"/>
          <a:ext cx="257175" cy="2286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q3</a:t>
          </a:r>
        </a:p>
      </xdr:txBody>
    </xdr:sp>
    <xdr:clientData/>
  </xdr:twoCellAnchor>
  <xdr:twoCellAnchor>
    <xdr:from>
      <xdr:col>5</xdr:col>
      <xdr:colOff>361950</xdr:colOff>
      <xdr:row>119</xdr:row>
      <xdr:rowOff>104775</xdr:rowOff>
    </xdr:from>
    <xdr:to>
      <xdr:col>5</xdr:col>
      <xdr:colOff>752475</xdr:colOff>
      <xdr:row>120</xdr:row>
      <xdr:rowOff>142875</xdr:rowOff>
    </xdr:to>
    <xdr:sp macro="" textlink="">
      <xdr:nvSpPr>
        <xdr:cNvPr id="7333" name="Text Box 165">
          <a:extLst>
            <a:ext uri="{FF2B5EF4-FFF2-40B4-BE49-F238E27FC236}">
              <a16:creationId xmlns:a16="http://schemas.microsoft.com/office/drawing/2014/main" id="{00000000-0008-0000-0800-0000A51C0000}"/>
            </a:ext>
          </a:extLst>
        </xdr:cNvPr>
        <xdr:cNvSpPr txBox="1">
          <a:spLocks noChangeArrowheads="1"/>
        </xdr:cNvSpPr>
      </xdr:nvSpPr>
      <xdr:spPr bwMode="auto">
        <a:xfrm>
          <a:off x="4324350" y="20897850"/>
          <a:ext cx="390525" cy="20002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Sable</a:t>
          </a:r>
        </a:p>
      </xdr:txBody>
    </xdr:sp>
    <xdr:clientData/>
  </xdr:twoCellAnchor>
  <xdr:twoCellAnchor>
    <xdr:from>
      <xdr:col>3</xdr:col>
      <xdr:colOff>257175</xdr:colOff>
      <xdr:row>115</xdr:row>
      <xdr:rowOff>9525</xdr:rowOff>
    </xdr:from>
    <xdr:to>
      <xdr:col>3</xdr:col>
      <xdr:colOff>257175</xdr:colOff>
      <xdr:row>118</xdr:row>
      <xdr:rowOff>0</xdr:rowOff>
    </xdr:to>
    <xdr:sp macro="" textlink="">
      <xdr:nvSpPr>
        <xdr:cNvPr id="227329" name="Line 166">
          <a:extLst>
            <a:ext uri="{FF2B5EF4-FFF2-40B4-BE49-F238E27FC236}">
              <a16:creationId xmlns:a16="http://schemas.microsoft.com/office/drawing/2014/main" id="{00000000-0008-0000-0800-000001780300}"/>
            </a:ext>
          </a:extLst>
        </xdr:cNvPr>
        <xdr:cNvSpPr>
          <a:spLocks noChangeShapeType="1"/>
        </xdr:cNvSpPr>
      </xdr:nvSpPr>
      <xdr:spPr bwMode="auto">
        <a:xfrm>
          <a:off x="2762250" y="20154900"/>
          <a:ext cx="0"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104775</xdr:colOff>
      <xdr:row>114</xdr:row>
      <xdr:rowOff>152400</xdr:rowOff>
    </xdr:from>
    <xdr:to>
      <xdr:col>3</xdr:col>
      <xdr:colOff>590550</xdr:colOff>
      <xdr:row>114</xdr:row>
      <xdr:rowOff>152400</xdr:rowOff>
    </xdr:to>
    <xdr:sp macro="" textlink="">
      <xdr:nvSpPr>
        <xdr:cNvPr id="227330" name="Line 167">
          <a:extLst>
            <a:ext uri="{FF2B5EF4-FFF2-40B4-BE49-F238E27FC236}">
              <a16:creationId xmlns:a16="http://schemas.microsoft.com/office/drawing/2014/main" id="{00000000-0008-0000-0800-000002780300}"/>
            </a:ext>
          </a:extLst>
        </xdr:cNvPr>
        <xdr:cNvSpPr>
          <a:spLocks noChangeShapeType="1"/>
        </xdr:cNvSpPr>
      </xdr:nvSpPr>
      <xdr:spPr bwMode="auto">
        <a:xfrm>
          <a:off x="2609850" y="20135850"/>
          <a:ext cx="4857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76200</xdr:colOff>
      <xdr:row>118</xdr:row>
      <xdr:rowOff>0</xdr:rowOff>
    </xdr:from>
    <xdr:to>
      <xdr:col>3</xdr:col>
      <xdr:colOff>581025</xdr:colOff>
      <xdr:row>118</xdr:row>
      <xdr:rowOff>0</xdr:rowOff>
    </xdr:to>
    <xdr:sp macro="" textlink="">
      <xdr:nvSpPr>
        <xdr:cNvPr id="227331" name="Line 168">
          <a:extLst>
            <a:ext uri="{FF2B5EF4-FFF2-40B4-BE49-F238E27FC236}">
              <a16:creationId xmlns:a16="http://schemas.microsoft.com/office/drawing/2014/main" id="{00000000-0008-0000-0800-000003780300}"/>
            </a:ext>
          </a:extLst>
        </xdr:cNvPr>
        <xdr:cNvSpPr>
          <a:spLocks noChangeShapeType="1"/>
        </xdr:cNvSpPr>
      </xdr:nvSpPr>
      <xdr:spPr bwMode="auto">
        <a:xfrm>
          <a:off x="2581275" y="20631150"/>
          <a:ext cx="5048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333375</xdr:colOff>
      <xdr:row>116</xdr:row>
      <xdr:rowOff>0</xdr:rowOff>
    </xdr:from>
    <xdr:to>
      <xdr:col>3</xdr:col>
      <xdr:colOff>600075</xdr:colOff>
      <xdr:row>116</xdr:row>
      <xdr:rowOff>0</xdr:rowOff>
    </xdr:to>
    <xdr:sp macro="" textlink="">
      <xdr:nvSpPr>
        <xdr:cNvPr id="227332" name="Line 169">
          <a:extLst>
            <a:ext uri="{FF2B5EF4-FFF2-40B4-BE49-F238E27FC236}">
              <a16:creationId xmlns:a16="http://schemas.microsoft.com/office/drawing/2014/main" id="{00000000-0008-0000-0800-000004780300}"/>
            </a:ext>
          </a:extLst>
        </xdr:cNvPr>
        <xdr:cNvSpPr>
          <a:spLocks noChangeShapeType="1"/>
        </xdr:cNvSpPr>
      </xdr:nvSpPr>
      <xdr:spPr bwMode="auto">
        <a:xfrm>
          <a:off x="2838450" y="20307300"/>
          <a:ext cx="2667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552450</xdr:colOff>
      <xdr:row>116</xdr:row>
      <xdr:rowOff>28575</xdr:rowOff>
    </xdr:from>
    <xdr:to>
      <xdr:col>3</xdr:col>
      <xdr:colOff>552450</xdr:colOff>
      <xdr:row>117</xdr:row>
      <xdr:rowOff>142875</xdr:rowOff>
    </xdr:to>
    <xdr:sp macro="" textlink="">
      <xdr:nvSpPr>
        <xdr:cNvPr id="227333" name="Line 170">
          <a:extLst>
            <a:ext uri="{FF2B5EF4-FFF2-40B4-BE49-F238E27FC236}">
              <a16:creationId xmlns:a16="http://schemas.microsoft.com/office/drawing/2014/main" id="{00000000-0008-0000-0800-000005780300}"/>
            </a:ext>
          </a:extLst>
        </xdr:cNvPr>
        <xdr:cNvSpPr>
          <a:spLocks noChangeShapeType="1"/>
        </xdr:cNvSpPr>
      </xdr:nvSpPr>
      <xdr:spPr bwMode="auto">
        <a:xfrm>
          <a:off x="3057525" y="20335875"/>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619125</xdr:colOff>
      <xdr:row>119</xdr:row>
      <xdr:rowOff>114300</xdr:rowOff>
    </xdr:from>
    <xdr:to>
      <xdr:col>4</xdr:col>
      <xdr:colOff>476250</xdr:colOff>
      <xdr:row>121</xdr:row>
      <xdr:rowOff>47625</xdr:rowOff>
    </xdr:to>
    <xdr:sp macro="" textlink="">
      <xdr:nvSpPr>
        <xdr:cNvPr id="227334" name="AutoShape 171">
          <a:extLst>
            <a:ext uri="{FF2B5EF4-FFF2-40B4-BE49-F238E27FC236}">
              <a16:creationId xmlns:a16="http://schemas.microsoft.com/office/drawing/2014/main" id="{00000000-0008-0000-0800-000006780300}"/>
            </a:ext>
          </a:extLst>
        </xdr:cNvPr>
        <xdr:cNvSpPr>
          <a:spLocks noChangeArrowheads="1"/>
        </xdr:cNvSpPr>
      </xdr:nvSpPr>
      <xdr:spPr bwMode="auto">
        <a:xfrm rot="20147092" flipH="1">
          <a:off x="3124200" y="20907375"/>
          <a:ext cx="504825" cy="257175"/>
        </a:xfrm>
        <a:prstGeom prst="flowChartMagneticDrum">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466725</xdr:colOff>
      <xdr:row>121</xdr:row>
      <xdr:rowOff>0</xdr:rowOff>
    </xdr:from>
    <xdr:to>
      <xdr:col>4</xdr:col>
      <xdr:colOff>419100</xdr:colOff>
      <xdr:row>122</xdr:row>
      <xdr:rowOff>123825</xdr:rowOff>
    </xdr:to>
    <xdr:sp macro="" textlink="">
      <xdr:nvSpPr>
        <xdr:cNvPr id="227335" name="Line 172">
          <a:extLst>
            <a:ext uri="{FF2B5EF4-FFF2-40B4-BE49-F238E27FC236}">
              <a16:creationId xmlns:a16="http://schemas.microsoft.com/office/drawing/2014/main" id="{00000000-0008-0000-0800-000007780300}"/>
            </a:ext>
          </a:extLst>
        </xdr:cNvPr>
        <xdr:cNvSpPr>
          <a:spLocks noChangeShapeType="1"/>
        </xdr:cNvSpPr>
      </xdr:nvSpPr>
      <xdr:spPr bwMode="auto">
        <a:xfrm>
          <a:off x="2971800" y="21116925"/>
          <a:ext cx="600075" cy="285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371475</xdr:colOff>
      <xdr:row>115</xdr:row>
      <xdr:rowOff>9525</xdr:rowOff>
    </xdr:from>
    <xdr:to>
      <xdr:col>3</xdr:col>
      <xdr:colOff>619125</xdr:colOff>
      <xdr:row>115</xdr:row>
      <xdr:rowOff>152400</xdr:rowOff>
    </xdr:to>
    <xdr:sp macro="" textlink="">
      <xdr:nvSpPr>
        <xdr:cNvPr id="7341" name="Text Box 173">
          <a:extLst>
            <a:ext uri="{FF2B5EF4-FFF2-40B4-BE49-F238E27FC236}">
              <a16:creationId xmlns:a16="http://schemas.microsoft.com/office/drawing/2014/main" id="{00000000-0008-0000-0800-0000AD1C0000}"/>
            </a:ext>
          </a:extLst>
        </xdr:cNvPr>
        <xdr:cNvSpPr txBox="1">
          <a:spLocks noChangeArrowheads="1"/>
        </xdr:cNvSpPr>
      </xdr:nvSpPr>
      <xdr:spPr bwMode="auto">
        <a:xfrm>
          <a:off x="2876550" y="20154900"/>
          <a:ext cx="2476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15</a:t>
          </a:r>
        </a:p>
      </xdr:txBody>
    </xdr:sp>
    <xdr:clientData/>
  </xdr:twoCellAnchor>
  <xdr:twoCellAnchor>
    <xdr:from>
      <xdr:col>3</xdr:col>
      <xdr:colOff>314325</xdr:colOff>
      <xdr:row>116</xdr:row>
      <xdr:rowOff>133350</xdr:rowOff>
    </xdr:from>
    <xdr:to>
      <xdr:col>3</xdr:col>
      <xdr:colOff>495300</xdr:colOff>
      <xdr:row>117</xdr:row>
      <xdr:rowOff>95250</xdr:rowOff>
    </xdr:to>
    <xdr:sp macro="" textlink="">
      <xdr:nvSpPr>
        <xdr:cNvPr id="7342" name="Text Box 174">
          <a:extLst>
            <a:ext uri="{FF2B5EF4-FFF2-40B4-BE49-F238E27FC236}">
              <a16:creationId xmlns:a16="http://schemas.microsoft.com/office/drawing/2014/main" id="{00000000-0008-0000-0800-0000AE1C0000}"/>
            </a:ext>
          </a:extLst>
        </xdr:cNvPr>
        <xdr:cNvSpPr txBox="1">
          <a:spLocks noChangeArrowheads="1"/>
        </xdr:cNvSpPr>
      </xdr:nvSpPr>
      <xdr:spPr bwMode="auto">
        <a:xfrm>
          <a:off x="2819400" y="20440650"/>
          <a:ext cx="18097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30</a:t>
          </a:r>
        </a:p>
      </xdr:txBody>
    </xdr:sp>
    <xdr:clientData/>
  </xdr:twoCellAnchor>
  <xdr:twoCellAnchor>
    <xdr:from>
      <xdr:col>3</xdr:col>
      <xdr:colOff>28575</xdr:colOff>
      <xdr:row>116</xdr:row>
      <xdr:rowOff>47625</xdr:rowOff>
    </xdr:from>
    <xdr:to>
      <xdr:col>3</xdr:col>
      <xdr:colOff>285750</xdr:colOff>
      <xdr:row>117</xdr:row>
      <xdr:rowOff>28575</xdr:rowOff>
    </xdr:to>
    <xdr:sp macro="" textlink="">
      <xdr:nvSpPr>
        <xdr:cNvPr id="7343" name="Text Box 175">
          <a:extLst>
            <a:ext uri="{FF2B5EF4-FFF2-40B4-BE49-F238E27FC236}">
              <a16:creationId xmlns:a16="http://schemas.microsoft.com/office/drawing/2014/main" id="{00000000-0008-0000-0800-0000AF1C0000}"/>
            </a:ext>
          </a:extLst>
        </xdr:cNvPr>
        <xdr:cNvSpPr txBox="1">
          <a:spLocks noChangeArrowheads="1"/>
        </xdr:cNvSpPr>
      </xdr:nvSpPr>
      <xdr:spPr bwMode="auto">
        <a:xfrm>
          <a:off x="2533650" y="20354925"/>
          <a:ext cx="257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45</a:t>
          </a:r>
        </a:p>
      </xdr:txBody>
    </xdr:sp>
    <xdr:clientData/>
  </xdr:twoCellAnchor>
  <xdr:twoCellAnchor>
    <xdr:from>
      <xdr:col>3</xdr:col>
      <xdr:colOff>409575</xdr:colOff>
      <xdr:row>120</xdr:row>
      <xdr:rowOff>76200</xdr:rowOff>
    </xdr:from>
    <xdr:to>
      <xdr:col>3</xdr:col>
      <xdr:colOff>514350</xdr:colOff>
      <xdr:row>121</xdr:row>
      <xdr:rowOff>47625</xdr:rowOff>
    </xdr:to>
    <xdr:sp macro="" textlink="">
      <xdr:nvSpPr>
        <xdr:cNvPr id="227339" name="Line 176">
          <a:extLst>
            <a:ext uri="{FF2B5EF4-FFF2-40B4-BE49-F238E27FC236}">
              <a16:creationId xmlns:a16="http://schemas.microsoft.com/office/drawing/2014/main" id="{00000000-0008-0000-0800-00000B780300}"/>
            </a:ext>
          </a:extLst>
        </xdr:cNvPr>
        <xdr:cNvSpPr>
          <a:spLocks noChangeShapeType="1"/>
        </xdr:cNvSpPr>
      </xdr:nvSpPr>
      <xdr:spPr bwMode="auto">
        <a:xfrm flipH="1">
          <a:off x="2914650" y="21031200"/>
          <a:ext cx="10477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371475</xdr:colOff>
      <xdr:row>122</xdr:row>
      <xdr:rowOff>47625</xdr:rowOff>
    </xdr:from>
    <xdr:to>
      <xdr:col>4</xdr:col>
      <xdr:colOff>485775</xdr:colOff>
      <xdr:row>123</xdr:row>
      <xdr:rowOff>0</xdr:rowOff>
    </xdr:to>
    <xdr:sp macro="" textlink="">
      <xdr:nvSpPr>
        <xdr:cNvPr id="227340" name="Line 177">
          <a:extLst>
            <a:ext uri="{FF2B5EF4-FFF2-40B4-BE49-F238E27FC236}">
              <a16:creationId xmlns:a16="http://schemas.microsoft.com/office/drawing/2014/main" id="{00000000-0008-0000-0800-00000C780300}"/>
            </a:ext>
          </a:extLst>
        </xdr:cNvPr>
        <xdr:cNvSpPr>
          <a:spLocks noChangeShapeType="1"/>
        </xdr:cNvSpPr>
      </xdr:nvSpPr>
      <xdr:spPr bwMode="auto">
        <a:xfrm flipH="1">
          <a:off x="3524250" y="21326475"/>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276225</xdr:colOff>
      <xdr:row>121</xdr:row>
      <xdr:rowOff>114300</xdr:rowOff>
    </xdr:from>
    <xdr:to>
      <xdr:col>3</xdr:col>
      <xdr:colOff>590550</xdr:colOff>
      <xdr:row>122</xdr:row>
      <xdr:rowOff>114300</xdr:rowOff>
    </xdr:to>
    <xdr:sp macro="" textlink="">
      <xdr:nvSpPr>
        <xdr:cNvPr id="7346" name="Text Box 178">
          <a:extLst>
            <a:ext uri="{FF2B5EF4-FFF2-40B4-BE49-F238E27FC236}">
              <a16:creationId xmlns:a16="http://schemas.microsoft.com/office/drawing/2014/main" id="{00000000-0008-0000-0800-0000B21C0000}"/>
            </a:ext>
          </a:extLst>
        </xdr:cNvPr>
        <xdr:cNvSpPr txBox="1">
          <a:spLocks noChangeArrowheads="1"/>
        </xdr:cNvSpPr>
      </xdr:nvSpPr>
      <xdr:spPr bwMode="auto">
        <a:xfrm>
          <a:off x="2781300" y="21231225"/>
          <a:ext cx="3143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65</a:t>
          </a:r>
        </a:p>
      </xdr:txBody>
    </xdr:sp>
    <xdr:clientData/>
  </xdr:twoCellAnchor>
  <xdr:twoCellAnchor>
    <xdr:from>
      <xdr:col>7</xdr:col>
      <xdr:colOff>495300</xdr:colOff>
      <xdr:row>74</xdr:row>
      <xdr:rowOff>104775</xdr:rowOff>
    </xdr:from>
    <xdr:to>
      <xdr:col>7</xdr:col>
      <xdr:colOff>495300</xdr:colOff>
      <xdr:row>75</xdr:row>
      <xdr:rowOff>104775</xdr:rowOff>
    </xdr:to>
    <xdr:sp macro="" textlink="">
      <xdr:nvSpPr>
        <xdr:cNvPr id="227342" name="Line 181">
          <a:extLst>
            <a:ext uri="{FF2B5EF4-FFF2-40B4-BE49-F238E27FC236}">
              <a16:creationId xmlns:a16="http://schemas.microsoft.com/office/drawing/2014/main" id="{00000000-0008-0000-0800-00000E780300}"/>
            </a:ext>
          </a:extLst>
        </xdr:cNvPr>
        <xdr:cNvSpPr>
          <a:spLocks noChangeShapeType="1"/>
        </xdr:cNvSpPr>
      </xdr:nvSpPr>
      <xdr:spPr bwMode="auto">
        <a:xfrm>
          <a:off x="6076950" y="13611225"/>
          <a:ext cx="0" cy="161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400050</xdr:colOff>
      <xdr:row>97</xdr:row>
      <xdr:rowOff>28575</xdr:rowOff>
    </xdr:from>
    <xdr:to>
      <xdr:col>7</xdr:col>
      <xdr:colOff>228600</xdr:colOff>
      <xdr:row>97</xdr:row>
      <xdr:rowOff>85725</xdr:rowOff>
    </xdr:to>
    <xdr:sp macro="" textlink="">
      <xdr:nvSpPr>
        <xdr:cNvPr id="227343" name="Line 182">
          <a:extLst>
            <a:ext uri="{FF2B5EF4-FFF2-40B4-BE49-F238E27FC236}">
              <a16:creationId xmlns:a16="http://schemas.microsoft.com/office/drawing/2014/main" id="{00000000-0008-0000-0800-00000F780300}"/>
            </a:ext>
          </a:extLst>
        </xdr:cNvPr>
        <xdr:cNvSpPr>
          <a:spLocks noChangeShapeType="1"/>
        </xdr:cNvSpPr>
      </xdr:nvSpPr>
      <xdr:spPr bwMode="auto">
        <a:xfrm flipV="1">
          <a:off x="3552825" y="17259300"/>
          <a:ext cx="2257425"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57150</xdr:colOff>
      <xdr:row>93</xdr:row>
      <xdr:rowOff>95250</xdr:rowOff>
    </xdr:from>
    <xdr:to>
      <xdr:col>7</xdr:col>
      <xdr:colOff>285750</xdr:colOff>
      <xdr:row>96</xdr:row>
      <xdr:rowOff>85725</xdr:rowOff>
    </xdr:to>
    <xdr:sp macro="" textlink="">
      <xdr:nvSpPr>
        <xdr:cNvPr id="227344" name="Line 183">
          <a:extLst>
            <a:ext uri="{FF2B5EF4-FFF2-40B4-BE49-F238E27FC236}">
              <a16:creationId xmlns:a16="http://schemas.microsoft.com/office/drawing/2014/main" id="{00000000-0008-0000-0800-000010780300}"/>
            </a:ext>
          </a:extLst>
        </xdr:cNvPr>
        <xdr:cNvSpPr>
          <a:spLocks noChangeShapeType="1"/>
        </xdr:cNvSpPr>
      </xdr:nvSpPr>
      <xdr:spPr bwMode="auto">
        <a:xfrm>
          <a:off x="5638800" y="16678275"/>
          <a:ext cx="228600"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57150</xdr:colOff>
      <xdr:row>92</xdr:row>
      <xdr:rowOff>133350</xdr:rowOff>
    </xdr:from>
    <xdr:to>
      <xdr:col>7</xdr:col>
      <xdr:colOff>266700</xdr:colOff>
      <xdr:row>93</xdr:row>
      <xdr:rowOff>85725</xdr:rowOff>
    </xdr:to>
    <xdr:sp macro="" textlink="">
      <xdr:nvSpPr>
        <xdr:cNvPr id="227345" name="Line 184">
          <a:extLst>
            <a:ext uri="{FF2B5EF4-FFF2-40B4-BE49-F238E27FC236}">
              <a16:creationId xmlns:a16="http://schemas.microsoft.com/office/drawing/2014/main" id="{00000000-0008-0000-0800-000011780300}"/>
            </a:ext>
          </a:extLst>
        </xdr:cNvPr>
        <xdr:cNvSpPr>
          <a:spLocks noChangeShapeType="1"/>
        </xdr:cNvSpPr>
      </xdr:nvSpPr>
      <xdr:spPr bwMode="auto">
        <a:xfrm flipH="1">
          <a:off x="5638800" y="16554450"/>
          <a:ext cx="20955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66675</xdr:colOff>
      <xdr:row>90</xdr:row>
      <xdr:rowOff>142875</xdr:rowOff>
    </xdr:from>
    <xdr:to>
      <xdr:col>7</xdr:col>
      <xdr:colOff>276225</xdr:colOff>
      <xdr:row>93</xdr:row>
      <xdr:rowOff>76200</xdr:rowOff>
    </xdr:to>
    <xdr:sp macro="" textlink="">
      <xdr:nvSpPr>
        <xdr:cNvPr id="227346" name="Line 185">
          <a:extLst>
            <a:ext uri="{FF2B5EF4-FFF2-40B4-BE49-F238E27FC236}">
              <a16:creationId xmlns:a16="http://schemas.microsoft.com/office/drawing/2014/main" id="{00000000-0008-0000-0800-000012780300}"/>
            </a:ext>
          </a:extLst>
        </xdr:cNvPr>
        <xdr:cNvSpPr>
          <a:spLocks noChangeShapeType="1"/>
        </xdr:cNvSpPr>
      </xdr:nvSpPr>
      <xdr:spPr bwMode="auto">
        <a:xfrm flipH="1">
          <a:off x="5648325" y="16240125"/>
          <a:ext cx="209550" cy="419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0</xdr:col>
      <xdr:colOff>28575</xdr:colOff>
      <xdr:row>0</xdr:row>
      <xdr:rowOff>28575</xdr:rowOff>
    </xdr:from>
    <xdr:to>
      <xdr:col>1</xdr:col>
      <xdr:colOff>172322</xdr:colOff>
      <xdr:row>0</xdr:row>
      <xdr:rowOff>447675</xdr:rowOff>
    </xdr:to>
    <xdr:pic>
      <xdr:nvPicPr>
        <xdr:cNvPr id="187" name="Image 186">
          <a:extLst>
            <a:ext uri="{FF2B5EF4-FFF2-40B4-BE49-F238E27FC236}">
              <a16:creationId xmlns:a16="http://schemas.microsoft.com/office/drawing/2014/main" id="{00000000-0008-0000-0800-0000B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 y="2857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58</xdr:row>
      <xdr:rowOff>47625</xdr:rowOff>
    </xdr:from>
    <xdr:to>
      <xdr:col>1</xdr:col>
      <xdr:colOff>181847</xdr:colOff>
      <xdr:row>58</xdr:row>
      <xdr:rowOff>466725</xdr:rowOff>
    </xdr:to>
    <xdr:pic>
      <xdr:nvPicPr>
        <xdr:cNvPr id="188" name="Image 187">
          <a:extLst>
            <a:ext uri="{FF2B5EF4-FFF2-40B4-BE49-F238E27FC236}">
              <a16:creationId xmlns:a16="http://schemas.microsoft.com/office/drawing/2014/main" id="{00000000-0008-0000-0800-0000B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062037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28575</xdr:colOff>
      <xdr:row>0</xdr:row>
      <xdr:rowOff>28575</xdr:rowOff>
    </xdr:from>
    <xdr:to>
      <xdr:col>0</xdr:col>
      <xdr:colOff>981947</xdr:colOff>
      <xdr:row>1</xdr:row>
      <xdr:rowOff>152400</xdr:rowOff>
    </xdr:to>
    <xdr:pic>
      <xdr:nvPicPr>
        <xdr:cNvPr id="7" name="Imag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 y="2857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76200</xdr:colOff>
      <xdr:row>38</xdr:row>
      <xdr:rowOff>85725</xdr:rowOff>
    </xdr:from>
    <xdr:to>
      <xdr:col>1</xdr:col>
      <xdr:colOff>190500</xdr:colOff>
      <xdr:row>38</xdr:row>
      <xdr:rowOff>219075</xdr:rowOff>
    </xdr:to>
    <xdr:sp macro="" textlink="">
      <xdr:nvSpPr>
        <xdr:cNvPr id="2" name="Text Box 3">
          <a:extLst>
            <a:ext uri="{FF2B5EF4-FFF2-40B4-BE49-F238E27FC236}">
              <a16:creationId xmlns:a16="http://schemas.microsoft.com/office/drawing/2014/main" id="{00000000-0008-0000-0A00-000002000000}"/>
            </a:ext>
          </a:extLst>
        </xdr:cNvPr>
        <xdr:cNvSpPr txBox="1">
          <a:spLocks noChangeAspect="1" noChangeArrowheads="1"/>
        </xdr:cNvSpPr>
      </xdr:nvSpPr>
      <xdr:spPr bwMode="auto">
        <a:xfrm>
          <a:off x="428625" y="7896225"/>
          <a:ext cx="114300" cy="76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xdr:from>
      <xdr:col>0</xdr:col>
      <xdr:colOff>333375</xdr:colOff>
      <xdr:row>24</xdr:row>
      <xdr:rowOff>104775</xdr:rowOff>
    </xdr:from>
    <xdr:to>
      <xdr:col>1</xdr:col>
      <xdr:colOff>142875</xdr:colOff>
      <xdr:row>25</xdr:row>
      <xdr:rowOff>28575</xdr:rowOff>
    </xdr:to>
    <xdr:sp macro="" textlink="">
      <xdr:nvSpPr>
        <xdr:cNvPr id="3" name="Text Box 4">
          <a:extLst>
            <a:ext uri="{FF2B5EF4-FFF2-40B4-BE49-F238E27FC236}">
              <a16:creationId xmlns:a16="http://schemas.microsoft.com/office/drawing/2014/main" id="{00000000-0008-0000-0A00-000003000000}"/>
            </a:ext>
          </a:extLst>
        </xdr:cNvPr>
        <xdr:cNvSpPr txBox="1">
          <a:spLocks noChangeAspect="1" noChangeArrowheads="1"/>
        </xdr:cNvSpPr>
      </xdr:nvSpPr>
      <xdr:spPr bwMode="auto">
        <a:xfrm>
          <a:off x="333375" y="5314950"/>
          <a:ext cx="1619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xdr:from>
      <xdr:col>1</xdr:col>
      <xdr:colOff>76200</xdr:colOff>
      <xdr:row>38</xdr:row>
      <xdr:rowOff>85725</xdr:rowOff>
    </xdr:from>
    <xdr:to>
      <xdr:col>1</xdr:col>
      <xdr:colOff>190500</xdr:colOff>
      <xdr:row>38</xdr:row>
      <xdr:rowOff>219075</xdr:rowOff>
    </xdr:to>
    <xdr:sp macro="" textlink="">
      <xdr:nvSpPr>
        <xdr:cNvPr id="4" name="Text Box 5">
          <a:extLst>
            <a:ext uri="{FF2B5EF4-FFF2-40B4-BE49-F238E27FC236}">
              <a16:creationId xmlns:a16="http://schemas.microsoft.com/office/drawing/2014/main" id="{00000000-0008-0000-0A00-000004000000}"/>
            </a:ext>
          </a:extLst>
        </xdr:cNvPr>
        <xdr:cNvSpPr txBox="1">
          <a:spLocks noChangeAspect="1" noChangeArrowheads="1"/>
        </xdr:cNvSpPr>
      </xdr:nvSpPr>
      <xdr:spPr bwMode="auto">
        <a:xfrm>
          <a:off x="428625" y="7896225"/>
          <a:ext cx="114300" cy="76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xdr:from>
      <xdr:col>0</xdr:col>
      <xdr:colOff>333375</xdr:colOff>
      <xdr:row>24</xdr:row>
      <xdr:rowOff>104775</xdr:rowOff>
    </xdr:from>
    <xdr:to>
      <xdr:col>1</xdr:col>
      <xdr:colOff>142875</xdr:colOff>
      <xdr:row>25</xdr:row>
      <xdr:rowOff>28575</xdr:rowOff>
    </xdr:to>
    <xdr:sp macro="" textlink="">
      <xdr:nvSpPr>
        <xdr:cNvPr id="5" name="Text Box 6">
          <a:extLst>
            <a:ext uri="{FF2B5EF4-FFF2-40B4-BE49-F238E27FC236}">
              <a16:creationId xmlns:a16="http://schemas.microsoft.com/office/drawing/2014/main" id="{00000000-0008-0000-0A00-000005000000}"/>
            </a:ext>
          </a:extLst>
        </xdr:cNvPr>
        <xdr:cNvSpPr txBox="1">
          <a:spLocks noChangeAspect="1" noChangeArrowheads="1"/>
        </xdr:cNvSpPr>
      </xdr:nvSpPr>
      <xdr:spPr bwMode="auto">
        <a:xfrm>
          <a:off x="333375" y="5314950"/>
          <a:ext cx="1619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xdr:from>
      <xdr:col>1</xdr:col>
      <xdr:colOff>76200</xdr:colOff>
      <xdr:row>43</xdr:row>
      <xdr:rowOff>85725</xdr:rowOff>
    </xdr:from>
    <xdr:to>
      <xdr:col>1</xdr:col>
      <xdr:colOff>190500</xdr:colOff>
      <xdr:row>43</xdr:row>
      <xdr:rowOff>219075</xdr:rowOff>
    </xdr:to>
    <xdr:sp macro="" textlink="">
      <xdr:nvSpPr>
        <xdr:cNvPr id="6" name="Text Box 7">
          <a:extLst>
            <a:ext uri="{FF2B5EF4-FFF2-40B4-BE49-F238E27FC236}">
              <a16:creationId xmlns:a16="http://schemas.microsoft.com/office/drawing/2014/main" id="{00000000-0008-0000-0A00-000006000000}"/>
            </a:ext>
          </a:extLst>
        </xdr:cNvPr>
        <xdr:cNvSpPr txBox="1">
          <a:spLocks noChangeAspect="1" noChangeArrowheads="1"/>
        </xdr:cNvSpPr>
      </xdr:nvSpPr>
      <xdr:spPr bwMode="auto">
        <a:xfrm>
          <a:off x="428625" y="8677275"/>
          <a:ext cx="114300"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xdr:from>
      <xdr:col>1</xdr:col>
      <xdr:colOff>76200</xdr:colOff>
      <xdr:row>43</xdr:row>
      <xdr:rowOff>85725</xdr:rowOff>
    </xdr:from>
    <xdr:to>
      <xdr:col>1</xdr:col>
      <xdr:colOff>190500</xdr:colOff>
      <xdr:row>43</xdr:row>
      <xdr:rowOff>219075</xdr:rowOff>
    </xdr:to>
    <xdr:sp macro="" textlink="">
      <xdr:nvSpPr>
        <xdr:cNvPr id="8" name="Text Box 11">
          <a:extLst>
            <a:ext uri="{FF2B5EF4-FFF2-40B4-BE49-F238E27FC236}">
              <a16:creationId xmlns:a16="http://schemas.microsoft.com/office/drawing/2014/main" id="{00000000-0008-0000-0A00-000008000000}"/>
            </a:ext>
          </a:extLst>
        </xdr:cNvPr>
        <xdr:cNvSpPr txBox="1">
          <a:spLocks noChangeAspect="1" noChangeArrowheads="1"/>
        </xdr:cNvSpPr>
      </xdr:nvSpPr>
      <xdr:spPr bwMode="auto">
        <a:xfrm>
          <a:off x="428625" y="8677275"/>
          <a:ext cx="114300"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editAs="oneCell">
    <xdr:from>
      <xdr:col>2</xdr:col>
      <xdr:colOff>0</xdr:colOff>
      <xdr:row>22</xdr:row>
      <xdr:rowOff>171450</xdr:rowOff>
    </xdr:from>
    <xdr:to>
      <xdr:col>6</xdr:col>
      <xdr:colOff>0</xdr:colOff>
      <xdr:row>38</xdr:row>
      <xdr:rowOff>133350</xdr:rowOff>
    </xdr:to>
    <xdr:pic>
      <xdr:nvPicPr>
        <xdr:cNvPr id="103930" name="Picture 17">
          <a:extLst>
            <a:ext uri="{FF2B5EF4-FFF2-40B4-BE49-F238E27FC236}">
              <a16:creationId xmlns:a16="http://schemas.microsoft.com/office/drawing/2014/main" id="{00000000-0008-0000-0A00-0000FA95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762000" y="4953000"/>
          <a:ext cx="1733550" cy="2990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38100</xdr:colOff>
      <xdr:row>22</xdr:row>
      <xdr:rowOff>171450</xdr:rowOff>
    </xdr:from>
    <xdr:to>
      <xdr:col>16</xdr:col>
      <xdr:colOff>114300</xdr:colOff>
      <xdr:row>38</xdr:row>
      <xdr:rowOff>133350</xdr:rowOff>
    </xdr:to>
    <xdr:pic>
      <xdr:nvPicPr>
        <xdr:cNvPr id="103931" name="Picture 17">
          <a:extLst>
            <a:ext uri="{FF2B5EF4-FFF2-40B4-BE49-F238E27FC236}">
              <a16:creationId xmlns:a16="http://schemas.microsoft.com/office/drawing/2014/main" id="{00000000-0008-0000-0A00-0000FB95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4810125" y="4953000"/>
          <a:ext cx="1733550" cy="2990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19050</xdr:colOff>
      <xdr:row>45</xdr:row>
      <xdr:rowOff>104775</xdr:rowOff>
    </xdr:from>
    <xdr:to>
      <xdr:col>6</xdr:col>
      <xdr:colOff>19050</xdr:colOff>
      <xdr:row>61</xdr:row>
      <xdr:rowOff>28575</xdr:rowOff>
    </xdr:to>
    <xdr:pic>
      <xdr:nvPicPr>
        <xdr:cNvPr id="103932" name="Picture 17">
          <a:extLst>
            <a:ext uri="{FF2B5EF4-FFF2-40B4-BE49-F238E27FC236}">
              <a16:creationId xmlns:a16="http://schemas.microsoft.com/office/drawing/2014/main" id="{00000000-0008-0000-0A00-0000FC95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781050" y="9239250"/>
          <a:ext cx="1733550" cy="2990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57150</xdr:colOff>
      <xdr:row>45</xdr:row>
      <xdr:rowOff>104775</xdr:rowOff>
    </xdr:from>
    <xdr:to>
      <xdr:col>16</xdr:col>
      <xdr:colOff>133350</xdr:colOff>
      <xdr:row>61</xdr:row>
      <xdr:rowOff>28575</xdr:rowOff>
    </xdr:to>
    <xdr:pic>
      <xdr:nvPicPr>
        <xdr:cNvPr id="103933" name="Picture 17">
          <a:extLst>
            <a:ext uri="{FF2B5EF4-FFF2-40B4-BE49-F238E27FC236}">
              <a16:creationId xmlns:a16="http://schemas.microsoft.com/office/drawing/2014/main" id="{00000000-0008-0000-0A00-0000FD95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4829175" y="9239250"/>
          <a:ext cx="1733550" cy="2990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259244</xdr:colOff>
      <xdr:row>14</xdr:row>
      <xdr:rowOff>51289</xdr:rowOff>
    </xdr:from>
    <xdr:to>
      <xdr:col>1</xdr:col>
      <xdr:colOff>0</xdr:colOff>
      <xdr:row>14</xdr:row>
      <xdr:rowOff>146539</xdr:rowOff>
    </xdr:to>
    <xdr:sp macro="" textlink="">
      <xdr:nvSpPr>
        <xdr:cNvPr id="16" name="Rectangle 15">
          <a:extLst>
            <a:ext uri="{FF2B5EF4-FFF2-40B4-BE49-F238E27FC236}">
              <a16:creationId xmlns:a16="http://schemas.microsoft.com/office/drawing/2014/main" id="{00000000-0008-0000-0A00-000010000000}"/>
            </a:ext>
          </a:extLst>
        </xdr:cNvPr>
        <xdr:cNvSpPr>
          <a:spLocks noChangeArrowheads="1"/>
        </xdr:cNvSpPr>
      </xdr:nvSpPr>
      <xdr:spPr bwMode="auto">
        <a:xfrm>
          <a:off x="259244" y="3414347"/>
          <a:ext cx="92448" cy="95250"/>
        </a:xfrm>
        <a:prstGeom prst="rect">
          <a:avLst/>
        </a:prstGeom>
        <a:solidFill>
          <a:srgbClr val="FFFFFF"/>
        </a:solidFill>
        <a:ln w="9525">
          <a:solidFill>
            <a:srgbClr val="000000"/>
          </a:solidFill>
          <a:miter lim="800000"/>
          <a:headEnd/>
          <a:tailEnd/>
        </a:ln>
      </xdr:spPr>
    </xdr:sp>
    <xdr:clientData/>
  </xdr:twoCellAnchor>
  <xdr:twoCellAnchor>
    <xdr:from>
      <xdr:col>7</xdr:col>
      <xdr:colOff>291483</xdr:colOff>
      <xdr:row>14</xdr:row>
      <xdr:rowOff>49824</xdr:rowOff>
    </xdr:from>
    <xdr:to>
      <xdr:col>8</xdr:col>
      <xdr:colOff>2931</xdr:colOff>
      <xdr:row>14</xdr:row>
      <xdr:rowOff>145074</xdr:rowOff>
    </xdr:to>
    <xdr:sp macro="" textlink="">
      <xdr:nvSpPr>
        <xdr:cNvPr id="17" name="Rectangle 16">
          <a:extLst>
            <a:ext uri="{FF2B5EF4-FFF2-40B4-BE49-F238E27FC236}">
              <a16:creationId xmlns:a16="http://schemas.microsoft.com/office/drawing/2014/main" id="{00000000-0008-0000-0A00-000011000000}"/>
            </a:ext>
          </a:extLst>
        </xdr:cNvPr>
        <xdr:cNvSpPr>
          <a:spLocks noChangeArrowheads="1"/>
        </xdr:cNvSpPr>
      </xdr:nvSpPr>
      <xdr:spPr bwMode="auto">
        <a:xfrm>
          <a:off x="3163637" y="3412882"/>
          <a:ext cx="92448" cy="95250"/>
        </a:xfrm>
        <a:prstGeom prst="rect">
          <a:avLst/>
        </a:prstGeom>
        <a:solidFill>
          <a:srgbClr val="FFFFFF"/>
        </a:solidFill>
        <a:ln w="9525">
          <a:solidFill>
            <a:srgbClr val="000000"/>
          </a:solidFill>
          <a:miter lim="800000"/>
          <a:headEnd/>
          <a:tailEnd/>
        </a:ln>
      </xdr:spPr>
    </xdr:sp>
    <xdr:clientData/>
  </xdr:twoCellAnchor>
  <xdr:twoCellAnchor>
    <xdr:from>
      <xdr:col>15</xdr:col>
      <xdr:colOff>288552</xdr:colOff>
      <xdr:row>14</xdr:row>
      <xdr:rowOff>48359</xdr:rowOff>
    </xdr:from>
    <xdr:to>
      <xdr:col>15</xdr:col>
      <xdr:colOff>381000</xdr:colOff>
      <xdr:row>14</xdr:row>
      <xdr:rowOff>143609</xdr:rowOff>
    </xdr:to>
    <xdr:sp macro="" textlink="">
      <xdr:nvSpPr>
        <xdr:cNvPr id="18" name="Rectangle 17">
          <a:extLst>
            <a:ext uri="{FF2B5EF4-FFF2-40B4-BE49-F238E27FC236}">
              <a16:creationId xmlns:a16="http://schemas.microsoft.com/office/drawing/2014/main" id="{00000000-0008-0000-0A00-000012000000}"/>
            </a:ext>
          </a:extLst>
        </xdr:cNvPr>
        <xdr:cNvSpPr>
          <a:spLocks noChangeArrowheads="1"/>
        </xdr:cNvSpPr>
      </xdr:nvSpPr>
      <xdr:spPr bwMode="auto">
        <a:xfrm>
          <a:off x="6340590" y="3411417"/>
          <a:ext cx="92448" cy="95250"/>
        </a:xfrm>
        <a:prstGeom prst="rect">
          <a:avLst/>
        </a:prstGeom>
        <a:solidFill>
          <a:srgbClr val="FFFFFF"/>
        </a:solidFill>
        <a:ln w="9525">
          <a:solidFill>
            <a:srgbClr val="000000"/>
          </a:solidFill>
          <a:miter lim="800000"/>
          <a:headEnd/>
          <a:tailEnd/>
        </a:ln>
      </xdr:spPr>
    </xdr:sp>
    <xdr:clientData/>
  </xdr:twoCellAnchor>
  <xdr:twoCellAnchor editAs="oneCell">
    <xdr:from>
      <xdr:col>0</xdr:col>
      <xdr:colOff>85725</xdr:colOff>
      <xdr:row>0</xdr:row>
      <xdr:rowOff>57150</xdr:rowOff>
    </xdr:from>
    <xdr:to>
      <xdr:col>2</xdr:col>
      <xdr:colOff>277097</xdr:colOff>
      <xdr:row>1</xdr:row>
      <xdr:rowOff>247650</xdr:rowOff>
    </xdr:to>
    <xdr:pic>
      <xdr:nvPicPr>
        <xdr:cNvPr id="19" name="Image 18">
          <a:extLst>
            <a:ext uri="{FF2B5EF4-FFF2-40B4-BE49-F238E27FC236}">
              <a16:creationId xmlns:a16="http://schemas.microsoft.com/office/drawing/2014/main" id="{00000000-0008-0000-0A00-00001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5725" y="5715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371475</xdr:colOff>
      <xdr:row>0</xdr:row>
      <xdr:rowOff>0</xdr:rowOff>
    </xdr:to>
    <xdr:pic>
      <xdr:nvPicPr>
        <xdr:cNvPr id="10574" name="Picture 1" descr="logo SOBECA">
          <a:extLst>
            <a:ext uri="{FF2B5EF4-FFF2-40B4-BE49-F238E27FC236}">
              <a16:creationId xmlns:a16="http://schemas.microsoft.com/office/drawing/2014/main" id="{00000000-0008-0000-0B00-00004E29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r="4265" b="28358"/>
        <a:stretch>
          <a:fillRect/>
        </a:stretch>
      </xdr:blipFill>
      <xdr:spPr bwMode="auto">
        <a:xfrm>
          <a:off x="0" y="0"/>
          <a:ext cx="20955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3</xdr:col>
      <xdr:colOff>371475</xdr:colOff>
      <xdr:row>0</xdr:row>
      <xdr:rowOff>0</xdr:rowOff>
    </xdr:to>
    <xdr:pic>
      <xdr:nvPicPr>
        <xdr:cNvPr id="10576" name="Picture 3" descr="logo SOBECA">
          <a:extLst>
            <a:ext uri="{FF2B5EF4-FFF2-40B4-BE49-F238E27FC236}">
              <a16:creationId xmlns:a16="http://schemas.microsoft.com/office/drawing/2014/main" id="{00000000-0008-0000-0B00-00005029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r="4265" b="28358"/>
        <a:stretch>
          <a:fillRect/>
        </a:stretch>
      </xdr:blipFill>
      <xdr:spPr bwMode="auto">
        <a:xfrm>
          <a:off x="0" y="0"/>
          <a:ext cx="20955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38100</xdr:colOff>
      <xdr:row>0</xdr:row>
      <xdr:rowOff>57150</xdr:rowOff>
    </xdr:from>
    <xdr:to>
      <xdr:col>1</xdr:col>
      <xdr:colOff>315197</xdr:colOff>
      <xdr:row>1</xdr:row>
      <xdr:rowOff>238125</xdr:rowOff>
    </xdr:to>
    <xdr:pic>
      <xdr:nvPicPr>
        <xdr:cNvPr id="5" name="Imag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100" y="5715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22411</xdr:colOff>
      <xdr:row>0</xdr:row>
      <xdr:rowOff>44824</xdr:rowOff>
    </xdr:from>
    <xdr:to>
      <xdr:col>0</xdr:col>
      <xdr:colOff>975783</xdr:colOff>
      <xdr:row>2</xdr:row>
      <xdr:rowOff>15689</xdr:rowOff>
    </xdr:to>
    <xdr:pic>
      <xdr:nvPicPr>
        <xdr:cNvPr id="5" name="Imag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411" y="44824"/>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28575</xdr:colOff>
      <xdr:row>0</xdr:row>
      <xdr:rowOff>47625</xdr:rowOff>
    </xdr:from>
    <xdr:to>
      <xdr:col>0</xdr:col>
      <xdr:colOff>981947</xdr:colOff>
      <xdr:row>2</xdr:row>
      <xdr:rowOff>9525</xdr:rowOff>
    </xdr:to>
    <xdr:pic>
      <xdr:nvPicPr>
        <xdr:cNvPr id="6" name="Image 5">
          <a:extLst>
            <a:ext uri="{FF2B5EF4-FFF2-40B4-BE49-F238E27FC236}">
              <a16:creationId xmlns:a16="http://schemas.microsoft.com/office/drawing/2014/main" id="{00000000-0008-0000-0D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 y="476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33128</xdr:colOff>
      <xdr:row>0</xdr:row>
      <xdr:rowOff>41413</xdr:rowOff>
    </xdr:from>
    <xdr:to>
      <xdr:col>0</xdr:col>
      <xdr:colOff>986500</xdr:colOff>
      <xdr:row>1</xdr:row>
      <xdr:rowOff>162339</xdr:rowOff>
    </xdr:to>
    <xdr:pic>
      <xdr:nvPicPr>
        <xdr:cNvPr id="5" name="Image 4">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128" y="41413"/>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19050</xdr:colOff>
      <xdr:row>0</xdr:row>
      <xdr:rowOff>19050</xdr:rowOff>
    </xdr:from>
    <xdr:to>
      <xdr:col>0</xdr:col>
      <xdr:colOff>972422</xdr:colOff>
      <xdr:row>1</xdr:row>
      <xdr:rowOff>142875</xdr:rowOff>
    </xdr:to>
    <xdr:pic>
      <xdr:nvPicPr>
        <xdr:cNvPr id="5" name="Image 4">
          <a:extLst>
            <a:ext uri="{FF2B5EF4-FFF2-40B4-BE49-F238E27FC236}">
              <a16:creationId xmlns:a16="http://schemas.microsoft.com/office/drawing/2014/main" id="{00000000-0008-0000-0F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1905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28575</xdr:colOff>
      <xdr:row>0</xdr:row>
      <xdr:rowOff>0</xdr:rowOff>
    </xdr:from>
    <xdr:to>
      <xdr:col>5</xdr:col>
      <xdr:colOff>371475</xdr:colOff>
      <xdr:row>0</xdr:row>
      <xdr:rowOff>0</xdr:rowOff>
    </xdr:to>
    <xdr:pic>
      <xdr:nvPicPr>
        <xdr:cNvPr id="18767" name="Picture 1" descr="logo SOBECA">
          <a:extLst>
            <a:ext uri="{FF2B5EF4-FFF2-40B4-BE49-F238E27FC236}">
              <a16:creationId xmlns:a16="http://schemas.microsoft.com/office/drawing/2014/main" id="{00000000-0008-0000-1000-00004F4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4265" b="28358"/>
        <a:stretch>
          <a:fillRect/>
        </a:stretch>
      </xdr:blipFill>
      <xdr:spPr bwMode="auto">
        <a:xfrm>
          <a:off x="28575" y="0"/>
          <a:ext cx="44577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28575</xdr:colOff>
      <xdr:row>0</xdr:row>
      <xdr:rowOff>0</xdr:rowOff>
    </xdr:from>
    <xdr:to>
      <xdr:col>5</xdr:col>
      <xdr:colOff>371475</xdr:colOff>
      <xdr:row>0</xdr:row>
      <xdr:rowOff>0</xdr:rowOff>
    </xdr:to>
    <xdr:pic>
      <xdr:nvPicPr>
        <xdr:cNvPr id="18768" name="Picture 2" descr="logo SOBECA">
          <a:extLst>
            <a:ext uri="{FF2B5EF4-FFF2-40B4-BE49-F238E27FC236}">
              <a16:creationId xmlns:a16="http://schemas.microsoft.com/office/drawing/2014/main" id="{00000000-0008-0000-1000-0000504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4265" b="28358"/>
        <a:stretch>
          <a:fillRect/>
        </a:stretch>
      </xdr:blipFill>
      <xdr:spPr bwMode="auto">
        <a:xfrm>
          <a:off x="28575" y="0"/>
          <a:ext cx="44577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63954</xdr:colOff>
      <xdr:row>0</xdr:row>
      <xdr:rowOff>59871</xdr:rowOff>
    </xdr:from>
    <xdr:to>
      <xdr:col>0</xdr:col>
      <xdr:colOff>1017326</xdr:colOff>
      <xdr:row>1</xdr:row>
      <xdr:rowOff>315685</xdr:rowOff>
    </xdr:to>
    <xdr:pic>
      <xdr:nvPicPr>
        <xdr:cNvPr id="5" name="Imag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3954" y="59871"/>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16</xdr:col>
      <xdr:colOff>0</xdr:colOff>
      <xdr:row>8</xdr:row>
      <xdr:rowOff>276225</xdr:rowOff>
    </xdr:from>
    <xdr:to>
      <xdr:col>16</xdr:col>
      <xdr:colOff>0</xdr:colOff>
      <xdr:row>8</xdr:row>
      <xdr:rowOff>447675</xdr:rowOff>
    </xdr:to>
    <xdr:sp macro="" textlink="">
      <xdr:nvSpPr>
        <xdr:cNvPr id="2" name="Texte 9">
          <a:extLst>
            <a:ext uri="{FF2B5EF4-FFF2-40B4-BE49-F238E27FC236}">
              <a16:creationId xmlns:a16="http://schemas.microsoft.com/office/drawing/2014/main" id="{00000000-0008-0000-1100-000002000000}"/>
            </a:ext>
          </a:extLst>
        </xdr:cNvPr>
        <xdr:cNvSpPr txBox="1">
          <a:spLocks noChangeArrowheads="1"/>
        </xdr:cNvSpPr>
      </xdr:nvSpPr>
      <xdr:spPr bwMode="auto">
        <a:xfrm>
          <a:off x="12296775" y="3381375"/>
          <a:ext cx="0" cy="1714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1" i="0" u="none" strike="noStrike" baseline="0">
              <a:solidFill>
                <a:srgbClr val="000000"/>
              </a:solidFill>
              <a:latin typeface="Arial"/>
              <a:cs typeface="Arial"/>
            </a:rPr>
            <a:t>Participants Niveau 1 QRQC :</a:t>
          </a:r>
        </a:p>
        <a:p>
          <a:pPr algn="l" rtl="0">
            <a:defRPr sz="1000"/>
          </a:pPr>
          <a:endParaRPr lang="fr-FR" sz="800" b="1" i="0" u="none" strike="noStrike" baseline="0">
            <a:solidFill>
              <a:srgbClr val="000000"/>
            </a:solidFill>
            <a:latin typeface="Arial"/>
            <a:cs typeface="Arial"/>
          </a:endParaRPr>
        </a:p>
        <a:p>
          <a:pPr algn="l" rtl="0">
            <a:defRPr sz="1000"/>
          </a:pPr>
          <a:endParaRPr lang="fr-FR" sz="800" b="1" i="0" u="none" strike="noStrike" baseline="0">
            <a:solidFill>
              <a:srgbClr val="000000"/>
            </a:solidFill>
            <a:latin typeface="Arial"/>
            <a:cs typeface="Arial"/>
          </a:endParaRPr>
        </a:p>
      </xdr:txBody>
    </xdr:sp>
    <xdr:clientData/>
  </xdr:twoCellAnchor>
  <xdr:twoCellAnchor>
    <xdr:from>
      <xdr:col>9</xdr:col>
      <xdr:colOff>0</xdr:colOff>
      <xdr:row>8</xdr:row>
      <xdr:rowOff>276225</xdr:rowOff>
    </xdr:from>
    <xdr:to>
      <xdr:col>9</xdr:col>
      <xdr:colOff>0</xdr:colOff>
      <xdr:row>8</xdr:row>
      <xdr:rowOff>447675</xdr:rowOff>
    </xdr:to>
    <xdr:sp macro="" textlink="">
      <xdr:nvSpPr>
        <xdr:cNvPr id="3" name="Texte 9">
          <a:extLst>
            <a:ext uri="{FF2B5EF4-FFF2-40B4-BE49-F238E27FC236}">
              <a16:creationId xmlns:a16="http://schemas.microsoft.com/office/drawing/2014/main" id="{00000000-0008-0000-1100-000003000000}"/>
            </a:ext>
          </a:extLst>
        </xdr:cNvPr>
        <xdr:cNvSpPr txBox="1">
          <a:spLocks noChangeArrowheads="1"/>
        </xdr:cNvSpPr>
      </xdr:nvSpPr>
      <xdr:spPr bwMode="auto">
        <a:xfrm>
          <a:off x="6962775" y="3381375"/>
          <a:ext cx="0" cy="1714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fr-FR" sz="800" b="1" i="0" u="none" strike="noStrike" baseline="0">
              <a:solidFill>
                <a:srgbClr val="000000"/>
              </a:solidFill>
              <a:latin typeface="Arial"/>
              <a:cs typeface="Arial"/>
            </a:rPr>
            <a:t>Participants Niveau 1 QRQC :</a:t>
          </a:r>
        </a:p>
        <a:p>
          <a:pPr algn="l" rtl="0">
            <a:defRPr sz="1000"/>
          </a:pPr>
          <a:endParaRPr lang="fr-FR" sz="800" b="1" i="0" u="none" strike="noStrike" baseline="0">
            <a:solidFill>
              <a:srgbClr val="000000"/>
            </a:solidFill>
            <a:latin typeface="Arial"/>
            <a:cs typeface="Arial"/>
          </a:endParaRPr>
        </a:p>
        <a:p>
          <a:pPr algn="l" rtl="0">
            <a:defRPr sz="1000"/>
          </a:pPr>
          <a:endParaRPr lang="fr-FR" sz="800" b="1" i="0" u="none" strike="noStrike" baseline="0">
            <a:solidFill>
              <a:srgbClr val="000000"/>
            </a:solidFill>
            <a:latin typeface="Arial"/>
            <a:cs typeface="Arial"/>
          </a:endParaRPr>
        </a:p>
      </xdr:txBody>
    </xdr:sp>
    <xdr:clientData/>
  </xdr:twoCellAnchor>
  <xdr:twoCellAnchor>
    <xdr:from>
      <xdr:col>6</xdr:col>
      <xdr:colOff>1019175</xdr:colOff>
      <xdr:row>0</xdr:row>
      <xdr:rowOff>28575</xdr:rowOff>
    </xdr:from>
    <xdr:to>
      <xdr:col>7</xdr:col>
      <xdr:colOff>1038225</xdr:colOff>
      <xdr:row>0</xdr:row>
      <xdr:rowOff>523875</xdr:rowOff>
    </xdr:to>
    <xdr:sp macro="" textlink="">
      <xdr:nvSpPr>
        <xdr:cNvPr id="83297" name="Oval 23">
          <a:extLst>
            <a:ext uri="{FF2B5EF4-FFF2-40B4-BE49-F238E27FC236}">
              <a16:creationId xmlns:a16="http://schemas.microsoft.com/office/drawing/2014/main" id="{00000000-0008-0000-1100-000061450100}"/>
            </a:ext>
          </a:extLst>
        </xdr:cNvPr>
        <xdr:cNvSpPr>
          <a:spLocks noChangeArrowheads="1"/>
        </xdr:cNvSpPr>
      </xdr:nvSpPr>
      <xdr:spPr bwMode="auto">
        <a:xfrm>
          <a:off x="5772150" y="28575"/>
          <a:ext cx="1066800" cy="495300"/>
        </a:xfrm>
        <a:prstGeom prst="ellipse">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6</xdr:col>
      <xdr:colOff>1038225</xdr:colOff>
      <xdr:row>0</xdr:row>
      <xdr:rowOff>0</xdr:rowOff>
    </xdr:from>
    <xdr:to>
      <xdr:col>7</xdr:col>
      <xdr:colOff>1019175</xdr:colOff>
      <xdr:row>0</xdr:row>
      <xdr:rowOff>609600</xdr:rowOff>
    </xdr:to>
    <xdr:sp macro="" textlink="">
      <xdr:nvSpPr>
        <xdr:cNvPr id="5" name="Text Box 24">
          <a:extLst>
            <a:ext uri="{FF2B5EF4-FFF2-40B4-BE49-F238E27FC236}">
              <a16:creationId xmlns:a16="http://schemas.microsoft.com/office/drawing/2014/main" id="{00000000-0008-0000-1100-000005000000}"/>
            </a:ext>
          </a:extLst>
        </xdr:cNvPr>
        <xdr:cNvSpPr txBox="1">
          <a:spLocks noChangeArrowheads="1"/>
        </xdr:cNvSpPr>
      </xdr:nvSpPr>
      <xdr:spPr bwMode="auto">
        <a:xfrm>
          <a:off x="5791200" y="0"/>
          <a:ext cx="1028700" cy="609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lnSpc>
              <a:spcPts val="1100"/>
            </a:lnSpc>
            <a:defRPr sz="1000"/>
          </a:pPr>
          <a:r>
            <a:rPr lang="fr-FR" sz="1000" b="0" i="0" u="none" strike="noStrike" baseline="0">
              <a:solidFill>
                <a:srgbClr val="000000"/>
              </a:solidFill>
              <a:latin typeface="Arial"/>
              <a:cs typeface="Arial"/>
            </a:rPr>
            <a:t>DAZSQ002 A</a:t>
          </a:r>
        </a:p>
        <a:p>
          <a:pPr algn="ctr" rtl="0">
            <a:lnSpc>
              <a:spcPts val="1000"/>
            </a:lnSpc>
            <a:defRPr sz="1000"/>
          </a:pPr>
          <a:r>
            <a:rPr lang="fr-FR" sz="1000" b="0" i="0" u="none" strike="noStrike" baseline="0">
              <a:solidFill>
                <a:sysClr val="windowText" lastClr="000000"/>
              </a:solidFill>
              <a:latin typeface="Arial"/>
              <a:cs typeface="Arial"/>
            </a:rPr>
            <a:t>Indice b</a:t>
          </a:r>
        </a:p>
      </xdr:txBody>
    </xdr:sp>
    <xdr:clientData/>
  </xdr:twoCellAnchor>
  <xdr:twoCellAnchor editAs="oneCell">
    <xdr:from>
      <xdr:col>0</xdr:col>
      <xdr:colOff>180974</xdr:colOff>
      <xdr:row>0</xdr:row>
      <xdr:rowOff>66675</xdr:rowOff>
    </xdr:from>
    <xdr:to>
      <xdr:col>1</xdr:col>
      <xdr:colOff>953371</xdr:colOff>
      <xdr:row>0</xdr:row>
      <xdr:rowOff>485775</xdr:rowOff>
    </xdr:to>
    <xdr:pic>
      <xdr:nvPicPr>
        <xdr:cNvPr id="7" name="Image 6">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0974" y="6667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145678</xdr:colOff>
      <xdr:row>0</xdr:row>
      <xdr:rowOff>99561</xdr:rowOff>
    </xdr:from>
    <xdr:to>
      <xdr:col>0</xdr:col>
      <xdr:colOff>1099050</xdr:colOff>
      <xdr:row>1</xdr:row>
      <xdr:rowOff>227308</xdr:rowOff>
    </xdr:to>
    <xdr:pic>
      <xdr:nvPicPr>
        <xdr:cNvPr id="6" name="Image 5">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5678" y="99561"/>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1</xdr:col>
      <xdr:colOff>119405</xdr:colOff>
      <xdr:row>2</xdr:row>
      <xdr:rowOff>10583</xdr:rowOff>
    </xdr:to>
    <xdr:pic>
      <xdr:nvPicPr>
        <xdr:cNvPr id="3" name="Image 2">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5715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152400</xdr:colOff>
      <xdr:row>0</xdr:row>
      <xdr:rowOff>85725</xdr:rowOff>
    </xdr:from>
    <xdr:to>
      <xdr:col>1</xdr:col>
      <xdr:colOff>153272</xdr:colOff>
      <xdr:row>1</xdr:row>
      <xdr:rowOff>314325</xdr:rowOff>
    </xdr:to>
    <xdr:pic>
      <xdr:nvPicPr>
        <xdr:cNvPr id="3" name="Image 2">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857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8</xdr:col>
      <xdr:colOff>28575</xdr:colOff>
      <xdr:row>21</xdr:row>
      <xdr:rowOff>76200</xdr:rowOff>
    </xdr:from>
    <xdr:to>
      <xdr:col>9</xdr:col>
      <xdr:colOff>57150</xdr:colOff>
      <xdr:row>22</xdr:row>
      <xdr:rowOff>152400</xdr:rowOff>
    </xdr:to>
    <xdr:sp macro="" textlink="">
      <xdr:nvSpPr>
        <xdr:cNvPr id="77983" name="AutoShape 1">
          <a:extLst>
            <a:ext uri="{FF2B5EF4-FFF2-40B4-BE49-F238E27FC236}">
              <a16:creationId xmlns:a16="http://schemas.microsoft.com/office/drawing/2014/main" id="{00000000-0008-0000-1500-00009F300100}"/>
            </a:ext>
          </a:extLst>
        </xdr:cNvPr>
        <xdr:cNvSpPr>
          <a:spLocks noChangeArrowheads="1"/>
        </xdr:cNvSpPr>
      </xdr:nvSpPr>
      <xdr:spPr bwMode="auto">
        <a:xfrm>
          <a:off x="1828800" y="3400425"/>
          <a:ext cx="247650" cy="161925"/>
        </a:xfrm>
        <a:prstGeom prst="triangle">
          <a:avLst>
            <a:gd name="adj" fmla="val 50000"/>
          </a:avLst>
        </a:prstGeom>
        <a:noFill/>
        <a:ln w="9525" algn="ctr">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52918</xdr:colOff>
      <xdr:row>0</xdr:row>
      <xdr:rowOff>63499</xdr:rowOff>
    </xdr:from>
    <xdr:to>
      <xdr:col>3</xdr:col>
      <xdr:colOff>635873</xdr:colOff>
      <xdr:row>0</xdr:row>
      <xdr:rowOff>482599</xdr:rowOff>
    </xdr:to>
    <xdr:pic>
      <xdr:nvPicPr>
        <xdr:cNvPr id="4" name="Image 3">
          <a:extLst>
            <a:ext uri="{FF2B5EF4-FFF2-40B4-BE49-F238E27FC236}">
              <a16:creationId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918" y="63499"/>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95250</xdr:colOff>
      <xdr:row>0</xdr:row>
      <xdr:rowOff>76200</xdr:rowOff>
    </xdr:from>
    <xdr:to>
      <xdr:col>1</xdr:col>
      <xdr:colOff>600947</xdr:colOff>
      <xdr:row>3</xdr:row>
      <xdr:rowOff>9525</xdr:rowOff>
    </xdr:to>
    <xdr:pic>
      <xdr:nvPicPr>
        <xdr:cNvPr id="3" name="Image 2">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620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495300</xdr:colOff>
          <xdr:row>11</xdr:row>
          <xdr:rowOff>0</xdr:rowOff>
        </xdr:from>
        <xdr:to>
          <xdr:col>7</xdr:col>
          <xdr:colOff>19050</xdr:colOff>
          <xdr:row>12</xdr:row>
          <xdr:rowOff>19050</xdr:rowOff>
        </xdr:to>
        <xdr:sp macro="" textlink="">
          <xdr:nvSpPr>
            <xdr:cNvPr id="83969" name="Check Box 1" hidden="1">
              <a:extLst>
                <a:ext uri="{63B3BB69-23CF-44E3-9099-C40C66FF867C}">
                  <a14:compatExt spid="_x0000_s83969"/>
                </a:ext>
                <a:ext uri="{FF2B5EF4-FFF2-40B4-BE49-F238E27FC236}">
                  <a16:creationId xmlns:a16="http://schemas.microsoft.com/office/drawing/2014/main" id="{00000000-0008-0000-17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11</xdr:row>
          <xdr:rowOff>9525</xdr:rowOff>
        </xdr:from>
        <xdr:to>
          <xdr:col>2</xdr:col>
          <xdr:colOff>266700</xdr:colOff>
          <xdr:row>12</xdr:row>
          <xdr:rowOff>28575</xdr:rowOff>
        </xdr:to>
        <xdr:sp macro="" textlink="">
          <xdr:nvSpPr>
            <xdr:cNvPr id="83970" name="Check Box 2" hidden="1">
              <a:extLst>
                <a:ext uri="{63B3BB69-23CF-44E3-9099-C40C66FF867C}">
                  <a14:compatExt spid="_x0000_s83970"/>
                </a:ext>
                <a:ext uri="{FF2B5EF4-FFF2-40B4-BE49-F238E27FC236}">
                  <a16:creationId xmlns:a16="http://schemas.microsoft.com/office/drawing/2014/main" id="{00000000-0008-0000-17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20</xdr:row>
          <xdr:rowOff>19050</xdr:rowOff>
        </xdr:from>
        <xdr:to>
          <xdr:col>7</xdr:col>
          <xdr:colOff>9525</xdr:colOff>
          <xdr:row>21</xdr:row>
          <xdr:rowOff>9525</xdr:rowOff>
        </xdr:to>
        <xdr:sp macro="" textlink="">
          <xdr:nvSpPr>
            <xdr:cNvPr id="83971" name="Check Box 3" hidden="1">
              <a:extLst>
                <a:ext uri="{63B3BB69-23CF-44E3-9099-C40C66FF867C}">
                  <a14:compatExt spid="_x0000_s83971"/>
                </a:ext>
                <a:ext uri="{FF2B5EF4-FFF2-40B4-BE49-F238E27FC236}">
                  <a16:creationId xmlns:a16="http://schemas.microsoft.com/office/drawing/2014/main" id="{00000000-0008-0000-17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12</xdr:row>
          <xdr:rowOff>19050</xdr:rowOff>
        </xdr:from>
        <xdr:to>
          <xdr:col>7</xdr:col>
          <xdr:colOff>9525</xdr:colOff>
          <xdr:row>13</xdr:row>
          <xdr:rowOff>0</xdr:rowOff>
        </xdr:to>
        <xdr:sp macro="" textlink="">
          <xdr:nvSpPr>
            <xdr:cNvPr id="83973" name="Check Box 5" hidden="1">
              <a:extLst>
                <a:ext uri="{63B3BB69-23CF-44E3-9099-C40C66FF867C}">
                  <a14:compatExt spid="_x0000_s83973"/>
                </a:ext>
                <a:ext uri="{FF2B5EF4-FFF2-40B4-BE49-F238E27FC236}">
                  <a16:creationId xmlns:a16="http://schemas.microsoft.com/office/drawing/2014/main" id="{00000000-0008-0000-1700-00000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12</xdr:row>
          <xdr:rowOff>28575</xdr:rowOff>
        </xdr:from>
        <xdr:to>
          <xdr:col>2</xdr:col>
          <xdr:colOff>266700</xdr:colOff>
          <xdr:row>12</xdr:row>
          <xdr:rowOff>190500</xdr:rowOff>
        </xdr:to>
        <xdr:sp macro="" textlink="">
          <xdr:nvSpPr>
            <xdr:cNvPr id="83974" name="Check Box 6" hidden="1">
              <a:extLst>
                <a:ext uri="{63B3BB69-23CF-44E3-9099-C40C66FF867C}">
                  <a14:compatExt spid="_x0000_s83974"/>
                </a:ext>
                <a:ext uri="{FF2B5EF4-FFF2-40B4-BE49-F238E27FC236}">
                  <a16:creationId xmlns:a16="http://schemas.microsoft.com/office/drawing/2014/main" id="{00000000-0008-0000-1700-00000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342900</xdr:colOff>
          <xdr:row>12</xdr:row>
          <xdr:rowOff>19050</xdr:rowOff>
        </xdr:from>
        <xdr:to>
          <xdr:col>11</xdr:col>
          <xdr:colOff>628650</xdr:colOff>
          <xdr:row>13</xdr:row>
          <xdr:rowOff>47625</xdr:rowOff>
        </xdr:to>
        <xdr:sp macro="" textlink="">
          <xdr:nvSpPr>
            <xdr:cNvPr id="83975" name="Check Box 7" hidden="1">
              <a:extLst>
                <a:ext uri="{63B3BB69-23CF-44E3-9099-C40C66FF867C}">
                  <a14:compatExt spid="_x0000_s83975"/>
                </a:ext>
                <a:ext uri="{FF2B5EF4-FFF2-40B4-BE49-F238E27FC236}">
                  <a16:creationId xmlns:a16="http://schemas.microsoft.com/office/drawing/2014/main" id="{00000000-0008-0000-1700-00000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342900</xdr:colOff>
          <xdr:row>10</xdr:row>
          <xdr:rowOff>0</xdr:rowOff>
        </xdr:from>
        <xdr:to>
          <xdr:col>11</xdr:col>
          <xdr:colOff>628650</xdr:colOff>
          <xdr:row>11</xdr:row>
          <xdr:rowOff>57150</xdr:rowOff>
        </xdr:to>
        <xdr:sp macro="" textlink="">
          <xdr:nvSpPr>
            <xdr:cNvPr id="83976" name="Check Box 8" hidden="1">
              <a:extLst>
                <a:ext uri="{63B3BB69-23CF-44E3-9099-C40C66FF867C}">
                  <a14:compatExt spid="_x0000_s83976"/>
                </a:ext>
                <a:ext uri="{FF2B5EF4-FFF2-40B4-BE49-F238E27FC236}">
                  <a16:creationId xmlns:a16="http://schemas.microsoft.com/office/drawing/2014/main" id="{00000000-0008-0000-1700-00000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342900</xdr:colOff>
          <xdr:row>11</xdr:row>
          <xdr:rowOff>47625</xdr:rowOff>
        </xdr:from>
        <xdr:to>
          <xdr:col>11</xdr:col>
          <xdr:colOff>628650</xdr:colOff>
          <xdr:row>12</xdr:row>
          <xdr:rowOff>9525</xdr:rowOff>
        </xdr:to>
        <xdr:sp macro="" textlink="">
          <xdr:nvSpPr>
            <xdr:cNvPr id="83977" name="Check Box 9" hidden="1">
              <a:extLst>
                <a:ext uri="{63B3BB69-23CF-44E3-9099-C40C66FF867C}">
                  <a14:compatExt spid="_x0000_s83977"/>
                </a:ext>
                <a:ext uri="{FF2B5EF4-FFF2-40B4-BE49-F238E27FC236}">
                  <a16:creationId xmlns:a16="http://schemas.microsoft.com/office/drawing/2014/main" id="{00000000-0008-0000-17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161925</xdr:colOff>
      <xdr:row>2</xdr:row>
      <xdr:rowOff>219075</xdr:rowOff>
    </xdr:from>
    <xdr:to>
      <xdr:col>7</xdr:col>
      <xdr:colOff>438150</xdr:colOff>
      <xdr:row>4</xdr:row>
      <xdr:rowOff>9525</xdr:rowOff>
    </xdr:to>
    <xdr:sp macro="" textlink="">
      <xdr:nvSpPr>
        <xdr:cNvPr id="11" name="Texte 7">
          <a:extLst>
            <a:ext uri="{FF2B5EF4-FFF2-40B4-BE49-F238E27FC236}">
              <a16:creationId xmlns:a16="http://schemas.microsoft.com/office/drawing/2014/main" id="{00000000-0008-0000-1700-00000B000000}"/>
            </a:ext>
          </a:extLst>
        </xdr:cNvPr>
        <xdr:cNvSpPr>
          <a:spLocks noChangeArrowheads="1"/>
        </xdr:cNvSpPr>
      </xdr:nvSpPr>
      <xdr:spPr bwMode="auto">
        <a:xfrm>
          <a:off x="1114425" y="609600"/>
          <a:ext cx="2276475" cy="371475"/>
        </a:xfrm>
        <a:prstGeom prst="roundRect">
          <a:avLst>
            <a:gd name="adj" fmla="val 16667"/>
          </a:avLst>
        </a:prstGeom>
        <a:noFill/>
        <a:ln w="1714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18288" rIns="27432" bIns="18288" anchor="ctr" upright="1"/>
        <a:lstStyle/>
        <a:p>
          <a:pPr algn="ctr" rtl="0">
            <a:defRPr sz="1000"/>
          </a:pPr>
          <a:endParaRPr lang="fr-FR" sz="1000" b="0" i="0" u="none" strike="noStrike" baseline="0">
            <a:solidFill>
              <a:srgbClr val="000000"/>
            </a:solidFill>
            <a:latin typeface="Arial"/>
            <a:cs typeface="Arial"/>
          </a:endParaRPr>
        </a:p>
        <a:p>
          <a:pPr algn="ctr" rtl="0">
            <a:defRPr sz="1000"/>
          </a:pPr>
          <a:endParaRPr lang="fr-FR" sz="1000" b="0" i="0" u="none" strike="noStrike" baseline="0">
            <a:solidFill>
              <a:srgbClr val="000000"/>
            </a:solidFill>
            <a:latin typeface="Arial"/>
            <a:cs typeface="Arial"/>
          </a:endParaRPr>
        </a:p>
        <a:p>
          <a:pPr algn="ctr" rtl="0">
            <a:defRPr sz="1000"/>
          </a:pPr>
          <a:endParaRPr lang="fr-FR" sz="1000" b="0" i="0" u="none" strike="noStrike" baseline="0">
            <a:solidFill>
              <a:srgbClr val="000000"/>
            </a:solidFill>
            <a:latin typeface="Arial"/>
            <a:cs typeface="Arial"/>
          </a:endParaRPr>
        </a:p>
        <a:p>
          <a:pPr algn="ctr" rtl="0">
            <a:defRPr sz="1000"/>
          </a:pPr>
          <a:endParaRPr lang="fr-FR" sz="1000" b="0" i="0" u="none" strike="noStrike" baseline="0">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11</xdr:col>
          <xdr:colOff>342900</xdr:colOff>
          <xdr:row>13</xdr:row>
          <xdr:rowOff>9525</xdr:rowOff>
        </xdr:from>
        <xdr:to>
          <xdr:col>11</xdr:col>
          <xdr:colOff>628650</xdr:colOff>
          <xdr:row>14</xdr:row>
          <xdr:rowOff>28575</xdr:rowOff>
        </xdr:to>
        <xdr:sp macro="" textlink="">
          <xdr:nvSpPr>
            <xdr:cNvPr id="83978" name="Check Box 10" hidden="1">
              <a:extLst>
                <a:ext uri="{63B3BB69-23CF-44E3-9099-C40C66FF867C}">
                  <a14:compatExt spid="_x0000_s83978"/>
                </a:ext>
                <a:ext uri="{FF2B5EF4-FFF2-40B4-BE49-F238E27FC236}">
                  <a16:creationId xmlns:a16="http://schemas.microsoft.com/office/drawing/2014/main" id="{00000000-0008-0000-1700-00000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17</xdr:row>
          <xdr:rowOff>19050</xdr:rowOff>
        </xdr:from>
        <xdr:to>
          <xdr:col>2</xdr:col>
          <xdr:colOff>295275</xdr:colOff>
          <xdr:row>18</xdr:row>
          <xdr:rowOff>38100</xdr:rowOff>
        </xdr:to>
        <xdr:sp macro="" textlink="">
          <xdr:nvSpPr>
            <xdr:cNvPr id="83979" name="Check Box 11" hidden="1">
              <a:extLst>
                <a:ext uri="{63B3BB69-23CF-44E3-9099-C40C66FF867C}">
                  <a14:compatExt spid="_x0000_s83979"/>
                </a:ext>
                <a:ext uri="{FF2B5EF4-FFF2-40B4-BE49-F238E27FC236}">
                  <a16:creationId xmlns:a16="http://schemas.microsoft.com/office/drawing/2014/main" id="{00000000-0008-0000-1700-00000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17</xdr:row>
          <xdr:rowOff>190500</xdr:rowOff>
        </xdr:from>
        <xdr:to>
          <xdr:col>2</xdr:col>
          <xdr:colOff>295275</xdr:colOff>
          <xdr:row>18</xdr:row>
          <xdr:rowOff>152400</xdr:rowOff>
        </xdr:to>
        <xdr:sp macro="" textlink="">
          <xdr:nvSpPr>
            <xdr:cNvPr id="83980" name="Check Box 12" hidden="1">
              <a:extLst>
                <a:ext uri="{63B3BB69-23CF-44E3-9099-C40C66FF867C}">
                  <a14:compatExt spid="_x0000_s83980"/>
                </a:ext>
                <a:ext uri="{FF2B5EF4-FFF2-40B4-BE49-F238E27FC236}">
                  <a16:creationId xmlns:a16="http://schemas.microsoft.com/office/drawing/2014/main" id="{00000000-0008-0000-1700-00000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20</xdr:row>
          <xdr:rowOff>9525</xdr:rowOff>
        </xdr:from>
        <xdr:to>
          <xdr:col>12</xdr:col>
          <xdr:colOff>9525</xdr:colOff>
          <xdr:row>21</xdr:row>
          <xdr:rowOff>19050</xdr:rowOff>
        </xdr:to>
        <xdr:sp macro="" textlink="">
          <xdr:nvSpPr>
            <xdr:cNvPr id="83981" name="Check Box 13" hidden="1">
              <a:extLst>
                <a:ext uri="{63B3BB69-23CF-44E3-9099-C40C66FF867C}">
                  <a14:compatExt spid="_x0000_s83981"/>
                </a:ext>
                <a:ext uri="{FF2B5EF4-FFF2-40B4-BE49-F238E27FC236}">
                  <a16:creationId xmlns:a16="http://schemas.microsoft.com/office/drawing/2014/main" id="{00000000-0008-0000-1700-00000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457200</xdr:colOff>
          <xdr:row>20</xdr:row>
          <xdr:rowOff>38100</xdr:rowOff>
        </xdr:from>
        <xdr:to>
          <xdr:col>13</xdr:col>
          <xdr:colOff>9525</xdr:colOff>
          <xdr:row>21</xdr:row>
          <xdr:rowOff>0</xdr:rowOff>
        </xdr:to>
        <xdr:sp macro="" textlink="">
          <xdr:nvSpPr>
            <xdr:cNvPr id="83982" name="Check Box 14" hidden="1">
              <a:extLst>
                <a:ext uri="{63B3BB69-23CF-44E3-9099-C40C66FF867C}">
                  <a14:compatExt spid="_x0000_s83982"/>
                </a:ext>
                <a:ext uri="{FF2B5EF4-FFF2-40B4-BE49-F238E27FC236}">
                  <a16:creationId xmlns:a16="http://schemas.microsoft.com/office/drawing/2014/main" id="{00000000-0008-0000-1700-00000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17</xdr:row>
          <xdr:rowOff>0</xdr:rowOff>
        </xdr:from>
        <xdr:to>
          <xdr:col>8</xdr:col>
          <xdr:colOff>400050</xdr:colOff>
          <xdr:row>18</xdr:row>
          <xdr:rowOff>38100</xdr:rowOff>
        </xdr:to>
        <xdr:sp macro="" textlink="">
          <xdr:nvSpPr>
            <xdr:cNvPr id="83983" name="Check Box 15" hidden="1">
              <a:extLst>
                <a:ext uri="{63B3BB69-23CF-44E3-9099-C40C66FF867C}">
                  <a14:compatExt spid="_x0000_s83983"/>
                </a:ext>
                <a:ext uri="{FF2B5EF4-FFF2-40B4-BE49-F238E27FC236}">
                  <a16:creationId xmlns:a16="http://schemas.microsoft.com/office/drawing/2014/main" id="{00000000-0008-0000-1700-00000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18</xdr:row>
          <xdr:rowOff>0</xdr:rowOff>
        </xdr:from>
        <xdr:to>
          <xdr:col>8</xdr:col>
          <xdr:colOff>400050</xdr:colOff>
          <xdr:row>19</xdr:row>
          <xdr:rowOff>38100</xdr:rowOff>
        </xdr:to>
        <xdr:sp macro="" textlink="">
          <xdr:nvSpPr>
            <xdr:cNvPr id="83985" name="Check Box 17" hidden="1">
              <a:extLst>
                <a:ext uri="{63B3BB69-23CF-44E3-9099-C40C66FF867C}">
                  <a14:compatExt spid="_x0000_s83985"/>
                </a:ext>
                <a:ext uri="{FF2B5EF4-FFF2-40B4-BE49-F238E27FC236}">
                  <a16:creationId xmlns:a16="http://schemas.microsoft.com/office/drawing/2014/main" id="{00000000-0008-0000-1700-00001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9525</xdr:rowOff>
        </xdr:from>
        <xdr:to>
          <xdr:col>2</xdr:col>
          <xdr:colOff>76200</xdr:colOff>
          <xdr:row>25</xdr:row>
          <xdr:rowOff>9525</xdr:rowOff>
        </xdr:to>
        <xdr:sp macro="" textlink="">
          <xdr:nvSpPr>
            <xdr:cNvPr id="83986" name="Check Box 18" hidden="1">
              <a:extLst>
                <a:ext uri="{63B3BB69-23CF-44E3-9099-C40C66FF867C}">
                  <a14:compatExt spid="_x0000_s83986"/>
                </a:ext>
                <a:ext uri="{FF2B5EF4-FFF2-40B4-BE49-F238E27FC236}">
                  <a16:creationId xmlns:a16="http://schemas.microsoft.com/office/drawing/2014/main" id="{00000000-0008-0000-1700-00001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24</xdr:row>
          <xdr:rowOff>9525</xdr:rowOff>
        </xdr:from>
        <xdr:to>
          <xdr:col>5</xdr:col>
          <xdr:colOff>495300</xdr:colOff>
          <xdr:row>25</xdr:row>
          <xdr:rowOff>38100</xdr:rowOff>
        </xdr:to>
        <xdr:sp macro="" textlink="">
          <xdr:nvSpPr>
            <xdr:cNvPr id="83987" name="Check Box 19" hidden="1">
              <a:extLst>
                <a:ext uri="{63B3BB69-23CF-44E3-9099-C40C66FF867C}">
                  <a14:compatExt spid="_x0000_s83987"/>
                </a:ext>
                <a:ext uri="{FF2B5EF4-FFF2-40B4-BE49-F238E27FC236}">
                  <a16:creationId xmlns:a16="http://schemas.microsoft.com/office/drawing/2014/main" id="{00000000-0008-0000-1700-00001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38100</xdr:rowOff>
        </xdr:from>
        <xdr:to>
          <xdr:col>2</xdr:col>
          <xdr:colOff>76200</xdr:colOff>
          <xdr:row>25</xdr:row>
          <xdr:rowOff>180975</xdr:rowOff>
        </xdr:to>
        <xdr:sp macro="" textlink="">
          <xdr:nvSpPr>
            <xdr:cNvPr id="83988" name="Check Box 20" hidden="1">
              <a:extLst>
                <a:ext uri="{63B3BB69-23CF-44E3-9099-C40C66FF867C}">
                  <a14:compatExt spid="_x0000_s83988"/>
                </a:ext>
                <a:ext uri="{FF2B5EF4-FFF2-40B4-BE49-F238E27FC236}">
                  <a16:creationId xmlns:a16="http://schemas.microsoft.com/office/drawing/2014/main" id="{00000000-0008-0000-1700-00001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133350</xdr:colOff>
          <xdr:row>24</xdr:row>
          <xdr:rowOff>0</xdr:rowOff>
        </xdr:from>
        <xdr:to>
          <xdr:col>10</xdr:col>
          <xdr:colOff>28575</xdr:colOff>
          <xdr:row>25</xdr:row>
          <xdr:rowOff>28575</xdr:rowOff>
        </xdr:to>
        <xdr:sp macro="" textlink="">
          <xdr:nvSpPr>
            <xdr:cNvPr id="83989" name="Check Box 21" hidden="1">
              <a:extLst>
                <a:ext uri="{63B3BB69-23CF-44E3-9099-C40C66FF867C}">
                  <a14:compatExt spid="_x0000_s83989"/>
                </a:ext>
                <a:ext uri="{FF2B5EF4-FFF2-40B4-BE49-F238E27FC236}">
                  <a16:creationId xmlns:a16="http://schemas.microsoft.com/office/drawing/2014/main" id="{00000000-0008-0000-1700-00001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133350</xdr:colOff>
          <xdr:row>25</xdr:row>
          <xdr:rowOff>47625</xdr:rowOff>
        </xdr:from>
        <xdr:to>
          <xdr:col>10</xdr:col>
          <xdr:colOff>28575</xdr:colOff>
          <xdr:row>26</xdr:row>
          <xdr:rowOff>9525</xdr:rowOff>
        </xdr:to>
        <xdr:sp macro="" textlink="">
          <xdr:nvSpPr>
            <xdr:cNvPr id="83990" name="Check Box 22" hidden="1">
              <a:extLst>
                <a:ext uri="{63B3BB69-23CF-44E3-9099-C40C66FF867C}">
                  <a14:compatExt spid="_x0000_s83990"/>
                </a:ext>
                <a:ext uri="{FF2B5EF4-FFF2-40B4-BE49-F238E27FC236}">
                  <a16:creationId xmlns:a16="http://schemas.microsoft.com/office/drawing/2014/main" id="{00000000-0008-0000-1700-00001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20</xdr:row>
          <xdr:rowOff>0</xdr:rowOff>
        </xdr:from>
        <xdr:to>
          <xdr:col>5</xdr:col>
          <xdr:colOff>0</xdr:colOff>
          <xdr:row>21</xdr:row>
          <xdr:rowOff>28575</xdr:rowOff>
        </xdr:to>
        <xdr:sp macro="" textlink="">
          <xdr:nvSpPr>
            <xdr:cNvPr id="83991" name="Check Box 23" hidden="1">
              <a:extLst>
                <a:ext uri="{63B3BB69-23CF-44E3-9099-C40C66FF867C}">
                  <a14:compatExt spid="_x0000_s83991"/>
                </a:ext>
                <a:ext uri="{FF2B5EF4-FFF2-40B4-BE49-F238E27FC236}">
                  <a16:creationId xmlns:a16="http://schemas.microsoft.com/office/drawing/2014/main" id="{00000000-0008-0000-1700-00001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342900</xdr:colOff>
          <xdr:row>14</xdr:row>
          <xdr:rowOff>19050</xdr:rowOff>
        </xdr:from>
        <xdr:to>
          <xdr:col>11</xdr:col>
          <xdr:colOff>628650</xdr:colOff>
          <xdr:row>15</xdr:row>
          <xdr:rowOff>47625</xdr:rowOff>
        </xdr:to>
        <xdr:sp macro="" textlink="">
          <xdr:nvSpPr>
            <xdr:cNvPr id="83992" name="Check Box 24" hidden="1">
              <a:extLst>
                <a:ext uri="{63B3BB69-23CF-44E3-9099-C40C66FF867C}">
                  <a14:compatExt spid="_x0000_s83992"/>
                </a:ext>
                <a:ext uri="{FF2B5EF4-FFF2-40B4-BE49-F238E27FC236}">
                  <a16:creationId xmlns:a16="http://schemas.microsoft.com/office/drawing/2014/main" id="{00000000-0008-0000-1700-00001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161925</xdr:colOff>
      <xdr:row>2</xdr:row>
      <xdr:rowOff>219075</xdr:rowOff>
    </xdr:from>
    <xdr:to>
      <xdr:col>7</xdr:col>
      <xdr:colOff>438150</xdr:colOff>
      <xdr:row>4</xdr:row>
      <xdr:rowOff>9525</xdr:rowOff>
    </xdr:to>
    <xdr:sp macro="" textlink="">
      <xdr:nvSpPr>
        <xdr:cNvPr id="28" name="Texte 7">
          <a:extLst>
            <a:ext uri="{FF2B5EF4-FFF2-40B4-BE49-F238E27FC236}">
              <a16:creationId xmlns:a16="http://schemas.microsoft.com/office/drawing/2014/main" id="{00000000-0008-0000-1700-00001C000000}"/>
            </a:ext>
          </a:extLst>
        </xdr:cNvPr>
        <xdr:cNvSpPr>
          <a:spLocks noChangeArrowheads="1"/>
        </xdr:cNvSpPr>
      </xdr:nvSpPr>
      <xdr:spPr bwMode="auto">
        <a:xfrm>
          <a:off x="1114425" y="609600"/>
          <a:ext cx="2276475" cy="371475"/>
        </a:xfrm>
        <a:prstGeom prst="roundRect">
          <a:avLst>
            <a:gd name="adj" fmla="val 16667"/>
          </a:avLst>
        </a:prstGeom>
        <a:noFill/>
        <a:ln w="17145">
          <a:solidFill>
            <a:srgbClr val="000000"/>
          </a:solidFill>
          <a:round/>
          <a:headEnd/>
          <a:tailEnd/>
        </a:ln>
      </xdr:spPr>
      <xdr:txBody>
        <a:bodyPr vertOverflow="clip" wrap="square" lIns="27432" tIns="22860" rIns="27432" bIns="22860" anchor="ctr" upright="1"/>
        <a:lstStyle/>
        <a:p>
          <a:pPr algn="ctr" rtl="0">
            <a:defRPr sz="1000"/>
          </a:pPr>
          <a:endParaRPr lang="fr-FR" sz="1000" b="0" i="0" strike="noStrike">
            <a:solidFill>
              <a:srgbClr val="000000"/>
            </a:solidFill>
            <a:latin typeface="Arial"/>
            <a:cs typeface="Arial"/>
          </a:endParaRPr>
        </a:p>
        <a:p>
          <a:pPr algn="ctr" rtl="0">
            <a:defRPr sz="1000"/>
          </a:pPr>
          <a:endParaRPr lang="fr-FR" sz="1000" b="0" i="0" strike="noStrike">
            <a:solidFill>
              <a:srgbClr val="000000"/>
            </a:solidFill>
            <a:latin typeface="Arial"/>
            <a:cs typeface="Arial"/>
          </a:endParaRPr>
        </a:p>
        <a:p>
          <a:pPr algn="ctr" rtl="0">
            <a:defRPr sz="1000"/>
          </a:pPr>
          <a:endParaRPr lang="fr-FR" sz="1000" b="0" i="0" strike="noStrike">
            <a:solidFill>
              <a:srgbClr val="000000"/>
            </a:solidFill>
            <a:latin typeface="Arial"/>
            <a:cs typeface="Arial"/>
          </a:endParaRPr>
        </a:p>
        <a:p>
          <a:pPr algn="ctr" rtl="0">
            <a:defRPr sz="1000"/>
          </a:pPr>
          <a:endParaRPr lang="fr-FR" sz="1000" b="0" i="0" strike="noStrike">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5</xdr:col>
          <xdr:colOff>247650</xdr:colOff>
          <xdr:row>25</xdr:row>
          <xdr:rowOff>0</xdr:rowOff>
        </xdr:from>
        <xdr:to>
          <xdr:col>5</xdr:col>
          <xdr:colOff>495300</xdr:colOff>
          <xdr:row>26</xdr:row>
          <xdr:rowOff>28575</xdr:rowOff>
        </xdr:to>
        <xdr:sp macro="" textlink="">
          <xdr:nvSpPr>
            <xdr:cNvPr id="83993" name="Check Box 25" hidden="1">
              <a:extLst>
                <a:ext uri="{63B3BB69-23CF-44E3-9099-C40C66FF867C}">
                  <a14:compatExt spid="_x0000_s83993"/>
                </a:ext>
                <a:ext uri="{FF2B5EF4-FFF2-40B4-BE49-F238E27FC236}">
                  <a16:creationId xmlns:a16="http://schemas.microsoft.com/office/drawing/2014/main" id="{00000000-0008-0000-1700-00001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123825</xdr:colOff>
      <xdr:row>0</xdr:row>
      <xdr:rowOff>76200</xdr:rowOff>
    </xdr:from>
    <xdr:to>
      <xdr:col>3</xdr:col>
      <xdr:colOff>124697</xdr:colOff>
      <xdr:row>2</xdr:row>
      <xdr:rowOff>104775</xdr:rowOff>
    </xdr:to>
    <xdr:pic>
      <xdr:nvPicPr>
        <xdr:cNvPr id="29" name="Image 28">
          <a:extLst>
            <a:ext uri="{FF2B5EF4-FFF2-40B4-BE49-F238E27FC236}">
              <a16:creationId xmlns:a16="http://schemas.microsoft.com/office/drawing/2014/main" id="{00000000-0008-0000-1700-00001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7620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95250</xdr:colOff>
      <xdr:row>0</xdr:row>
      <xdr:rowOff>85725</xdr:rowOff>
    </xdr:from>
    <xdr:to>
      <xdr:col>1</xdr:col>
      <xdr:colOff>600947</xdr:colOff>
      <xdr:row>3</xdr:row>
      <xdr:rowOff>19050</xdr:rowOff>
    </xdr:to>
    <xdr:pic>
      <xdr:nvPicPr>
        <xdr:cNvPr id="3" name="Image 2">
          <a:extLst>
            <a:ext uri="{FF2B5EF4-FFF2-40B4-BE49-F238E27FC236}">
              <a16:creationId xmlns:a16="http://schemas.microsoft.com/office/drawing/2014/main" id="{00000000-0008-0000-18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857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66675</xdr:colOff>
      <xdr:row>0</xdr:row>
      <xdr:rowOff>57150</xdr:rowOff>
    </xdr:from>
    <xdr:to>
      <xdr:col>3</xdr:col>
      <xdr:colOff>655612</xdr:colOff>
      <xdr:row>0</xdr:row>
      <xdr:rowOff>476250</xdr:rowOff>
    </xdr:to>
    <xdr:pic>
      <xdr:nvPicPr>
        <xdr:cNvPr id="3" name="Image 2">
          <a:extLst>
            <a:ext uri="{FF2B5EF4-FFF2-40B4-BE49-F238E27FC236}">
              <a16:creationId xmlns:a16="http://schemas.microsoft.com/office/drawing/2014/main" id="{00000000-0008-0000-1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5715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714375</xdr:colOff>
          <xdr:row>12</xdr:row>
          <xdr:rowOff>57150</xdr:rowOff>
        </xdr:from>
        <xdr:to>
          <xdr:col>3</xdr:col>
          <xdr:colOff>219075</xdr:colOff>
          <xdr:row>12</xdr:row>
          <xdr:rowOff>276225</xdr:rowOff>
        </xdr:to>
        <xdr:sp macro="" textlink="">
          <xdr:nvSpPr>
            <xdr:cNvPr id="369665" name="Check Box 1" hidden="1">
              <a:extLst>
                <a:ext uri="{63B3BB69-23CF-44E3-9099-C40C66FF867C}">
                  <a14:compatExt spid="_x0000_s369665"/>
                </a:ext>
                <a:ext uri="{FF2B5EF4-FFF2-40B4-BE49-F238E27FC236}">
                  <a16:creationId xmlns:a16="http://schemas.microsoft.com/office/drawing/2014/main" id="{00000000-0008-0000-1A00-000001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12</xdr:row>
          <xdr:rowOff>57150</xdr:rowOff>
        </xdr:from>
        <xdr:to>
          <xdr:col>5</xdr:col>
          <xdr:colOff>238125</xdr:colOff>
          <xdr:row>12</xdr:row>
          <xdr:rowOff>276225</xdr:rowOff>
        </xdr:to>
        <xdr:sp macro="" textlink="">
          <xdr:nvSpPr>
            <xdr:cNvPr id="369666" name="Check Box 2" hidden="1">
              <a:extLst>
                <a:ext uri="{63B3BB69-23CF-44E3-9099-C40C66FF867C}">
                  <a14:compatExt spid="_x0000_s369666"/>
                </a:ext>
                <a:ext uri="{FF2B5EF4-FFF2-40B4-BE49-F238E27FC236}">
                  <a16:creationId xmlns:a16="http://schemas.microsoft.com/office/drawing/2014/main" id="{00000000-0008-0000-1A00-000002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84666</xdr:colOff>
      <xdr:row>0</xdr:row>
      <xdr:rowOff>74084</xdr:rowOff>
    </xdr:from>
    <xdr:to>
      <xdr:col>1</xdr:col>
      <xdr:colOff>276038</xdr:colOff>
      <xdr:row>1</xdr:row>
      <xdr:rowOff>145802</xdr:rowOff>
    </xdr:to>
    <xdr:pic>
      <xdr:nvPicPr>
        <xdr:cNvPr id="5" name="Image 4">
          <a:extLst>
            <a:ext uri="{FF2B5EF4-FFF2-40B4-BE49-F238E27FC236}">
              <a16:creationId xmlns:a16="http://schemas.microsoft.com/office/drawing/2014/main" id="{00000000-0008-0000-1A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4666" y="74084"/>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19414</xdr:colOff>
      <xdr:row>0</xdr:row>
      <xdr:rowOff>54613</xdr:rowOff>
    </xdr:from>
    <xdr:to>
      <xdr:col>0</xdr:col>
      <xdr:colOff>912611</xdr:colOff>
      <xdr:row>1</xdr:row>
      <xdr:rowOff>215347</xdr:rowOff>
    </xdr:to>
    <xdr:pic>
      <xdr:nvPicPr>
        <xdr:cNvPr id="3" name="Image 2">
          <a:extLst>
            <a:ext uri="{FF2B5EF4-FFF2-40B4-BE49-F238E27FC236}">
              <a16:creationId xmlns:a16="http://schemas.microsoft.com/office/drawing/2014/main" id="{00000000-0008-0000-1B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414" y="54613"/>
          <a:ext cx="893197" cy="3926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18</xdr:row>
          <xdr:rowOff>504825</xdr:rowOff>
        </xdr:from>
        <xdr:to>
          <xdr:col>0</xdr:col>
          <xdr:colOff>619125</xdr:colOff>
          <xdr:row>19</xdr:row>
          <xdr:rowOff>314325</xdr:rowOff>
        </xdr:to>
        <xdr:sp macro="" textlink="">
          <xdr:nvSpPr>
            <xdr:cNvPr id="1238017" name="Check Box 1" hidden="1">
              <a:extLst>
                <a:ext uri="{63B3BB69-23CF-44E3-9099-C40C66FF867C}">
                  <a14:compatExt spid="_x0000_s1238017"/>
                </a:ext>
                <a:ext uri="{FF2B5EF4-FFF2-40B4-BE49-F238E27FC236}">
                  <a16:creationId xmlns:a16="http://schemas.microsoft.com/office/drawing/2014/main" id="{00000000-0008-0000-1C00-000001E4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314325</xdr:colOff>
          <xdr:row>18</xdr:row>
          <xdr:rowOff>19050</xdr:rowOff>
        </xdr:from>
        <xdr:to>
          <xdr:col>0</xdr:col>
          <xdr:colOff>619125</xdr:colOff>
          <xdr:row>18</xdr:row>
          <xdr:rowOff>304800</xdr:rowOff>
        </xdr:to>
        <xdr:sp macro="" textlink="">
          <xdr:nvSpPr>
            <xdr:cNvPr id="1238018" name="Check Box 2" hidden="1">
              <a:extLst>
                <a:ext uri="{63B3BB69-23CF-44E3-9099-C40C66FF867C}">
                  <a14:compatExt spid="_x0000_s1238018"/>
                </a:ext>
                <a:ext uri="{FF2B5EF4-FFF2-40B4-BE49-F238E27FC236}">
                  <a16:creationId xmlns:a16="http://schemas.microsoft.com/office/drawing/2014/main" id="{00000000-0008-0000-1C00-000002E4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22</xdr:row>
          <xdr:rowOff>76200</xdr:rowOff>
        </xdr:from>
        <xdr:to>
          <xdr:col>2</xdr:col>
          <xdr:colOff>142875</xdr:colOff>
          <xdr:row>22</xdr:row>
          <xdr:rowOff>323850</xdr:rowOff>
        </xdr:to>
        <xdr:sp macro="" textlink="">
          <xdr:nvSpPr>
            <xdr:cNvPr id="1238019" name="Check Box 3" hidden="1">
              <a:extLst>
                <a:ext uri="{63B3BB69-23CF-44E3-9099-C40C66FF867C}">
                  <a14:compatExt spid="_x0000_s1238019"/>
                </a:ext>
                <a:ext uri="{FF2B5EF4-FFF2-40B4-BE49-F238E27FC236}">
                  <a16:creationId xmlns:a16="http://schemas.microsoft.com/office/drawing/2014/main" id="{00000000-0008-0000-1C00-000003E4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22</xdr:row>
          <xdr:rowOff>76200</xdr:rowOff>
        </xdr:from>
        <xdr:to>
          <xdr:col>4</xdr:col>
          <xdr:colOff>533400</xdr:colOff>
          <xdr:row>22</xdr:row>
          <xdr:rowOff>314325</xdr:rowOff>
        </xdr:to>
        <xdr:sp macro="" textlink="">
          <xdr:nvSpPr>
            <xdr:cNvPr id="1238020" name="Check Box 4" hidden="1">
              <a:extLst>
                <a:ext uri="{63B3BB69-23CF-44E3-9099-C40C66FF867C}">
                  <a14:compatExt spid="_x0000_s1238020"/>
                </a:ext>
                <a:ext uri="{FF2B5EF4-FFF2-40B4-BE49-F238E27FC236}">
                  <a16:creationId xmlns:a16="http://schemas.microsoft.com/office/drawing/2014/main" id="{00000000-0008-0000-1C00-000004E4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34</xdr:row>
          <xdr:rowOff>142875</xdr:rowOff>
        </xdr:from>
        <xdr:to>
          <xdr:col>0</xdr:col>
          <xdr:colOff>590550</xdr:colOff>
          <xdr:row>34</xdr:row>
          <xdr:rowOff>428625</xdr:rowOff>
        </xdr:to>
        <xdr:sp macro="" textlink="">
          <xdr:nvSpPr>
            <xdr:cNvPr id="1238024" name="Check Box 8" hidden="1">
              <a:extLst>
                <a:ext uri="{63B3BB69-23CF-44E3-9099-C40C66FF867C}">
                  <a14:compatExt spid="_x0000_s1238024"/>
                </a:ext>
                <a:ext uri="{FF2B5EF4-FFF2-40B4-BE49-F238E27FC236}">
                  <a16:creationId xmlns:a16="http://schemas.microsoft.com/office/drawing/2014/main" id="{00000000-0008-0000-1C00-000008E4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35</xdr:row>
          <xdr:rowOff>142875</xdr:rowOff>
        </xdr:from>
        <xdr:to>
          <xdr:col>0</xdr:col>
          <xdr:colOff>590550</xdr:colOff>
          <xdr:row>35</xdr:row>
          <xdr:rowOff>428625</xdr:rowOff>
        </xdr:to>
        <xdr:sp macro="" textlink="">
          <xdr:nvSpPr>
            <xdr:cNvPr id="1238025" name="Check Box 9" hidden="1">
              <a:extLst>
                <a:ext uri="{63B3BB69-23CF-44E3-9099-C40C66FF867C}">
                  <a14:compatExt spid="_x0000_s1238025"/>
                </a:ext>
                <a:ext uri="{FF2B5EF4-FFF2-40B4-BE49-F238E27FC236}">
                  <a16:creationId xmlns:a16="http://schemas.microsoft.com/office/drawing/2014/main" id="{00000000-0008-0000-1C00-000009E4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435427</xdr:colOff>
      <xdr:row>0</xdr:row>
      <xdr:rowOff>163285</xdr:rowOff>
    </xdr:from>
    <xdr:to>
      <xdr:col>0</xdr:col>
      <xdr:colOff>2199784</xdr:colOff>
      <xdr:row>1</xdr:row>
      <xdr:rowOff>299356</xdr:rowOff>
    </xdr:to>
    <xdr:pic>
      <xdr:nvPicPr>
        <xdr:cNvPr id="11" name="Image 10">
          <a:extLst>
            <a:ext uri="{FF2B5EF4-FFF2-40B4-BE49-F238E27FC236}">
              <a16:creationId xmlns:a16="http://schemas.microsoft.com/office/drawing/2014/main" id="{00000000-0008-0000-1C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427" y="163285"/>
          <a:ext cx="1764357" cy="7756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xdr:from>
      <xdr:col>1</xdr:col>
      <xdr:colOff>171322</xdr:colOff>
      <xdr:row>14</xdr:row>
      <xdr:rowOff>73268</xdr:rowOff>
    </xdr:from>
    <xdr:to>
      <xdr:col>1</xdr:col>
      <xdr:colOff>263770</xdr:colOff>
      <xdr:row>14</xdr:row>
      <xdr:rowOff>168518</xdr:rowOff>
    </xdr:to>
    <xdr:sp macro="" textlink="">
      <xdr:nvSpPr>
        <xdr:cNvPr id="11" name="Rectangle 10">
          <a:extLst>
            <a:ext uri="{FF2B5EF4-FFF2-40B4-BE49-F238E27FC236}">
              <a16:creationId xmlns:a16="http://schemas.microsoft.com/office/drawing/2014/main" id="{00000000-0008-0000-1D00-00000B000000}"/>
            </a:ext>
          </a:extLst>
        </xdr:cNvPr>
        <xdr:cNvSpPr>
          <a:spLocks noChangeArrowheads="1"/>
        </xdr:cNvSpPr>
      </xdr:nvSpPr>
      <xdr:spPr bwMode="auto">
        <a:xfrm>
          <a:off x="288553" y="4198326"/>
          <a:ext cx="92448" cy="95250"/>
        </a:xfrm>
        <a:prstGeom prst="rect">
          <a:avLst/>
        </a:prstGeom>
        <a:solidFill>
          <a:srgbClr val="FFFFFF"/>
        </a:solidFill>
        <a:ln w="9525">
          <a:solidFill>
            <a:srgbClr val="000000"/>
          </a:solidFill>
          <a:miter lim="800000"/>
          <a:headEnd/>
          <a:tailEnd/>
        </a:ln>
      </xdr:spPr>
    </xdr:sp>
    <xdr:clientData/>
  </xdr:twoCellAnchor>
  <xdr:twoCellAnchor>
    <xdr:from>
      <xdr:col>1</xdr:col>
      <xdr:colOff>171321</xdr:colOff>
      <xdr:row>15</xdr:row>
      <xdr:rowOff>86458</xdr:rowOff>
    </xdr:from>
    <xdr:to>
      <xdr:col>1</xdr:col>
      <xdr:colOff>263769</xdr:colOff>
      <xdr:row>15</xdr:row>
      <xdr:rowOff>181708</xdr:rowOff>
    </xdr:to>
    <xdr:sp macro="" textlink="">
      <xdr:nvSpPr>
        <xdr:cNvPr id="12" name="Rectangle 11">
          <a:extLst>
            <a:ext uri="{FF2B5EF4-FFF2-40B4-BE49-F238E27FC236}">
              <a16:creationId xmlns:a16="http://schemas.microsoft.com/office/drawing/2014/main" id="{00000000-0008-0000-1D00-00000C000000}"/>
            </a:ext>
          </a:extLst>
        </xdr:cNvPr>
        <xdr:cNvSpPr>
          <a:spLocks noChangeArrowheads="1"/>
        </xdr:cNvSpPr>
      </xdr:nvSpPr>
      <xdr:spPr bwMode="auto">
        <a:xfrm>
          <a:off x="288552" y="4489939"/>
          <a:ext cx="92448" cy="95250"/>
        </a:xfrm>
        <a:prstGeom prst="rect">
          <a:avLst/>
        </a:prstGeom>
        <a:solidFill>
          <a:srgbClr val="FFFFFF"/>
        </a:solidFill>
        <a:ln w="9525">
          <a:solidFill>
            <a:srgbClr val="000000"/>
          </a:solidFill>
          <a:miter lim="800000"/>
          <a:headEnd/>
          <a:tailEnd/>
        </a:ln>
      </xdr:spPr>
    </xdr:sp>
    <xdr:clientData/>
  </xdr:twoCellAnchor>
  <xdr:twoCellAnchor>
    <xdr:from>
      <xdr:col>1</xdr:col>
      <xdr:colOff>175848</xdr:colOff>
      <xdr:row>18</xdr:row>
      <xdr:rowOff>85006</xdr:rowOff>
    </xdr:from>
    <xdr:to>
      <xdr:col>1</xdr:col>
      <xdr:colOff>268296</xdr:colOff>
      <xdr:row>18</xdr:row>
      <xdr:rowOff>180256</xdr:rowOff>
    </xdr:to>
    <xdr:sp macro="" textlink="">
      <xdr:nvSpPr>
        <xdr:cNvPr id="13" name="Rectangle 12">
          <a:extLst>
            <a:ext uri="{FF2B5EF4-FFF2-40B4-BE49-F238E27FC236}">
              <a16:creationId xmlns:a16="http://schemas.microsoft.com/office/drawing/2014/main" id="{00000000-0008-0000-1D00-00000D000000}"/>
            </a:ext>
          </a:extLst>
        </xdr:cNvPr>
        <xdr:cNvSpPr>
          <a:spLocks noChangeArrowheads="1"/>
        </xdr:cNvSpPr>
      </xdr:nvSpPr>
      <xdr:spPr bwMode="auto">
        <a:xfrm>
          <a:off x="293079" y="5880602"/>
          <a:ext cx="92448" cy="95250"/>
        </a:xfrm>
        <a:prstGeom prst="rect">
          <a:avLst/>
        </a:prstGeom>
        <a:solidFill>
          <a:srgbClr val="FFFFFF"/>
        </a:solidFill>
        <a:ln w="9525">
          <a:solidFill>
            <a:srgbClr val="000000"/>
          </a:solidFill>
          <a:miter lim="800000"/>
          <a:headEnd/>
          <a:tailEnd/>
        </a:ln>
      </xdr:spPr>
    </xdr:sp>
    <xdr:clientData/>
  </xdr:twoCellAnchor>
  <xdr:twoCellAnchor>
    <xdr:from>
      <xdr:col>1</xdr:col>
      <xdr:colOff>181708</xdr:colOff>
      <xdr:row>19</xdr:row>
      <xdr:rowOff>102576</xdr:rowOff>
    </xdr:from>
    <xdr:to>
      <xdr:col>1</xdr:col>
      <xdr:colOff>274156</xdr:colOff>
      <xdr:row>19</xdr:row>
      <xdr:rowOff>197826</xdr:rowOff>
    </xdr:to>
    <xdr:sp macro="" textlink="">
      <xdr:nvSpPr>
        <xdr:cNvPr id="14" name="Rectangle 13">
          <a:extLst>
            <a:ext uri="{FF2B5EF4-FFF2-40B4-BE49-F238E27FC236}">
              <a16:creationId xmlns:a16="http://schemas.microsoft.com/office/drawing/2014/main" id="{00000000-0008-0000-1D00-00000E000000}"/>
            </a:ext>
          </a:extLst>
        </xdr:cNvPr>
        <xdr:cNvSpPr>
          <a:spLocks noChangeArrowheads="1"/>
        </xdr:cNvSpPr>
      </xdr:nvSpPr>
      <xdr:spPr bwMode="auto">
        <a:xfrm>
          <a:off x="298939" y="6176595"/>
          <a:ext cx="92448" cy="95250"/>
        </a:xfrm>
        <a:prstGeom prst="rect">
          <a:avLst/>
        </a:prstGeom>
        <a:solidFill>
          <a:srgbClr val="FFFFFF"/>
        </a:solidFill>
        <a:ln w="9525">
          <a:solidFill>
            <a:srgbClr val="000000"/>
          </a:solidFill>
          <a:miter lim="800000"/>
          <a:headEnd/>
          <a:tailEnd/>
        </a:ln>
      </xdr:spPr>
    </xdr:sp>
    <xdr:clientData/>
  </xdr:twoCellAnchor>
  <xdr:twoCellAnchor editAs="oneCell">
    <xdr:from>
      <xdr:col>0</xdr:col>
      <xdr:colOff>19051</xdr:colOff>
      <xdr:row>0</xdr:row>
      <xdr:rowOff>19052</xdr:rowOff>
    </xdr:from>
    <xdr:to>
      <xdr:col>2</xdr:col>
      <xdr:colOff>685800</xdr:colOff>
      <xdr:row>2</xdr:row>
      <xdr:rowOff>10613</xdr:rowOff>
    </xdr:to>
    <xdr:pic>
      <xdr:nvPicPr>
        <xdr:cNvPr id="15" name="Image 14">
          <a:extLst>
            <a:ext uri="{FF2B5EF4-FFF2-40B4-BE49-F238E27FC236}">
              <a16:creationId xmlns:a16="http://schemas.microsoft.com/office/drawing/2014/main" id="{00000000-0008-0000-1D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1" y="19052"/>
          <a:ext cx="1085849" cy="4773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242178</xdr:colOff>
      <xdr:row>0</xdr:row>
      <xdr:rowOff>25940</xdr:rowOff>
    </xdr:from>
    <xdr:to>
      <xdr:col>3</xdr:col>
      <xdr:colOff>90557</xdr:colOff>
      <xdr:row>1</xdr:row>
      <xdr:rowOff>137640</xdr:rowOff>
    </xdr:to>
    <xdr:pic>
      <xdr:nvPicPr>
        <xdr:cNvPr id="2" name="Image 1">
          <a:extLst>
            <a:ext uri="{FF2B5EF4-FFF2-40B4-BE49-F238E27FC236}">
              <a16:creationId xmlns:a16="http://schemas.microsoft.com/office/drawing/2014/main" id="{00000000-0008-0000-1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653" y="25940"/>
          <a:ext cx="715154" cy="311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95251</xdr:colOff>
      <xdr:row>29</xdr:row>
      <xdr:rowOff>28576</xdr:rowOff>
    </xdr:from>
    <xdr:ext cx="430371" cy="379534"/>
    <xdr:pic>
      <xdr:nvPicPr>
        <xdr:cNvPr id="3" name="Image 2" descr="Panneau Danger">
          <a:extLst>
            <a:ext uri="{FF2B5EF4-FFF2-40B4-BE49-F238E27FC236}">
              <a16:creationId xmlns:a16="http://schemas.microsoft.com/office/drawing/2014/main" id="{00000000-0008-0000-1E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5251" y="4181476"/>
          <a:ext cx="430371" cy="379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139211</xdr:colOff>
      <xdr:row>48</xdr:row>
      <xdr:rowOff>35998</xdr:rowOff>
    </xdr:from>
    <xdr:ext cx="400369" cy="391639"/>
    <xdr:pic>
      <xdr:nvPicPr>
        <xdr:cNvPr id="4" name="Image 3" descr="http://ereso.intranet.local/SiteCollectionImages/Icones/Mobilis.png">
          <a:extLst>
            <a:ext uri="{FF2B5EF4-FFF2-40B4-BE49-F238E27FC236}">
              <a16:creationId xmlns:a16="http://schemas.microsoft.com/office/drawing/2014/main" id="{00000000-0008-0000-1E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9211" y="9922948"/>
          <a:ext cx="400369" cy="3916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3592</xdr:colOff>
      <xdr:row>46</xdr:row>
      <xdr:rowOff>30901</xdr:rowOff>
    </xdr:from>
    <xdr:ext cx="273321" cy="240195"/>
    <xdr:pic>
      <xdr:nvPicPr>
        <xdr:cNvPr id="5" name="Image 4" descr="Panneau Danger">
          <a:extLst>
            <a:ext uri="{FF2B5EF4-FFF2-40B4-BE49-F238E27FC236}">
              <a16:creationId xmlns:a16="http://schemas.microsoft.com/office/drawing/2014/main" id="{00000000-0008-0000-1E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2192" y="9594001"/>
          <a:ext cx="273321" cy="24019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0</xdr:col>
      <xdr:colOff>42863</xdr:colOff>
      <xdr:row>0</xdr:row>
      <xdr:rowOff>45244</xdr:rowOff>
    </xdr:from>
    <xdr:to>
      <xdr:col>0</xdr:col>
      <xdr:colOff>996235</xdr:colOff>
      <xdr:row>2</xdr:row>
      <xdr:rowOff>7144</xdr:rowOff>
    </xdr:to>
    <xdr:pic>
      <xdr:nvPicPr>
        <xdr:cNvPr id="5" name="Image 4">
          <a:extLst>
            <a:ext uri="{FF2B5EF4-FFF2-40B4-BE49-F238E27FC236}">
              <a16:creationId xmlns:a16="http://schemas.microsoft.com/office/drawing/2014/main" id="{00000000-0008-0000-1F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863" y="45244"/>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66674</xdr:colOff>
      <xdr:row>0</xdr:row>
      <xdr:rowOff>57150</xdr:rowOff>
    </xdr:from>
    <xdr:to>
      <xdr:col>1</xdr:col>
      <xdr:colOff>19921</xdr:colOff>
      <xdr:row>0</xdr:row>
      <xdr:rowOff>476250</xdr:rowOff>
    </xdr:to>
    <xdr:pic>
      <xdr:nvPicPr>
        <xdr:cNvPr id="2" name="Image 1">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4" y="5715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66674</xdr:colOff>
      <xdr:row>34</xdr:row>
      <xdr:rowOff>57150</xdr:rowOff>
    </xdr:from>
    <xdr:ext cx="950571" cy="419100"/>
    <xdr:pic>
      <xdr:nvPicPr>
        <xdr:cNvPr id="3" name="Image 2">
          <a:extLst>
            <a:ext uri="{FF2B5EF4-FFF2-40B4-BE49-F238E27FC236}">
              <a16:creationId xmlns:a16="http://schemas.microsoft.com/office/drawing/2014/main" id="{00000000-0008-0000-2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4" y="12811125"/>
          <a:ext cx="950571" cy="4191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3.xml><?xml version="1.0" encoding="utf-8"?>
<xdr:wsDr xmlns:xdr="http://schemas.openxmlformats.org/drawingml/2006/spreadsheetDrawing" xmlns:a="http://schemas.openxmlformats.org/drawingml/2006/main">
  <xdr:twoCellAnchor>
    <xdr:from>
      <xdr:col>0</xdr:col>
      <xdr:colOff>1038225</xdr:colOff>
      <xdr:row>3</xdr:row>
      <xdr:rowOff>189139</xdr:rowOff>
    </xdr:from>
    <xdr:to>
      <xdr:col>6</xdr:col>
      <xdr:colOff>981075</xdr:colOff>
      <xdr:row>4</xdr:row>
      <xdr:rowOff>231775</xdr:rowOff>
    </xdr:to>
    <xdr:sp macro="" textlink="">
      <xdr:nvSpPr>
        <xdr:cNvPr id="2" name="Text Box 155">
          <a:extLst>
            <a:ext uri="{FF2B5EF4-FFF2-40B4-BE49-F238E27FC236}">
              <a16:creationId xmlns:a16="http://schemas.microsoft.com/office/drawing/2014/main" id="{00000000-0008-0000-2100-000002000000}"/>
            </a:ext>
          </a:extLst>
        </xdr:cNvPr>
        <xdr:cNvSpPr txBox="1">
          <a:spLocks noChangeArrowheads="1"/>
        </xdr:cNvSpPr>
      </xdr:nvSpPr>
      <xdr:spPr bwMode="auto">
        <a:xfrm>
          <a:off x="1038225" y="770164"/>
          <a:ext cx="7610475" cy="2712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18000" tIns="10800" rIns="18000" bIns="10800" anchor="t" anchorCtr="0" upright="1">
          <a:noAutofit/>
        </a:bodyPr>
        <a:lstStyle/>
        <a:p>
          <a:pPr marL="0" marR="0" indent="0" defTabSz="914400" eaLnBrk="1" fontAlgn="auto" latinLnBrk="0" hangingPunct="1">
            <a:lnSpc>
              <a:spcPct val="115000"/>
            </a:lnSpc>
            <a:spcBef>
              <a:spcPts val="0"/>
            </a:spcBef>
            <a:spcAft>
              <a:spcPts val="200"/>
            </a:spcAft>
            <a:buClrTx/>
            <a:buSzTx/>
            <a:buFontTx/>
            <a:buNone/>
            <a:tabLst/>
            <a:defRPr/>
          </a:pPr>
          <a:r>
            <a:rPr lang="fr-FR" sz="1000">
              <a:effectLst/>
              <a:latin typeface="Arial" panose="020B0604020202020204" pitchFamily="34" charset="0"/>
              <a:ea typeface="Calibri"/>
              <a:cs typeface="Arial" panose="020B0604020202020204" pitchFamily="34" charset="0"/>
            </a:rPr>
            <a:t> </a:t>
          </a:r>
          <a:r>
            <a:rPr lang="fr-FR" sz="1200">
              <a:effectLst/>
              <a:latin typeface="Arial" panose="020B0604020202020204" pitchFamily="34" charset="0"/>
              <a:ea typeface="+mn-ea"/>
              <a:cs typeface="Arial" panose="020B0604020202020204" pitchFamily="34" charset="0"/>
              <a:sym typeface="Wingdings" panose="05000000000000000000" pitchFamily="2" charset="2"/>
            </a:rPr>
            <a:t></a:t>
          </a:r>
          <a:r>
            <a:rPr lang="fr-FR" sz="1000">
              <a:effectLst/>
              <a:latin typeface="Arial" panose="020B0604020202020204" pitchFamily="34" charset="0"/>
              <a:ea typeface="Calibri"/>
              <a:cs typeface="Arial" panose="020B0604020202020204" pitchFamily="34" charset="0"/>
            </a:rPr>
            <a:t> Accident</a:t>
          </a:r>
          <a:r>
            <a:rPr lang="fr-FR" sz="1000" baseline="0">
              <a:effectLst/>
              <a:latin typeface="Arial" panose="020B0604020202020204" pitchFamily="34" charset="0"/>
              <a:ea typeface="Calibri"/>
              <a:cs typeface="Arial" panose="020B0604020202020204" pitchFamily="34" charset="0"/>
            </a:rPr>
            <a:t> de travail </a:t>
          </a:r>
          <a:r>
            <a:rPr lang="fr-FR" sz="1000">
              <a:effectLst/>
              <a:latin typeface="Arial" panose="020B0604020202020204" pitchFamily="34" charset="0"/>
              <a:ea typeface="Calibri"/>
              <a:cs typeface="Arial" panose="020B0604020202020204" pitchFamily="34" charset="0"/>
            </a:rPr>
            <a:t>Bénin     </a:t>
          </a:r>
          <a:r>
            <a:rPr lang="fr-FR" sz="1100">
              <a:effectLst/>
              <a:latin typeface="+mn-lt"/>
              <a:ea typeface="+mn-ea"/>
              <a:cs typeface="+mn-cs"/>
              <a:sym typeface="Wingdings" panose="05000000000000000000" pitchFamily="2" charset="2"/>
            </a:rPr>
            <a:t></a:t>
          </a:r>
          <a:r>
            <a:rPr lang="fr-FR" sz="1100">
              <a:effectLst/>
              <a:latin typeface="+mn-lt"/>
              <a:ea typeface="+mn-ea"/>
              <a:cs typeface="+mn-cs"/>
            </a:rPr>
            <a:t> </a:t>
          </a:r>
          <a:r>
            <a:rPr lang="fr-FR" sz="1000">
              <a:effectLst/>
              <a:latin typeface="Arial" panose="020B0604020202020204" pitchFamily="34" charset="0"/>
              <a:ea typeface="+mn-ea"/>
              <a:cs typeface="Arial" panose="020B0604020202020204" pitchFamily="34" charset="0"/>
            </a:rPr>
            <a:t> Accident de trajet </a:t>
          </a:r>
          <a:r>
            <a:rPr lang="fr-FR" sz="1000" baseline="0">
              <a:effectLst/>
              <a:latin typeface="Arial" panose="020B0604020202020204" pitchFamily="34" charset="0"/>
              <a:ea typeface="+mn-ea"/>
              <a:cs typeface="Arial" panose="020B0604020202020204" pitchFamily="34" charset="0"/>
            </a:rPr>
            <a:t>     </a:t>
          </a:r>
          <a:r>
            <a:rPr lang="fr-FR" sz="1000">
              <a:effectLst/>
              <a:latin typeface="Arial" panose="020B0604020202020204" pitchFamily="34" charset="0"/>
              <a:ea typeface="+mn-ea"/>
              <a:cs typeface="Arial" panose="020B0604020202020204" pitchFamily="34" charset="0"/>
            </a:rPr>
            <a:t> </a:t>
          </a:r>
          <a:r>
            <a:rPr lang="fr-FR" sz="1100">
              <a:effectLst/>
              <a:latin typeface="+mn-lt"/>
              <a:ea typeface="+mn-ea"/>
              <a:cs typeface="+mn-cs"/>
              <a:sym typeface="Wingdings" panose="05000000000000000000" pitchFamily="2" charset="2"/>
            </a:rPr>
            <a:t></a:t>
          </a:r>
          <a:r>
            <a:rPr lang="fr-FR" sz="1100">
              <a:effectLst/>
              <a:latin typeface="+mn-lt"/>
              <a:ea typeface="+mn-ea"/>
              <a:cs typeface="+mn-cs"/>
            </a:rPr>
            <a:t> </a:t>
          </a:r>
          <a:r>
            <a:rPr lang="fr-FR" sz="1000">
              <a:effectLst/>
              <a:latin typeface="Arial" panose="020B0604020202020204" pitchFamily="34" charset="0"/>
              <a:ea typeface="+mn-ea"/>
              <a:cs typeface="Arial" panose="020B0604020202020204" pitchFamily="34" charset="0"/>
            </a:rPr>
            <a:t> Accident de travail    </a:t>
          </a:r>
          <a:r>
            <a:rPr lang="fr-FR" sz="1100">
              <a:effectLst/>
              <a:latin typeface="+mn-lt"/>
              <a:ea typeface="+mn-ea"/>
              <a:cs typeface="+mn-cs"/>
              <a:sym typeface="Wingdings" panose="05000000000000000000" pitchFamily="2" charset="2"/>
            </a:rPr>
            <a:t></a:t>
          </a:r>
          <a:r>
            <a:rPr lang="fr-FR" sz="1100">
              <a:effectLst/>
              <a:latin typeface="+mn-lt"/>
              <a:ea typeface="+mn-ea"/>
              <a:cs typeface="+mn-cs"/>
            </a:rPr>
            <a:t> </a:t>
          </a:r>
          <a:r>
            <a:rPr lang="fr-FR" sz="1000">
              <a:effectLst/>
              <a:latin typeface="Arial" panose="020B0604020202020204" pitchFamily="34" charset="0"/>
              <a:ea typeface="+mn-ea"/>
              <a:cs typeface="Arial" panose="020B0604020202020204" pitchFamily="34" charset="0"/>
              <a:sym typeface="Wingdings" panose="05000000000000000000" pitchFamily="2" charset="2"/>
            </a:rPr>
            <a:t> Sans</a:t>
          </a:r>
          <a:r>
            <a:rPr lang="fr-FR" sz="1000" baseline="0">
              <a:effectLst/>
              <a:latin typeface="Arial" panose="020B0604020202020204" pitchFamily="34" charset="0"/>
              <a:ea typeface="+mn-ea"/>
              <a:cs typeface="Arial" panose="020B0604020202020204" pitchFamily="34" charset="0"/>
              <a:sym typeface="Wingdings" panose="05000000000000000000" pitchFamily="2" charset="2"/>
            </a:rPr>
            <a:t> Arrêt </a:t>
          </a:r>
          <a:r>
            <a:rPr lang="fr-FR" sz="1100">
              <a:effectLst/>
              <a:latin typeface="+mn-lt"/>
              <a:ea typeface="+mn-ea"/>
              <a:cs typeface="+mn-cs"/>
              <a:sym typeface="Wingdings" panose="05000000000000000000" pitchFamily="2" charset="2"/>
            </a:rPr>
            <a:t></a:t>
          </a:r>
          <a:r>
            <a:rPr lang="fr-FR" sz="1100">
              <a:effectLst/>
              <a:latin typeface="+mn-lt"/>
              <a:ea typeface="+mn-ea"/>
              <a:cs typeface="+mn-cs"/>
            </a:rPr>
            <a:t> </a:t>
          </a:r>
          <a:r>
            <a:rPr lang="fr-FR" sz="1000">
              <a:effectLst/>
              <a:latin typeface="Arial" panose="020B0604020202020204" pitchFamily="34" charset="0"/>
              <a:ea typeface="+mn-ea"/>
              <a:cs typeface="Arial" panose="020B0604020202020204" pitchFamily="34" charset="0"/>
              <a:sym typeface="Wingdings" panose="05000000000000000000" pitchFamily="2" charset="2"/>
            </a:rPr>
            <a:t> Avec Arrêt     </a:t>
          </a:r>
          <a:r>
            <a:rPr lang="fr-FR" sz="1100">
              <a:effectLst/>
              <a:latin typeface="+mn-lt"/>
              <a:ea typeface="+mn-ea"/>
              <a:cs typeface="+mn-cs"/>
              <a:sym typeface="Wingdings" panose="05000000000000000000" pitchFamily="2" charset="2"/>
            </a:rPr>
            <a:t></a:t>
          </a:r>
          <a:r>
            <a:rPr lang="fr-FR" sz="1100">
              <a:effectLst/>
              <a:latin typeface="+mn-lt"/>
              <a:ea typeface="+mn-ea"/>
              <a:cs typeface="+mn-cs"/>
            </a:rPr>
            <a:t> Sinistre     </a:t>
          </a:r>
          <a:r>
            <a:rPr lang="fr-FR" sz="1000" baseline="0">
              <a:effectLst/>
              <a:latin typeface="Arial" panose="020B0604020202020204" pitchFamily="34" charset="0"/>
              <a:ea typeface="+mn-ea"/>
              <a:cs typeface="Arial" panose="020B0604020202020204" pitchFamily="34" charset="0"/>
            </a:rPr>
            <a:t> </a:t>
          </a:r>
          <a:r>
            <a:rPr lang="fr-FR" sz="1000">
              <a:effectLst/>
              <a:latin typeface="Arial" panose="020B0604020202020204" pitchFamily="34" charset="0"/>
              <a:ea typeface="+mn-ea"/>
              <a:cs typeface="Arial" panose="020B0604020202020204" pitchFamily="34" charset="0"/>
            </a:rPr>
            <a:t> </a:t>
          </a:r>
          <a:endParaRPr lang="fr-FR" sz="1000">
            <a:effectLst/>
            <a:latin typeface="Arial" panose="020B0604020202020204" pitchFamily="34" charset="0"/>
            <a:cs typeface="Arial" panose="020B0604020202020204" pitchFamily="34" charset="0"/>
          </a:endParaRPr>
        </a:p>
        <a:p>
          <a:pPr>
            <a:lnSpc>
              <a:spcPct val="115000"/>
            </a:lnSpc>
            <a:spcAft>
              <a:spcPts val="200"/>
            </a:spcAft>
          </a:pPr>
          <a:r>
            <a:rPr lang="fr-FR" sz="1000">
              <a:effectLst/>
              <a:latin typeface="Arial" panose="020B0604020202020204" pitchFamily="34" charset="0"/>
              <a:ea typeface="Calibri"/>
              <a:cs typeface="Arial" panose="020B0604020202020204" pitchFamily="34" charset="0"/>
            </a:rPr>
            <a:t>   </a:t>
          </a:r>
        </a:p>
      </xdr:txBody>
    </xdr:sp>
    <xdr:clientData/>
  </xdr:twoCellAnchor>
  <xdr:twoCellAnchor editAs="oneCell">
    <xdr:from>
      <xdr:col>0</xdr:col>
      <xdr:colOff>247650</xdr:colOff>
      <xdr:row>0</xdr:row>
      <xdr:rowOff>38101</xdr:rowOff>
    </xdr:from>
    <xdr:to>
      <xdr:col>0</xdr:col>
      <xdr:colOff>1763102</xdr:colOff>
      <xdr:row>3</xdr:row>
      <xdr:rowOff>104776</xdr:rowOff>
    </xdr:to>
    <xdr:pic>
      <xdr:nvPicPr>
        <xdr:cNvPr id="3" name="Image 2">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50" y="38101"/>
          <a:ext cx="1515452" cy="647700"/>
        </a:xfrm>
        <a:prstGeom prst="rect">
          <a:avLst/>
        </a:prstGeom>
      </xdr:spPr>
    </xdr:pic>
    <xdr:clientData/>
  </xdr:twoCellAnchor>
  <xdr:twoCellAnchor>
    <xdr:from>
      <xdr:col>4</xdr:col>
      <xdr:colOff>1</xdr:colOff>
      <xdr:row>6</xdr:row>
      <xdr:rowOff>38100</xdr:rowOff>
    </xdr:from>
    <xdr:to>
      <xdr:col>5</xdr:col>
      <xdr:colOff>495300</xdr:colOff>
      <xdr:row>7</xdr:row>
      <xdr:rowOff>0</xdr:rowOff>
    </xdr:to>
    <xdr:sp macro="" textlink="">
      <xdr:nvSpPr>
        <xdr:cNvPr id="4" name="Text Box 155">
          <a:extLst>
            <a:ext uri="{FF2B5EF4-FFF2-40B4-BE49-F238E27FC236}">
              <a16:creationId xmlns:a16="http://schemas.microsoft.com/office/drawing/2014/main" id="{00000000-0008-0000-2100-000004000000}"/>
            </a:ext>
          </a:extLst>
        </xdr:cNvPr>
        <xdr:cNvSpPr txBox="1">
          <a:spLocks noChangeArrowheads="1"/>
        </xdr:cNvSpPr>
      </xdr:nvSpPr>
      <xdr:spPr bwMode="auto">
        <a:xfrm>
          <a:off x="5200651" y="1266825"/>
          <a:ext cx="1933574"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18000" tIns="10800" rIns="18000" bIns="10800" anchor="t" anchorCtr="0" upright="1">
          <a:noAutofit/>
        </a:bodyPr>
        <a:lstStyle/>
        <a:p>
          <a:pPr marL="0" marR="0" indent="0" defTabSz="914400" eaLnBrk="1" fontAlgn="auto" latinLnBrk="0" hangingPunct="1">
            <a:lnSpc>
              <a:spcPct val="115000"/>
            </a:lnSpc>
            <a:spcBef>
              <a:spcPts val="0"/>
            </a:spcBef>
            <a:spcAft>
              <a:spcPts val="200"/>
            </a:spcAft>
            <a:buClrTx/>
            <a:buSzTx/>
            <a:buFontTx/>
            <a:buNone/>
            <a:tabLst/>
            <a:defRPr/>
          </a:pPr>
          <a:r>
            <a:rPr lang="fr-FR" sz="1000">
              <a:effectLst/>
              <a:latin typeface="Arial" panose="020B0604020202020204" pitchFamily="34" charset="0"/>
              <a:ea typeface="Calibri"/>
              <a:cs typeface="Arial" panose="020B0604020202020204" pitchFamily="34" charset="0"/>
            </a:rPr>
            <a:t> A réaliser par le DA / DF / REX </a:t>
          </a:r>
          <a:endParaRPr lang="fr-FR" sz="1000">
            <a:effectLst/>
            <a:latin typeface="Arial" panose="020B0604020202020204" pitchFamily="34" charset="0"/>
            <a:cs typeface="Arial" panose="020B0604020202020204" pitchFamily="34" charset="0"/>
          </a:endParaRPr>
        </a:p>
        <a:p>
          <a:pPr>
            <a:lnSpc>
              <a:spcPct val="115000"/>
            </a:lnSpc>
            <a:spcAft>
              <a:spcPts val="200"/>
            </a:spcAft>
          </a:pPr>
          <a:r>
            <a:rPr lang="fr-FR" sz="1000">
              <a:effectLst/>
              <a:latin typeface="Arial" panose="020B0604020202020204" pitchFamily="34" charset="0"/>
              <a:ea typeface="Calibri"/>
              <a:cs typeface="Arial" panose="020B0604020202020204" pitchFamily="34" charset="0"/>
            </a:rPr>
            <a:t>   </a:t>
          </a:r>
        </a:p>
      </xdr:txBody>
    </xdr:sp>
    <xdr:clientData/>
  </xdr:twoCellAnchor>
  <xdr:twoCellAnchor>
    <xdr:from>
      <xdr:col>0</xdr:col>
      <xdr:colOff>410974</xdr:colOff>
      <xdr:row>22</xdr:row>
      <xdr:rowOff>133707</xdr:rowOff>
    </xdr:from>
    <xdr:to>
      <xdr:col>2</xdr:col>
      <xdr:colOff>45356</xdr:colOff>
      <xdr:row>32</xdr:row>
      <xdr:rowOff>190500</xdr:rowOff>
    </xdr:to>
    <xdr:grpSp>
      <xdr:nvGrpSpPr>
        <xdr:cNvPr id="5" name="Groupe 4">
          <a:extLst>
            <a:ext uri="{FF2B5EF4-FFF2-40B4-BE49-F238E27FC236}">
              <a16:creationId xmlns:a16="http://schemas.microsoft.com/office/drawing/2014/main" id="{00000000-0008-0000-2100-000005000000}"/>
            </a:ext>
          </a:extLst>
        </xdr:cNvPr>
        <xdr:cNvGrpSpPr/>
      </xdr:nvGrpSpPr>
      <xdr:grpSpPr>
        <a:xfrm>
          <a:off x="410974" y="5921976"/>
          <a:ext cx="2872882" cy="2430716"/>
          <a:chOff x="0" y="0"/>
          <a:chExt cx="2637065" cy="2326640"/>
        </a:xfrm>
      </xdr:grpSpPr>
      <xdr:pic>
        <xdr:nvPicPr>
          <xdr:cNvPr id="6" name="Image 5">
            <a:extLst>
              <a:ext uri="{FF2B5EF4-FFF2-40B4-BE49-F238E27FC236}">
                <a16:creationId xmlns:a16="http://schemas.microsoft.com/office/drawing/2014/main" id="{00000000-0008-0000-2100-000006000000}"/>
              </a:ext>
            </a:extLst>
          </xdr:cNvPr>
          <xdr:cNvPicPr>
            <a:picLocks noChangeAspect="1"/>
          </xdr:cNvPicPr>
        </xdr:nvPicPr>
        <xdr:blipFill>
          <a:blip xmlns:r="http://schemas.openxmlformats.org/officeDocument/2006/relationships" r:embed="rId2" cstate="print">
            <a:lum/>
            <a:extLst>
              <a:ext uri="{28A0092B-C50C-407E-A947-70E740481C1C}">
                <a14:useLocalDpi xmlns:a14="http://schemas.microsoft.com/office/drawing/2010/main" val="0"/>
              </a:ext>
            </a:extLst>
          </a:blip>
          <a:srcRect/>
          <a:stretch>
            <a:fillRect/>
          </a:stretch>
        </xdr:blipFill>
        <xdr:spPr bwMode="auto">
          <a:xfrm>
            <a:off x="89807" y="0"/>
            <a:ext cx="2428875" cy="2326640"/>
          </a:xfrm>
          <a:prstGeom prst="rect">
            <a:avLst/>
          </a:prstGeom>
          <a:noFill/>
          <a:ln w="9525">
            <a:noFill/>
            <a:miter lim="800000"/>
            <a:headEnd/>
            <a:tailEnd/>
          </a:ln>
        </xdr:spPr>
      </xdr:pic>
      <xdr:sp macro="" textlink="">
        <xdr:nvSpPr>
          <xdr:cNvPr id="7" name="Rectangle 6">
            <a:extLst>
              <a:ext uri="{FF2B5EF4-FFF2-40B4-BE49-F238E27FC236}">
                <a16:creationId xmlns:a16="http://schemas.microsoft.com/office/drawing/2014/main" id="{00000000-0008-0000-2100-000007000000}"/>
              </a:ext>
            </a:extLst>
          </xdr:cNvPr>
          <xdr:cNvSpPr/>
        </xdr:nvSpPr>
        <xdr:spPr>
          <a:xfrm>
            <a:off x="0" y="1232807"/>
            <a:ext cx="538843" cy="2122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lnSpc>
                <a:spcPct val="115000"/>
              </a:lnSpc>
              <a:spcAft>
                <a:spcPts val="1000"/>
              </a:spcAft>
            </a:pPr>
            <a:r>
              <a:rPr lang="fr-FR" sz="600">
                <a:solidFill>
                  <a:srgbClr val="000000"/>
                </a:solidFill>
                <a:effectLst/>
                <a:latin typeface="Tahoma"/>
                <a:ea typeface="Calibri"/>
                <a:cs typeface="Times New Roman"/>
              </a:rPr>
              <a:t>Gauche</a:t>
            </a:r>
            <a:endParaRPr lang="fr-FR" sz="1100">
              <a:effectLst/>
              <a:ea typeface="Calibri"/>
              <a:cs typeface="Times New Roman"/>
            </a:endParaRPr>
          </a:p>
        </xdr:txBody>
      </xdr:sp>
      <xdr:sp macro="" textlink="">
        <xdr:nvSpPr>
          <xdr:cNvPr id="8" name="Rectangle 7">
            <a:extLst>
              <a:ext uri="{FF2B5EF4-FFF2-40B4-BE49-F238E27FC236}">
                <a16:creationId xmlns:a16="http://schemas.microsoft.com/office/drawing/2014/main" id="{00000000-0008-0000-2100-000008000000}"/>
              </a:ext>
            </a:extLst>
          </xdr:cNvPr>
          <xdr:cNvSpPr/>
        </xdr:nvSpPr>
        <xdr:spPr>
          <a:xfrm>
            <a:off x="2098222" y="1232807"/>
            <a:ext cx="538843" cy="2122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lnSpc>
                <a:spcPct val="115000"/>
              </a:lnSpc>
              <a:spcAft>
                <a:spcPts val="1000"/>
              </a:spcAft>
            </a:pPr>
            <a:r>
              <a:rPr lang="fr-FR" sz="600">
                <a:solidFill>
                  <a:srgbClr val="000000"/>
                </a:solidFill>
                <a:effectLst/>
                <a:latin typeface="Tahoma"/>
                <a:ea typeface="Calibri"/>
                <a:cs typeface="Times New Roman"/>
              </a:rPr>
              <a:t>Gauche</a:t>
            </a:r>
            <a:endParaRPr lang="fr-FR" sz="1100">
              <a:effectLst/>
              <a:ea typeface="Calibri"/>
              <a:cs typeface="Times New Roman"/>
            </a:endParaRPr>
          </a:p>
        </xdr:txBody>
      </xdr:sp>
      <xdr:sp macro="" textlink="">
        <xdr:nvSpPr>
          <xdr:cNvPr id="9" name="Rectangle 8">
            <a:extLst>
              <a:ext uri="{FF2B5EF4-FFF2-40B4-BE49-F238E27FC236}">
                <a16:creationId xmlns:a16="http://schemas.microsoft.com/office/drawing/2014/main" id="{00000000-0008-0000-2100-000009000000}"/>
              </a:ext>
            </a:extLst>
          </xdr:cNvPr>
          <xdr:cNvSpPr/>
        </xdr:nvSpPr>
        <xdr:spPr>
          <a:xfrm>
            <a:off x="889907" y="1224643"/>
            <a:ext cx="538843" cy="2122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lnSpc>
                <a:spcPct val="115000"/>
              </a:lnSpc>
              <a:spcAft>
                <a:spcPts val="1000"/>
              </a:spcAft>
            </a:pPr>
            <a:r>
              <a:rPr lang="fr-FR" sz="600">
                <a:solidFill>
                  <a:srgbClr val="000000"/>
                </a:solidFill>
                <a:effectLst/>
                <a:latin typeface="Tahoma"/>
                <a:ea typeface="Calibri"/>
                <a:cs typeface="Times New Roman"/>
              </a:rPr>
              <a:t>Droite</a:t>
            </a:r>
            <a:endParaRPr lang="fr-FR" sz="1100">
              <a:effectLst/>
              <a:ea typeface="Calibri"/>
              <a:cs typeface="Times New Roman"/>
            </a:endParaRPr>
          </a:p>
        </xdr:txBody>
      </xdr:sp>
      <xdr:sp macro="" textlink="">
        <xdr:nvSpPr>
          <xdr:cNvPr id="10" name="Rectangle 9">
            <a:extLst>
              <a:ext uri="{FF2B5EF4-FFF2-40B4-BE49-F238E27FC236}">
                <a16:creationId xmlns:a16="http://schemas.microsoft.com/office/drawing/2014/main" id="{00000000-0008-0000-2100-00000A000000}"/>
              </a:ext>
            </a:extLst>
          </xdr:cNvPr>
          <xdr:cNvSpPr/>
        </xdr:nvSpPr>
        <xdr:spPr>
          <a:xfrm>
            <a:off x="1298122" y="1208314"/>
            <a:ext cx="538843" cy="2122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lnSpc>
                <a:spcPct val="115000"/>
              </a:lnSpc>
              <a:spcAft>
                <a:spcPts val="1000"/>
              </a:spcAft>
            </a:pPr>
            <a:r>
              <a:rPr lang="fr-FR" sz="600">
                <a:solidFill>
                  <a:srgbClr val="000000"/>
                </a:solidFill>
                <a:effectLst/>
                <a:latin typeface="Tahoma"/>
                <a:ea typeface="Calibri"/>
                <a:cs typeface="Times New Roman"/>
              </a:rPr>
              <a:t>Droite</a:t>
            </a:r>
            <a:endParaRPr lang="fr-FR" sz="1100">
              <a:effectLst/>
              <a:ea typeface="Calibri"/>
              <a:cs typeface="Times New Roman"/>
            </a:endParaRPr>
          </a:p>
        </xdr:txBody>
      </xdr:sp>
    </xdr:grpSp>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115277</xdr:colOff>
      <xdr:row>0</xdr:row>
      <xdr:rowOff>144585</xdr:rowOff>
    </xdr:from>
    <xdr:to>
      <xdr:col>0</xdr:col>
      <xdr:colOff>827845</xdr:colOff>
      <xdr:row>0</xdr:row>
      <xdr:rowOff>461597</xdr:rowOff>
    </xdr:to>
    <xdr:pic>
      <xdr:nvPicPr>
        <xdr:cNvPr id="2" name="Image 1">
          <a:extLst>
            <a:ext uri="{FF2B5EF4-FFF2-40B4-BE49-F238E27FC236}">
              <a16:creationId xmlns:a16="http://schemas.microsoft.com/office/drawing/2014/main" id="{00000000-0008-0000-2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5277" y="144585"/>
          <a:ext cx="712568" cy="3170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0</xdr:colOff>
          <xdr:row>7</xdr:row>
          <xdr:rowOff>190500</xdr:rowOff>
        </xdr:from>
        <xdr:to>
          <xdr:col>3</xdr:col>
          <xdr:colOff>771525</xdr:colOff>
          <xdr:row>8</xdr:row>
          <xdr:rowOff>0</xdr:rowOff>
        </xdr:to>
        <xdr:sp macro="" textlink="">
          <xdr:nvSpPr>
            <xdr:cNvPr id="1449985" name="Check Box 1" hidden="1">
              <a:extLst>
                <a:ext uri="{63B3BB69-23CF-44E3-9099-C40C66FF867C}">
                  <a14:compatExt spid="_x0000_s1449985"/>
                </a:ext>
                <a:ext uri="{FF2B5EF4-FFF2-40B4-BE49-F238E27FC236}">
                  <a16:creationId xmlns:a16="http://schemas.microsoft.com/office/drawing/2014/main" id="{00000000-0008-0000-2200-00000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xdr:oneCellAnchor>
    <xdr:from>
      <xdr:col>8</xdr:col>
      <xdr:colOff>381000</xdr:colOff>
      <xdr:row>21</xdr:row>
      <xdr:rowOff>207746</xdr:rowOff>
    </xdr:from>
    <xdr:ext cx="712568" cy="317012"/>
    <xdr:pic>
      <xdr:nvPicPr>
        <xdr:cNvPr id="3" name="Image 2">
          <a:extLst>
            <a:ext uri="{FF2B5EF4-FFF2-40B4-BE49-F238E27FC236}">
              <a16:creationId xmlns:a16="http://schemas.microsoft.com/office/drawing/2014/main" id="{00000000-0008-0000-2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96875" y="8246846"/>
          <a:ext cx="712568" cy="317012"/>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editAs="oneCell">
        <xdr:from>
          <xdr:col>4</xdr:col>
          <xdr:colOff>590550</xdr:colOff>
          <xdr:row>11</xdr:row>
          <xdr:rowOff>95250</xdr:rowOff>
        </xdr:from>
        <xdr:to>
          <xdr:col>4</xdr:col>
          <xdr:colOff>1314450</xdr:colOff>
          <xdr:row>11</xdr:row>
          <xdr:rowOff>333375</xdr:rowOff>
        </xdr:to>
        <xdr:sp macro="" textlink="">
          <xdr:nvSpPr>
            <xdr:cNvPr id="1449986" name="Check Box 2" hidden="1">
              <a:extLst>
                <a:ext uri="{63B3BB69-23CF-44E3-9099-C40C66FF867C}">
                  <a14:compatExt spid="_x0000_s1449986"/>
                </a:ext>
                <a:ext uri="{FF2B5EF4-FFF2-40B4-BE49-F238E27FC236}">
                  <a16:creationId xmlns:a16="http://schemas.microsoft.com/office/drawing/2014/main" id="{00000000-0008-0000-2200-00000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838200</xdr:rowOff>
        </xdr:from>
        <xdr:to>
          <xdr:col>2</xdr:col>
          <xdr:colOff>904875</xdr:colOff>
          <xdr:row>11</xdr:row>
          <xdr:rowOff>238125</xdr:rowOff>
        </xdr:to>
        <xdr:sp macro="" textlink="">
          <xdr:nvSpPr>
            <xdr:cNvPr id="1449987" name="Check Box 3" hidden="1">
              <a:extLst>
                <a:ext uri="{63B3BB69-23CF-44E3-9099-C40C66FF867C}">
                  <a14:compatExt spid="_x0000_s1449987"/>
                </a:ext>
                <a:ext uri="{FF2B5EF4-FFF2-40B4-BE49-F238E27FC236}">
                  <a16:creationId xmlns:a16="http://schemas.microsoft.com/office/drawing/2014/main" id="{00000000-0008-0000-2200-00000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11</xdr:row>
          <xdr:rowOff>180975</xdr:rowOff>
        </xdr:from>
        <xdr:to>
          <xdr:col>2</xdr:col>
          <xdr:colOff>1238250</xdr:colOff>
          <xdr:row>11</xdr:row>
          <xdr:rowOff>419100</xdr:rowOff>
        </xdr:to>
        <xdr:sp macro="" textlink="">
          <xdr:nvSpPr>
            <xdr:cNvPr id="1449988" name="Check Box 4" hidden="1">
              <a:extLst>
                <a:ext uri="{63B3BB69-23CF-44E3-9099-C40C66FF867C}">
                  <a14:compatExt spid="_x0000_s1449988"/>
                </a:ext>
                <a:ext uri="{FF2B5EF4-FFF2-40B4-BE49-F238E27FC236}">
                  <a16:creationId xmlns:a16="http://schemas.microsoft.com/office/drawing/2014/main" id="{00000000-0008-0000-2200-00000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xdr:row>
          <xdr:rowOff>9525</xdr:rowOff>
        </xdr:from>
        <xdr:to>
          <xdr:col>2</xdr:col>
          <xdr:colOff>904875</xdr:colOff>
          <xdr:row>12</xdr:row>
          <xdr:rowOff>247650</xdr:rowOff>
        </xdr:to>
        <xdr:sp macro="" textlink="">
          <xdr:nvSpPr>
            <xdr:cNvPr id="1449989" name="Check Box 5" hidden="1">
              <a:extLst>
                <a:ext uri="{63B3BB69-23CF-44E3-9099-C40C66FF867C}">
                  <a14:compatExt spid="_x0000_s1449989"/>
                </a:ext>
                <a:ext uri="{FF2B5EF4-FFF2-40B4-BE49-F238E27FC236}">
                  <a16:creationId xmlns:a16="http://schemas.microsoft.com/office/drawing/2014/main" id="{00000000-0008-0000-2200-00000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xdr:row>
          <xdr:rowOff>200025</xdr:rowOff>
        </xdr:from>
        <xdr:to>
          <xdr:col>2</xdr:col>
          <xdr:colOff>1238250</xdr:colOff>
          <xdr:row>13</xdr:row>
          <xdr:rowOff>9525</xdr:rowOff>
        </xdr:to>
        <xdr:sp macro="" textlink="">
          <xdr:nvSpPr>
            <xdr:cNvPr id="1449990" name="Check Box 6" hidden="1">
              <a:extLst>
                <a:ext uri="{63B3BB69-23CF-44E3-9099-C40C66FF867C}">
                  <a14:compatExt spid="_x0000_s1449990"/>
                </a:ext>
                <a:ext uri="{FF2B5EF4-FFF2-40B4-BE49-F238E27FC236}">
                  <a16:creationId xmlns:a16="http://schemas.microsoft.com/office/drawing/2014/main" id="{00000000-0008-0000-2200-00000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xdr:row>
          <xdr:rowOff>0</xdr:rowOff>
        </xdr:from>
        <xdr:to>
          <xdr:col>2</xdr:col>
          <xdr:colOff>904875</xdr:colOff>
          <xdr:row>13</xdr:row>
          <xdr:rowOff>238125</xdr:rowOff>
        </xdr:to>
        <xdr:sp macro="" textlink="">
          <xdr:nvSpPr>
            <xdr:cNvPr id="1449991" name="Check Box 7" hidden="1">
              <a:extLst>
                <a:ext uri="{63B3BB69-23CF-44E3-9099-C40C66FF867C}">
                  <a14:compatExt spid="_x0000_s1449991"/>
                </a:ext>
                <a:ext uri="{FF2B5EF4-FFF2-40B4-BE49-F238E27FC236}">
                  <a16:creationId xmlns:a16="http://schemas.microsoft.com/office/drawing/2014/main" id="{00000000-0008-0000-2200-000007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xdr:row>
          <xdr:rowOff>190500</xdr:rowOff>
        </xdr:from>
        <xdr:to>
          <xdr:col>2</xdr:col>
          <xdr:colOff>1238250</xdr:colOff>
          <xdr:row>14</xdr:row>
          <xdr:rowOff>0</xdr:rowOff>
        </xdr:to>
        <xdr:sp macro="" textlink="">
          <xdr:nvSpPr>
            <xdr:cNvPr id="1449992" name="Check Box 8" hidden="1">
              <a:extLst>
                <a:ext uri="{63B3BB69-23CF-44E3-9099-C40C66FF867C}">
                  <a14:compatExt spid="_x0000_s1449992"/>
                </a:ext>
                <a:ext uri="{FF2B5EF4-FFF2-40B4-BE49-F238E27FC236}">
                  <a16:creationId xmlns:a16="http://schemas.microsoft.com/office/drawing/2014/main" id="{00000000-0008-0000-2200-000008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14</xdr:row>
          <xdr:rowOff>0</xdr:rowOff>
        </xdr:from>
        <xdr:to>
          <xdr:col>2</xdr:col>
          <xdr:colOff>904875</xdr:colOff>
          <xdr:row>14</xdr:row>
          <xdr:rowOff>238125</xdr:rowOff>
        </xdr:to>
        <xdr:sp macro="" textlink="">
          <xdr:nvSpPr>
            <xdr:cNvPr id="1449993" name="Check Box 9" hidden="1">
              <a:extLst>
                <a:ext uri="{63B3BB69-23CF-44E3-9099-C40C66FF867C}">
                  <a14:compatExt spid="_x0000_s1449993"/>
                </a:ext>
                <a:ext uri="{FF2B5EF4-FFF2-40B4-BE49-F238E27FC236}">
                  <a16:creationId xmlns:a16="http://schemas.microsoft.com/office/drawing/2014/main" id="{00000000-0008-0000-2200-000009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14</xdr:row>
          <xdr:rowOff>190500</xdr:rowOff>
        </xdr:from>
        <xdr:to>
          <xdr:col>2</xdr:col>
          <xdr:colOff>1238250</xdr:colOff>
          <xdr:row>15</xdr:row>
          <xdr:rowOff>0</xdr:rowOff>
        </xdr:to>
        <xdr:sp macro="" textlink="">
          <xdr:nvSpPr>
            <xdr:cNvPr id="1449994" name="Check Box 10" hidden="1">
              <a:extLst>
                <a:ext uri="{63B3BB69-23CF-44E3-9099-C40C66FF867C}">
                  <a14:compatExt spid="_x0000_s1449994"/>
                </a:ext>
                <a:ext uri="{FF2B5EF4-FFF2-40B4-BE49-F238E27FC236}">
                  <a16:creationId xmlns:a16="http://schemas.microsoft.com/office/drawing/2014/main" id="{00000000-0008-0000-2200-00000A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15</xdr:row>
          <xdr:rowOff>0</xdr:rowOff>
        </xdr:from>
        <xdr:to>
          <xdr:col>2</xdr:col>
          <xdr:colOff>904875</xdr:colOff>
          <xdr:row>15</xdr:row>
          <xdr:rowOff>238125</xdr:rowOff>
        </xdr:to>
        <xdr:sp macro="" textlink="">
          <xdr:nvSpPr>
            <xdr:cNvPr id="1449995" name="Check Box 11" hidden="1">
              <a:extLst>
                <a:ext uri="{63B3BB69-23CF-44E3-9099-C40C66FF867C}">
                  <a14:compatExt spid="_x0000_s1449995"/>
                </a:ext>
                <a:ext uri="{FF2B5EF4-FFF2-40B4-BE49-F238E27FC236}">
                  <a16:creationId xmlns:a16="http://schemas.microsoft.com/office/drawing/2014/main" id="{00000000-0008-0000-2200-00000B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15</xdr:row>
          <xdr:rowOff>190500</xdr:rowOff>
        </xdr:from>
        <xdr:to>
          <xdr:col>2</xdr:col>
          <xdr:colOff>1238250</xdr:colOff>
          <xdr:row>16</xdr:row>
          <xdr:rowOff>0</xdr:rowOff>
        </xdr:to>
        <xdr:sp macro="" textlink="">
          <xdr:nvSpPr>
            <xdr:cNvPr id="1449996" name="Check Box 12" hidden="1">
              <a:extLst>
                <a:ext uri="{63B3BB69-23CF-44E3-9099-C40C66FF867C}">
                  <a14:compatExt spid="_x0000_s1449996"/>
                </a:ext>
                <a:ext uri="{FF2B5EF4-FFF2-40B4-BE49-F238E27FC236}">
                  <a16:creationId xmlns:a16="http://schemas.microsoft.com/office/drawing/2014/main" id="{00000000-0008-0000-2200-00000C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xdr:row>
          <xdr:rowOff>0</xdr:rowOff>
        </xdr:from>
        <xdr:to>
          <xdr:col>2</xdr:col>
          <xdr:colOff>904875</xdr:colOff>
          <xdr:row>16</xdr:row>
          <xdr:rowOff>238125</xdr:rowOff>
        </xdr:to>
        <xdr:sp macro="" textlink="">
          <xdr:nvSpPr>
            <xdr:cNvPr id="1449997" name="Check Box 13" hidden="1">
              <a:extLst>
                <a:ext uri="{63B3BB69-23CF-44E3-9099-C40C66FF867C}">
                  <a14:compatExt spid="_x0000_s1449997"/>
                </a:ext>
                <a:ext uri="{FF2B5EF4-FFF2-40B4-BE49-F238E27FC236}">
                  <a16:creationId xmlns:a16="http://schemas.microsoft.com/office/drawing/2014/main" id="{00000000-0008-0000-2200-00000D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xdr:row>
          <xdr:rowOff>190500</xdr:rowOff>
        </xdr:from>
        <xdr:to>
          <xdr:col>2</xdr:col>
          <xdr:colOff>1238250</xdr:colOff>
          <xdr:row>17</xdr:row>
          <xdr:rowOff>0</xdr:rowOff>
        </xdr:to>
        <xdr:sp macro="" textlink="">
          <xdr:nvSpPr>
            <xdr:cNvPr id="1449998" name="Check Box 14" hidden="1">
              <a:extLst>
                <a:ext uri="{63B3BB69-23CF-44E3-9099-C40C66FF867C}">
                  <a14:compatExt spid="_x0000_s1449998"/>
                </a:ext>
                <a:ext uri="{FF2B5EF4-FFF2-40B4-BE49-F238E27FC236}">
                  <a16:creationId xmlns:a16="http://schemas.microsoft.com/office/drawing/2014/main" id="{00000000-0008-0000-2200-00000E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17</xdr:row>
          <xdr:rowOff>0</xdr:rowOff>
        </xdr:from>
        <xdr:to>
          <xdr:col>2</xdr:col>
          <xdr:colOff>904875</xdr:colOff>
          <xdr:row>17</xdr:row>
          <xdr:rowOff>238125</xdr:rowOff>
        </xdr:to>
        <xdr:sp macro="" textlink="">
          <xdr:nvSpPr>
            <xdr:cNvPr id="1449999" name="Check Box 15" hidden="1">
              <a:extLst>
                <a:ext uri="{63B3BB69-23CF-44E3-9099-C40C66FF867C}">
                  <a14:compatExt spid="_x0000_s1449999"/>
                </a:ext>
                <a:ext uri="{FF2B5EF4-FFF2-40B4-BE49-F238E27FC236}">
                  <a16:creationId xmlns:a16="http://schemas.microsoft.com/office/drawing/2014/main" id="{00000000-0008-0000-2200-00000F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17</xdr:row>
          <xdr:rowOff>190500</xdr:rowOff>
        </xdr:from>
        <xdr:to>
          <xdr:col>2</xdr:col>
          <xdr:colOff>1238250</xdr:colOff>
          <xdr:row>18</xdr:row>
          <xdr:rowOff>0</xdr:rowOff>
        </xdr:to>
        <xdr:sp macro="" textlink="">
          <xdr:nvSpPr>
            <xdr:cNvPr id="1450000" name="Check Box 16" hidden="1">
              <a:extLst>
                <a:ext uri="{63B3BB69-23CF-44E3-9099-C40C66FF867C}">
                  <a14:compatExt spid="_x0000_s1450000"/>
                </a:ext>
                <a:ext uri="{FF2B5EF4-FFF2-40B4-BE49-F238E27FC236}">
                  <a16:creationId xmlns:a16="http://schemas.microsoft.com/office/drawing/2014/main" id="{00000000-0008-0000-2200-000010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0</xdr:rowOff>
        </xdr:from>
        <xdr:to>
          <xdr:col>2</xdr:col>
          <xdr:colOff>904875</xdr:colOff>
          <xdr:row>18</xdr:row>
          <xdr:rowOff>238125</xdr:rowOff>
        </xdr:to>
        <xdr:sp macro="" textlink="">
          <xdr:nvSpPr>
            <xdr:cNvPr id="1450001" name="Check Box 17" hidden="1">
              <a:extLst>
                <a:ext uri="{63B3BB69-23CF-44E3-9099-C40C66FF867C}">
                  <a14:compatExt spid="_x0000_s1450001"/>
                </a:ext>
                <a:ext uri="{FF2B5EF4-FFF2-40B4-BE49-F238E27FC236}">
                  <a16:creationId xmlns:a16="http://schemas.microsoft.com/office/drawing/2014/main" id="{00000000-0008-0000-2200-00001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190500</xdr:rowOff>
        </xdr:from>
        <xdr:to>
          <xdr:col>2</xdr:col>
          <xdr:colOff>1238250</xdr:colOff>
          <xdr:row>19</xdr:row>
          <xdr:rowOff>0</xdr:rowOff>
        </xdr:to>
        <xdr:sp macro="" textlink="">
          <xdr:nvSpPr>
            <xdr:cNvPr id="1450002" name="Check Box 18" hidden="1">
              <a:extLst>
                <a:ext uri="{63B3BB69-23CF-44E3-9099-C40C66FF867C}">
                  <a14:compatExt spid="_x0000_s1450002"/>
                </a:ext>
                <a:ext uri="{FF2B5EF4-FFF2-40B4-BE49-F238E27FC236}">
                  <a16:creationId xmlns:a16="http://schemas.microsoft.com/office/drawing/2014/main" id="{00000000-0008-0000-2200-00001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0</xdr:rowOff>
        </xdr:from>
        <xdr:to>
          <xdr:col>2</xdr:col>
          <xdr:colOff>904875</xdr:colOff>
          <xdr:row>19</xdr:row>
          <xdr:rowOff>238125</xdr:rowOff>
        </xdr:to>
        <xdr:sp macro="" textlink="">
          <xdr:nvSpPr>
            <xdr:cNvPr id="1450003" name="Check Box 19" hidden="1">
              <a:extLst>
                <a:ext uri="{63B3BB69-23CF-44E3-9099-C40C66FF867C}">
                  <a14:compatExt spid="_x0000_s1450003"/>
                </a:ext>
                <a:ext uri="{FF2B5EF4-FFF2-40B4-BE49-F238E27FC236}">
                  <a16:creationId xmlns:a16="http://schemas.microsoft.com/office/drawing/2014/main" id="{00000000-0008-0000-2200-00001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190500</xdr:rowOff>
        </xdr:from>
        <xdr:to>
          <xdr:col>2</xdr:col>
          <xdr:colOff>1238250</xdr:colOff>
          <xdr:row>20</xdr:row>
          <xdr:rowOff>0</xdr:rowOff>
        </xdr:to>
        <xdr:sp macro="" textlink="">
          <xdr:nvSpPr>
            <xdr:cNvPr id="1450004" name="Check Box 20" hidden="1">
              <a:extLst>
                <a:ext uri="{63B3BB69-23CF-44E3-9099-C40C66FF867C}">
                  <a14:compatExt spid="_x0000_s1450004"/>
                </a:ext>
                <a:ext uri="{FF2B5EF4-FFF2-40B4-BE49-F238E27FC236}">
                  <a16:creationId xmlns:a16="http://schemas.microsoft.com/office/drawing/2014/main" id="{00000000-0008-0000-2200-00001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419100</xdr:rowOff>
        </xdr:from>
        <xdr:to>
          <xdr:col>2</xdr:col>
          <xdr:colOff>904875</xdr:colOff>
          <xdr:row>20</xdr:row>
          <xdr:rowOff>228600</xdr:rowOff>
        </xdr:to>
        <xdr:sp macro="" textlink="">
          <xdr:nvSpPr>
            <xdr:cNvPr id="1450005" name="Check Box 21" hidden="1">
              <a:extLst>
                <a:ext uri="{63B3BB69-23CF-44E3-9099-C40C66FF867C}">
                  <a14:compatExt spid="_x0000_s1450005"/>
                </a:ext>
                <a:ext uri="{FF2B5EF4-FFF2-40B4-BE49-F238E27FC236}">
                  <a16:creationId xmlns:a16="http://schemas.microsoft.com/office/drawing/2014/main" id="{00000000-0008-0000-2200-00001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xdr:row>
          <xdr:rowOff>180975</xdr:rowOff>
        </xdr:from>
        <xdr:to>
          <xdr:col>2</xdr:col>
          <xdr:colOff>1238250</xdr:colOff>
          <xdr:row>20</xdr:row>
          <xdr:rowOff>419100</xdr:rowOff>
        </xdr:to>
        <xdr:sp macro="" textlink="">
          <xdr:nvSpPr>
            <xdr:cNvPr id="1450006" name="Check Box 22" hidden="1">
              <a:extLst>
                <a:ext uri="{63B3BB69-23CF-44E3-9099-C40C66FF867C}">
                  <a14:compatExt spid="_x0000_s1450006"/>
                </a:ext>
                <a:ext uri="{FF2B5EF4-FFF2-40B4-BE49-F238E27FC236}">
                  <a16:creationId xmlns:a16="http://schemas.microsoft.com/office/drawing/2014/main" id="{00000000-0008-0000-2200-00001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11</xdr:row>
          <xdr:rowOff>0</xdr:rowOff>
        </xdr:from>
        <xdr:to>
          <xdr:col>3</xdr:col>
          <xdr:colOff>904875</xdr:colOff>
          <xdr:row>11</xdr:row>
          <xdr:rowOff>238125</xdr:rowOff>
        </xdr:to>
        <xdr:sp macro="" textlink="">
          <xdr:nvSpPr>
            <xdr:cNvPr id="1450007" name="Check Box 23" hidden="1">
              <a:extLst>
                <a:ext uri="{63B3BB69-23CF-44E3-9099-C40C66FF867C}">
                  <a14:compatExt spid="_x0000_s1450007"/>
                </a:ext>
                <a:ext uri="{FF2B5EF4-FFF2-40B4-BE49-F238E27FC236}">
                  <a16:creationId xmlns:a16="http://schemas.microsoft.com/office/drawing/2014/main" id="{00000000-0008-0000-2200-000017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11</xdr:row>
          <xdr:rowOff>190500</xdr:rowOff>
        </xdr:from>
        <xdr:to>
          <xdr:col>3</xdr:col>
          <xdr:colOff>1238250</xdr:colOff>
          <xdr:row>12</xdr:row>
          <xdr:rowOff>0</xdr:rowOff>
        </xdr:to>
        <xdr:sp macro="" textlink="">
          <xdr:nvSpPr>
            <xdr:cNvPr id="1450008" name="Check Box 24" hidden="1">
              <a:extLst>
                <a:ext uri="{63B3BB69-23CF-44E3-9099-C40C66FF867C}">
                  <a14:compatExt spid="_x0000_s1450008"/>
                </a:ext>
                <a:ext uri="{FF2B5EF4-FFF2-40B4-BE49-F238E27FC236}">
                  <a16:creationId xmlns:a16="http://schemas.microsoft.com/office/drawing/2014/main" id="{00000000-0008-0000-2200-000018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12</xdr:row>
          <xdr:rowOff>0</xdr:rowOff>
        </xdr:from>
        <xdr:to>
          <xdr:col>3</xdr:col>
          <xdr:colOff>904875</xdr:colOff>
          <xdr:row>12</xdr:row>
          <xdr:rowOff>238125</xdr:rowOff>
        </xdr:to>
        <xdr:sp macro="" textlink="">
          <xdr:nvSpPr>
            <xdr:cNvPr id="1450009" name="Check Box 25" hidden="1">
              <a:extLst>
                <a:ext uri="{63B3BB69-23CF-44E3-9099-C40C66FF867C}">
                  <a14:compatExt spid="_x0000_s1450009"/>
                </a:ext>
                <a:ext uri="{FF2B5EF4-FFF2-40B4-BE49-F238E27FC236}">
                  <a16:creationId xmlns:a16="http://schemas.microsoft.com/office/drawing/2014/main" id="{00000000-0008-0000-2200-000019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12</xdr:row>
          <xdr:rowOff>190500</xdr:rowOff>
        </xdr:from>
        <xdr:to>
          <xdr:col>3</xdr:col>
          <xdr:colOff>1238250</xdr:colOff>
          <xdr:row>13</xdr:row>
          <xdr:rowOff>0</xdr:rowOff>
        </xdr:to>
        <xdr:sp macro="" textlink="">
          <xdr:nvSpPr>
            <xdr:cNvPr id="1450010" name="Check Box 26" hidden="1">
              <a:extLst>
                <a:ext uri="{63B3BB69-23CF-44E3-9099-C40C66FF867C}">
                  <a14:compatExt spid="_x0000_s1450010"/>
                </a:ext>
                <a:ext uri="{FF2B5EF4-FFF2-40B4-BE49-F238E27FC236}">
                  <a16:creationId xmlns:a16="http://schemas.microsoft.com/office/drawing/2014/main" id="{00000000-0008-0000-2200-00001A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13</xdr:row>
          <xdr:rowOff>0</xdr:rowOff>
        </xdr:from>
        <xdr:to>
          <xdr:col>3</xdr:col>
          <xdr:colOff>904875</xdr:colOff>
          <xdr:row>13</xdr:row>
          <xdr:rowOff>238125</xdr:rowOff>
        </xdr:to>
        <xdr:sp macro="" textlink="">
          <xdr:nvSpPr>
            <xdr:cNvPr id="1450011" name="Check Box 27" hidden="1">
              <a:extLst>
                <a:ext uri="{63B3BB69-23CF-44E3-9099-C40C66FF867C}">
                  <a14:compatExt spid="_x0000_s1450011"/>
                </a:ext>
                <a:ext uri="{FF2B5EF4-FFF2-40B4-BE49-F238E27FC236}">
                  <a16:creationId xmlns:a16="http://schemas.microsoft.com/office/drawing/2014/main" id="{00000000-0008-0000-2200-00001B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13</xdr:row>
          <xdr:rowOff>190500</xdr:rowOff>
        </xdr:from>
        <xdr:to>
          <xdr:col>3</xdr:col>
          <xdr:colOff>1238250</xdr:colOff>
          <xdr:row>14</xdr:row>
          <xdr:rowOff>0</xdr:rowOff>
        </xdr:to>
        <xdr:sp macro="" textlink="">
          <xdr:nvSpPr>
            <xdr:cNvPr id="1450012" name="Check Box 28" hidden="1">
              <a:extLst>
                <a:ext uri="{63B3BB69-23CF-44E3-9099-C40C66FF867C}">
                  <a14:compatExt spid="_x0000_s1450012"/>
                </a:ext>
                <a:ext uri="{FF2B5EF4-FFF2-40B4-BE49-F238E27FC236}">
                  <a16:creationId xmlns:a16="http://schemas.microsoft.com/office/drawing/2014/main" id="{00000000-0008-0000-2200-00001C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14</xdr:row>
          <xdr:rowOff>0</xdr:rowOff>
        </xdr:from>
        <xdr:to>
          <xdr:col>3</xdr:col>
          <xdr:colOff>904875</xdr:colOff>
          <xdr:row>14</xdr:row>
          <xdr:rowOff>238125</xdr:rowOff>
        </xdr:to>
        <xdr:sp macro="" textlink="">
          <xdr:nvSpPr>
            <xdr:cNvPr id="1450013" name="Check Box 29" hidden="1">
              <a:extLst>
                <a:ext uri="{63B3BB69-23CF-44E3-9099-C40C66FF867C}">
                  <a14:compatExt spid="_x0000_s1450013"/>
                </a:ext>
                <a:ext uri="{FF2B5EF4-FFF2-40B4-BE49-F238E27FC236}">
                  <a16:creationId xmlns:a16="http://schemas.microsoft.com/office/drawing/2014/main" id="{00000000-0008-0000-2200-00001D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14</xdr:row>
          <xdr:rowOff>190500</xdr:rowOff>
        </xdr:from>
        <xdr:to>
          <xdr:col>3</xdr:col>
          <xdr:colOff>1238250</xdr:colOff>
          <xdr:row>15</xdr:row>
          <xdr:rowOff>0</xdr:rowOff>
        </xdr:to>
        <xdr:sp macro="" textlink="">
          <xdr:nvSpPr>
            <xdr:cNvPr id="1450014" name="Check Box 30" hidden="1">
              <a:extLst>
                <a:ext uri="{63B3BB69-23CF-44E3-9099-C40C66FF867C}">
                  <a14:compatExt spid="_x0000_s1450014"/>
                </a:ext>
                <a:ext uri="{FF2B5EF4-FFF2-40B4-BE49-F238E27FC236}">
                  <a16:creationId xmlns:a16="http://schemas.microsoft.com/office/drawing/2014/main" id="{00000000-0008-0000-2200-00001E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15</xdr:row>
          <xdr:rowOff>0</xdr:rowOff>
        </xdr:from>
        <xdr:to>
          <xdr:col>3</xdr:col>
          <xdr:colOff>904875</xdr:colOff>
          <xdr:row>15</xdr:row>
          <xdr:rowOff>238125</xdr:rowOff>
        </xdr:to>
        <xdr:sp macro="" textlink="">
          <xdr:nvSpPr>
            <xdr:cNvPr id="1450015" name="Check Box 31" hidden="1">
              <a:extLst>
                <a:ext uri="{63B3BB69-23CF-44E3-9099-C40C66FF867C}">
                  <a14:compatExt spid="_x0000_s1450015"/>
                </a:ext>
                <a:ext uri="{FF2B5EF4-FFF2-40B4-BE49-F238E27FC236}">
                  <a16:creationId xmlns:a16="http://schemas.microsoft.com/office/drawing/2014/main" id="{00000000-0008-0000-2200-00001F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15</xdr:row>
          <xdr:rowOff>190500</xdr:rowOff>
        </xdr:from>
        <xdr:to>
          <xdr:col>3</xdr:col>
          <xdr:colOff>1238250</xdr:colOff>
          <xdr:row>16</xdr:row>
          <xdr:rowOff>0</xdr:rowOff>
        </xdr:to>
        <xdr:sp macro="" textlink="">
          <xdr:nvSpPr>
            <xdr:cNvPr id="1450016" name="Check Box 32" hidden="1">
              <a:extLst>
                <a:ext uri="{63B3BB69-23CF-44E3-9099-C40C66FF867C}">
                  <a14:compatExt spid="_x0000_s1450016"/>
                </a:ext>
                <a:ext uri="{FF2B5EF4-FFF2-40B4-BE49-F238E27FC236}">
                  <a16:creationId xmlns:a16="http://schemas.microsoft.com/office/drawing/2014/main" id="{00000000-0008-0000-2200-000020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16</xdr:row>
          <xdr:rowOff>0</xdr:rowOff>
        </xdr:from>
        <xdr:to>
          <xdr:col>3</xdr:col>
          <xdr:colOff>904875</xdr:colOff>
          <xdr:row>16</xdr:row>
          <xdr:rowOff>238125</xdr:rowOff>
        </xdr:to>
        <xdr:sp macro="" textlink="">
          <xdr:nvSpPr>
            <xdr:cNvPr id="1450017" name="Check Box 33" hidden="1">
              <a:extLst>
                <a:ext uri="{63B3BB69-23CF-44E3-9099-C40C66FF867C}">
                  <a14:compatExt spid="_x0000_s1450017"/>
                </a:ext>
                <a:ext uri="{FF2B5EF4-FFF2-40B4-BE49-F238E27FC236}">
                  <a16:creationId xmlns:a16="http://schemas.microsoft.com/office/drawing/2014/main" id="{00000000-0008-0000-2200-00002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16</xdr:row>
          <xdr:rowOff>190500</xdr:rowOff>
        </xdr:from>
        <xdr:to>
          <xdr:col>3</xdr:col>
          <xdr:colOff>1238250</xdr:colOff>
          <xdr:row>17</xdr:row>
          <xdr:rowOff>0</xdr:rowOff>
        </xdr:to>
        <xdr:sp macro="" textlink="">
          <xdr:nvSpPr>
            <xdr:cNvPr id="1450018" name="Check Box 34" hidden="1">
              <a:extLst>
                <a:ext uri="{63B3BB69-23CF-44E3-9099-C40C66FF867C}">
                  <a14:compatExt spid="_x0000_s1450018"/>
                </a:ext>
                <a:ext uri="{FF2B5EF4-FFF2-40B4-BE49-F238E27FC236}">
                  <a16:creationId xmlns:a16="http://schemas.microsoft.com/office/drawing/2014/main" id="{00000000-0008-0000-2200-00002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17</xdr:row>
          <xdr:rowOff>0</xdr:rowOff>
        </xdr:from>
        <xdr:to>
          <xdr:col>3</xdr:col>
          <xdr:colOff>904875</xdr:colOff>
          <xdr:row>17</xdr:row>
          <xdr:rowOff>238125</xdr:rowOff>
        </xdr:to>
        <xdr:sp macro="" textlink="">
          <xdr:nvSpPr>
            <xdr:cNvPr id="1450019" name="Check Box 35" hidden="1">
              <a:extLst>
                <a:ext uri="{63B3BB69-23CF-44E3-9099-C40C66FF867C}">
                  <a14:compatExt spid="_x0000_s1450019"/>
                </a:ext>
                <a:ext uri="{FF2B5EF4-FFF2-40B4-BE49-F238E27FC236}">
                  <a16:creationId xmlns:a16="http://schemas.microsoft.com/office/drawing/2014/main" id="{00000000-0008-0000-2200-00002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17</xdr:row>
          <xdr:rowOff>190500</xdr:rowOff>
        </xdr:from>
        <xdr:to>
          <xdr:col>3</xdr:col>
          <xdr:colOff>1238250</xdr:colOff>
          <xdr:row>18</xdr:row>
          <xdr:rowOff>0</xdr:rowOff>
        </xdr:to>
        <xdr:sp macro="" textlink="">
          <xdr:nvSpPr>
            <xdr:cNvPr id="1450020" name="Check Box 36" hidden="1">
              <a:extLst>
                <a:ext uri="{63B3BB69-23CF-44E3-9099-C40C66FF867C}">
                  <a14:compatExt spid="_x0000_s1450020"/>
                </a:ext>
                <a:ext uri="{FF2B5EF4-FFF2-40B4-BE49-F238E27FC236}">
                  <a16:creationId xmlns:a16="http://schemas.microsoft.com/office/drawing/2014/main" id="{00000000-0008-0000-2200-00002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18</xdr:row>
          <xdr:rowOff>0</xdr:rowOff>
        </xdr:from>
        <xdr:to>
          <xdr:col>3</xdr:col>
          <xdr:colOff>904875</xdr:colOff>
          <xdr:row>18</xdr:row>
          <xdr:rowOff>238125</xdr:rowOff>
        </xdr:to>
        <xdr:sp macro="" textlink="">
          <xdr:nvSpPr>
            <xdr:cNvPr id="1450021" name="Check Box 37" hidden="1">
              <a:extLst>
                <a:ext uri="{63B3BB69-23CF-44E3-9099-C40C66FF867C}">
                  <a14:compatExt spid="_x0000_s1450021"/>
                </a:ext>
                <a:ext uri="{FF2B5EF4-FFF2-40B4-BE49-F238E27FC236}">
                  <a16:creationId xmlns:a16="http://schemas.microsoft.com/office/drawing/2014/main" id="{00000000-0008-0000-2200-00002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18</xdr:row>
          <xdr:rowOff>190500</xdr:rowOff>
        </xdr:from>
        <xdr:to>
          <xdr:col>3</xdr:col>
          <xdr:colOff>1238250</xdr:colOff>
          <xdr:row>19</xdr:row>
          <xdr:rowOff>0</xdr:rowOff>
        </xdr:to>
        <xdr:sp macro="" textlink="">
          <xdr:nvSpPr>
            <xdr:cNvPr id="1450022" name="Check Box 38" hidden="1">
              <a:extLst>
                <a:ext uri="{63B3BB69-23CF-44E3-9099-C40C66FF867C}">
                  <a14:compatExt spid="_x0000_s1450022"/>
                </a:ext>
                <a:ext uri="{FF2B5EF4-FFF2-40B4-BE49-F238E27FC236}">
                  <a16:creationId xmlns:a16="http://schemas.microsoft.com/office/drawing/2014/main" id="{00000000-0008-0000-2200-00002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19</xdr:row>
          <xdr:rowOff>0</xdr:rowOff>
        </xdr:from>
        <xdr:to>
          <xdr:col>3</xdr:col>
          <xdr:colOff>904875</xdr:colOff>
          <xdr:row>19</xdr:row>
          <xdr:rowOff>238125</xdr:rowOff>
        </xdr:to>
        <xdr:sp macro="" textlink="">
          <xdr:nvSpPr>
            <xdr:cNvPr id="1450023" name="Check Box 39" hidden="1">
              <a:extLst>
                <a:ext uri="{63B3BB69-23CF-44E3-9099-C40C66FF867C}">
                  <a14:compatExt spid="_x0000_s1450023"/>
                </a:ext>
                <a:ext uri="{FF2B5EF4-FFF2-40B4-BE49-F238E27FC236}">
                  <a16:creationId xmlns:a16="http://schemas.microsoft.com/office/drawing/2014/main" id="{00000000-0008-0000-2200-000027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19</xdr:row>
          <xdr:rowOff>190500</xdr:rowOff>
        </xdr:from>
        <xdr:to>
          <xdr:col>3</xdr:col>
          <xdr:colOff>1238250</xdr:colOff>
          <xdr:row>20</xdr:row>
          <xdr:rowOff>0</xdr:rowOff>
        </xdr:to>
        <xdr:sp macro="" textlink="">
          <xdr:nvSpPr>
            <xdr:cNvPr id="1450024" name="Check Box 40" hidden="1">
              <a:extLst>
                <a:ext uri="{63B3BB69-23CF-44E3-9099-C40C66FF867C}">
                  <a14:compatExt spid="_x0000_s1450024"/>
                </a:ext>
                <a:ext uri="{FF2B5EF4-FFF2-40B4-BE49-F238E27FC236}">
                  <a16:creationId xmlns:a16="http://schemas.microsoft.com/office/drawing/2014/main" id="{00000000-0008-0000-2200-000028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20</xdr:row>
          <xdr:rowOff>0</xdr:rowOff>
        </xdr:from>
        <xdr:to>
          <xdr:col>3</xdr:col>
          <xdr:colOff>904875</xdr:colOff>
          <xdr:row>20</xdr:row>
          <xdr:rowOff>238125</xdr:rowOff>
        </xdr:to>
        <xdr:sp macro="" textlink="">
          <xdr:nvSpPr>
            <xdr:cNvPr id="1450025" name="Check Box 41" hidden="1">
              <a:extLst>
                <a:ext uri="{63B3BB69-23CF-44E3-9099-C40C66FF867C}">
                  <a14:compatExt spid="_x0000_s1450025"/>
                </a:ext>
                <a:ext uri="{FF2B5EF4-FFF2-40B4-BE49-F238E27FC236}">
                  <a16:creationId xmlns:a16="http://schemas.microsoft.com/office/drawing/2014/main" id="{00000000-0008-0000-2200-000029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20</xdr:row>
          <xdr:rowOff>190500</xdr:rowOff>
        </xdr:from>
        <xdr:to>
          <xdr:col>3</xdr:col>
          <xdr:colOff>1238250</xdr:colOff>
          <xdr:row>21</xdr:row>
          <xdr:rowOff>0</xdr:rowOff>
        </xdr:to>
        <xdr:sp macro="" textlink="">
          <xdr:nvSpPr>
            <xdr:cNvPr id="1450026" name="Check Box 42" hidden="1">
              <a:extLst>
                <a:ext uri="{63B3BB69-23CF-44E3-9099-C40C66FF867C}">
                  <a14:compatExt spid="_x0000_s1450026"/>
                </a:ext>
                <a:ext uri="{FF2B5EF4-FFF2-40B4-BE49-F238E27FC236}">
                  <a16:creationId xmlns:a16="http://schemas.microsoft.com/office/drawing/2014/main" id="{00000000-0008-0000-2200-00002A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11</xdr:row>
          <xdr:rowOff>0</xdr:rowOff>
        </xdr:from>
        <xdr:to>
          <xdr:col>5</xdr:col>
          <xdr:colOff>904875</xdr:colOff>
          <xdr:row>11</xdr:row>
          <xdr:rowOff>238125</xdr:rowOff>
        </xdr:to>
        <xdr:sp macro="" textlink="">
          <xdr:nvSpPr>
            <xdr:cNvPr id="1450027" name="Check Box 43" hidden="1">
              <a:extLst>
                <a:ext uri="{63B3BB69-23CF-44E3-9099-C40C66FF867C}">
                  <a14:compatExt spid="_x0000_s1450027"/>
                </a:ext>
                <a:ext uri="{FF2B5EF4-FFF2-40B4-BE49-F238E27FC236}">
                  <a16:creationId xmlns:a16="http://schemas.microsoft.com/office/drawing/2014/main" id="{00000000-0008-0000-2200-00002B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11</xdr:row>
          <xdr:rowOff>190500</xdr:rowOff>
        </xdr:from>
        <xdr:to>
          <xdr:col>6</xdr:col>
          <xdr:colOff>104775</xdr:colOff>
          <xdr:row>12</xdr:row>
          <xdr:rowOff>0</xdr:rowOff>
        </xdr:to>
        <xdr:sp macro="" textlink="">
          <xdr:nvSpPr>
            <xdr:cNvPr id="1450028" name="Check Box 44" hidden="1">
              <a:extLst>
                <a:ext uri="{63B3BB69-23CF-44E3-9099-C40C66FF867C}">
                  <a14:compatExt spid="_x0000_s1450028"/>
                </a:ext>
                <a:ext uri="{FF2B5EF4-FFF2-40B4-BE49-F238E27FC236}">
                  <a16:creationId xmlns:a16="http://schemas.microsoft.com/office/drawing/2014/main" id="{00000000-0008-0000-2200-00002C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12</xdr:row>
          <xdr:rowOff>0</xdr:rowOff>
        </xdr:from>
        <xdr:to>
          <xdr:col>5</xdr:col>
          <xdr:colOff>904875</xdr:colOff>
          <xdr:row>12</xdr:row>
          <xdr:rowOff>238125</xdr:rowOff>
        </xdr:to>
        <xdr:sp macro="" textlink="">
          <xdr:nvSpPr>
            <xdr:cNvPr id="1450029" name="Check Box 45" hidden="1">
              <a:extLst>
                <a:ext uri="{63B3BB69-23CF-44E3-9099-C40C66FF867C}">
                  <a14:compatExt spid="_x0000_s1450029"/>
                </a:ext>
                <a:ext uri="{FF2B5EF4-FFF2-40B4-BE49-F238E27FC236}">
                  <a16:creationId xmlns:a16="http://schemas.microsoft.com/office/drawing/2014/main" id="{00000000-0008-0000-2200-00002D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12</xdr:row>
          <xdr:rowOff>190500</xdr:rowOff>
        </xdr:from>
        <xdr:to>
          <xdr:col>6</xdr:col>
          <xdr:colOff>104775</xdr:colOff>
          <xdr:row>13</xdr:row>
          <xdr:rowOff>0</xdr:rowOff>
        </xdr:to>
        <xdr:sp macro="" textlink="">
          <xdr:nvSpPr>
            <xdr:cNvPr id="1450030" name="Check Box 46" hidden="1">
              <a:extLst>
                <a:ext uri="{63B3BB69-23CF-44E3-9099-C40C66FF867C}">
                  <a14:compatExt spid="_x0000_s1450030"/>
                </a:ext>
                <a:ext uri="{FF2B5EF4-FFF2-40B4-BE49-F238E27FC236}">
                  <a16:creationId xmlns:a16="http://schemas.microsoft.com/office/drawing/2014/main" id="{00000000-0008-0000-2200-00002E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13</xdr:row>
          <xdr:rowOff>0</xdr:rowOff>
        </xdr:from>
        <xdr:to>
          <xdr:col>5</xdr:col>
          <xdr:colOff>904875</xdr:colOff>
          <xdr:row>13</xdr:row>
          <xdr:rowOff>238125</xdr:rowOff>
        </xdr:to>
        <xdr:sp macro="" textlink="">
          <xdr:nvSpPr>
            <xdr:cNvPr id="1450031" name="Check Box 47" hidden="1">
              <a:extLst>
                <a:ext uri="{63B3BB69-23CF-44E3-9099-C40C66FF867C}">
                  <a14:compatExt spid="_x0000_s1450031"/>
                </a:ext>
                <a:ext uri="{FF2B5EF4-FFF2-40B4-BE49-F238E27FC236}">
                  <a16:creationId xmlns:a16="http://schemas.microsoft.com/office/drawing/2014/main" id="{00000000-0008-0000-2200-00002F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13</xdr:row>
          <xdr:rowOff>190500</xdr:rowOff>
        </xdr:from>
        <xdr:to>
          <xdr:col>6</xdr:col>
          <xdr:colOff>104775</xdr:colOff>
          <xdr:row>14</xdr:row>
          <xdr:rowOff>0</xdr:rowOff>
        </xdr:to>
        <xdr:sp macro="" textlink="">
          <xdr:nvSpPr>
            <xdr:cNvPr id="1450032" name="Check Box 48" hidden="1">
              <a:extLst>
                <a:ext uri="{63B3BB69-23CF-44E3-9099-C40C66FF867C}">
                  <a14:compatExt spid="_x0000_s1450032"/>
                </a:ext>
                <a:ext uri="{FF2B5EF4-FFF2-40B4-BE49-F238E27FC236}">
                  <a16:creationId xmlns:a16="http://schemas.microsoft.com/office/drawing/2014/main" id="{00000000-0008-0000-2200-000030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14</xdr:row>
          <xdr:rowOff>0</xdr:rowOff>
        </xdr:from>
        <xdr:to>
          <xdr:col>5</xdr:col>
          <xdr:colOff>904875</xdr:colOff>
          <xdr:row>14</xdr:row>
          <xdr:rowOff>238125</xdr:rowOff>
        </xdr:to>
        <xdr:sp macro="" textlink="">
          <xdr:nvSpPr>
            <xdr:cNvPr id="1450033" name="Check Box 49" hidden="1">
              <a:extLst>
                <a:ext uri="{63B3BB69-23CF-44E3-9099-C40C66FF867C}">
                  <a14:compatExt spid="_x0000_s1450033"/>
                </a:ext>
                <a:ext uri="{FF2B5EF4-FFF2-40B4-BE49-F238E27FC236}">
                  <a16:creationId xmlns:a16="http://schemas.microsoft.com/office/drawing/2014/main" id="{00000000-0008-0000-2200-00003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14</xdr:row>
          <xdr:rowOff>190500</xdr:rowOff>
        </xdr:from>
        <xdr:to>
          <xdr:col>6</xdr:col>
          <xdr:colOff>104775</xdr:colOff>
          <xdr:row>15</xdr:row>
          <xdr:rowOff>0</xdr:rowOff>
        </xdr:to>
        <xdr:sp macro="" textlink="">
          <xdr:nvSpPr>
            <xdr:cNvPr id="1450034" name="Check Box 50" hidden="1">
              <a:extLst>
                <a:ext uri="{63B3BB69-23CF-44E3-9099-C40C66FF867C}">
                  <a14:compatExt spid="_x0000_s1450034"/>
                </a:ext>
                <a:ext uri="{FF2B5EF4-FFF2-40B4-BE49-F238E27FC236}">
                  <a16:creationId xmlns:a16="http://schemas.microsoft.com/office/drawing/2014/main" id="{00000000-0008-0000-2200-00003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15</xdr:row>
          <xdr:rowOff>0</xdr:rowOff>
        </xdr:from>
        <xdr:to>
          <xdr:col>5</xdr:col>
          <xdr:colOff>904875</xdr:colOff>
          <xdr:row>15</xdr:row>
          <xdr:rowOff>238125</xdr:rowOff>
        </xdr:to>
        <xdr:sp macro="" textlink="">
          <xdr:nvSpPr>
            <xdr:cNvPr id="1450035" name="Check Box 51" hidden="1">
              <a:extLst>
                <a:ext uri="{63B3BB69-23CF-44E3-9099-C40C66FF867C}">
                  <a14:compatExt spid="_x0000_s1450035"/>
                </a:ext>
                <a:ext uri="{FF2B5EF4-FFF2-40B4-BE49-F238E27FC236}">
                  <a16:creationId xmlns:a16="http://schemas.microsoft.com/office/drawing/2014/main" id="{00000000-0008-0000-2200-00003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15</xdr:row>
          <xdr:rowOff>190500</xdr:rowOff>
        </xdr:from>
        <xdr:to>
          <xdr:col>6</xdr:col>
          <xdr:colOff>104775</xdr:colOff>
          <xdr:row>16</xdr:row>
          <xdr:rowOff>0</xdr:rowOff>
        </xdr:to>
        <xdr:sp macro="" textlink="">
          <xdr:nvSpPr>
            <xdr:cNvPr id="1450036" name="Check Box 52" hidden="1">
              <a:extLst>
                <a:ext uri="{63B3BB69-23CF-44E3-9099-C40C66FF867C}">
                  <a14:compatExt spid="_x0000_s1450036"/>
                </a:ext>
                <a:ext uri="{FF2B5EF4-FFF2-40B4-BE49-F238E27FC236}">
                  <a16:creationId xmlns:a16="http://schemas.microsoft.com/office/drawing/2014/main" id="{00000000-0008-0000-2200-00003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16</xdr:row>
          <xdr:rowOff>0</xdr:rowOff>
        </xdr:from>
        <xdr:to>
          <xdr:col>5</xdr:col>
          <xdr:colOff>904875</xdr:colOff>
          <xdr:row>16</xdr:row>
          <xdr:rowOff>238125</xdr:rowOff>
        </xdr:to>
        <xdr:sp macro="" textlink="">
          <xdr:nvSpPr>
            <xdr:cNvPr id="1450037" name="Check Box 53" hidden="1">
              <a:extLst>
                <a:ext uri="{63B3BB69-23CF-44E3-9099-C40C66FF867C}">
                  <a14:compatExt spid="_x0000_s1450037"/>
                </a:ext>
                <a:ext uri="{FF2B5EF4-FFF2-40B4-BE49-F238E27FC236}">
                  <a16:creationId xmlns:a16="http://schemas.microsoft.com/office/drawing/2014/main" id="{00000000-0008-0000-2200-00003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16</xdr:row>
          <xdr:rowOff>190500</xdr:rowOff>
        </xdr:from>
        <xdr:to>
          <xdr:col>6</xdr:col>
          <xdr:colOff>104775</xdr:colOff>
          <xdr:row>17</xdr:row>
          <xdr:rowOff>0</xdr:rowOff>
        </xdr:to>
        <xdr:sp macro="" textlink="">
          <xdr:nvSpPr>
            <xdr:cNvPr id="1450038" name="Check Box 54" hidden="1">
              <a:extLst>
                <a:ext uri="{63B3BB69-23CF-44E3-9099-C40C66FF867C}">
                  <a14:compatExt spid="_x0000_s1450038"/>
                </a:ext>
                <a:ext uri="{FF2B5EF4-FFF2-40B4-BE49-F238E27FC236}">
                  <a16:creationId xmlns:a16="http://schemas.microsoft.com/office/drawing/2014/main" id="{00000000-0008-0000-2200-00003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17</xdr:row>
          <xdr:rowOff>0</xdr:rowOff>
        </xdr:from>
        <xdr:to>
          <xdr:col>5</xdr:col>
          <xdr:colOff>904875</xdr:colOff>
          <xdr:row>17</xdr:row>
          <xdr:rowOff>238125</xdr:rowOff>
        </xdr:to>
        <xdr:sp macro="" textlink="">
          <xdr:nvSpPr>
            <xdr:cNvPr id="1450039" name="Check Box 55" hidden="1">
              <a:extLst>
                <a:ext uri="{63B3BB69-23CF-44E3-9099-C40C66FF867C}">
                  <a14:compatExt spid="_x0000_s1450039"/>
                </a:ext>
                <a:ext uri="{FF2B5EF4-FFF2-40B4-BE49-F238E27FC236}">
                  <a16:creationId xmlns:a16="http://schemas.microsoft.com/office/drawing/2014/main" id="{00000000-0008-0000-2200-000037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17</xdr:row>
          <xdr:rowOff>190500</xdr:rowOff>
        </xdr:from>
        <xdr:to>
          <xdr:col>6</xdr:col>
          <xdr:colOff>104775</xdr:colOff>
          <xdr:row>18</xdr:row>
          <xdr:rowOff>0</xdr:rowOff>
        </xdr:to>
        <xdr:sp macro="" textlink="">
          <xdr:nvSpPr>
            <xdr:cNvPr id="1450040" name="Check Box 56" hidden="1">
              <a:extLst>
                <a:ext uri="{63B3BB69-23CF-44E3-9099-C40C66FF867C}">
                  <a14:compatExt spid="_x0000_s1450040"/>
                </a:ext>
                <a:ext uri="{FF2B5EF4-FFF2-40B4-BE49-F238E27FC236}">
                  <a16:creationId xmlns:a16="http://schemas.microsoft.com/office/drawing/2014/main" id="{00000000-0008-0000-2200-000038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18</xdr:row>
          <xdr:rowOff>0</xdr:rowOff>
        </xdr:from>
        <xdr:to>
          <xdr:col>5</xdr:col>
          <xdr:colOff>904875</xdr:colOff>
          <xdr:row>18</xdr:row>
          <xdr:rowOff>238125</xdr:rowOff>
        </xdr:to>
        <xdr:sp macro="" textlink="">
          <xdr:nvSpPr>
            <xdr:cNvPr id="1450041" name="Check Box 57" hidden="1">
              <a:extLst>
                <a:ext uri="{63B3BB69-23CF-44E3-9099-C40C66FF867C}">
                  <a14:compatExt spid="_x0000_s1450041"/>
                </a:ext>
                <a:ext uri="{FF2B5EF4-FFF2-40B4-BE49-F238E27FC236}">
                  <a16:creationId xmlns:a16="http://schemas.microsoft.com/office/drawing/2014/main" id="{00000000-0008-0000-2200-000039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18</xdr:row>
          <xdr:rowOff>190500</xdr:rowOff>
        </xdr:from>
        <xdr:to>
          <xdr:col>6</xdr:col>
          <xdr:colOff>104775</xdr:colOff>
          <xdr:row>19</xdr:row>
          <xdr:rowOff>0</xdr:rowOff>
        </xdr:to>
        <xdr:sp macro="" textlink="">
          <xdr:nvSpPr>
            <xdr:cNvPr id="1450042" name="Check Box 58" hidden="1">
              <a:extLst>
                <a:ext uri="{63B3BB69-23CF-44E3-9099-C40C66FF867C}">
                  <a14:compatExt spid="_x0000_s1450042"/>
                </a:ext>
                <a:ext uri="{FF2B5EF4-FFF2-40B4-BE49-F238E27FC236}">
                  <a16:creationId xmlns:a16="http://schemas.microsoft.com/office/drawing/2014/main" id="{00000000-0008-0000-2200-00003A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19</xdr:row>
          <xdr:rowOff>0</xdr:rowOff>
        </xdr:from>
        <xdr:to>
          <xdr:col>5</xdr:col>
          <xdr:colOff>904875</xdr:colOff>
          <xdr:row>19</xdr:row>
          <xdr:rowOff>238125</xdr:rowOff>
        </xdr:to>
        <xdr:sp macro="" textlink="">
          <xdr:nvSpPr>
            <xdr:cNvPr id="1450043" name="Check Box 59" hidden="1">
              <a:extLst>
                <a:ext uri="{63B3BB69-23CF-44E3-9099-C40C66FF867C}">
                  <a14:compatExt spid="_x0000_s1450043"/>
                </a:ext>
                <a:ext uri="{FF2B5EF4-FFF2-40B4-BE49-F238E27FC236}">
                  <a16:creationId xmlns:a16="http://schemas.microsoft.com/office/drawing/2014/main" id="{00000000-0008-0000-2200-00003B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19</xdr:row>
          <xdr:rowOff>190500</xdr:rowOff>
        </xdr:from>
        <xdr:to>
          <xdr:col>6</xdr:col>
          <xdr:colOff>104775</xdr:colOff>
          <xdr:row>20</xdr:row>
          <xdr:rowOff>0</xdr:rowOff>
        </xdr:to>
        <xdr:sp macro="" textlink="">
          <xdr:nvSpPr>
            <xdr:cNvPr id="1450044" name="Check Box 60" hidden="1">
              <a:extLst>
                <a:ext uri="{63B3BB69-23CF-44E3-9099-C40C66FF867C}">
                  <a14:compatExt spid="_x0000_s1450044"/>
                </a:ext>
                <a:ext uri="{FF2B5EF4-FFF2-40B4-BE49-F238E27FC236}">
                  <a16:creationId xmlns:a16="http://schemas.microsoft.com/office/drawing/2014/main" id="{00000000-0008-0000-2200-00003C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20</xdr:row>
          <xdr:rowOff>0</xdr:rowOff>
        </xdr:from>
        <xdr:to>
          <xdr:col>5</xdr:col>
          <xdr:colOff>904875</xdr:colOff>
          <xdr:row>20</xdr:row>
          <xdr:rowOff>238125</xdr:rowOff>
        </xdr:to>
        <xdr:sp macro="" textlink="">
          <xdr:nvSpPr>
            <xdr:cNvPr id="1450045" name="Check Box 61" hidden="1">
              <a:extLst>
                <a:ext uri="{63B3BB69-23CF-44E3-9099-C40C66FF867C}">
                  <a14:compatExt spid="_x0000_s1450045"/>
                </a:ext>
                <a:ext uri="{FF2B5EF4-FFF2-40B4-BE49-F238E27FC236}">
                  <a16:creationId xmlns:a16="http://schemas.microsoft.com/office/drawing/2014/main" id="{00000000-0008-0000-2200-00003D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20</xdr:row>
          <xdr:rowOff>190500</xdr:rowOff>
        </xdr:from>
        <xdr:to>
          <xdr:col>6</xdr:col>
          <xdr:colOff>104775</xdr:colOff>
          <xdr:row>21</xdr:row>
          <xdr:rowOff>0</xdr:rowOff>
        </xdr:to>
        <xdr:sp macro="" textlink="">
          <xdr:nvSpPr>
            <xdr:cNvPr id="1450046" name="Check Box 62" hidden="1">
              <a:extLst>
                <a:ext uri="{63B3BB69-23CF-44E3-9099-C40C66FF867C}">
                  <a14:compatExt spid="_x0000_s1450046"/>
                </a:ext>
                <a:ext uri="{FF2B5EF4-FFF2-40B4-BE49-F238E27FC236}">
                  <a16:creationId xmlns:a16="http://schemas.microsoft.com/office/drawing/2014/main" id="{00000000-0008-0000-2200-00003E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12</xdr:row>
          <xdr:rowOff>95250</xdr:rowOff>
        </xdr:from>
        <xdr:to>
          <xdr:col>4</xdr:col>
          <xdr:colOff>1314450</xdr:colOff>
          <xdr:row>12</xdr:row>
          <xdr:rowOff>333375</xdr:rowOff>
        </xdr:to>
        <xdr:sp macro="" textlink="">
          <xdr:nvSpPr>
            <xdr:cNvPr id="1450047" name="Check Box 63" hidden="1">
              <a:extLst>
                <a:ext uri="{63B3BB69-23CF-44E3-9099-C40C66FF867C}">
                  <a14:compatExt spid="_x0000_s1450047"/>
                </a:ext>
                <a:ext uri="{FF2B5EF4-FFF2-40B4-BE49-F238E27FC236}">
                  <a16:creationId xmlns:a16="http://schemas.microsoft.com/office/drawing/2014/main" id="{00000000-0008-0000-2200-00003F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13</xdr:row>
          <xdr:rowOff>95250</xdr:rowOff>
        </xdr:from>
        <xdr:to>
          <xdr:col>4</xdr:col>
          <xdr:colOff>1314450</xdr:colOff>
          <xdr:row>13</xdr:row>
          <xdr:rowOff>333375</xdr:rowOff>
        </xdr:to>
        <xdr:sp macro="" textlink="">
          <xdr:nvSpPr>
            <xdr:cNvPr id="1450048" name="Check Box 64" hidden="1">
              <a:extLst>
                <a:ext uri="{63B3BB69-23CF-44E3-9099-C40C66FF867C}">
                  <a14:compatExt spid="_x0000_s1450048"/>
                </a:ext>
                <a:ext uri="{FF2B5EF4-FFF2-40B4-BE49-F238E27FC236}">
                  <a16:creationId xmlns:a16="http://schemas.microsoft.com/office/drawing/2014/main" id="{00000000-0008-0000-2200-000040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14</xdr:row>
          <xdr:rowOff>95250</xdr:rowOff>
        </xdr:from>
        <xdr:to>
          <xdr:col>4</xdr:col>
          <xdr:colOff>1314450</xdr:colOff>
          <xdr:row>14</xdr:row>
          <xdr:rowOff>333375</xdr:rowOff>
        </xdr:to>
        <xdr:sp macro="" textlink="">
          <xdr:nvSpPr>
            <xdr:cNvPr id="1450049" name="Check Box 65" hidden="1">
              <a:extLst>
                <a:ext uri="{63B3BB69-23CF-44E3-9099-C40C66FF867C}">
                  <a14:compatExt spid="_x0000_s1450049"/>
                </a:ext>
                <a:ext uri="{FF2B5EF4-FFF2-40B4-BE49-F238E27FC236}">
                  <a16:creationId xmlns:a16="http://schemas.microsoft.com/office/drawing/2014/main" id="{00000000-0008-0000-2200-00004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15</xdr:row>
          <xdr:rowOff>95250</xdr:rowOff>
        </xdr:from>
        <xdr:to>
          <xdr:col>4</xdr:col>
          <xdr:colOff>1314450</xdr:colOff>
          <xdr:row>15</xdr:row>
          <xdr:rowOff>333375</xdr:rowOff>
        </xdr:to>
        <xdr:sp macro="" textlink="">
          <xdr:nvSpPr>
            <xdr:cNvPr id="1450050" name="Check Box 66" hidden="1">
              <a:extLst>
                <a:ext uri="{63B3BB69-23CF-44E3-9099-C40C66FF867C}">
                  <a14:compatExt spid="_x0000_s1450050"/>
                </a:ext>
                <a:ext uri="{FF2B5EF4-FFF2-40B4-BE49-F238E27FC236}">
                  <a16:creationId xmlns:a16="http://schemas.microsoft.com/office/drawing/2014/main" id="{00000000-0008-0000-2200-00004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16</xdr:row>
          <xdr:rowOff>85725</xdr:rowOff>
        </xdr:from>
        <xdr:to>
          <xdr:col>4</xdr:col>
          <xdr:colOff>1314450</xdr:colOff>
          <xdr:row>16</xdr:row>
          <xdr:rowOff>323850</xdr:rowOff>
        </xdr:to>
        <xdr:sp macro="" textlink="">
          <xdr:nvSpPr>
            <xdr:cNvPr id="1450051" name="Check Box 67" hidden="1">
              <a:extLst>
                <a:ext uri="{63B3BB69-23CF-44E3-9099-C40C66FF867C}">
                  <a14:compatExt spid="_x0000_s1450051"/>
                </a:ext>
                <a:ext uri="{FF2B5EF4-FFF2-40B4-BE49-F238E27FC236}">
                  <a16:creationId xmlns:a16="http://schemas.microsoft.com/office/drawing/2014/main" id="{00000000-0008-0000-2200-00004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17</xdr:row>
          <xdr:rowOff>85725</xdr:rowOff>
        </xdr:from>
        <xdr:to>
          <xdr:col>4</xdr:col>
          <xdr:colOff>1314450</xdr:colOff>
          <xdr:row>17</xdr:row>
          <xdr:rowOff>323850</xdr:rowOff>
        </xdr:to>
        <xdr:sp macro="" textlink="">
          <xdr:nvSpPr>
            <xdr:cNvPr id="1450052" name="Check Box 68" hidden="1">
              <a:extLst>
                <a:ext uri="{63B3BB69-23CF-44E3-9099-C40C66FF867C}">
                  <a14:compatExt spid="_x0000_s1450052"/>
                </a:ext>
                <a:ext uri="{FF2B5EF4-FFF2-40B4-BE49-F238E27FC236}">
                  <a16:creationId xmlns:a16="http://schemas.microsoft.com/office/drawing/2014/main" id="{00000000-0008-0000-2200-00004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18</xdr:row>
          <xdr:rowOff>85725</xdr:rowOff>
        </xdr:from>
        <xdr:to>
          <xdr:col>4</xdr:col>
          <xdr:colOff>1314450</xdr:colOff>
          <xdr:row>18</xdr:row>
          <xdr:rowOff>323850</xdr:rowOff>
        </xdr:to>
        <xdr:sp macro="" textlink="">
          <xdr:nvSpPr>
            <xdr:cNvPr id="1450053" name="Check Box 69" hidden="1">
              <a:extLst>
                <a:ext uri="{63B3BB69-23CF-44E3-9099-C40C66FF867C}">
                  <a14:compatExt spid="_x0000_s1450053"/>
                </a:ext>
                <a:ext uri="{FF2B5EF4-FFF2-40B4-BE49-F238E27FC236}">
                  <a16:creationId xmlns:a16="http://schemas.microsoft.com/office/drawing/2014/main" id="{00000000-0008-0000-2200-00004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19</xdr:row>
          <xdr:rowOff>85725</xdr:rowOff>
        </xdr:from>
        <xdr:to>
          <xdr:col>4</xdr:col>
          <xdr:colOff>1314450</xdr:colOff>
          <xdr:row>19</xdr:row>
          <xdr:rowOff>323850</xdr:rowOff>
        </xdr:to>
        <xdr:sp macro="" textlink="">
          <xdr:nvSpPr>
            <xdr:cNvPr id="1450054" name="Check Box 70" hidden="1">
              <a:extLst>
                <a:ext uri="{63B3BB69-23CF-44E3-9099-C40C66FF867C}">
                  <a14:compatExt spid="_x0000_s1450054"/>
                </a:ext>
                <a:ext uri="{FF2B5EF4-FFF2-40B4-BE49-F238E27FC236}">
                  <a16:creationId xmlns:a16="http://schemas.microsoft.com/office/drawing/2014/main" id="{00000000-0008-0000-2200-00004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20</xdr:row>
          <xdr:rowOff>85725</xdr:rowOff>
        </xdr:from>
        <xdr:to>
          <xdr:col>4</xdr:col>
          <xdr:colOff>1314450</xdr:colOff>
          <xdr:row>20</xdr:row>
          <xdr:rowOff>323850</xdr:rowOff>
        </xdr:to>
        <xdr:sp macro="" textlink="">
          <xdr:nvSpPr>
            <xdr:cNvPr id="1450055" name="Check Box 71" hidden="1">
              <a:extLst>
                <a:ext uri="{63B3BB69-23CF-44E3-9099-C40C66FF867C}">
                  <a14:compatExt spid="_x0000_s1450055"/>
                </a:ext>
                <a:ext uri="{FF2B5EF4-FFF2-40B4-BE49-F238E27FC236}">
                  <a16:creationId xmlns:a16="http://schemas.microsoft.com/office/drawing/2014/main" id="{00000000-0008-0000-2200-000047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7</xdr:row>
          <xdr:rowOff>190500</xdr:rowOff>
        </xdr:from>
        <xdr:to>
          <xdr:col>4</xdr:col>
          <xdr:colOff>0</xdr:colOff>
          <xdr:row>8</xdr:row>
          <xdr:rowOff>0</xdr:rowOff>
        </xdr:to>
        <xdr:sp macro="" textlink="">
          <xdr:nvSpPr>
            <xdr:cNvPr id="1450056" name="Check Box 72" hidden="1">
              <a:extLst>
                <a:ext uri="{63B3BB69-23CF-44E3-9099-C40C66FF867C}">
                  <a14:compatExt spid="_x0000_s1450056"/>
                </a:ext>
                <a:ext uri="{FF2B5EF4-FFF2-40B4-BE49-F238E27FC236}">
                  <a16:creationId xmlns:a16="http://schemas.microsoft.com/office/drawing/2014/main" id="{00000000-0008-0000-2200-000048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190500</xdr:rowOff>
        </xdr:from>
        <xdr:to>
          <xdr:col>2</xdr:col>
          <xdr:colOff>771525</xdr:colOff>
          <xdr:row>8</xdr:row>
          <xdr:rowOff>0</xdr:rowOff>
        </xdr:to>
        <xdr:sp macro="" textlink="">
          <xdr:nvSpPr>
            <xdr:cNvPr id="1450057" name="Check Box 73" hidden="1">
              <a:extLst>
                <a:ext uri="{63B3BB69-23CF-44E3-9099-C40C66FF867C}">
                  <a14:compatExt spid="_x0000_s1450057"/>
                </a:ext>
                <a:ext uri="{FF2B5EF4-FFF2-40B4-BE49-F238E27FC236}">
                  <a16:creationId xmlns:a16="http://schemas.microsoft.com/office/drawing/2014/main" id="{00000000-0008-0000-2200-000049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704850</xdr:colOff>
          <xdr:row>7</xdr:row>
          <xdr:rowOff>190500</xdr:rowOff>
        </xdr:from>
        <xdr:to>
          <xdr:col>3</xdr:col>
          <xdr:colOff>0</xdr:colOff>
          <xdr:row>8</xdr:row>
          <xdr:rowOff>0</xdr:rowOff>
        </xdr:to>
        <xdr:sp macro="" textlink="">
          <xdr:nvSpPr>
            <xdr:cNvPr id="1450058" name="Check Box 74" hidden="1">
              <a:extLst>
                <a:ext uri="{63B3BB69-23CF-44E3-9099-C40C66FF867C}">
                  <a14:compatExt spid="_x0000_s1450058"/>
                </a:ext>
                <a:ext uri="{FF2B5EF4-FFF2-40B4-BE49-F238E27FC236}">
                  <a16:creationId xmlns:a16="http://schemas.microsoft.com/office/drawing/2014/main" id="{00000000-0008-0000-2200-00004A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1</xdr:col>
          <xdr:colOff>781050</xdr:colOff>
          <xdr:row>8</xdr:row>
          <xdr:rowOff>0</xdr:rowOff>
        </xdr:to>
        <xdr:sp macro="" textlink="">
          <xdr:nvSpPr>
            <xdr:cNvPr id="1450059" name="Check Box 75" hidden="1">
              <a:extLst>
                <a:ext uri="{63B3BB69-23CF-44E3-9099-C40C66FF867C}">
                  <a14:compatExt spid="_x0000_s1450059"/>
                </a:ext>
                <a:ext uri="{FF2B5EF4-FFF2-40B4-BE49-F238E27FC236}">
                  <a16:creationId xmlns:a16="http://schemas.microsoft.com/office/drawing/2014/main" id="{00000000-0008-0000-2200-00004B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190500</xdr:rowOff>
        </xdr:from>
        <xdr:to>
          <xdr:col>1</xdr:col>
          <xdr:colOff>771525</xdr:colOff>
          <xdr:row>9</xdr:row>
          <xdr:rowOff>0</xdr:rowOff>
        </xdr:to>
        <xdr:sp macro="" textlink="">
          <xdr:nvSpPr>
            <xdr:cNvPr id="1450060" name="Check Box 76" hidden="1">
              <a:extLst>
                <a:ext uri="{63B3BB69-23CF-44E3-9099-C40C66FF867C}">
                  <a14:compatExt spid="_x0000_s1450060"/>
                </a:ext>
                <a:ext uri="{FF2B5EF4-FFF2-40B4-BE49-F238E27FC236}">
                  <a16:creationId xmlns:a16="http://schemas.microsoft.com/office/drawing/2014/main" id="{00000000-0008-0000-2200-00004C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1685925</xdr:colOff>
          <xdr:row>8</xdr:row>
          <xdr:rowOff>200025</xdr:rowOff>
        </xdr:from>
        <xdr:to>
          <xdr:col>2</xdr:col>
          <xdr:colOff>771525</xdr:colOff>
          <xdr:row>9</xdr:row>
          <xdr:rowOff>9525</xdr:rowOff>
        </xdr:to>
        <xdr:sp macro="" textlink="">
          <xdr:nvSpPr>
            <xdr:cNvPr id="1450061" name="Check Box 77" hidden="1">
              <a:extLst>
                <a:ext uri="{63B3BB69-23CF-44E3-9099-C40C66FF867C}">
                  <a14:compatExt spid="_x0000_s1450061"/>
                </a:ext>
                <a:ext uri="{FF2B5EF4-FFF2-40B4-BE49-F238E27FC236}">
                  <a16:creationId xmlns:a16="http://schemas.microsoft.com/office/drawing/2014/main" id="{00000000-0008-0000-2200-00004D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8</xdr:row>
          <xdr:rowOff>200025</xdr:rowOff>
        </xdr:from>
        <xdr:to>
          <xdr:col>2</xdr:col>
          <xdr:colOff>1590675</xdr:colOff>
          <xdr:row>9</xdr:row>
          <xdr:rowOff>9525</xdr:rowOff>
        </xdr:to>
        <xdr:sp macro="" textlink="">
          <xdr:nvSpPr>
            <xdr:cNvPr id="1450062" name="Check Box 78" hidden="1">
              <a:extLst>
                <a:ext uri="{63B3BB69-23CF-44E3-9099-C40C66FF867C}">
                  <a14:compatExt spid="_x0000_s1450062"/>
                </a:ext>
                <a:ext uri="{FF2B5EF4-FFF2-40B4-BE49-F238E27FC236}">
                  <a16:creationId xmlns:a16="http://schemas.microsoft.com/office/drawing/2014/main" id="{00000000-0008-0000-2200-00004E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209550</xdr:rowOff>
        </xdr:from>
        <xdr:to>
          <xdr:col>3</xdr:col>
          <xdr:colOff>771525</xdr:colOff>
          <xdr:row>9</xdr:row>
          <xdr:rowOff>19050</xdr:rowOff>
        </xdr:to>
        <xdr:sp macro="" textlink="">
          <xdr:nvSpPr>
            <xdr:cNvPr id="1450063" name="Check Box 79" hidden="1">
              <a:extLst>
                <a:ext uri="{63B3BB69-23CF-44E3-9099-C40C66FF867C}">
                  <a14:compatExt spid="_x0000_s1450063"/>
                </a:ext>
                <a:ext uri="{FF2B5EF4-FFF2-40B4-BE49-F238E27FC236}">
                  <a16:creationId xmlns:a16="http://schemas.microsoft.com/office/drawing/2014/main" id="{00000000-0008-0000-2200-00004F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8</xdr:row>
          <xdr:rowOff>209550</xdr:rowOff>
        </xdr:from>
        <xdr:to>
          <xdr:col>4</xdr:col>
          <xdr:colOff>0</xdr:colOff>
          <xdr:row>9</xdr:row>
          <xdr:rowOff>19050</xdr:rowOff>
        </xdr:to>
        <xdr:sp macro="" textlink="">
          <xdr:nvSpPr>
            <xdr:cNvPr id="1450064" name="Check Box 80" hidden="1">
              <a:extLst>
                <a:ext uri="{63B3BB69-23CF-44E3-9099-C40C66FF867C}">
                  <a14:compatExt spid="_x0000_s1450064"/>
                </a:ext>
                <a:ext uri="{FF2B5EF4-FFF2-40B4-BE49-F238E27FC236}">
                  <a16:creationId xmlns:a16="http://schemas.microsoft.com/office/drawing/2014/main" id="{00000000-0008-0000-2200-000050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200025</xdr:rowOff>
        </xdr:from>
        <xdr:to>
          <xdr:col>4</xdr:col>
          <xdr:colOff>781050</xdr:colOff>
          <xdr:row>9</xdr:row>
          <xdr:rowOff>9525</xdr:rowOff>
        </xdr:to>
        <xdr:sp macro="" textlink="">
          <xdr:nvSpPr>
            <xdr:cNvPr id="1450065" name="Check Box 81" hidden="1">
              <a:extLst>
                <a:ext uri="{63B3BB69-23CF-44E3-9099-C40C66FF867C}">
                  <a14:compatExt spid="_x0000_s1450065"/>
                </a:ext>
                <a:ext uri="{FF2B5EF4-FFF2-40B4-BE49-F238E27FC236}">
                  <a16:creationId xmlns:a16="http://schemas.microsoft.com/office/drawing/2014/main" id="{00000000-0008-0000-2200-00005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733425</xdr:colOff>
          <xdr:row>8</xdr:row>
          <xdr:rowOff>200025</xdr:rowOff>
        </xdr:from>
        <xdr:to>
          <xdr:col>5</xdr:col>
          <xdr:colOff>0</xdr:colOff>
          <xdr:row>9</xdr:row>
          <xdr:rowOff>9525</xdr:rowOff>
        </xdr:to>
        <xdr:sp macro="" textlink="">
          <xdr:nvSpPr>
            <xdr:cNvPr id="1450066" name="Check Box 82" hidden="1">
              <a:extLst>
                <a:ext uri="{63B3BB69-23CF-44E3-9099-C40C66FF867C}">
                  <a14:compatExt spid="_x0000_s1450066"/>
                </a:ext>
                <a:ext uri="{FF2B5EF4-FFF2-40B4-BE49-F238E27FC236}">
                  <a16:creationId xmlns:a16="http://schemas.microsoft.com/office/drawing/2014/main" id="{00000000-0008-0000-2200-00005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xdr:row>
          <xdr:rowOff>190500</xdr:rowOff>
        </xdr:from>
        <xdr:to>
          <xdr:col>5</xdr:col>
          <xdr:colOff>781050</xdr:colOff>
          <xdr:row>8</xdr:row>
          <xdr:rowOff>0</xdr:rowOff>
        </xdr:to>
        <xdr:sp macro="" textlink="">
          <xdr:nvSpPr>
            <xdr:cNvPr id="1450067" name="Check Box 83" hidden="1">
              <a:extLst>
                <a:ext uri="{63B3BB69-23CF-44E3-9099-C40C66FF867C}">
                  <a14:compatExt spid="_x0000_s1450067"/>
                </a:ext>
                <a:ext uri="{FF2B5EF4-FFF2-40B4-BE49-F238E27FC236}">
                  <a16:creationId xmlns:a16="http://schemas.microsoft.com/office/drawing/2014/main" id="{00000000-0008-0000-2200-00005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190500</xdr:rowOff>
        </xdr:from>
        <xdr:to>
          <xdr:col>4</xdr:col>
          <xdr:colOff>771525</xdr:colOff>
          <xdr:row>8</xdr:row>
          <xdr:rowOff>0</xdr:rowOff>
        </xdr:to>
        <xdr:sp macro="" textlink="">
          <xdr:nvSpPr>
            <xdr:cNvPr id="1450068" name="Check Box 84" hidden="1">
              <a:extLst>
                <a:ext uri="{63B3BB69-23CF-44E3-9099-C40C66FF867C}">
                  <a14:compatExt spid="_x0000_s1450068"/>
                </a:ext>
                <a:ext uri="{FF2B5EF4-FFF2-40B4-BE49-F238E27FC236}">
                  <a16:creationId xmlns:a16="http://schemas.microsoft.com/office/drawing/2014/main" id="{00000000-0008-0000-2200-00005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733425</xdr:colOff>
          <xdr:row>7</xdr:row>
          <xdr:rowOff>190500</xdr:rowOff>
        </xdr:from>
        <xdr:to>
          <xdr:col>5</xdr:col>
          <xdr:colOff>0</xdr:colOff>
          <xdr:row>8</xdr:row>
          <xdr:rowOff>0</xdr:rowOff>
        </xdr:to>
        <xdr:sp macro="" textlink="">
          <xdr:nvSpPr>
            <xdr:cNvPr id="1450069" name="Check Box 85" hidden="1">
              <a:extLst>
                <a:ext uri="{63B3BB69-23CF-44E3-9099-C40C66FF867C}">
                  <a14:compatExt spid="_x0000_s1450069"/>
                </a:ext>
                <a:ext uri="{FF2B5EF4-FFF2-40B4-BE49-F238E27FC236}">
                  <a16:creationId xmlns:a16="http://schemas.microsoft.com/office/drawing/2014/main" id="{00000000-0008-0000-2200-00005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xdr:row>
          <xdr:rowOff>190500</xdr:rowOff>
        </xdr:from>
        <xdr:to>
          <xdr:col>7</xdr:col>
          <xdr:colOff>771525</xdr:colOff>
          <xdr:row>8</xdr:row>
          <xdr:rowOff>0</xdr:rowOff>
        </xdr:to>
        <xdr:sp macro="" textlink="">
          <xdr:nvSpPr>
            <xdr:cNvPr id="1450070" name="Check Box 86" hidden="1">
              <a:extLst>
                <a:ext uri="{63B3BB69-23CF-44E3-9099-C40C66FF867C}">
                  <a14:compatExt spid="_x0000_s1450070"/>
                </a:ext>
                <a:ext uri="{FF2B5EF4-FFF2-40B4-BE49-F238E27FC236}">
                  <a16:creationId xmlns:a16="http://schemas.microsoft.com/office/drawing/2014/main" id="{00000000-0008-0000-2200-00005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1</xdr:col>
      <xdr:colOff>118555</xdr:colOff>
      <xdr:row>1</xdr:row>
      <xdr:rowOff>83930</xdr:rowOff>
    </xdr:from>
    <xdr:to>
      <xdr:col>1</xdr:col>
      <xdr:colOff>1167847</xdr:colOff>
      <xdr:row>1</xdr:row>
      <xdr:rowOff>554849</xdr:rowOff>
    </xdr:to>
    <xdr:pic>
      <xdr:nvPicPr>
        <xdr:cNvPr id="2" name="Image 1">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3330" y="169655"/>
          <a:ext cx="1049292" cy="4709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466725</xdr:colOff>
      <xdr:row>2</xdr:row>
      <xdr:rowOff>171449</xdr:rowOff>
    </xdr:from>
    <xdr:to>
      <xdr:col>6</xdr:col>
      <xdr:colOff>85726</xdr:colOff>
      <xdr:row>24</xdr:row>
      <xdr:rowOff>85725</xdr:rowOff>
    </xdr:to>
    <xdr:pic>
      <xdr:nvPicPr>
        <xdr:cNvPr id="5" name="Image 4">
          <a:extLst>
            <a:ext uri="{FF2B5EF4-FFF2-40B4-BE49-F238E27FC236}">
              <a16:creationId xmlns:a16="http://schemas.microsoft.com/office/drawing/2014/main" id="{00000000-0008-0000-2300-000005000000}"/>
            </a:ext>
          </a:extLst>
        </xdr:cNvPr>
        <xdr:cNvPicPr>
          <a:picLocks noChangeAspect="1"/>
        </xdr:cNvPicPr>
      </xdr:nvPicPr>
      <xdr:blipFill rotWithShape="1">
        <a:blip xmlns:r="http://schemas.openxmlformats.org/officeDocument/2006/relationships" r:embed="rId2"/>
        <a:srcRect l="6263" t="6235" r="6356" b="6386"/>
        <a:stretch/>
      </xdr:blipFill>
      <xdr:spPr>
        <a:xfrm>
          <a:off x="1924050" y="866774"/>
          <a:ext cx="2790826" cy="247650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57150</xdr:colOff>
      <xdr:row>0</xdr:row>
      <xdr:rowOff>85725</xdr:rowOff>
    </xdr:from>
    <xdr:to>
      <xdr:col>0</xdr:col>
      <xdr:colOff>1010522</xdr:colOff>
      <xdr:row>2</xdr:row>
      <xdr:rowOff>47625</xdr:rowOff>
    </xdr:to>
    <xdr:pic>
      <xdr:nvPicPr>
        <xdr:cNvPr id="7" name="Image 6">
          <a:extLst>
            <a:ext uri="{FF2B5EF4-FFF2-40B4-BE49-F238E27FC236}">
              <a16:creationId xmlns:a16="http://schemas.microsoft.com/office/drawing/2014/main" id="{00000000-0008-0000-2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7150" y="857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1</xdr:col>
      <xdr:colOff>715247</xdr:colOff>
      <xdr:row>0</xdr:row>
      <xdr:rowOff>504825</xdr:rowOff>
    </xdr:to>
    <xdr:pic>
      <xdr:nvPicPr>
        <xdr:cNvPr id="3" name="Image 2">
          <a:extLst>
            <a:ext uri="{FF2B5EF4-FFF2-40B4-BE49-F238E27FC236}">
              <a16:creationId xmlns:a16="http://schemas.microsoft.com/office/drawing/2014/main" id="{00000000-0008-0000-2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857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66676</xdr:colOff>
      <xdr:row>0</xdr:row>
      <xdr:rowOff>66677</xdr:rowOff>
    </xdr:from>
    <xdr:to>
      <xdr:col>2</xdr:col>
      <xdr:colOff>733425</xdr:colOff>
      <xdr:row>2</xdr:row>
      <xdr:rowOff>58238</xdr:rowOff>
    </xdr:to>
    <xdr:pic>
      <xdr:nvPicPr>
        <xdr:cNvPr id="2" name="Image 1">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6" y="66677"/>
          <a:ext cx="1085849" cy="4773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6</xdr:col>
      <xdr:colOff>323850</xdr:colOff>
      <xdr:row>55</xdr:row>
      <xdr:rowOff>142874</xdr:rowOff>
    </xdr:from>
    <xdr:to>
      <xdr:col>7</xdr:col>
      <xdr:colOff>136525</xdr:colOff>
      <xdr:row>56</xdr:row>
      <xdr:rowOff>285749</xdr:rowOff>
    </xdr:to>
    <xdr:grpSp>
      <xdr:nvGrpSpPr>
        <xdr:cNvPr id="2" name="Groupe 1">
          <a:extLst>
            <a:ext uri="{FF2B5EF4-FFF2-40B4-BE49-F238E27FC236}">
              <a16:creationId xmlns:a16="http://schemas.microsoft.com/office/drawing/2014/main" id="{00000000-0008-0000-2700-000002000000}"/>
            </a:ext>
          </a:extLst>
        </xdr:cNvPr>
        <xdr:cNvGrpSpPr/>
      </xdr:nvGrpSpPr>
      <xdr:grpSpPr>
        <a:xfrm>
          <a:off x="6067425" y="18630899"/>
          <a:ext cx="422275" cy="542925"/>
          <a:chOff x="241021" y="-18223"/>
          <a:chExt cx="594879" cy="519320"/>
        </a:xfrm>
      </xdr:grpSpPr>
      <xdr:sp macro="" textlink="">
        <xdr:nvSpPr>
          <xdr:cNvPr id="3" name="Zone de texte 2">
            <a:extLst>
              <a:ext uri="{FF2B5EF4-FFF2-40B4-BE49-F238E27FC236}">
                <a16:creationId xmlns:a16="http://schemas.microsoft.com/office/drawing/2014/main" id="{00000000-0008-0000-2700-000003000000}"/>
              </a:ext>
            </a:extLst>
          </xdr:cNvPr>
          <xdr:cNvSpPr txBox="1">
            <a:spLocks noChangeArrowheads="1"/>
          </xdr:cNvSpPr>
        </xdr:nvSpPr>
        <xdr:spPr bwMode="auto">
          <a:xfrm>
            <a:off x="241021" y="91108"/>
            <a:ext cx="594879" cy="290332"/>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fr-FR" sz="1100">
                <a:effectLst/>
                <a:latin typeface="Calibri"/>
                <a:ea typeface="Calibri"/>
                <a:cs typeface="Times New Roman"/>
              </a:rPr>
              <a:t>ou</a:t>
            </a:r>
            <a:endParaRPr lang="fr-FR" sz="1600">
              <a:effectLst/>
              <a:latin typeface="Calibri"/>
              <a:ea typeface="Calibri"/>
              <a:cs typeface="Times New Roman"/>
            </a:endParaRPr>
          </a:p>
        </xdr:txBody>
      </xdr:sp>
      <xdr:sp macro="" textlink="">
        <xdr:nvSpPr>
          <xdr:cNvPr id="4" name="Accolade ouvrante 3">
            <a:extLst>
              <a:ext uri="{FF2B5EF4-FFF2-40B4-BE49-F238E27FC236}">
                <a16:creationId xmlns:a16="http://schemas.microsoft.com/office/drawing/2014/main" id="{00000000-0008-0000-2700-000004000000}"/>
              </a:ext>
            </a:extLst>
          </xdr:cNvPr>
          <xdr:cNvSpPr/>
        </xdr:nvSpPr>
        <xdr:spPr>
          <a:xfrm>
            <a:off x="254442" y="-18223"/>
            <a:ext cx="134180" cy="519320"/>
          </a:xfrm>
          <a:prstGeom prst="leftBrace">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fr-FR"/>
          </a:p>
        </xdr:txBody>
      </xdr:sp>
    </xdr:grpSp>
    <xdr:clientData/>
  </xdr:twoCellAnchor>
  <xdr:twoCellAnchor>
    <xdr:from>
      <xdr:col>2</xdr:col>
      <xdr:colOff>695326</xdr:colOff>
      <xdr:row>55</xdr:row>
      <xdr:rowOff>142875</xdr:rowOff>
    </xdr:from>
    <xdr:to>
      <xdr:col>3</xdr:col>
      <xdr:colOff>76200</xdr:colOff>
      <xdr:row>56</xdr:row>
      <xdr:rowOff>238124</xdr:rowOff>
    </xdr:to>
    <xdr:grpSp>
      <xdr:nvGrpSpPr>
        <xdr:cNvPr id="5" name="Groupe 4">
          <a:extLst>
            <a:ext uri="{FF2B5EF4-FFF2-40B4-BE49-F238E27FC236}">
              <a16:creationId xmlns:a16="http://schemas.microsoft.com/office/drawing/2014/main" id="{00000000-0008-0000-2700-000005000000}"/>
            </a:ext>
          </a:extLst>
        </xdr:cNvPr>
        <xdr:cNvGrpSpPr/>
      </xdr:nvGrpSpPr>
      <xdr:grpSpPr>
        <a:xfrm>
          <a:off x="2543176" y="18630900"/>
          <a:ext cx="400049" cy="495299"/>
          <a:chOff x="254442" y="0"/>
          <a:chExt cx="552836" cy="437322"/>
        </a:xfrm>
      </xdr:grpSpPr>
      <xdr:sp macro="" textlink="">
        <xdr:nvSpPr>
          <xdr:cNvPr id="6" name="Zone de texte 2">
            <a:extLst>
              <a:ext uri="{FF2B5EF4-FFF2-40B4-BE49-F238E27FC236}">
                <a16:creationId xmlns:a16="http://schemas.microsoft.com/office/drawing/2014/main" id="{00000000-0008-0000-2700-000006000000}"/>
              </a:ext>
            </a:extLst>
          </xdr:cNvPr>
          <xdr:cNvSpPr txBox="1">
            <a:spLocks noChangeArrowheads="1"/>
          </xdr:cNvSpPr>
        </xdr:nvSpPr>
        <xdr:spPr bwMode="auto">
          <a:xfrm>
            <a:off x="262383" y="95415"/>
            <a:ext cx="544895" cy="222250"/>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fr-FR" sz="1100">
                <a:effectLst/>
                <a:latin typeface="Calibri"/>
                <a:ea typeface="Calibri"/>
                <a:cs typeface="Times New Roman"/>
              </a:rPr>
              <a:t>ou</a:t>
            </a:r>
            <a:endParaRPr lang="fr-FR" sz="1600">
              <a:effectLst/>
              <a:latin typeface="Calibri"/>
              <a:ea typeface="Calibri"/>
              <a:cs typeface="Times New Roman"/>
            </a:endParaRPr>
          </a:p>
        </xdr:txBody>
      </xdr:sp>
      <xdr:sp macro="" textlink="">
        <xdr:nvSpPr>
          <xdr:cNvPr id="7" name="Accolade ouvrante 6">
            <a:extLst>
              <a:ext uri="{FF2B5EF4-FFF2-40B4-BE49-F238E27FC236}">
                <a16:creationId xmlns:a16="http://schemas.microsoft.com/office/drawing/2014/main" id="{00000000-0008-0000-2700-000007000000}"/>
              </a:ext>
            </a:extLst>
          </xdr:cNvPr>
          <xdr:cNvSpPr/>
        </xdr:nvSpPr>
        <xdr:spPr>
          <a:xfrm>
            <a:off x="254442" y="0"/>
            <a:ext cx="103367" cy="437322"/>
          </a:xfrm>
          <a:prstGeom prst="leftBrace">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fr-FR"/>
          </a:p>
        </xdr:txBody>
      </xdr:sp>
    </xdr:grpSp>
    <xdr:clientData/>
  </xdr:twoCellAnchor>
  <xdr:twoCellAnchor editAs="oneCell">
    <xdr:from>
      <xdr:col>0</xdr:col>
      <xdr:colOff>47626</xdr:colOff>
      <xdr:row>0</xdr:row>
      <xdr:rowOff>52650</xdr:rowOff>
    </xdr:from>
    <xdr:to>
      <xdr:col>1</xdr:col>
      <xdr:colOff>180976</xdr:colOff>
      <xdr:row>0</xdr:row>
      <xdr:rowOff>465761</xdr:rowOff>
    </xdr:to>
    <xdr:pic>
      <xdr:nvPicPr>
        <xdr:cNvPr id="8" name="Image 7">
          <a:extLst>
            <a:ext uri="{FF2B5EF4-FFF2-40B4-BE49-F238E27FC236}">
              <a16:creationId xmlns:a16="http://schemas.microsoft.com/office/drawing/2014/main" id="{00000000-0008-0000-27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9076" y="52650"/>
          <a:ext cx="971550" cy="413111"/>
        </a:xfrm>
        <a:prstGeom prst="rect">
          <a:avLst/>
        </a:prstGeom>
      </xdr:spPr>
    </xdr:pic>
    <xdr:clientData/>
  </xdr:twoCellAnchor>
  <xdr:twoCellAnchor editAs="oneCell">
    <xdr:from>
      <xdr:col>0</xdr:col>
      <xdr:colOff>66675</xdr:colOff>
      <xdr:row>41</xdr:row>
      <xdr:rowOff>76200</xdr:rowOff>
    </xdr:from>
    <xdr:to>
      <xdr:col>1</xdr:col>
      <xdr:colOff>200025</xdr:colOff>
      <xdr:row>41</xdr:row>
      <xdr:rowOff>489311</xdr:rowOff>
    </xdr:to>
    <xdr:pic>
      <xdr:nvPicPr>
        <xdr:cNvPr id="9" name="Image 8">
          <a:extLst>
            <a:ext uri="{FF2B5EF4-FFF2-40B4-BE49-F238E27FC236}">
              <a16:creationId xmlns:a16="http://schemas.microsoft.com/office/drawing/2014/main" id="{00000000-0008-0000-27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8125" y="12896850"/>
          <a:ext cx="971550" cy="41311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vso26fichier\sobeca\siege\Partages\Dossier%20Chantier\Liste%20contr&#244;les%20&#224;%20r&#233;aliser%2003%2004%20200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ereso.intranet.local/Partages/Dossier%20Chantier/MASTER%20dossier%20chantier%20V2017.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ereso.intranet.local/Partages/Dossier%20Chantier/2018/20180227/Divers.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mherault/AppData/Local/Microsoft/Windows/Temporary%20Internet%20Files/Content.Outlook/80839TFG/Dossier%20chantier%20-%20All&#233;g&#233;_vPOH.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5.2.Ch"/>
    </sheetNames>
    <sheetDataSet>
      <sheetData sheetId="0">
        <row r="37">
          <cell r="C37" t="str">
            <v>Contrôle de la flèche</v>
          </cell>
          <cell r="G37" t="str">
            <v>RC</v>
          </cell>
          <cell r="H37" t="str">
            <v>Bordure et voirie</v>
          </cell>
          <cell r="J37" t="str">
            <v>Balai électrique</v>
          </cell>
          <cell r="M37" t="str">
            <v>Carnet de relevé de pente</v>
          </cell>
        </row>
        <row r="38">
          <cell r="C38" t="str">
            <v>Contrôle de régularité du profil (profil en long)</v>
          </cell>
          <cell r="G38" t="str">
            <v>APAVE</v>
          </cell>
          <cell r="H38" t="str">
            <v>Fourreaux acier pour tuyau gaz</v>
          </cell>
          <cell r="J38" t="str">
            <v>Balle en mousse</v>
          </cell>
          <cell r="M38" t="str">
            <v>Carnet de soudure</v>
          </cell>
        </row>
        <row r="39">
          <cell r="C39" t="str">
            <v>Contrôle de stabilité des murs (soutènement)</v>
          </cell>
          <cell r="G39" t="str">
            <v>Client</v>
          </cell>
          <cell r="H39" t="str">
            <v>Parking et voirie</v>
          </cell>
          <cell r="J39" t="str">
            <v>Détecteur de fréquences</v>
          </cell>
          <cell r="M39" t="str">
            <v>Certificat du laboratoire annexe</v>
          </cell>
        </row>
        <row r="40">
          <cell r="C40" t="str">
            <v>Contrôle d'écoulement des murs (soutènement)</v>
          </cell>
          <cell r="G40" t="str">
            <v>Electricien</v>
          </cell>
          <cell r="H40" t="str">
            <v>Tout  type de canalisation</v>
          </cell>
          <cell r="J40" t="str">
            <v>Dynamomètre</v>
          </cell>
          <cell r="M40" t="str">
            <v>Fiche de déroulage</v>
          </cell>
        </row>
        <row r="41">
          <cell r="C41" t="str">
            <v>Contrôle pente altimétrie</v>
          </cell>
          <cell r="G41" t="str">
            <v>Laboratoire annexe</v>
          </cell>
          <cell r="H41" t="str">
            <v>Tout câble en triphasé</v>
          </cell>
          <cell r="J41" t="str">
            <v>Dynaplaque</v>
          </cell>
          <cell r="M41" t="str">
            <v xml:space="preserve">Fiche de mandrinage FT </v>
          </cell>
        </row>
        <row r="42">
          <cell r="C42" t="str">
            <v>Contrôle soudure</v>
          </cell>
          <cell r="G42" t="str">
            <v>Maçon</v>
          </cell>
          <cell r="H42" t="str">
            <v>Tout déroulage réalisé au treuil</v>
          </cell>
          <cell r="J42" t="str">
            <v>Events</v>
          </cell>
          <cell r="M42" t="str">
            <v xml:space="preserve">Fiche de mandrinage FT ou relevé d'alvéole </v>
          </cell>
        </row>
        <row r="43">
          <cell r="C43" t="str">
            <v>Contrôles HTB</v>
          </cell>
          <cell r="G43" t="str">
            <v>Organisme de contrôle</v>
          </cell>
          <cell r="H43" t="str">
            <v>Tout mur en éléments préfabriqués</v>
          </cell>
          <cell r="J43" t="str">
            <v>Mandrin ou gabarit</v>
          </cell>
          <cell r="M43" t="str">
            <v>Fiche technique de prise de terre</v>
          </cell>
        </row>
        <row r="44">
          <cell r="C44" t="str">
            <v xml:space="preserve">Effort de tirage </v>
          </cell>
          <cell r="G44" t="str">
            <v>RC ou Electricien</v>
          </cell>
          <cell r="H44" t="str">
            <v>Tout tuyau FT</v>
          </cell>
          <cell r="J44" t="str">
            <v>Mètre ruban</v>
          </cell>
          <cell r="M44" t="str">
            <v>Formulaire de profil</v>
          </cell>
        </row>
        <row r="45">
          <cell r="C45" t="str">
            <v>Epaisseur du lit de sable</v>
          </cell>
          <cell r="G45" t="str">
            <v>RC ou maçon</v>
          </cell>
          <cell r="H45" t="str">
            <v xml:space="preserve">Tout tuyau gaz acier </v>
          </cell>
          <cell r="J45" t="str">
            <v>Mousse synthétique</v>
          </cell>
          <cell r="M45" t="str">
            <v>Plan de contrôle réseau aérien</v>
          </cell>
        </row>
        <row r="46">
          <cell r="C46" t="str">
            <v>Epaisseur du radier béton</v>
          </cell>
          <cell r="G46" t="str">
            <v>RC ou releveur</v>
          </cell>
          <cell r="H46" t="str">
            <v xml:space="preserve">Tout tuyau gaz acier </v>
          </cell>
          <cell r="J46" t="str">
            <v>Niveau optique</v>
          </cell>
          <cell r="M46" t="str">
            <v>Plan minute</v>
          </cell>
        </row>
        <row r="47">
          <cell r="C47" t="str">
            <v>Essai de compactage</v>
          </cell>
          <cell r="G47" t="str">
            <v>RC ou Soudeur</v>
          </cell>
          <cell r="H47" t="str">
            <v>Tout type de tuyau</v>
          </cell>
          <cell r="J47" t="str">
            <v>Nivelette</v>
          </cell>
          <cell r="M47" t="str">
            <v>Plan minute (profil)</v>
          </cell>
        </row>
        <row r="48">
          <cell r="C48" t="str">
            <v>Essai de conduite GAZ</v>
          </cell>
          <cell r="G48" t="str">
            <v>Releveur</v>
          </cell>
          <cell r="H48" t="str">
            <v>Tout type de tuyau d'assainissement</v>
          </cell>
          <cell r="J48" t="str">
            <v xml:space="preserve">Pénétromètre panda ou PG 1000 </v>
          </cell>
          <cell r="M48" t="str">
            <v>Procès verbal d'essai d'étanchéité de conduite GAZ</v>
          </cell>
        </row>
        <row r="49">
          <cell r="C49" t="str">
            <v>Essai de mandrinage</v>
          </cell>
          <cell r="G49" t="str">
            <v>Soudeur</v>
          </cell>
          <cell r="H49" t="str">
            <v>Toute mise à la terre</v>
          </cell>
          <cell r="J49" t="str">
            <v>Pompe à essai</v>
          </cell>
          <cell r="M49" t="str">
            <v>Relevé Graphique</v>
          </cell>
        </row>
        <row r="50">
          <cell r="C50" t="str">
            <v>Essai de portance</v>
          </cell>
          <cell r="H50" t="str">
            <v>Tuyau gaz acier</v>
          </cell>
          <cell r="J50" t="str">
            <v>Règle au mercure ou DPI</v>
          </cell>
          <cell r="M50" t="str">
            <v>Relevé Graphique ou plan minute</v>
          </cell>
        </row>
        <row r="51">
          <cell r="C51" t="str">
            <v>Essai d'étanchéité à l'air</v>
          </cell>
          <cell r="J51" t="str">
            <v>Règle au mercure ou DPI</v>
          </cell>
          <cell r="M51" t="str">
            <v>Vie de chantier</v>
          </cell>
        </row>
        <row r="52">
          <cell r="C52" t="str">
            <v>Essai d'étanchéité à l'eau</v>
          </cell>
          <cell r="J52" t="str">
            <v>Rotorphase</v>
          </cell>
        </row>
        <row r="53">
          <cell r="C53" t="str">
            <v>Mesure de la protection cathodique</v>
          </cell>
          <cell r="J53" t="str">
            <v>Sarbacane ou drainage</v>
          </cell>
        </row>
        <row r="54">
          <cell r="C54" t="str">
            <v>Mise en place d'évents</v>
          </cell>
          <cell r="J54" t="str">
            <v>Telluromètre ou ohmmètre</v>
          </cell>
        </row>
        <row r="55">
          <cell r="C55" t="str">
            <v>Nettoyage d'un tuyau GAZ</v>
          </cell>
          <cell r="J55" t="str">
            <v>Visuel</v>
          </cell>
        </row>
        <row r="56">
          <cell r="C56" t="str">
            <v>Profondeur de tranchée</v>
          </cell>
        </row>
        <row r="57">
          <cell r="C57" t="str">
            <v>Rebouchage entre le fourreau et la canalisation</v>
          </cell>
        </row>
        <row r="58">
          <cell r="C58" t="str">
            <v>Relevé d'alvéoles de PVC France télécoms ou autre</v>
          </cell>
        </row>
        <row r="59">
          <cell r="C59" t="str">
            <v>Relevé de profil</v>
          </cell>
        </row>
        <row r="60">
          <cell r="C60" t="str">
            <v>Relevé des prises de terre</v>
          </cell>
        </row>
        <row r="61">
          <cell r="C61" t="str">
            <v>Respect des coupes types</v>
          </cell>
        </row>
        <row r="62">
          <cell r="C62" t="str">
            <v>Rotation de phase</v>
          </cell>
        </row>
        <row r="63">
          <cell r="C63" t="str">
            <v>Test d'isolement  d'un câble électrique</v>
          </cell>
        </row>
        <row r="64">
          <cell r="C64" t="str">
            <v>Test d'isolement d'une canalisation acier</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uil2"/>
      <sheetName val="NOTICE"/>
      <sheetName val="Impression"/>
      <sheetName val="1.Af"/>
      <sheetName val="2.Af"/>
      <sheetName val="3.Af"/>
      <sheetName val="4.Af"/>
      <sheetName val="Page de Garde"/>
      <sheetName val="Petites Interv."/>
      <sheetName val="Croisement réseaux"/>
      <sheetName val="Déroulage"/>
      <sheetName val="Fiche prépa"/>
      <sheetName val="Fiche prépa Indus Tertiaire"/>
      <sheetName val="Coexistence"/>
      <sheetName val="Compactage"/>
      <sheetName val="1.Ch"/>
      <sheetName val="I1.MAT"/>
      <sheetName val="I1.HTB"/>
      <sheetName val="I1.Indus Tertiaire"/>
      <sheetName val="13.1.Ch"/>
      <sheetName val="1.1.Ch"/>
      <sheetName val="1.2.Ch"/>
      <sheetName val="1.2.1.Ch"/>
      <sheetName val="1.3.Ch"/>
      <sheetName val="1.4.Ch"/>
      <sheetName val="1.5.Ch"/>
      <sheetName val="1.6.Ch"/>
      <sheetName val="1.7.Ch"/>
      <sheetName val="1.8.Ch"/>
      <sheetName val="2.Ch"/>
      <sheetName val="I2.HTB"/>
      <sheetName val="I2.Indus Tertiaire"/>
      <sheetName val="I2.MAT"/>
      <sheetName val="12.1.Ch"/>
      <sheetName val="12.2.Ch"/>
      <sheetName val="12.3.Ch"/>
      <sheetName val="3.Ch"/>
      <sheetName val="I3.HTB"/>
      <sheetName val="I3.Indus Tertiaire"/>
      <sheetName val="14.2.Ch"/>
      <sheetName val="4.Ch"/>
      <sheetName val="I4.HTB"/>
      <sheetName val="I4.Indus Tertiaire"/>
      <sheetName val="14.3.Ch"/>
      <sheetName val="5.Ch"/>
      <sheetName val="I5.HTB"/>
      <sheetName val="5.1.Ch"/>
      <sheetName val="5.1.A.Ch"/>
      <sheetName val="5.2.Ch"/>
      <sheetName val="5.3.Ch"/>
      <sheetName val="5.4.Ch"/>
      <sheetName val="5.6.Ch"/>
      <sheetName val="5.8.Ch"/>
      <sheetName val="5.9.Ch"/>
      <sheetName val="5.11.Ch"/>
      <sheetName val="5.12.Ch"/>
      <sheetName val="5.13.B.Ch"/>
      <sheetName val="5.14.Ch"/>
      <sheetName val="5.15.Ch"/>
      <sheetName val="5.16.Ch"/>
      <sheetName val="5.17.Ch"/>
      <sheetName val="5.18.Ch"/>
      <sheetName val="5.18.B.Ch"/>
      <sheetName val="5.19.Ch"/>
      <sheetName val="5.20.Ch"/>
      <sheetName val="5.21.Ch"/>
      <sheetName val="5.22.B.Ch"/>
      <sheetName val="5.22.D.Ch"/>
      <sheetName val="5.22.E.Ch"/>
      <sheetName val="5.23.Ch"/>
      <sheetName val="5.24.Ch"/>
      <sheetName val="5.25.Ch"/>
      <sheetName val="5.44.Ch"/>
      <sheetName val="5.45.Ch"/>
      <sheetName val="5.46.Ch"/>
      <sheetName val="5.47.Ch"/>
      <sheetName val="5.48.Ch"/>
      <sheetName val="5.49.Ch"/>
      <sheetName val="5.57.Ch"/>
      <sheetName val="5.58.Ch"/>
      <sheetName val="5.59.Ch"/>
      <sheetName val="5.60.Ch"/>
      <sheetName val="5.66.Ch"/>
      <sheetName val="5.67.Ch"/>
      <sheetName val="6.Ch"/>
      <sheetName val="I6.HTB"/>
      <sheetName val="6.4.Ch"/>
      <sheetName val="6.5.Ch"/>
      <sheetName val="6.6.Ch"/>
      <sheetName val="6.7.Ch"/>
      <sheetName val="6.8.Ch"/>
      <sheetName val="6.9.Ch"/>
      <sheetName val="6.15.Ch"/>
      <sheetName val="7.Ch"/>
      <sheetName val="I7.HTB"/>
      <sheetName val="7.3.Ch"/>
      <sheetName val="I8.HTB"/>
      <sheetName val="8.5.Ch"/>
      <sheetName val="8.6.Ch"/>
      <sheetName val="8.7.Ch"/>
      <sheetName val="8.8.Ch"/>
      <sheetName val="8.9.Ch"/>
      <sheetName val="8.10.Ch"/>
      <sheetName val="8.11.Ch"/>
      <sheetName val="8.12.Ch"/>
      <sheetName val="8.13.Ch"/>
      <sheetName val="8.14.Ch"/>
      <sheetName val="8.15.Ch"/>
      <sheetName val="8.16.Ch"/>
      <sheetName val="8.17.Ch"/>
      <sheetName val="8.18.Ch"/>
      <sheetName val="8.19.Ch"/>
      <sheetName val="8.20.A.Ch"/>
      <sheetName val="8.20.B.Ch"/>
      <sheetName val="8.21.Ch"/>
      <sheetName val="I9.HTB"/>
      <sheetName val="I10.HTB"/>
      <sheetName val="10.3.Ch"/>
      <sheetName val="10.6.Ch"/>
      <sheetName val="10.9.Ch"/>
      <sheetName val="10.10.Ch"/>
      <sheetName val="10.12.Ch"/>
      <sheetName val="10.13.Ch"/>
      <sheetName val="10.14.Ch"/>
      <sheetName val="11.2.Ch"/>
      <sheetName val="13.4.Ch"/>
      <sheetName val="13.5.Ch"/>
      <sheetName val="13.6.Ch"/>
    </sheetNames>
    <sheetDataSet>
      <sheetData sheetId="0"/>
      <sheetData sheetId="1"/>
      <sheetData sheetId="2"/>
      <sheetData sheetId="3"/>
      <sheetData sheetId="4"/>
      <sheetData sheetId="5"/>
      <sheetData sheetId="6"/>
      <sheetData sheetId="7">
        <row r="62">
          <cell r="B62" t="str">
            <v>ADEM OUEST</v>
          </cell>
        </row>
        <row r="63">
          <cell r="B63" t="str">
            <v>AIX EN PROVENCE</v>
          </cell>
        </row>
        <row r="64">
          <cell r="B64" t="str">
            <v>ANSE</v>
          </cell>
        </row>
        <row r="65">
          <cell r="B65" t="str">
            <v>ANSE MECANIQUE</v>
          </cell>
        </row>
        <row r="66">
          <cell r="B66" t="str">
            <v>BABOLAT ELECTRICITE</v>
          </cell>
        </row>
        <row r="67">
          <cell r="B67" t="str">
            <v>BBF RESEAUX</v>
          </cell>
        </row>
        <row r="68">
          <cell r="B68" t="str">
            <v>BEAUNE</v>
          </cell>
        </row>
        <row r="69">
          <cell r="B69" t="str">
            <v>BEAUVAIS</v>
          </cell>
        </row>
        <row r="70">
          <cell r="B70" t="str">
            <v>BERGERAC</v>
          </cell>
        </row>
        <row r="71">
          <cell r="B71" t="str">
            <v>BESANCON</v>
          </cell>
        </row>
        <row r="72">
          <cell r="B72" t="str">
            <v>BEZIERS</v>
          </cell>
        </row>
        <row r="73">
          <cell r="B73" t="str">
            <v>BORDEAUX</v>
          </cell>
        </row>
        <row r="74">
          <cell r="B74" t="str">
            <v>BORDEAUX MECANIQUE</v>
          </cell>
        </row>
        <row r="75">
          <cell r="B75" t="str">
            <v>CAVAILLON</v>
          </cell>
        </row>
        <row r="76">
          <cell r="B76" t="str">
            <v>CERGY</v>
          </cell>
        </row>
        <row r="77">
          <cell r="B77" t="str">
            <v>CERGY MECANIQUE</v>
          </cell>
        </row>
        <row r="78">
          <cell r="B78" t="str">
            <v>CHAZAL ST PRIEST</v>
          </cell>
        </row>
        <row r="79">
          <cell r="B79" t="str">
            <v>CLERMONT-FERRAND</v>
          </cell>
        </row>
        <row r="80">
          <cell r="B80" t="str">
            <v>CORBAS</v>
          </cell>
        </row>
        <row r="81">
          <cell r="B81" t="str">
            <v>CRETEIL</v>
          </cell>
        </row>
        <row r="82">
          <cell r="B82" t="str">
            <v>DEAL HYDRAULIQUE</v>
          </cell>
        </row>
        <row r="83">
          <cell r="B83" t="str">
            <v>ENSISHEIM</v>
          </cell>
        </row>
        <row r="84">
          <cell r="B84" t="str">
            <v>EREC TECHNOLOGIES</v>
          </cell>
        </row>
        <row r="85">
          <cell r="B85" t="str">
            <v>GOUSSAINVILLE</v>
          </cell>
        </row>
        <row r="86">
          <cell r="B86" t="str">
            <v>GRAMARI</v>
          </cell>
        </row>
        <row r="87">
          <cell r="B87" t="str">
            <v>HTB CSE</v>
          </cell>
        </row>
        <row r="88">
          <cell r="B88" t="str">
            <v>IMBSHEIM</v>
          </cell>
        </row>
        <row r="89">
          <cell r="B89" t="str">
            <v>LENT</v>
          </cell>
        </row>
        <row r="90">
          <cell r="B90" t="str">
            <v>MARANGE</v>
          </cell>
        </row>
        <row r="91">
          <cell r="B91" t="str">
            <v>MATERIEL</v>
          </cell>
        </row>
        <row r="92">
          <cell r="B92" t="str">
            <v>MELUN</v>
          </cell>
        </row>
        <row r="93">
          <cell r="B93" t="str">
            <v>MONTELIMAR</v>
          </cell>
        </row>
        <row r="94">
          <cell r="B94" t="str">
            <v>NEUVY GRANDCHAMP</v>
          </cell>
        </row>
        <row r="95">
          <cell r="B95" t="str">
            <v>ORLEANS</v>
          </cell>
        </row>
        <row r="96">
          <cell r="B96" t="str">
            <v>PONS</v>
          </cell>
        </row>
        <row r="97">
          <cell r="B97" t="str">
            <v>RECYCLAGE</v>
          </cell>
        </row>
        <row r="98">
          <cell r="B98" t="str">
            <v>RESONANCE</v>
          </cell>
        </row>
        <row r="99">
          <cell r="B99" t="str">
            <v>ROESSEL</v>
          </cell>
        </row>
        <row r="100">
          <cell r="B100" t="str">
            <v>SAINT ETIENNE</v>
          </cell>
        </row>
        <row r="101">
          <cell r="B101" t="str">
            <v>SAINT JEAN DE LUZ</v>
          </cell>
        </row>
        <row r="102">
          <cell r="B102" t="str">
            <v>SCEB</v>
          </cell>
        </row>
        <row r="103">
          <cell r="B103" t="str">
            <v>SCIONZIER</v>
          </cell>
        </row>
        <row r="104">
          <cell r="B104" t="str">
            <v>SELLES SUR CHER</v>
          </cell>
        </row>
        <row r="105">
          <cell r="B105" t="str">
            <v>SERANGE</v>
          </cell>
        </row>
        <row r="106">
          <cell r="B106" t="str">
            <v>SERVICE MATERIEL</v>
          </cell>
        </row>
        <row r="107">
          <cell r="B107" t="str">
            <v>SOBECAMAT IDF</v>
          </cell>
        </row>
        <row r="108">
          <cell r="B108" t="str">
            <v>SOBECAMAT MECANIQUE IDF</v>
          </cell>
        </row>
        <row r="109">
          <cell r="B109" t="str">
            <v>SOBECAMAT RHONE ALPES</v>
          </cell>
        </row>
        <row r="110">
          <cell r="B110" t="str">
            <v>SOMELEC CHARTRES</v>
          </cell>
        </row>
        <row r="111">
          <cell r="B111" t="str">
            <v>SOMELEC LA ROCHELLE</v>
          </cell>
        </row>
        <row r="112">
          <cell r="B112" t="str">
            <v>SOMELEC MONTARGIS</v>
          </cell>
        </row>
        <row r="113">
          <cell r="B113" t="str">
            <v>SUPPORT TELECOM</v>
          </cell>
        </row>
        <row r="114">
          <cell r="B114" t="str">
            <v>TOULON</v>
          </cell>
        </row>
        <row r="115">
          <cell r="B115" t="str">
            <v>TOULOUSE</v>
          </cell>
        </row>
        <row r="116">
          <cell r="B116" t="str">
            <v>TULLINS</v>
          </cell>
        </row>
        <row r="117">
          <cell r="B117" t="str">
            <v>VAL DE CHER</v>
          </cell>
        </row>
        <row r="118">
          <cell r="B118" t="str">
            <v>VIOLA SARTROUVILLE</v>
          </cell>
        </row>
        <row r="119">
          <cell r="B119" t="str">
            <v>VIOLA VILLEPREUX</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uil2"/>
      <sheetName val="NOTICE"/>
      <sheetName val="Impression"/>
      <sheetName val="Page de Garde"/>
      <sheetName val="Croisement réseaux"/>
      <sheetName val="Déroulage"/>
      <sheetName val="Fiche prépa"/>
      <sheetName val="Compactage"/>
      <sheetName val="1.Ch"/>
      <sheetName val="1.2.Ch"/>
      <sheetName val="1.3.Ch"/>
      <sheetName val="2.Ch"/>
      <sheetName val="3.Ch"/>
      <sheetName val="4.Ch"/>
      <sheetName val="5.Ch"/>
      <sheetName val="5.2.Ch"/>
      <sheetName val="5.3.Ch"/>
      <sheetName val="5.4.Ch"/>
      <sheetName val="5.6.Ch"/>
      <sheetName val="5.8.Ch"/>
      <sheetName val="5.9.Ch"/>
      <sheetName val="5.11.Ch"/>
      <sheetName val="5.12.Ch"/>
      <sheetName val="5.13.B.Ch"/>
      <sheetName val="5.14.Ch"/>
      <sheetName val="5.15.Ch"/>
      <sheetName val="5.16.Ch"/>
      <sheetName val="5.17.Ch"/>
      <sheetName val="5.18.Ch"/>
      <sheetName val="5.18.B.Ch"/>
      <sheetName val="5.19.Ch"/>
      <sheetName val="5.20.Ch"/>
      <sheetName val="5.21.Ch"/>
      <sheetName val="5.22.B.Ch"/>
      <sheetName val="5.22.D.Ch"/>
      <sheetName val="5.23.Ch"/>
      <sheetName val="5.24.Ch"/>
      <sheetName val="5.25.Ch"/>
      <sheetName val="5.58.Ch"/>
      <sheetName val="5.59.Ch"/>
      <sheetName val="5.67.Ch"/>
      <sheetName val="6.Ch"/>
      <sheetName val="6.4.Ch"/>
      <sheetName val="6.5.Ch"/>
      <sheetName val="6.7.Ch"/>
      <sheetName val="6.8.Ch"/>
      <sheetName val="6.9.Ch"/>
      <sheetName val="6.15.Ch"/>
      <sheetName val="7.Ch"/>
      <sheetName val="7.3.Ch"/>
      <sheetName val="13.6.Ch"/>
    </sheetNames>
    <sheetDataSet>
      <sheetData sheetId="0"/>
      <sheetData sheetId="1"/>
      <sheetData sheetId="2"/>
      <sheetData sheetId="3">
        <row r="6">
          <cell r="K6"/>
        </row>
        <row r="8">
          <cell r="B8"/>
        </row>
        <row r="9">
          <cell r="B9"/>
        </row>
        <row r="13">
          <cell r="D13"/>
        </row>
        <row r="14">
          <cell r="D14"/>
          <cell r="K14"/>
        </row>
        <row r="16">
          <cell r="B16"/>
        </row>
        <row r="17">
          <cell r="J17"/>
        </row>
        <row r="19">
          <cell r="D19"/>
        </row>
        <row r="24">
          <cell r="A24"/>
        </row>
        <row r="28">
          <cell r="C28"/>
          <cell r="L28"/>
        </row>
        <row r="29">
          <cell r="C29"/>
        </row>
        <row r="62">
          <cell r="B62" t="str">
            <v>ADEM OUEST</v>
          </cell>
        </row>
        <row r="63">
          <cell r="B63" t="str">
            <v>AIX EN PROVENCE</v>
          </cell>
        </row>
        <row r="64">
          <cell r="B64" t="str">
            <v>ANSE</v>
          </cell>
        </row>
        <row r="65">
          <cell r="B65" t="str">
            <v>ANSE MECANIQUE</v>
          </cell>
        </row>
        <row r="66">
          <cell r="B66" t="str">
            <v>BABOLAT ELECTRICITE</v>
          </cell>
        </row>
        <row r="67">
          <cell r="B67" t="str">
            <v>BBF RESEAUX</v>
          </cell>
        </row>
        <row r="68">
          <cell r="B68" t="str">
            <v>BEAUNE</v>
          </cell>
        </row>
        <row r="69">
          <cell r="B69" t="str">
            <v>BEAUVAIS</v>
          </cell>
        </row>
        <row r="70">
          <cell r="B70" t="str">
            <v>BERGERAC</v>
          </cell>
        </row>
        <row r="71">
          <cell r="B71" t="str">
            <v>BESANCON</v>
          </cell>
        </row>
        <row r="72">
          <cell r="B72" t="str">
            <v>BEZIERS</v>
          </cell>
        </row>
        <row r="73">
          <cell r="B73" t="str">
            <v>BORDEAUX</v>
          </cell>
        </row>
        <row r="74">
          <cell r="B74" t="str">
            <v>BORDEAUX MECANIQUE</v>
          </cell>
        </row>
        <row r="75">
          <cell r="B75" t="str">
            <v>CAVAILLON</v>
          </cell>
        </row>
        <row r="76">
          <cell r="B76" t="str">
            <v>CERGY</v>
          </cell>
        </row>
        <row r="77">
          <cell r="B77" t="str">
            <v>CERGY MECANIQUE</v>
          </cell>
        </row>
        <row r="78">
          <cell r="B78" t="str">
            <v>CHAZAL ST PRIEST</v>
          </cell>
        </row>
        <row r="79">
          <cell r="B79" t="str">
            <v>CLERMONT-FERRAND</v>
          </cell>
        </row>
        <row r="80">
          <cell r="B80" t="str">
            <v>CORBAS</v>
          </cell>
        </row>
        <row r="81">
          <cell r="B81" t="str">
            <v>CRETEIL</v>
          </cell>
        </row>
        <row r="82">
          <cell r="B82" t="str">
            <v>DEAL HYDRAULIQUE</v>
          </cell>
        </row>
        <row r="83">
          <cell r="B83" t="str">
            <v>ENSISHEIM</v>
          </cell>
        </row>
        <row r="84">
          <cell r="B84" t="str">
            <v>EREC TECHNOLOGIES</v>
          </cell>
        </row>
        <row r="85">
          <cell r="B85" t="str">
            <v>GOUSSAINVILLE</v>
          </cell>
        </row>
        <row r="86">
          <cell r="B86" t="str">
            <v>GRAMARI</v>
          </cell>
        </row>
        <row r="87">
          <cell r="B87" t="str">
            <v>HTB CSE</v>
          </cell>
        </row>
        <row r="88">
          <cell r="B88" t="str">
            <v>IMBSHEIM</v>
          </cell>
        </row>
        <row r="89">
          <cell r="B89" t="str">
            <v>LENT</v>
          </cell>
        </row>
        <row r="90">
          <cell r="B90" t="str">
            <v>MARANGE</v>
          </cell>
        </row>
        <row r="91">
          <cell r="B91" t="str">
            <v>MATERIEL</v>
          </cell>
        </row>
        <row r="92">
          <cell r="B92" t="str">
            <v>MELUN</v>
          </cell>
        </row>
        <row r="93">
          <cell r="B93" t="str">
            <v>MONTELIMAR</v>
          </cell>
        </row>
        <row r="94">
          <cell r="B94" t="str">
            <v>NEUVY GRANDCHAMP</v>
          </cell>
        </row>
        <row r="95">
          <cell r="B95" t="str">
            <v>ORLEANS</v>
          </cell>
        </row>
        <row r="96">
          <cell r="B96" t="str">
            <v>PONS</v>
          </cell>
        </row>
        <row r="97">
          <cell r="B97" t="str">
            <v>RECYCLAGE</v>
          </cell>
        </row>
        <row r="98">
          <cell r="B98" t="str">
            <v>RESONANCE</v>
          </cell>
        </row>
        <row r="99">
          <cell r="B99" t="str">
            <v>ROESSEL</v>
          </cell>
        </row>
        <row r="100">
          <cell r="B100" t="str">
            <v>SAINT ETIENNE</v>
          </cell>
        </row>
        <row r="101">
          <cell r="B101" t="str">
            <v>SAINT JEAN DE LUZ</v>
          </cell>
        </row>
        <row r="102">
          <cell r="B102" t="str">
            <v>SCEB</v>
          </cell>
        </row>
        <row r="103">
          <cell r="B103" t="str">
            <v>SCIONZIER</v>
          </cell>
        </row>
        <row r="104">
          <cell r="B104" t="str">
            <v>SELLES SUR CHER</v>
          </cell>
        </row>
        <row r="105">
          <cell r="B105" t="str">
            <v>SERANGE</v>
          </cell>
        </row>
        <row r="106">
          <cell r="B106" t="str">
            <v>SERVICE MATERIEL</v>
          </cell>
        </row>
        <row r="107">
          <cell r="B107" t="str">
            <v>SOBECAMAT IDF</v>
          </cell>
        </row>
        <row r="108">
          <cell r="B108" t="str">
            <v>SOBECAMAT MECANIQUE IDF</v>
          </cell>
        </row>
        <row r="109">
          <cell r="B109" t="str">
            <v>SOBECAMAT RHONE ALPES</v>
          </cell>
        </row>
        <row r="110">
          <cell r="B110" t="str">
            <v>SOMELEC CHARTRES</v>
          </cell>
        </row>
        <row r="111">
          <cell r="B111" t="str">
            <v>SOMELEC LA ROCHELLE</v>
          </cell>
        </row>
        <row r="112">
          <cell r="B112" t="str">
            <v>SOMELEC MONTARGIS</v>
          </cell>
        </row>
        <row r="113">
          <cell r="B113" t="str">
            <v>SUPPORT TELECOM</v>
          </cell>
        </row>
        <row r="114">
          <cell r="B114" t="str">
            <v>TOULON</v>
          </cell>
        </row>
        <row r="115">
          <cell r="B115" t="str">
            <v>TOULOUSE</v>
          </cell>
        </row>
        <row r="116">
          <cell r="B116" t="str">
            <v>TULLINS</v>
          </cell>
        </row>
        <row r="117">
          <cell r="B117" t="str">
            <v>VAL DE CHER</v>
          </cell>
        </row>
        <row r="118">
          <cell r="B118" t="str">
            <v>VIOLA SARTROUVILLE</v>
          </cell>
        </row>
        <row r="119">
          <cell r="B119" t="str">
            <v>VIOLA VILLEPREUX</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uil2"/>
      <sheetName val="NOTICE"/>
      <sheetName val="Impression"/>
      <sheetName val="Petites Interv."/>
      <sheetName val="Croisement réseaux"/>
      <sheetName val="Déroulage"/>
      <sheetName val="Compactage"/>
      <sheetName val="1.2.Ch"/>
      <sheetName val="5.6.Ch"/>
      <sheetName val="6.4.Ch"/>
      <sheetName val="6.5.Ch"/>
      <sheetName val="6.9.Ch"/>
      <sheetName val="6.15.Ch"/>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2.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3.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4.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6.xml"/><Relationship Id="rId1" Type="http://schemas.openxmlformats.org/officeDocument/2006/relationships/printerSettings" Target="../printerSettings/printerSettings27.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vmlDrawing" Target="../drawings/vmlDrawing4.vml"/><Relationship Id="rId7" Type="http://schemas.openxmlformats.org/officeDocument/2006/relationships/ctrlProp" Target="../ctrlProps/ctrlProp29.x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6" Type="http://schemas.openxmlformats.org/officeDocument/2006/relationships/ctrlProp" Target="../ctrlProps/ctrlProp54.xml"/><Relationship Id="rId21" Type="http://schemas.openxmlformats.org/officeDocument/2006/relationships/ctrlProp" Target="../ctrlProps/ctrlProp49.xml"/><Relationship Id="rId42" Type="http://schemas.openxmlformats.org/officeDocument/2006/relationships/ctrlProp" Target="../ctrlProps/ctrlProp70.xml"/><Relationship Id="rId47" Type="http://schemas.openxmlformats.org/officeDocument/2006/relationships/ctrlProp" Target="../ctrlProps/ctrlProp75.xml"/><Relationship Id="rId63" Type="http://schemas.openxmlformats.org/officeDocument/2006/relationships/ctrlProp" Target="../ctrlProps/ctrlProp91.xml"/><Relationship Id="rId68" Type="http://schemas.openxmlformats.org/officeDocument/2006/relationships/ctrlProp" Target="../ctrlProps/ctrlProp96.xml"/><Relationship Id="rId84" Type="http://schemas.openxmlformats.org/officeDocument/2006/relationships/ctrlProp" Target="../ctrlProps/ctrlProp112.xml"/><Relationship Id="rId89" Type="http://schemas.openxmlformats.org/officeDocument/2006/relationships/ctrlProp" Target="../ctrlProps/ctrlProp117.xml"/><Relationship Id="rId16" Type="http://schemas.openxmlformats.org/officeDocument/2006/relationships/ctrlProp" Target="../ctrlProps/ctrlProp44.xml"/><Relationship Id="rId11" Type="http://schemas.openxmlformats.org/officeDocument/2006/relationships/ctrlProp" Target="../ctrlProps/ctrlProp39.xml"/><Relationship Id="rId32" Type="http://schemas.openxmlformats.org/officeDocument/2006/relationships/ctrlProp" Target="../ctrlProps/ctrlProp60.xml"/><Relationship Id="rId37" Type="http://schemas.openxmlformats.org/officeDocument/2006/relationships/ctrlProp" Target="../ctrlProps/ctrlProp65.xml"/><Relationship Id="rId53" Type="http://schemas.openxmlformats.org/officeDocument/2006/relationships/ctrlProp" Target="../ctrlProps/ctrlProp81.xml"/><Relationship Id="rId58" Type="http://schemas.openxmlformats.org/officeDocument/2006/relationships/ctrlProp" Target="../ctrlProps/ctrlProp86.xml"/><Relationship Id="rId74" Type="http://schemas.openxmlformats.org/officeDocument/2006/relationships/ctrlProp" Target="../ctrlProps/ctrlProp102.xml"/><Relationship Id="rId79" Type="http://schemas.openxmlformats.org/officeDocument/2006/relationships/ctrlProp" Target="../ctrlProps/ctrlProp107.xml"/><Relationship Id="rId5" Type="http://schemas.openxmlformats.org/officeDocument/2006/relationships/ctrlProp" Target="../ctrlProps/ctrlProp33.xml"/><Relationship Id="rId14" Type="http://schemas.openxmlformats.org/officeDocument/2006/relationships/ctrlProp" Target="../ctrlProps/ctrlProp42.xml"/><Relationship Id="rId22" Type="http://schemas.openxmlformats.org/officeDocument/2006/relationships/ctrlProp" Target="../ctrlProps/ctrlProp50.xml"/><Relationship Id="rId27" Type="http://schemas.openxmlformats.org/officeDocument/2006/relationships/ctrlProp" Target="../ctrlProps/ctrlProp55.xml"/><Relationship Id="rId30" Type="http://schemas.openxmlformats.org/officeDocument/2006/relationships/ctrlProp" Target="../ctrlProps/ctrlProp58.xml"/><Relationship Id="rId35" Type="http://schemas.openxmlformats.org/officeDocument/2006/relationships/ctrlProp" Target="../ctrlProps/ctrlProp63.xml"/><Relationship Id="rId43" Type="http://schemas.openxmlformats.org/officeDocument/2006/relationships/ctrlProp" Target="../ctrlProps/ctrlProp71.xml"/><Relationship Id="rId48" Type="http://schemas.openxmlformats.org/officeDocument/2006/relationships/ctrlProp" Target="../ctrlProps/ctrlProp76.xml"/><Relationship Id="rId56" Type="http://schemas.openxmlformats.org/officeDocument/2006/relationships/ctrlProp" Target="../ctrlProps/ctrlProp84.xml"/><Relationship Id="rId64" Type="http://schemas.openxmlformats.org/officeDocument/2006/relationships/ctrlProp" Target="../ctrlProps/ctrlProp92.xml"/><Relationship Id="rId69" Type="http://schemas.openxmlformats.org/officeDocument/2006/relationships/ctrlProp" Target="../ctrlProps/ctrlProp97.xml"/><Relationship Id="rId77" Type="http://schemas.openxmlformats.org/officeDocument/2006/relationships/ctrlProp" Target="../ctrlProps/ctrlProp105.xml"/><Relationship Id="rId8" Type="http://schemas.openxmlformats.org/officeDocument/2006/relationships/ctrlProp" Target="../ctrlProps/ctrlProp36.xml"/><Relationship Id="rId51" Type="http://schemas.openxmlformats.org/officeDocument/2006/relationships/ctrlProp" Target="../ctrlProps/ctrlProp79.xml"/><Relationship Id="rId72" Type="http://schemas.openxmlformats.org/officeDocument/2006/relationships/ctrlProp" Target="../ctrlProps/ctrlProp100.xml"/><Relationship Id="rId80" Type="http://schemas.openxmlformats.org/officeDocument/2006/relationships/ctrlProp" Target="../ctrlProps/ctrlProp108.xml"/><Relationship Id="rId85" Type="http://schemas.openxmlformats.org/officeDocument/2006/relationships/ctrlProp" Target="../ctrlProps/ctrlProp113.xml"/><Relationship Id="rId3" Type="http://schemas.openxmlformats.org/officeDocument/2006/relationships/vmlDrawing" Target="../drawings/vmlDrawing5.vml"/><Relationship Id="rId12" Type="http://schemas.openxmlformats.org/officeDocument/2006/relationships/ctrlProp" Target="../ctrlProps/ctrlProp40.xml"/><Relationship Id="rId17" Type="http://schemas.openxmlformats.org/officeDocument/2006/relationships/ctrlProp" Target="../ctrlProps/ctrlProp45.xml"/><Relationship Id="rId25" Type="http://schemas.openxmlformats.org/officeDocument/2006/relationships/ctrlProp" Target="../ctrlProps/ctrlProp53.xml"/><Relationship Id="rId33" Type="http://schemas.openxmlformats.org/officeDocument/2006/relationships/ctrlProp" Target="../ctrlProps/ctrlProp61.xml"/><Relationship Id="rId38" Type="http://schemas.openxmlformats.org/officeDocument/2006/relationships/ctrlProp" Target="../ctrlProps/ctrlProp66.xml"/><Relationship Id="rId46" Type="http://schemas.openxmlformats.org/officeDocument/2006/relationships/ctrlProp" Target="../ctrlProps/ctrlProp74.xml"/><Relationship Id="rId59" Type="http://schemas.openxmlformats.org/officeDocument/2006/relationships/ctrlProp" Target="../ctrlProps/ctrlProp87.xml"/><Relationship Id="rId67" Type="http://schemas.openxmlformats.org/officeDocument/2006/relationships/ctrlProp" Target="../ctrlProps/ctrlProp95.xml"/><Relationship Id="rId20" Type="http://schemas.openxmlformats.org/officeDocument/2006/relationships/ctrlProp" Target="../ctrlProps/ctrlProp48.xml"/><Relationship Id="rId41" Type="http://schemas.openxmlformats.org/officeDocument/2006/relationships/ctrlProp" Target="../ctrlProps/ctrlProp69.xml"/><Relationship Id="rId54" Type="http://schemas.openxmlformats.org/officeDocument/2006/relationships/ctrlProp" Target="../ctrlProps/ctrlProp82.xml"/><Relationship Id="rId62" Type="http://schemas.openxmlformats.org/officeDocument/2006/relationships/ctrlProp" Target="../ctrlProps/ctrlProp90.xml"/><Relationship Id="rId70" Type="http://schemas.openxmlformats.org/officeDocument/2006/relationships/ctrlProp" Target="../ctrlProps/ctrlProp98.xml"/><Relationship Id="rId75" Type="http://schemas.openxmlformats.org/officeDocument/2006/relationships/ctrlProp" Target="../ctrlProps/ctrlProp103.xml"/><Relationship Id="rId83" Type="http://schemas.openxmlformats.org/officeDocument/2006/relationships/ctrlProp" Target="../ctrlProps/ctrlProp111.xml"/><Relationship Id="rId88" Type="http://schemas.openxmlformats.org/officeDocument/2006/relationships/ctrlProp" Target="../ctrlProps/ctrlProp116.xml"/><Relationship Id="rId1" Type="http://schemas.openxmlformats.org/officeDocument/2006/relationships/printerSettings" Target="../printerSettings/printerSettings35.bin"/><Relationship Id="rId6" Type="http://schemas.openxmlformats.org/officeDocument/2006/relationships/ctrlProp" Target="../ctrlProps/ctrlProp34.xml"/><Relationship Id="rId15" Type="http://schemas.openxmlformats.org/officeDocument/2006/relationships/ctrlProp" Target="../ctrlProps/ctrlProp43.xml"/><Relationship Id="rId23" Type="http://schemas.openxmlformats.org/officeDocument/2006/relationships/ctrlProp" Target="../ctrlProps/ctrlProp51.xml"/><Relationship Id="rId28" Type="http://schemas.openxmlformats.org/officeDocument/2006/relationships/ctrlProp" Target="../ctrlProps/ctrlProp56.xml"/><Relationship Id="rId36" Type="http://schemas.openxmlformats.org/officeDocument/2006/relationships/ctrlProp" Target="../ctrlProps/ctrlProp64.xml"/><Relationship Id="rId49" Type="http://schemas.openxmlformats.org/officeDocument/2006/relationships/ctrlProp" Target="../ctrlProps/ctrlProp77.xml"/><Relationship Id="rId57" Type="http://schemas.openxmlformats.org/officeDocument/2006/relationships/ctrlProp" Target="../ctrlProps/ctrlProp85.xml"/><Relationship Id="rId10" Type="http://schemas.openxmlformats.org/officeDocument/2006/relationships/ctrlProp" Target="../ctrlProps/ctrlProp38.xml"/><Relationship Id="rId31" Type="http://schemas.openxmlformats.org/officeDocument/2006/relationships/ctrlProp" Target="../ctrlProps/ctrlProp59.xml"/><Relationship Id="rId44" Type="http://schemas.openxmlformats.org/officeDocument/2006/relationships/ctrlProp" Target="../ctrlProps/ctrlProp72.xml"/><Relationship Id="rId52" Type="http://schemas.openxmlformats.org/officeDocument/2006/relationships/ctrlProp" Target="../ctrlProps/ctrlProp80.xml"/><Relationship Id="rId60" Type="http://schemas.openxmlformats.org/officeDocument/2006/relationships/ctrlProp" Target="../ctrlProps/ctrlProp88.xml"/><Relationship Id="rId65" Type="http://schemas.openxmlformats.org/officeDocument/2006/relationships/ctrlProp" Target="../ctrlProps/ctrlProp93.xml"/><Relationship Id="rId73" Type="http://schemas.openxmlformats.org/officeDocument/2006/relationships/ctrlProp" Target="../ctrlProps/ctrlProp101.xml"/><Relationship Id="rId78" Type="http://schemas.openxmlformats.org/officeDocument/2006/relationships/ctrlProp" Target="../ctrlProps/ctrlProp106.xml"/><Relationship Id="rId81" Type="http://schemas.openxmlformats.org/officeDocument/2006/relationships/ctrlProp" Target="../ctrlProps/ctrlProp109.xml"/><Relationship Id="rId86" Type="http://schemas.openxmlformats.org/officeDocument/2006/relationships/ctrlProp" Target="../ctrlProps/ctrlProp114.xml"/><Relationship Id="rId4" Type="http://schemas.openxmlformats.org/officeDocument/2006/relationships/ctrlProp" Target="../ctrlProps/ctrlProp32.xml"/><Relationship Id="rId9" Type="http://schemas.openxmlformats.org/officeDocument/2006/relationships/ctrlProp" Target="../ctrlProps/ctrlProp37.xml"/><Relationship Id="rId13" Type="http://schemas.openxmlformats.org/officeDocument/2006/relationships/ctrlProp" Target="../ctrlProps/ctrlProp41.xml"/><Relationship Id="rId18" Type="http://schemas.openxmlformats.org/officeDocument/2006/relationships/ctrlProp" Target="../ctrlProps/ctrlProp46.xml"/><Relationship Id="rId39" Type="http://schemas.openxmlformats.org/officeDocument/2006/relationships/ctrlProp" Target="../ctrlProps/ctrlProp67.xml"/><Relationship Id="rId34" Type="http://schemas.openxmlformats.org/officeDocument/2006/relationships/ctrlProp" Target="../ctrlProps/ctrlProp62.xml"/><Relationship Id="rId50" Type="http://schemas.openxmlformats.org/officeDocument/2006/relationships/ctrlProp" Target="../ctrlProps/ctrlProp78.xml"/><Relationship Id="rId55" Type="http://schemas.openxmlformats.org/officeDocument/2006/relationships/ctrlProp" Target="../ctrlProps/ctrlProp83.xml"/><Relationship Id="rId76" Type="http://schemas.openxmlformats.org/officeDocument/2006/relationships/ctrlProp" Target="../ctrlProps/ctrlProp104.xml"/><Relationship Id="rId7" Type="http://schemas.openxmlformats.org/officeDocument/2006/relationships/ctrlProp" Target="../ctrlProps/ctrlProp35.xml"/><Relationship Id="rId71" Type="http://schemas.openxmlformats.org/officeDocument/2006/relationships/ctrlProp" Target="../ctrlProps/ctrlProp99.xml"/><Relationship Id="rId2" Type="http://schemas.openxmlformats.org/officeDocument/2006/relationships/drawing" Target="../drawings/drawing34.xml"/><Relationship Id="rId29" Type="http://schemas.openxmlformats.org/officeDocument/2006/relationships/ctrlProp" Target="../ctrlProps/ctrlProp57.xml"/><Relationship Id="rId24" Type="http://schemas.openxmlformats.org/officeDocument/2006/relationships/ctrlProp" Target="../ctrlProps/ctrlProp52.xml"/><Relationship Id="rId40" Type="http://schemas.openxmlformats.org/officeDocument/2006/relationships/ctrlProp" Target="../ctrlProps/ctrlProp68.xml"/><Relationship Id="rId45" Type="http://schemas.openxmlformats.org/officeDocument/2006/relationships/ctrlProp" Target="../ctrlProps/ctrlProp73.xml"/><Relationship Id="rId66" Type="http://schemas.openxmlformats.org/officeDocument/2006/relationships/ctrlProp" Target="../ctrlProps/ctrlProp94.xml"/><Relationship Id="rId87" Type="http://schemas.openxmlformats.org/officeDocument/2006/relationships/ctrlProp" Target="../ctrlProps/ctrlProp115.xml"/><Relationship Id="rId61" Type="http://schemas.openxmlformats.org/officeDocument/2006/relationships/ctrlProp" Target="../ctrlProps/ctrlProp89.xml"/><Relationship Id="rId82" Type="http://schemas.openxmlformats.org/officeDocument/2006/relationships/ctrlProp" Target="../ctrlProps/ctrlProp110.xml"/><Relationship Id="rId19" Type="http://schemas.openxmlformats.org/officeDocument/2006/relationships/ctrlProp" Target="../ctrlProps/ctrlProp47.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A65"/>
  <sheetViews>
    <sheetView workbookViewId="0">
      <selection activeCell="L46" sqref="L46"/>
    </sheetView>
  </sheetViews>
  <sheetFormatPr baseColWidth="10" defaultColWidth="11.42578125" defaultRowHeight="17.25" customHeight="1"/>
  <cols>
    <col min="1" max="1" width="53.85546875" style="423" bestFit="1" customWidth="1"/>
    <col min="2" max="16384" width="11.42578125" style="422"/>
  </cols>
  <sheetData>
    <row r="1" spans="1:1" ht="17.25" customHeight="1">
      <c r="A1" s="423" t="s">
        <v>760</v>
      </c>
    </row>
    <row r="2" spans="1:1" ht="17.25" customHeight="1">
      <c r="A2" s="423" t="s">
        <v>652</v>
      </c>
    </row>
    <row r="3" spans="1:1" ht="17.25" customHeight="1">
      <c r="A3" s="423" t="s">
        <v>653</v>
      </c>
    </row>
    <row r="4" spans="1:1" ht="17.25" customHeight="1">
      <c r="A4" s="423" t="s">
        <v>654</v>
      </c>
    </row>
    <row r="5" spans="1:1" ht="17.25" customHeight="1">
      <c r="A5" s="423" t="s">
        <v>655</v>
      </c>
    </row>
    <row r="6" spans="1:1" ht="17.25" customHeight="1">
      <c r="A6" s="423" t="s">
        <v>656</v>
      </c>
    </row>
    <row r="7" spans="1:1" ht="17.25" customHeight="1">
      <c r="A7" s="423" t="s">
        <v>657</v>
      </c>
    </row>
    <row r="8" spans="1:1" ht="17.25" customHeight="1">
      <c r="A8" s="423" t="s">
        <v>658</v>
      </c>
    </row>
    <row r="9" spans="1:1" ht="17.25" customHeight="1">
      <c r="A9" s="423" t="s">
        <v>659</v>
      </c>
    </row>
    <row r="10" spans="1:1" ht="17.25" customHeight="1">
      <c r="A10" s="423" t="s">
        <v>660</v>
      </c>
    </row>
    <row r="11" spans="1:1" ht="17.25" customHeight="1">
      <c r="A11" s="423" t="s">
        <v>661</v>
      </c>
    </row>
    <row r="12" spans="1:1" ht="17.25" customHeight="1">
      <c r="A12" s="423" t="s">
        <v>662</v>
      </c>
    </row>
    <row r="13" spans="1:1" ht="17.25" customHeight="1">
      <c r="A13" s="423" t="s">
        <v>663</v>
      </c>
    </row>
    <row r="14" spans="1:1" ht="17.25" customHeight="1">
      <c r="A14" s="423" t="s">
        <v>664</v>
      </c>
    </row>
    <row r="15" spans="1:1" ht="17.25" customHeight="1">
      <c r="A15" s="423" t="s">
        <v>665</v>
      </c>
    </row>
    <row r="16" spans="1:1" ht="17.25" customHeight="1">
      <c r="A16" s="423" t="s">
        <v>666</v>
      </c>
    </row>
    <row r="17" spans="1:1" ht="17.25" customHeight="1">
      <c r="A17" s="423" t="s">
        <v>667</v>
      </c>
    </row>
    <row r="18" spans="1:1" ht="17.25" customHeight="1">
      <c r="A18" s="423" t="s">
        <v>668</v>
      </c>
    </row>
    <row r="19" spans="1:1" ht="17.25" customHeight="1">
      <c r="A19" s="423" t="s">
        <v>669</v>
      </c>
    </row>
    <row r="20" spans="1:1" ht="17.25" customHeight="1">
      <c r="A20" s="423" t="s">
        <v>670</v>
      </c>
    </row>
    <row r="21" spans="1:1" ht="17.25" customHeight="1">
      <c r="A21" s="423" t="s">
        <v>671</v>
      </c>
    </row>
    <row r="22" spans="1:1" ht="17.25" customHeight="1">
      <c r="A22" s="423" t="s">
        <v>672</v>
      </c>
    </row>
    <row r="23" spans="1:1" ht="17.25" customHeight="1">
      <c r="A23" s="423" t="s">
        <v>673</v>
      </c>
    </row>
    <row r="24" spans="1:1" ht="17.25" customHeight="1">
      <c r="A24" s="423" t="s">
        <v>674</v>
      </c>
    </row>
    <row r="25" spans="1:1" ht="17.25" customHeight="1">
      <c r="A25" s="423" t="s">
        <v>675</v>
      </c>
    </row>
    <row r="26" spans="1:1" ht="17.25" customHeight="1">
      <c r="A26" s="423" t="s">
        <v>676</v>
      </c>
    </row>
    <row r="27" spans="1:1" ht="17.25" customHeight="1">
      <c r="A27" s="423" t="s">
        <v>677</v>
      </c>
    </row>
    <row r="28" spans="1:1" ht="17.25" customHeight="1">
      <c r="A28" s="423" t="s">
        <v>678</v>
      </c>
    </row>
    <row r="29" spans="1:1" ht="17.25" customHeight="1">
      <c r="A29" s="423" t="s">
        <v>761</v>
      </c>
    </row>
    <row r="30" spans="1:1" ht="17.25" customHeight="1">
      <c r="A30" s="423" t="s">
        <v>679</v>
      </c>
    </row>
    <row r="31" spans="1:1" ht="17.25" customHeight="1">
      <c r="A31" s="423" t="s">
        <v>680</v>
      </c>
    </row>
    <row r="32" spans="1:1" ht="17.25" customHeight="1">
      <c r="A32" s="423" t="s">
        <v>681</v>
      </c>
    </row>
    <row r="33" spans="1:1" ht="17.25" customHeight="1">
      <c r="A33" s="423" t="s">
        <v>682</v>
      </c>
    </row>
    <row r="34" spans="1:1" ht="17.25" customHeight="1">
      <c r="A34" s="423" t="s">
        <v>683</v>
      </c>
    </row>
    <row r="35" spans="1:1" ht="17.25" customHeight="1">
      <c r="A35" s="423" t="s">
        <v>684</v>
      </c>
    </row>
    <row r="36" spans="1:1" ht="17.25" customHeight="1">
      <c r="A36" s="423" t="s">
        <v>685</v>
      </c>
    </row>
    <row r="37" spans="1:1" ht="17.25" customHeight="1">
      <c r="A37" s="423" t="s">
        <v>686</v>
      </c>
    </row>
    <row r="38" spans="1:1" ht="17.25" customHeight="1">
      <c r="A38" s="423" t="s">
        <v>687</v>
      </c>
    </row>
    <row r="39" spans="1:1" ht="17.25" customHeight="1">
      <c r="A39" s="423" t="s">
        <v>688</v>
      </c>
    </row>
    <row r="40" spans="1:1" ht="17.25" customHeight="1">
      <c r="A40" s="423" t="s">
        <v>689</v>
      </c>
    </row>
    <row r="41" spans="1:1" ht="17.25" customHeight="1">
      <c r="A41" s="423" t="s">
        <v>690</v>
      </c>
    </row>
    <row r="42" spans="1:1" ht="17.25" customHeight="1">
      <c r="A42" s="423" t="s">
        <v>691</v>
      </c>
    </row>
    <row r="43" spans="1:1" ht="17.25" customHeight="1">
      <c r="A43" s="423" t="s">
        <v>692</v>
      </c>
    </row>
    <row r="44" spans="1:1" ht="17.25" customHeight="1">
      <c r="A44" s="423" t="s">
        <v>693</v>
      </c>
    </row>
    <row r="45" spans="1:1" ht="17.25" customHeight="1">
      <c r="A45" s="423" t="s">
        <v>694</v>
      </c>
    </row>
    <row r="46" spans="1:1" ht="17.25" customHeight="1">
      <c r="A46" s="423" t="s">
        <v>695</v>
      </c>
    </row>
    <row r="47" spans="1:1" ht="17.25" customHeight="1">
      <c r="A47" s="423" t="s">
        <v>696</v>
      </c>
    </row>
    <row r="48" spans="1:1" ht="17.25" customHeight="1">
      <c r="A48" s="423" t="s">
        <v>697</v>
      </c>
    </row>
    <row r="49" spans="1:1" ht="17.25" customHeight="1">
      <c r="A49" s="423" t="s">
        <v>698</v>
      </c>
    </row>
    <row r="50" spans="1:1" ht="17.25" customHeight="1">
      <c r="A50" s="423" t="s">
        <v>699</v>
      </c>
    </row>
    <row r="51" spans="1:1" ht="17.25" customHeight="1">
      <c r="A51" s="423" t="s">
        <v>700</v>
      </c>
    </row>
    <row r="52" spans="1:1" ht="17.25" customHeight="1">
      <c r="A52" s="423" t="s">
        <v>701</v>
      </c>
    </row>
    <row r="53" spans="1:1" ht="17.25" customHeight="1">
      <c r="A53" s="423" t="s">
        <v>702</v>
      </c>
    </row>
    <row r="54" spans="1:1" ht="17.25" customHeight="1">
      <c r="A54" s="423" t="s">
        <v>703</v>
      </c>
    </row>
    <row r="55" spans="1:1" ht="17.25" customHeight="1">
      <c r="A55" s="423" t="s">
        <v>704</v>
      </c>
    </row>
    <row r="56" spans="1:1" ht="17.25" customHeight="1">
      <c r="A56" s="423" t="s">
        <v>705</v>
      </c>
    </row>
    <row r="57" spans="1:1" ht="17.25" customHeight="1">
      <c r="A57" s="423" t="s">
        <v>706</v>
      </c>
    </row>
    <row r="58" spans="1:1" ht="17.25" customHeight="1">
      <c r="A58" s="423" t="s">
        <v>707</v>
      </c>
    </row>
    <row r="59" spans="1:1" ht="17.25" customHeight="1">
      <c r="A59" s="423" t="s">
        <v>708</v>
      </c>
    </row>
    <row r="60" spans="1:1" ht="17.25" customHeight="1">
      <c r="A60" s="423" t="s">
        <v>709</v>
      </c>
    </row>
    <row r="61" spans="1:1" ht="17.25" customHeight="1">
      <c r="A61" s="423" t="s">
        <v>710</v>
      </c>
    </row>
    <row r="62" spans="1:1" ht="17.25" customHeight="1">
      <c r="A62" s="423" t="s">
        <v>711</v>
      </c>
    </row>
    <row r="63" spans="1:1" ht="17.25" customHeight="1">
      <c r="A63" s="423" t="s">
        <v>712</v>
      </c>
    </row>
    <row r="64" spans="1:1" ht="17.25" customHeight="1">
      <c r="A64" s="423" t="s">
        <v>713</v>
      </c>
    </row>
    <row r="65" spans="1:1" ht="17.25" customHeight="1">
      <c r="A65" s="423" t="s">
        <v>714</v>
      </c>
    </row>
  </sheetData>
  <autoFilter ref="A1:A65" xr:uid="{00000000-0009-0000-0000-000000000000}"/>
  <dataConsolid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pageSetUpPr fitToPage="1"/>
  </sheetPr>
  <dimension ref="A1:J82"/>
  <sheetViews>
    <sheetView showGridLines="0" view="pageBreakPreview" zoomScaleNormal="100" workbookViewId="0">
      <selection activeCell="E18" sqref="E18"/>
    </sheetView>
  </sheetViews>
  <sheetFormatPr baseColWidth="10" defaultColWidth="0" defaultRowHeight="12.75" customHeight="1" zeroHeight="1"/>
  <cols>
    <col min="1" max="1" width="10.5703125" style="6" customWidth="1"/>
    <col min="2" max="2" width="3.7109375" style="6" customWidth="1"/>
    <col min="3" max="9" width="11.42578125" style="6" customWidth="1"/>
    <col min="10" max="10" width="44.42578125" style="6" customWidth="1"/>
    <col min="11" max="16384" width="0" style="6" hidden="1"/>
  </cols>
  <sheetData>
    <row r="1" spans="1:10" s="1" customFormat="1" ht="15" customHeight="1">
      <c r="A1" s="1191" t="s">
        <v>463</v>
      </c>
      <c r="B1" s="1192"/>
      <c r="C1" s="1192"/>
      <c r="D1" s="1192"/>
      <c r="E1" s="1192"/>
      <c r="F1" s="1192"/>
      <c r="G1" s="1192"/>
      <c r="H1" s="1192"/>
      <c r="I1" s="1192"/>
      <c r="J1" s="1192"/>
    </row>
    <row r="2" spans="1:10" s="3" customFormat="1" ht="15" customHeight="1">
      <c r="A2" s="1196"/>
      <c r="B2" s="1197"/>
      <c r="C2" s="1197"/>
      <c r="D2" s="1197"/>
      <c r="E2" s="1197"/>
      <c r="F2" s="1197"/>
      <c r="G2" s="1197"/>
      <c r="H2" s="1197"/>
      <c r="I2" s="1197"/>
      <c r="J2" s="1197"/>
    </row>
    <row r="3" spans="1:10" s="3" customFormat="1" ht="15" customHeight="1">
      <c r="A3" s="2"/>
    </row>
    <row r="4" spans="1:10" s="3" customFormat="1" ht="15" customHeight="1">
      <c r="A4" s="4" t="s">
        <v>464</v>
      </c>
    </row>
    <row r="5" spans="1:10" s="3" customFormat="1" ht="15" customHeight="1">
      <c r="A5" s="2"/>
    </row>
    <row r="6" spans="1:10" ht="15" customHeight="1">
      <c r="A6" s="1199" t="s">
        <v>1145</v>
      </c>
      <c r="B6" s="1200"/>
      <c r="C6" s="1200"/>
      <c r="D6" s="1200"/>
      <c r="E6" s="1200"/>
      <c r="F6" s="1200"/>
      <c r="G6" s="1200"/>
      <c r="H6" s="1200"/>
      <c r="I6" s="1200"/>
      <c r="J6" s="1200"/>
    </row>
    <row r="7" spans="1:10" ht="15" customHeight="1">
      <c r="A7" s="1199" t="s">
        <v>391</v>
      </c>
      <c r="B7" s="1200"/>
      <c r="C7" s="1200"/>
      <c r="D7" s="1200"/>
      <c r="E7" s="1200"/>
      <c r="F7" s="1200"/>
      <c r="G7" s="1200"/>
      <c r="H7" s="1200"/>
      <c r="I7" s="1200"/>
      <c r="J7" s="1200"/>
    </row>
    <row r="8" spans="1:10" ht="15" customHeight="1">
      <c r="A8" s="5"/>
    </row>
    <row r="9" spans="1:10" s="8" customFormat="1" ht="15" customHeight="1">
      <c r="A9" s="7" t="s">
        <v>465</v>
      </c>
    </row>
    <row r="10" spans="1:10" s="9" customFormat="1" ht="15" customHeight="1">
      <c r="A10" s="5" t="s">
        <v>466</v>
      </c>
    </row>
    <row r="11" spans="1:10" s="5" customFormat="1" ht="15" customHeight="1">
      <c r="A11" s="5" t="s">
        <v>467</v>
      </c>
    </row>
    <row r="12" spans="1:10" s="5" customFormat="1" ht="15" customHeight="1"/>
    <row r="13" spans="1:10" s="8" customFormat="1" ht="15" customHeight="1">
      <c r="A13" s="7" t="s">
        <v>1146</v>
      </c>
    </row>
    <row r="14" spans="1:10" s="9" customFormat="1" ht="15" customHeight="1">
      <c r="A14" s="5" t="s">
        <v>1147</v>
      </c>
    </row>
    <row r="15" spans="1:10" ht="15" customHeight="1">
      <c r="A15" s="5"/>
    </row>
    <row r="16" spans="1:10" s="8" customFormat="1" ht="15" customHeight="1">
      <c r="A16" s="7" t="s">
        <v>468</v>
      </c>
    </row>
    <row r="17" spans="1:10" s="9" customFormat="1" ht="15" customHeight="1">
      <c r="A17" s="5" t="s">
        <v>1176</v>
      </c>
    </row>
    <row r="18" spans="1:10" ht="15" customHeight="1">
      <c r="A18" s="10"/>
    </row>
    <row r="19" spans="1:10" s="12" customFormat="1" ht="15" customHeight="1">
      <c r="A19" s="1193" t="s">
        <v>469</v>
      </c>
      <c r="B19" s="1193"/>
      <c r="C19" s="1193"/>
      <c r="D19" s="1193"/>
      <c r="E19" s="1193"/>
      <c r="F19" s="1193"/>
      <c r="G19" s="1193"/>
      <c r="H19" s="1193"/>
      <c r="I19" s="1193"/>
      <c r="J19" s="1193"/>
    </row>
    <row r="20" spans="1:10" s="13" customFormat="1" ht="15" customHeight="1">
      <c r="A20" s="12" t="s">
        <v>1177</v>
      </c>
    </row>
    <row r="21" spans="1:10" s="12" customFormat="1" ht="15" customHeight="1">
      <c r="A21" s="1194" t="s">
        <v>1178</v>
      </c>
      <c r="B21" s="1195"/>
      <c r="C21" s="1195"/>
      <c r="D21" s="1195"/>
      <c r="E21" s="1195"/>
      <c r="F21" s="1195"/>
      <c r="G21" s="1195"/>
      <c r="H21" s="1195"/>
      <c r="I21" s="1195"/>
      <c r="J21" s="1195"/>
    </row>
    <row r="22" spans="1:10" s="12" customFormat="1" ht="15" customHeight="1">
      <c r="B22" s="14"/>
      <c r="C22" s="14"/>
      <c r="D22" s="14"/>
      <c r="E22" s="14"/>
      <c r="F22" s="14"/>
      <c r="G22" s="14"/>
      <c r="H22" s="14"/>
      <c r="I22" s="14"/>
      <c r="J22" s="14"/>
    </row>
    <row r="23" spans="1:10" s="12" customFormat="1" ht="15" customHeight="1">
      <c r="B23" s="14"/>
      <c r="C23" s="14"/>
      <c r="D23" s="14"/>
      <c r="E23" s="14"/>
      <c r="F23" s="14"/>
      <c r="G23" s="14"/>
      <c r="H23" s="14"/>
      <c r="I23" s="14"/>
      <c r="J23" s="14"/>
    </row>
    <row r="24" spans="1:10" s="3" customFormat="1" ht="15" customHeight="1">
      <c r="A24" s="4" t="s">
        <v>470</v>
      </c>
    </row>
    <row r="25" spans="1:10" s="16" customFormat="1" ht="15" customHeight="1">
      <c r="A25" s="15"/>
    </row>
    <row r="26" spans="1:10" s="18" customFormat="1" ht="30.75" customHeight="1">
      <c r="A26" s="1198" t="s">
        <v>1179</v>
      </c>
      <c r="B26" s="1198"/>
      <c r="C26" s="1198"/>
      <c r="D26" s="1198"/>
      <c r="E26" s="1198"/>
      <c r="F26" s="1198"/>
      <c r="G26" s="1198"/>
      <c r="H26" s="1198"/>
      <c r="I26" s="1198"/>
      <c r="J26" s="1198"/>
    </row>
    <row r="27" spans="1:10" s="17" customFormat="1" ht="15">
      <c r="A27" s="1198" t="s">
        <v>1180</v>
      </c>
      <c r="B27" s="1198"/>
      <c r="C27" s="1198"/>
      <c r="D27" s="1198"/>
      <c r="E27" s="1198"/>
      <c r="F27" s="1198"/>
      <c r="G27" s="1198"/>
      <c r="H27" s="1198"/>
      <c r="I27" s="1198"/>
      <c r="J27" s="1198"/>
    </row>
    <row r="28" spans="1:10" s="17" customFormat="1" ht="15">
      <c r="A28" s="1198" t="s">
        <v>1181</v>
      </c>
      <c r="B28" s="1198"/>
      <c r="C28" s="1198"/>
      <c r="D28" s="1198"/>
      <c r="E28" s="1198"/>
      <c r="F28" s="1198"/>
      <c r="G28" s="1198"/>
      <c r="H28" s="1198"/>
      <c r="I28" s="1198"/>
      <c r="J28" s="1198"/>
    </row>
    <row r="29" spans="1:10" s="17" customFormat="1" ht="31.5" customHeight="1">
      <c r="A29" s="1198" t="s">
        <v>1182</v>
      </c>
      <c r="B29" s="1198"/>
      <c r="C29" s="1198"/>
      <c r="D29" s="1198"/>
      <c r="E29" s="1198"/>
      <c r="F29" s="1198"/>
      <c r="G29" s="1198"/>
      <c r="H29" s="1198"/>
      <c r="I29" s="1198"/>
      <c r="J29" s="1198"/>
    </row>
    <row r="30" spans="1:10" s="17" customFormat="1" ht="31.5" customHeight="1">
      <c r="A30" s="1198" t="s">
        <v>1183</v>
      </c>
      <c r="B30" s="1198"/>
      <c r="C30" s="1198"/>
      <c r="D30" s="1198"/>
      <c r="E30" s="1198"/>
      <c r="F30" s="1198"/>
      <c r="G30" s="1198"/>
      <c r="H30" s="1198"/>
      <c r="I30" s="1198"/>
      <c r="J30" s="1198"/>
    </row>
    <row r="31" spans="1:10" s="17" customFormat="1" ht="15" customHeight="1">
      <c r="A31" s="1198" t="s">
        <v>1184</v>
      </c>
      <c r="B31" s="1198"/>
      <c r="C31" s="1198"/>
      <c r="D31" s="1198"/>
      <c r="E31" s="1198"/>
      <c r="F31" s="1198"/>
      <c r="G31" s="1198"/>
      <c r="H31" s="1198"/>
      <c r="I31" s="1198"/>
      <c r="J31" s="1198"/>
    </row>
    <row r="32" spans="1:10" s="19" customFormat="1" ht="46.5" customHeight="1">
      <c r="A32" s="1198" t="s">
        <v>1148</v>
      </c>
      <c r="B32" s="1198"/>
      <c r="C32" s="1198"/>
      <c r="D32" s="1198"/>
      <c r="E32" s="1198"/>
      <c r="F32" s="1198"/>
      <c r="G32" s="1198"/>
      <c r="H32" s="1198"/>
      <c r="I32" s="1198"/>
      <c r="J32" s="1198"/>
    </row>
    <row r="33" spans="1:10" s="5" customFormat="1" ht="15" customHeight="1">
      <c r="A33" s="1198" t="s">
        <v>389</v>
      </c>
      <c r="B33" s="1198"/>
      <c r="C33" s="1198"/>
      <c r="D33" s="1198"/>
      <c r="E33" s="1198"/>
      <c r="F33" s="1198"/>
      <c r="G33" s="1198"/>
      <c r="H33" s="1198"/>
      <c r="I33" s="1198"/>
      <c r="J33" s="1198"/>
    </row>
    <row r="34" spans="1:10" s="5" customFormat="1" ht="15" customHeight="1">
      <c r="A34" s="1198" t="s">
        <v>390</v>
      </c>
      <c r="B34" s="1198"/>
      <c r="C34" s="1198"/>
      <c r="D34" s="1198"/>
      <c r="E34" s="1198"/>
      <c r="F34" s="1198"/>
      <c r="G34" s="1198"/>
      <c r="H34" s="1198"/>
      <c r="I34" s="1198"/>
      <c r="J34" s="1198"/>
    </row>
    <row r="35" spans="1:10" s="5" customFormat="1" ht="15" customHeight="1">
      <c r="A35" s="12"/>
      <c r="B35" s="12"/>
      <c r="C35" s="12"/>
      <c r="D35" s="12"/>
      <c r="E35" s="12"/>
      <c r="F35" s="12"/>
      <c r="G35" s="12"/>
      <c r="H35" s="12"/>
      <c r="I35" s="12"/>
      <c r="J35" s="12"/>
    </row>
    <row r="36" spans="1:10" ht="15" customHeight="1">
      <c r="A36" s="14" t="s">
        <v>169</v>
      </c>
    </row>
    <row r="37" spans="1:10" ht="15" customHeight="1">
      <c r="A37" s="12"/>
    </row>
    <row r="38" spans="1:10" ht="15" customHeight="1">
      <c r="A38" s="12"/>
    </row>
    <row r="39" spans="1:10" s="5" customFormat="1" ht="15" customHeight="1">
      <c r="A39" s="1193" t="s">
        <v>170</v>
      </c>
      <c r="B39" s="1193"/>
      <c r="C39" s="1193"/>
      <c r="D39" s="1193"/>
      <c r="E39" s="1193"/>
      <c r="F39" s="1193"/>
      <c r="G39" s="1193"/>
      <c r="H39" s="1193"/>
      <c r="I39" s="1193"/>
      <c r="J39" s="1193"/>
    </row>
    <row r="40" spans="1:10" ht="15" customHeight="1">
      <c r="A40" s="11"/>
    </row>
    <row r="41" spans="1:10" ht="15" customHeight="1">
      <c r="A41" s="11" t="s">
        <v>1185</v>
      </c>
    </row>
    <row r="42" spans="1:10" hidden="1"/>
    <row r="43" spans="1:10" hidden="1"/>
    <row r="44" spans="1:10" hidden="1"/>
    <row r="45" spans="1:10" hidden="1"/>
    <row r="46" spans="1:10" hidden="1"/>
    <row r="47" spans="1:10" hidden="1"/>
    <row r="48" spans="1:10"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sheetData>
  <mergeCells count="16">
    <mergeCell ref="A1:J1"/>
    <mergeCell ref="A39:J39"/>
    <mergeCell ref="A19:J19"/>
    <mergeCell ref="A21:J21"/>
    <mergeCell ref="A2:J2"/>
    <mergeCell ref="A33:J33"/>
    <mergeCell ref="A32:J32"/>
    <mergeCell ref="A6:J6"/>
    <mergeCell ref="A26:J26"/>
    <mergeCell ref="A29:J29"/>
    <mergeCell ref="A34:J34"/>
    <mergeCell ref="A7:J7"/>
    <mergeCell ref="A31:J31"/>
    <mergeCell ref="A27:J27"/>
    <mergeCell ref="A28:J28"/>
    <mergeCell ref="A30:J30"/>
  </mergeCells>
  <phoneticPr fontId="12" type="noConversion"/>
  <printOptions horizontalCentered="1" verticalCentered="1"/>
  <pageMargins left="0" right="0" top="0" bottom="0.39370078740157483" header="0" footer="0"/>
  <pageSetup paperSize="9" scale="82" orientation="landscape" blackAndWhite="1" r:id="rId1"/>
  <headerFooter alignWithMargins="0">
    <oddFooter>&amp;L&amp;8Edité le &amp;D&amp;C&amp;P/&amp;N&amp;R&amp;8Notice</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6">
    <pageSetUpPr fitToPage="1"/>
  </sheetPr>
  <dimension ref="A1:J82"/>
  <sheetViews>
    <sheetView showGridLines="0" view="pageBreakPreview" zoomScaleNormal="100" workbookViewId="0">
      <selection activeCell="H10" sqref="H10:J10"/>
    </sheetView>
  </sheetViews>
  <sheetFormatPr baseColWidth="10" defaultColWidth="0" defaultRowHeight="12.75" customHeight="1" zeroHeight="1"/>
  <cols>
    <col min="1" max="1" width="10.5703125" style="6" customWidth="1"/>
    <col min="2" max="2" width="3.7109375" style="6" customWidth="1"/>
    <col min="3" max="9" width="11.42578125" style="6" customWidth="1"/>
    <col min="10" max="10" width="44.42578125" style="6" customWidth="1"/>
    <col min="11" max="16384" width="0" style="6" hidden="1"/>
  </cols>
  <sheetData>
    <row r="1" spans="1:10" s="1" customFormat="1" ht="15" customHeight="1">
      <c r="A1" s="1191" t="s">
        <v>1242</v>
      </c>
      <c r="B1" s="1192"/>
      <c r="C1" s="1192"/>
      <c r="D1" s="1192"/>
      <c r="E1" s="1192"/>
      <c r="F1" s="1192"/>
      <c r="G1" s="1192"/>
      <c r="H1" s="1192"/>
      <c r="I1" s="1192"/>
      <c r="J1" s="1192"/>
    </row>
    <row r="2" spans="1:10" s="3" customFormat="1" ht="15" customHeight="1">
      <c r="A2" s="1196"/>
      <c r="B2" s="1197"/>
      <c r="C2" s="1197"/>
      <c r="D2" s="1197"/>
      <c r="E2" s="1197"/>
      <c r="F2" s="1197"/>
      <c r="G2" s="1197"/>
      <c r="H2" s="1197"/>
      <c r="I2" s="1197"/>
      <c r="J2" s="1197"/>
    </row>
    <row r="3" spans="1:10" s="3" customFormat="1" ht="15" customHeight="1">
      <c r="A3" s="2"/>
    </row>
    <row r="4" spans="1:10" s="3" customFormat="1" ht="15" customHeight="1">
      <c r="A4" s="4"/>
    </row>
    <row r="5" spans="1:10" s="3" customFormat="1" ht="15" customHeight="1">
      <c r="A5" s="2"/>
    </row>
    <row r="6" spans="1:10" s="1019" customFormat="1" ht="15" customHeight="1">
      <c r="A6" s="1202" t="s">
        <v>417</v>
      </c>
      <c r="B6" s="1202"/>
      <c r="C6" s="1202"/>
      <c r="D6" s="1202" t="s">
        <v>490</v>
      </c>
      <c r="E6" s="1202"/>
      <c r="F6" s="1202" t="s">
        <v>1243</v>
      </c>
      <c r="G6" s="1202"/>
      <c r="H6" s="1202" t="s">
        <v>1244</v>
      </c>
      <c r="I6" s="1202"/>
      <c r="J6" s="1202"/>
    </row>
    <row r="7" spans="1:10" s="275" customFormat="1" ht="15" customHeight="1">
      <c r="A7" s="1203">
        <v>44545</v>
      </c>
      <c r="B7" s="1203"/>
      <c r="C7" s="1203"/>
      <c r="D7" s="1201" t="s">
        <v>1245</v>
      </c>
      <c r="E7" s="1201"/>
      <c r="F7" s="1201" t="s">
        <v>1247</v>
      </c>
      <c r="G7" s="1201"/>
      <c r="H7" s="1201" t="s">
        <v>1246</v>
      </c>
      <c r="I7" s="1201"/>
      <c r="J7" s="1201"/>
    </row>
    <row r="8" spans="1:10" s="275" customFormat="1" ht="15" customHeight="1">
      <c r="A8" s="1203">
        <v>44545</v>
      </c>
      <c r="B8" s="1201"/>
      <c r="C8" s="1201"/>
      <c r="D8" s="1201" t="s">
        <v>1245</v>
      </c>
      <c r="E8" s="1201"/>
      <c r="F8" s="1201" t="s">
        <v>1248</v>
      </c>
      <c r="G8" s="1201"/>
      <c r="H8" s="1201" t="s">
        <v>1249</v>
      </c>
      <c r="I8" s="1201"/>
      <c r="J8" s="1201"/>
    </row>
    <row r="9" spans="1:10" s="8" customFormat="1" ht="42.75" customHeight="1">
      <c r="A9" s="1203">
        <v>44728</v>
      </c>
      <c r="B9" s="1201"/>
      <c r="C9" s="1201"/>
      <c r="D9" s="1201" t="s">
        <v>1368</v>
      </c>
      <c r="E9" s="1201"/>
      <c r="F9" s="1204" t="s">
        <v>1373</v>
      </c>
      <c r="G9" s="1201"/>
      <c r="H9" s="1201" t="s">
        <v>1372</v>
      </c>
      <c r="I9" s="1201"/>
      <c r="J9" s="1201"/>
    </row>
    <row r="10" spans="1:10" s="275" customFormat="1" ht="15" customHeight="1">
      <c r="A10" s="1201"/>
      <c r="B10" s="1201"/>
      <c r="C10" s="1201"/>
      <c r="D10" s="1201"/>
      <c r="E10" s="1201"/>
      <c r="F10" s="1201"/>
      <c r="G10" s="1201"/>
      <c r="H10" s="1201"/>
      <c r="I10" s="1201"/>
      <c r="J10" s="1201"/>
    </row>
    <row r="11" spans="1:10" s="275" customFormat="1" ht="15" customHeight="1">
      <c r="A11" s="1201"/>
      <c r="B11" s="1201"/>
      <c r="C11" s="1201"/>
      <c r="D11" s="1201"/>
      <c r="E11" s="1201"/>
      <c r="F11" s="1201"/>
      <c r="G11" s="1201"/>
      <c r="H11" s="1201"/>
      <c r="I11" s="1201"/>
      <c r="J11" s="1201"/>
    </row>
    <row r="12" spans="1:10" s="275" customFormat="1" ht="15" customHeight="1">
      <c r="A12" s="1201"/>
      <c r="B12" s="1201"/>
      <c r="C12" s="1201"/>
      <c r="D12" s="1201"/>
      <c r="E12" s="1201"/>
      <c r="F12" s="1201"/>
      <c r="G12" s="1201"/>
      <c r="H12" s="1201"/>
      <c r="I12" s="1201"/>
      <c r="J12" s="1201"/>
    </row>
    <row r="13" spans="1:10" s="8" customFormat="1" ht="15" customHeight="1">
      <c r="A13" s="1201"/>
      <c r="B13" s="1201"/>
      <c r="C13" s="1201"/>
      <c r="D13" s="1201"/>
      <c r="E13" s="1201"/>
      <c r="F13" s="1201"/>
      <c r="G13" s="1201"/>
      <c r="H13" s="1201"/>
      <c r="I13" s="1201"/>
      <c r="J13" s="1201"/>
    </row>
    <row r="14" spans="1:10" s="275" customFormat="1" ht="15" customHeight="1">
      <c r="A14" s="1201"/>
      <c r="B14" s="1201"/>
      <c r="C14" s="1201"/>
      <c r="D14" s="1201"/>
      <c r="E14" s="1201"/>
      <c r="F14" s="1201"/>
      <c r="G14" s="1201"/>
      <c r="H14" s="1201"/>
      <c r="I14" s="1201"/>
      <c r="J14" s="1201"/>
    </row>
    <row r="15" spans="1:10" s="275" customFormat="1" ht="15" customHeight="1">
      <c r="A15" s="1201"/>
      <c r="B15" s="1201"/>
      <c r="C15" s="1201"/>
      <c r="D15" s="1201"/>
      <c r="E15" s="1201"/>
      <c r="F15" s="1201"/>
      <c r="G15" s="1201"/>
      <c r="H15" s="1201"/>
      <c r="I15" s="1201"/>
      <c r="J15" s="1201"/>
    </row>
    <row r="16" spans="1:10" s="8" customFormat="1" ht="15" customHeight="1">
      <c r="A16" s="1201"/>
      <c r="B16" s="1201"/>
      <c r="C16" s="1201"/>
      <c r="D16" s="1201"/>
      <c r="E16" s="1201"/>
      <c r="F16" s="1201"/>
      <c r="G16" s="1201"/>
      <c r="H16" s="1201"/>
      <c r="I16" s="1201"/>
      <c r="J16" s="1201"/>
    </row>
    <row r="17" spans="1:10" s="275" customFormat="1" ht="15" customHeight="1">
      <c r="A17" s="1201"/>
      <c r="B17" s="1201"/>
      <c r="C17" s="1201"/>
      <c r="D17" s="1201"/>
      <c r="E17" s="1201"/>
      <c r="F17" s="1201"/>
      <c r="G17" s="1201"/>
      <c r="H17" s="1201"/>
      <c r="I17" s="1201"/>
      <c r="J17" s="1201"/>
    </row>
    <row r="18" spans="1:10" s="275" customFormat="1" ht="15" customHeight="1">
      <c r="A18" s="1201"/>
      <c r="B18" s="1201"/>
      <c r="C18" s="1201"/>
      <c r="D18" s="1201"/>
      <c r="E18" s="1201"/>
      <c r="F18" s="1201"/>
      <c r="G18" s="1201"/>
      <c r="H18" s="1201"/>
      <c r="I18" s="1201"/>
      <c r="J18" s="1201"/>
    </row>
    <row r="19" spans="1:10" s="335" customFormat="1" ht="15" customHeight="1">
      <c r="A19" s="1201"/>
      <c r="B19" s="1201"/>
      <c r="C19" s="1201"/>
      <c r="D19" s="1201"/>
      <c r="E19" s="1201"/>
      <c r="F19" s="1201"/>
      <c r="G19" s="1201"/>
      <c r="H19" s="1201"/>
      <c r="I19" s="1201"/>
      <c r="J19" s="1201"/>
    </row>
    <row r="20" spans="1:10" s="13" customFormat="1" ht="15" customHeight="1">
      <c r="A20" s="12"/>
    </row>
    <row r="21" spans="1:10" s="12" customFormat="1" ht="15" customHeight="1">
      <c r="A21" s="5"/>
      <c r="B21" s="28"/>
      <c r="C21" s="28"/>
      <c r="D21" s="28"/>
      <c r="E21" s="28"/>
      <c r="F21" s="28"/>
      <c r="G21" s="28"/>
      <c r="H21" s="28"/>
      <c r="I21" s="28"/>
      <c r="J21" s="28"/>
    </row>
    <row r="22" spans="1:10" s="12" customFormat="1" ht="15" customHeight="1">
      <c r="B22" s="14"/>
      <c r="C22" s="14"/>
      <c r="D22" s="14"/>
      <c r="E22" s="14"/>
      <c r="F22" s="14"/>
      <c r="G22" s="14"/>
      <c r="H22" s="14"/>
      <c r="I22" s="14"/>
      <c r="J22" s="14"/>
    </row>
    <row r="23" spans="1:10" s="12" customFormat="1" ht="15" customHeight="1">
      <c r="B23" s="14"/>
      <c r="C23" s="14"/>
      <c r="D23" s="14"/>
      <c r="E23" s="14"/>
      <c r="F23" s="14"/>
      <c r="G23" s="14"/>
      <c r="H23" s="14"/>
      <c r="I23" s="14"/>
      <c r="J23" s="14"/>
    </row>
    <row r="24" spans="1:10" s="3" customFormat="1" ht="15" customHeight="1">
      <c r="A24" s="4"/>
    </row>
    <row r="25" spans="1:10" s="16" customFormat="1" ht="15" customHeight="1">
      <c r="A25" s="15"/>
    </row>
    <row r="26" spans="1:10" s="18" customFormat="1" ht="30.75" customHeight="1">
      <c r="A26" s="19"/>
      <c r="B26" s="19"/>
      <c r="C26" s="19"/>
      <c r="D26" s="19"/>
      <c r="E26" s="19"/>
      <c r="F26" s="19"/>
      <c r="G26" s="19"/>
      <c r="H26" s="19"/>
      <c r="I26" s="19"/>
      <c r="J26" s="19"/>
    </row>
    <row r="27" spans="1:10" s="17" customFormat="1" ht="15">
      <c r="A27" s="19"/>
      <c r="B27" s="19"/>
      <c r="C27" s="19"/>
      <c r="D27" s="19"/>
      <c r="E27" s="19"/>
      <c r="F27" s="19"/>
      <c r="G27" s="19"/>
      <c r="H27" s="19"/>
      <c r="I27" s="19"/>
      <c r="J27" s="19"/>
    </row>
    <row r="28" spans="1:10" s="17" customFormat="1" ht="15">
      <c r="A28" s="19"/>
      <c r="B28" s="19"/>
      <c r="C28" s="19"/>
      <c r="D28" s="19"/>
      <c r="E28" s="19"/>
      <c r="F28" s="19"/>
      <c r="G28" s="19"/>
      <c r="H28" s="19"/>
      <c r="I28" s="19"/>
      <c r="J28" s="19"/>
    </row>
    <row r="29" spans="1:10" s="17" customFormat="1" ht="31.5" customHeight="1">
      <c r="A29" s="19"/>
      <c r="B29" s="19"/>
      <c r="C29" s="19"/>
      <c r="D29" s="19"/>
      <c r="E29" s="19"/>
      <c r="F29" s="19"/>
      <c r="G29" s="19"/>
      <c r="H29" s="19"/>
      <c r="I29" s="19"/>
      <c r="J29" s="19"/>
    </row>
    <row r="30" spans="1:10" s="17" customFormat="1" ht="31.5" customHeight="1">
      <c r="A30" s="19"/>
      <c r="B30" s="19"/>
      <c r="C30" s="19"/>
      <c r="D30" s="19"/>
      <c r="E30" s="19"/>
      <c r="F30" s="19"/>
      <c r="G30" s="19"/>
      <c r="H30" s="19"/>
      <c r="I30" s="19"/>
      <c r="J30" s="19"/>
    </row>
    <row r="31" spans="1:10" s="17" customFormat="1" ht="15" customHeight="1">
      <c r="A31" s="19"/>
      <c r="B31" s="19"/>
      <c r="C31" s="19"/>
      <c r="D31" s="19"/>
      <c r="E31" s="19"/>
      <c r="F31" s="19"/>
      <c r="G31" s="19"/>
      <c r="H31" s="19"/>
      <c r="I31" s="19"/>
      <c r="J31" s="19"/>
    </row>
    <row r="32" spans="1:10" s="19" customFormat="1" ht="46.5" customHeight="1"/>
    <row r="33" spans="1:10" s="5" customFormat="1" ht="15" customHeight="1">
      <c r="A33" s="19"/>
      <c r="B33" s="19"/>
      <c r="C33" s="19"/>
      <c r="D33" s="19"/>
      <c r="E33" s="19"/>
      <c r="F33" s="19"/>
      <c r="G33" s="19"/>
      <c r="H33" s="19"/>
      <c r="I33" s="19"/>
      <c r="J33" s="19"/>
    </row>
    <row r="34" spans="1:10" s="5" customFormat="1" ht="15" customHeight="1">
      <c r="A34" s="19"/>
      <c r="B34" s="19"/>
      <c r="C34" s="19"/>
      <c r="D34" s="19"/>
      <c r="E34" s="19"/>
      <c r="F34" s="19"/>
      <c r="G34" s="19"/>
      <c r="H34" s="19"/>
      <c r="I34" s="19"/>
      <c r="J34" s="19"/>
    </row>
    <row r="35" spans="1:10" s="5" customFormat="1" ht="15" customHeight="1">
      <c r="A35" s="12"/>
      <c r="B35" s="12"/>
      <c r="C35" s="12"/>
      <c r="D35" s="12"/>
      <c r="E35" s="12"/>
      <c r="F35" s="12"/>
      <c r="G35" s="12"/>
      <c r="H35" s="12"/>
      <c r="I35" s="12"/>
      <c r="J35" s="12"/>
    </row>
    <row r="36" spans="1:10" ht="15" customHeight="1">
      <c r="A36" s="14"/>
    </row>
    <row r="37" spans="1:10" ht="15" customHeight="1">
      <c r="A37" s="12"/>
    </row>
    <row r="38" spans="1:10" ht="15" customHeight="1">
      <c r="A38" s="12"/>
    </row>
    <row r="39" spans="1:10" s="5" customFormat="1" ht="15" customHeight="1">
      <c r="A39" s="1193"/>
      <c r="B39" s="1193"/>
      <c r="C39" s="1193"/>
      <c r="D39" s="1193"/>
      <c r="E39" s="1193"/>
      <c r="F39" s="1193"/>
      <c r="G39" s="1193"/>
      <c r="H39" s="1193"/>
      <c r="I39" s="1193"/>
      <c r="J39" s="1193"/>
    </row>
    <row r="40" spans="1:10" ht="15" customHeight="1">
      <c r="A40" s="11"/>
    </row>
    <row r="41" spans="1:10" ht="15" customHeight="1">
      <c r="A41" s="11"/>
    </row>
    <row r="42" spans="1:10" hidden="1"/>
    <row r="43" spans="1:10" hidden="1"/>
    <row r="44" spans="1:10" hidden="1"/>
    <row r="45" spans="1:10" hidden="1"/>
    <row r="46" spans="1:10" hidden="1"/>
    <row r="47" spans="1:10" hidden="1"/>
    <row r="48" spans="1:10"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sheetData>
  <mergeCells count="59">
    <mergeCell ref="A1:J1"/>
    <mergeCell ref="A2:J2"/>
    <mergeCell ref="F7:G7"/>
    <mergeCell ref="H7:J7"/>
    <mergeCell ref="A8:C8"/>
    <mergeCell ref="D8:E8"/>
    <mergeCell ref="A39:J39"/>
    <mergeCell ref="A6:C6"/>
    <mergeCell ref="D6:E6"/>
    <mergeCell ref="H6:J6"/>
    <mergeCell ref="F6:G6"/>
    <mergeCell ref="A7:C7"/>
    <mergeCell ref="D7:E7"/>
    <mergeCell ref="F8:G8"/>
    <mergeCell ref="H8:J8"/>
    <mergeCell ref="A9:C9"/>
    <mergeCell ref="D9:E9"/>
    <mergeCell ref="F9:G9"/>
    <mergeCell ref="H9:J9"/>
    <mergeCell ref="A10:C10"/>
    <mergeCell ref="D10:E10"/>
    <mergeCell ref="F10:G10"/>
    <mergeCell ref="H10:J10"/>
    <mergeCell ref="A11:C11"/>
    <mergeCell ref="D11:E11"/>
    <mergeCell ref="F11:G11"/>
    <mergeCell ref="H11:J11"/>
    <mergeCell ref="A12:C12"/>
    <mergeCell ref="D12:E12"/>
    <mergeCell ref="F12:G12"/>
    <mergeCell ref="H12:J12"/>
    <mergeCell ref="A13:C13"/>
    <mergeCell ref="D13:E13"/>
    <mergeCell ref="F13:G13"/>
    <mergeCell ref="H13:J13"/>
    <mergeCell ref="A14:C14"/>
    <mergeCell ref="D14:E14"/>
    <mergeCell ref="F14:G14"/>
    <mergeCell ref="H14:J14"/>
    <mergeCell ref="A15:C15"/>
    <mergeCell ref="D15:E15"/>
    <mergeCell ref="F15:G15"/>
    <mergeCell ref="H15:J15"/>
    <mergeCell ref="A16:C16"/>
    <mergeCell ref="D16:E16"/>
    <mergeCell ref="F16:G16"/>
    <mergeCell ref="H16:J16"/>
    <mergeCell ref="A17:C17"/>
    <mergeCell ref="D17:E17"/>
    <mergeCell ref="F17:G17"/>
    <mergeCell ref="H17:J17"/>
    <mergeCell ref="A18:C18"/>
    <mergeCell ref="D18:E18"/>
    <mergeCell ref="F18:G18"/>
    <mergeCell ref="H18:J18"/>
    <mergeCell ref="A19:C19"/>
    <mergeCell ref="D19:E19"/>
    <mergeCell ref="F19:G19"/>
    <mergeCell ref="H19:J19"/>
  </mergeCells>
  <printOptions horizontalCentered="1" verticalCentered="1"/>
  <pageMargins left="0" right="0" top="0" bottom="0.39370078740157483" header="0" footer="0"/>
  <pageSetup paperSize="9" scale="82" orientation="landscape" blackAndWhite="1" r:id="rId1"/>
  <headerFooter alignWithMargins="0">
    <oddFooter>&amp;L&amp;8Edité le &amp;D&amp;C&amp;P/&amp;N&amp;R&amp;8Notice</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tabColor indexed="14"/>
    <outlinePr summaryBelow="0"/>
  </sheetPr>
  <dimension ref="A1:WVO80"/>
  <sheetViews>
    <sheetView showGridLines="0" tabSelected="1" view="pageBreakPreview" zoomScale="145" zoomScaleNormal="120" zoomScaleSheetLayoutView="145" workbookViewId="0">
      <pane ySplit="4" topLeftCell="A27" activePane="bottomLeft" state="frozen"/>
      <selection pane="bottomLeft" activeCell="E9" sqref="E9"/>
    </sheetView>
  </sheetViews>
  <sheetFormatPr baseColWidth="10" defaultColWidth="0" defaultRowHeight="0" customHeight="1" zeroHeight="1"/>
  <cols>
    <col min="1" max="1" width="7.7109375" style="665" customWidth="1"/>
    <col min="2" max="2" width="17.7109375" style="665" customWidth="1"/>
    <col min="3" max="3" width="3.28515625" style="708" hidden="1" customWidth="1"/>
    <col min="4" max="4" width="4.85546875" style="708" customWidth="1"/>
    <col min="5" max="5" width="50.7109375" style="665" customWidth="1"/>
    <col min="6" max="6" width="1.7109375" style="665" customWidth="1"/>
    <col min="7" max="7" width="0.85546875" style="665" customWidth="1"/>
    <col min="8" max="8" width="5.7109375" style="665" customWidth="1"/>
    <col min="9" max="9" width="36.140625" style="665" customWidth="1"/>
    <col min="10" max="257" width="3.28515625" style="665" hidden="1" customWidth="1"/>
    <col min="258" max="258" width="7.7109375" style="665" hidden="1" customWidth="1"/>
    <col min="259" max="259" width="15.7109375" style="665" hidden="1" customWidth="1"/>
    <col min="260" max="260" width="3.28515625" style="665" hidden="1" customWidth="1"/>
    <col min="261" max="261" width="4.85546875" style="665" hidden="1" customWidth="1"/>
    <col min="262" max="262" width="50.7109375" style="665" hidden="1" customWidth="1"/>
    <col min="263" max="263" width="1.7109375" style="665" hidden="1" customWidth="1"/>
    <col min="264" max="270" width="3.28515625" style="665" hidden="1" customWidth="1"/>
    <col min="271" max="513" width="3.28515625" style="665" hidden="1"/>
    <col min="514" max="514" width="7.7109375" style="665" hidden="1" customWidth="1"/>
    <col min="515" max="515" width="15.7109375" style="665" hidden="1" customWidth="1"/>
    <col min="516" max="516" width="3.28515625" style="665" hidden="1" customWidth="1"/>
    <col min="517" max="517" width="4.85546875" style="665" hidden="1" customWidth="1"/>
    <col min="518" max="518" width="50.7109375" style="665" hidden="1" customWidth="1"/>
    <col min="519" max="519" width="1.7109375" style="665" hidden="1" customWidth="1"/>
    <col min="520" max="526" width="3.28515625" style="665" hidden="1" customWidth="1"/>
    <col min="527" max="769" width="3.28515625" style="665" hidden="1"/>
    <col min="770" max="770" width="7.7109375" style="665" hidden="1" customWidth="1"/>
    <col min="771" max="771" width="15.7109375" style="665" hidden="1" customWidth="1"/>
    <col min="772" max="772" width="3.28515625" style="665" hidden="1" customWidth="1"/>
    <col min="773" max="773" width="4.85546875" style="665" hidden="1" customWidth="1"/>
    <col min="774" max="774" width="50.7109375" style="665" hidden="1" customWidth="1"/>
    <col min="775" max="775" width="1.7109375" style="665" hidden="1" customWidth="1"/>
    <col min="776" max="782" width="3.28515625" style="665" hidden="1" customWidth="1"/>
    <col min="783" max="1025" width="3.28515625" style="665" hidden="1"/>
    <col min="1026" max="1026" width="7.7109375" style="665" hidden="1" customWidth="1"/>
    <col min="1027" max="1027" width="15.7109375" style="665" hidden="1" customWidth="1"/>
    <col min="1028" max="1028" width="3.28515625" style="665" hidden="1" customWidth="1"/>
    <col min="1029" max="1029" width="4.85546875" style="665" hidden="1" customWidth="1"/>
    <col min="1030" max="1030" width="50.7109375" style="665" hidden="1" customWidth="1"/>
    <col min="1031" max="1031" width="1.7109375" style="665" hidden="1" customWidth="1"/>
    <col min="1032" max="1038" width="3.28515625" style="665" hidden="1" customWidth="1"/>
    <col min="1039" max="1281" width="3.28515625" style="665" hidden="1"/>
    <col min="1282" max="1282" width="7.7109375" style="665" hidden="1" customWidth="1"/>
    <col min="1283" max="1283" width="15.7109375" style="665" hidden="1" customWidth="1"/>
    <col min="1284" max="1284" width="3.28515625" style="665" hidden="1" customWidth="1"/>
    <col min="1285" max="1285" width="4.85546875" style="665" hidden="1" customWidth="1"/>
    <col min="1286" max="1286" width="50.7109375" style="665" hidden="1" customWidth="1"/>
    <col min="1287" max="1287" width="1.7109375" style="665" hidden="1" customWidth="1"/>
    <col min="1288" max="1294" width="3.28515625" style="665" hidden="1" customWidth="1"/>
    <col min="1295" max="1537" width="3.28515625" style="665" hidden="1"/>
    <col min="1538" max="1538" width="7.7109375" style="665" hidden="1" customWidth="1"/>
    <col min="1539" max="1539" width="15.7109375" style="665" hidden="1" customWidth="1"/>
    <col min="1540" max="1540" width="3.28515625" style="665" hidden="1" customWidth="1"/>
    <col min="1541" max="1541" width="4.85546875" style="665" hidden="1" customWidth="1"/>
    <col min="1542" max="1542" width="50.7109375" style="665" hidden="1" customWidth="1"/>
    <col min="1543" max="1543" width="1.7109375" style="665" hidden="1" customWidth="1"/>
    <col min="1544" max="1550" width="3.28515625" style="665" hidden="1" customWidth="1"/>
    <col min="1551" max="1793" width="3.28515625" style="665" hidden="1"/>
    <col min="1794" max="1794" width="7.7109375" style="665" hidden="1" customWidth="1"/>
    <col min="1795" max="1795" width="15.7109375" style="665" hidden="1" customWidth="1"/>
    <col min="1796" max="1796" width="3.28515625" style="665" hidden="1" customWidth="1"/>
    <col min="1797" max="1797" width="4.85546875" style="665" hidden="1" customWidth="1"/>
    <col min="1798" max="1798" width="50.7109375" style="665" hidden="1" customWidth="1"/>
    <col min="1799" max="1799" width="1.7109375" style="665" hidden="1" customWidth="1"/>
    <col min="1800" max="1806" width="3.28515625" style="665" hidden="1" customWidth="1"/>
    <col min="1807" max="2049" width="3.28515625" style="665" hidden="1"/>
    <col min="2050" max="2050" width="7.7109375" style="665" hidden="1" customWidth="1"/>
    <col min="2051" max="2051" width="15.7109375" style="665" hidden="1" customWidth="1"/>
    <col min="2052" max="2052" width="3.28515625" style="665" hidden="1" customWidth="1"/>
    <col min="2053" max="2053" width="4.85546875" style="665" hidden="1" customWidth="1"/>
    <col min="2054" max="2054" width="50.7109375" style="665" hidden="1" customWidth="1"/>
    <col min="2055" max="2055" width="1.7109375" style="665" hidden="1" customWidth="1"/>
    <col min="2056" max="2062" width="3.28515625" style="665" hidden="1" customWidth="1"/>
    <col min="2063" max="2305" width="3.28515625" style="665" hidden="1"/>
    <col min="2306" max="2306" width="7.7109375" style="665" hidden="1" customWidth="1"/>
    <col min="2307" max="2307" width="15.7109375" style="665" hidden="1" customWidth="1"/>
    <col min="2308" max="2308" width="3.28515625" style="665" hidden="1" customWidth="1"/>
    <col min="2309" max="2309" width="4.85546875" style="665" hidden="1" customWidth="1"/>
    <col min="2310" max="2310" width="50.7109375" style="665" hidden="1" customWidth="1"/>
    <col min="2311" max="2311" width="1.7109375" style="665" hidden="1" customWidth="1"/>
    <col min="2312" max="2318" width="3.28515625" style="665" hidden="1" customWidth="1"/>
    <col min="2319" max="2561" width="3.28515625" style="665" hidden="1"/>
    <col min="2562" max="2562" width="7.7109375" style="665" hidden="1" customWidth="1"/>
    <col min="2563" max="2563" width="15.7109375" style="665" hidden="1" customWidth="1"/>
    <col min="2564" max="2564" width="3.28515625" style="665" hidden="1" customWidth="1"/>
    <col min="2565" max="2565" width="4.85546875" style="665" hidden="1" customWidth="1"/>
    <col min="2566" max="2566" width="50.7109375" style="665" hidden="1" customWidth="1"/>
    <col min="2567" max="2567" width="1.7109375" style="665" hidden="1" customWidth="1"/>
    <col min="2568" max="2574" width="3.28515625" style="665" hidden="1" customWidth="1"/>
    <col min="2575" max="2817" width="3.28515625" style="665" hidden="1"/>
    <col min="2818" max="2818" width="7.7109375" style="665" hidden="1" customWidth="1"/>
    <col min="2819" max="2819" width="15.7109375" style="665" hidden="1" customWidth="1"/>
    <col min="2820" max="2820" width="3.28515625" style="665" hidden="1" customWidth="1"/>
    <col min="2821" max="2821" width="4.85546875" style="665" hidden="1" customWidth="1"/>
    <col min="2822" max="2822" width="50.7109375" style="665" hidden="1" customWidth="1"/>
    <col min="2823" max="2823" width="1.7109375" style="665" hidden="1" customWidth="1"/>
    <col min="2824" max="2830" width="3.28515625" style="665" hidden="1" customWidth="1"/>
    <col min="2831" max="3073" width="3.28515625" style="665" hidden="1"/>
    <col min="3074" max="3074" width="7.7109375" style="665" hidden="1" customWidth="1"/>
    <col min="3075" max="3075" width="15.7109375" style="665" hidden="1" customWidth="1"/>
    <col min="3076" max="3076" width="3.28515625" style="665" hidden="1" customWidth="1"/>
    <col min="3077" max="3077" width="4.85546875" style="665" hidden="1" customWidth="1"/>
    <col min="3078" max="3078" width="50.7109375" style="665" hidden="1" customWidth="1"/>
    <col min="3079" max="3079" width="1.7109375" style="665" hidden="1" customWidth="1"/>
    <col min="3080" max="3086" width="3.28515625" style="665" hidden="1" customWidth="1"/>
    <col min="3087" max="3329" width="3.28515625" style="665" hidden="1"/>
    <col min="3330" max="3330" width="7.7109375" style="665" hidden="1" customWidth="1"/>
    <col min="3331" max="3331" width="15.7109375" style="665" hidden="1" customWidth="1"/>
    <col min="3332" max="3332" width="3.28515625" style="665" hidden="1" customWidth="1"/>
    <col min="3333" max="3333" width="4.85546875" style="665" hidden="1" customWidth="1"/>
    <col min="3334" max="3334" width="50.7109375" style="665" hidden="1" customWidth="1"/>
    <col min="3335" max="3335" width="1.7109375" style="665" hidden="1" customWidth="1"/>
    <col min="3336" max="3342" width="3.28515625" style="665" hidden="1" customWidth="1"/>
    <col min="3343" max="3585" width="3.28515625" style="665" hidden="1"/>
    <col min="3586" max="3586" width="7.7109375" style="665" hidden="1" customWidth="1"/>
    <col min="3587" max="3587" width="15.7109375" style="665" hidden="1" customWidth="1"/>
    <col min="3588" max="3588" width="3.28515625" style="665" hidden="1" customWidth="1"/>
    <col min="3589" max="3589" width="4.85546875" style="665" hidden="1" customWidth="1"/>
    <col min="3590" max="3590" width="50.7109375" style="665" hidden="1" customWidth="1"/>
    <col min="3591" max="3591" width="1.7109375" style="665" hidden="1" customWidth="1"/>
    <col min="3592" max="3598" width="3.28515625" style="665" hidden="1" customWidth="1"/>
    <col min="3599" max="3841" width="3.28515625" style="665" hidden="1"/>
    <col min="3842" max="3842" width="7.7109375" style="665" hidden="1" customWidth="1"/>
    <col min="3843" max="3843" width="15.7109375" style="665" hidden="1" customWidth="1"/>
    <col min="3844" max="3844" width="3.28515625" style="665" hidden="1" customWidth="1"/>
    <col min="3845" max="3845" width="4.85546875" style="665" hidden="1" customWidth="1"/>
    <col min="3846" max="3846" width="50.7109375" style="665" hidden="1" customWidth="1"/>
    <col min="3847" max="3847" width="1.7109375" style="665" hidden="1" customWidth="1"/>
    <col min="3848" max="3854" width="3.28515625" style="665" hidden="1" customWidth="1"/>
    <col min="3855" max="4097" width="3.28515625" style="665" hidden="1"/>
    <col min="4098" max="4098" width="7.7109375" style="665" hidden="1" customWidth="1"/>
    <col min="4099" max="4099" width="15.7109375" style="665" hidden="1" customWidth="1"/>
    <col min="4100" max="4100" width="3.28515625" style="665" hidden="1" customWidth="1"/>
    <col min="4101" max="4101" width="4.85546875" style="665" hidden="1" customWidth="1"/>
    <col min="4102" max="4102" width="50.7109375" style="665" hidden="1" customWidth="1"/>
    <col min="4103" max="4103" width="1.7109375" style="665" hidden="1" customWidth="1"/>
    <col min="4104" max="4110" width="3.28515625" style="665" hidden="1" customWidth="1"/>
    <col min="4111" max="4353" width="3.28515625" style="665" hidden="1"/>
    <col min="4354" max="4354" width="7.7109375" style="665" hidden="1" customWidth="1"/>
    <col min="4355" max="4355" width="15.7109375" style="665" hidden="1" customWidth="1"/>
    <col min="4356" max="4356" width="3.28515625" style="665" hidden="1" customWidth="1"/>
    <col min="4357" max="4357" width="4.85546875" style="665" hidden="1" customWidth="1"/>
    <col min="4358" max="4358" width="50.7109375" style="665" hidden="1" customWidth="1"/>
    <col min="4359" max="4359" width="1.7109375" style="665" hidden="1" customWidth="1"/>
    <col min="4360" max="4366" width="3.28515625" style="665" hidden="1" customWidth="1"/>
    <col min="4367" max="4609" width="3.28515625" style="665" hidden="1"/>
    <col min="4610" max="4610" width="7.7109375" style="665" hidden="1" customWidth="1"/>
    <col min="4611" max="4611" width="15.7109375" style="665" hidden="1" customWidth="1"/>
    <col min="4612" max="4612" width="3.28515625" style="665" hidden="1" customWidth="1"/>
    <col min="4613" max="4613" width="4.85546875" style="665" hidden="1" customWidth="1"/>
    <col min="4614" max="4614" width="50.7109375" style="665" hidden="1" customWidth="1"/>
    <col min="4615" max="4615" width="1.7109375" style="665" hidden="1" customWidth="1"/>
    <col min="4616" max="4622" width="3.28515625" style="665" hidden="1" customWidth="1"/>
    <col min="4623" max="4865" width="3.28515625" style="665" hidden="1"/>
    <col min="4866" max="4866" width="7.7109375" style="665" hidden="1" customWidth="1"/>
    <col min="4867" max="4867" width="15.7109375" style="665" hidden="1" customWidth="1"/>
    <col min="4868" max="4868" width="3.28515625" style="665" hidden="1" customWidth="1"/>
    <col min="4869" max="4869" width="4.85546875" style="665" hidden="1" customWidth="1"/>
    <col min="4870" max="4870" width="50.7109375" style="665" hidden="1" customWidth="1"/>
    <col min="4871" max="4871" width="1.7109375" style="665" hidden="1" customWidth="1"/>
    <col min="4872" max="4878" width="3.28515625" style="665" hidden="1" customWidth="1"/>
    <col min="4879" max="5121" width="3.28515625" style="665" hidden="1"/>
    <col min="5122" max="5122" width="7.7109375" style="665" hidden="1" customWidth="1"/>
    <col min="5123" max="5123" width="15.7109375" style="665" hidden="1" customWidth="1"/>
    <col min="5124" max="5124" width="3.28515625" style="665" hidden="1" customWidth="1"/>
    <col min="5125" max="5125" width="4.85546875" style="665" hidden="1" customWidth="1"/>
    <col min="5126" max="5126" width="50.7109375" style="665" hidden="1" customWidth="1"/>
    <col min="5127" max="5127" width="1.7109375" style="665" hidden="1" customWidth="1"/>
    <col min="5128" max="5134" width="3.28515625" style="665" hidden="1" customWidth="1"/>
    <col min="5135" max="5377" width="3.28515625" style="665" hidden="1"/>
    <col min="5378" max="5378" width="7.7109375" style="665" hidden="1" customWidth="1"/>
    <col min="5379" max="5379" width="15.7109375" style="665" hidden="1" customWidth="1"/>
    <col min="5380" max="5380" width="3.28515625" style="665" hidden="1" customWidth="1"/>
    <col min="5381" max="5381" width="4.85546875" style="665" hidden="1" customWidth="1"/>
    <col min="5382" max="5382" width="50.7109375" style="665" hidden="1" customWidth="1"/>
    <col min="5383" max="5383" width="1.7109375" style="665" hidden="1" customWidth="1"/>
    <col min="5384" max="5390" width="3.28515625" style="665" hidden="1" customWidth="1"/>
    <col min="5391" max="5633" width="3.28515625" style="665" hidden="1"/>
    <col min="5634" max="5634" width="7.7109375" style="665" hidden="1" customWidth="1"/>
    <col min="5635" max="5635" width="15.7109375" style="665" hidden="1" customWidth="1"/>
    <col min="5636" max="5636" width="3.28515625" style="665" hidden="1" customWidth="1"/>
    <col min="5637" max="5637" width="4.85546875" style="665" hidden="1" customWidth="1"/>
    <col min="5638" max="5638" width="50.7109375" style="665" hidden="1" customWidth="1"/>
    <col min="5639" max="5639" width="1.7109375" style="665" hidden="1" customWidth="1"/>
    <col min="5640" max="5646" width="3.28515625" style="665" hidden="1" customWidth="1"/>
    <col min="5647" max="5889" width="3.28515625" style="665" hidden="1"/>
    <col min="5890" max="5890" width="7.7109375" style="665" hidden="1" customWidth="1"/>
    <col min="5891" max="5891" width="15.7109375" style="665" hidden="1" customWidth="1"/>
    <col min="5892" max="5892" width="3.28515625" style="665" hidden="1" customWidth="1"/>
    <col min="5893" max="5893" width="4.85546875" style="665" hidden="1" customWidth="1"/>
    <col min="5894" max="5894" width="50.7109375" style="665" hidden="1" customWidth="1"/>
    <col min="5895" max="5895" width="1.7109375" style="665" hidden="1" customWidth="1"/>
    <col min="5896" max="5902" width="3.28515625" style="665" hidden="1" customWidth="1"/>
    <col min="5903" max="6145" width="3.28515625" style="665" hidden="1"/>
    <col min="6146" max="6146" width="7.7109375" style="665" hidden="1" customWidth="1"/>
    <col min="6147" max="6147" width="15.7109375" style="665" hidden="1" customWidth="1"/>
    <col min="6148" max="6148" width="3.28515625" style="665" hidden="1" customWidth="1"/>
    <col min="6149" max="6149" width="4.85546875" style="665" hidden="1" customWidth="1"/>
    <col min="6150" max="6150" width="50.7109375" style="665" hidden="1" customWidth="1"/>
    <col min="6151" max="6151" width="1.7109375" style="665" hidden="1" customWidth="1"/>
    <col min="6152" max="6158" width="3.28515625" style="665" hidden="1" customWidth="1"/>
    <col min="6159" max="6401" width="3.28515625" style="665" hidden="1"/>
    <col min="6402" max="6402" width="7.7109375" style="665" hidden="1" customWidth="1"/>
    <col min="6403" max="6403" width="15.7109375" style="665" hidden="1" customWidth="1"/>
    <col min="6404" max="6404" width="3.28515625" style="665" hidden="1" customWidth="1"/>
    <col min="6405" max="6405" width="4.85546875" style="665" hidden="1" customWidth="1"/>
    <col min="6406" max="6406" width="50.7109375" style="665" hidden="1" customWidth="1"/>
    <col min="6407" max="6407" width="1.7109375" style="665" hidden="1" customWidth="1"/>
    <col min="6408" max="6414" width="3.28515625" style="665" hidden="1" customWidth="1"/>
    <col min="6415" max="6657" width="3.28515625" style="665" hidden="1"/>
    <col min="6658" max="6658" width="7.7109375" style="665" hidden="1" customWidth="1"/>
    <col min="6659" max="6659" width="15.7109375" style="665" hidden="1" customWidth="1"/>
    <col min="6660" max="6660" width="3.28515625" style="665" hidden="1" customWidth="1"/>
    <col min="6661" max="6661" width="4.85546875" style="665" hidden="1" customWidth="1"/>
    <col min="6662" max="6662" width="50.7109375" style="665" hidden="1" customWidth="1"/>
    <col min="6663" max="6663" width="1.7109375" style="665" hidden="1" customWidth="1"/>
    <col min="6664" max="6670" width="3.28515625" style="665" hidden="1" customWidth="1"/>
    <col min="6671" max="6913" width="3.28515625" style="665" hidden="1"/>
    <col min="6914" max="6914" width="7.7109375" style="665" hidden="1" customWidth="1"/>
    <col min="6915" max="6915" width="15.7109375" style="665" hidden="1" customWidth="1"/>
    <col min="6916" max="6916" width="3.28515625" style="665" hidden="1" customWidth="1"/>
    <col min="6917" max="6917" width="4.85546875" style="665" hidden="1" customWidth="1"/>
    <col min="6918" max="6918" width="50.7109375" style="665" hidden="1" customWidth="1"/>
    <col min="6919" max="6919" width="1.7109375" style="665" hidden="1" customWidth="1"/>
    <col min="6920" max="6926" width="3.28515625" style="665" hidden="1" customWidth="1"/>
    <col min="6927" max="7169" width="3.28515625" style="665" hidden="1"/>
    <col min="7170" max="7170" width="7.7109375" style="665" hidden="1" customWidth="1"/>
    <col min="7171" max="7171" width="15.7109375" style="665" hidden="1" customWidth="1"/>
    <col min="7172" max="7172" width="3.28515625" style="665" hidden="1" customWidth="1"/>
    <col min="7173" max="7173" width="4.85546875" style="665" hidden="1" customWidth="1"/>
    <col min="7174" max="7174" width="50.7109375" style="665" hidden="1" customWidth="1"/>
    <col min="7175" max="7175" width="1.7109375" style="665" hidden="1" customWidth="1"/>
    <col min="7176" max="7182" width="3.28515625" style="665" hidden="1" customWidth="1"/>
    <col min="7183" max="7425" width="3.28515625" style="665" hidden="1"/>
    <col min="7426" max="7426" width="7.7109375" style="665" hidden="1" customWidth="1"/>
    <col min="7427" max="7427" width="15.7109375" style="665" hidden="1" customWidth="1"/>
    <col min="7428" max="7428" width="3.28515625" style="665" hidden="1" customWidth="1"/>
    <col min="7429" max="7429" width="4.85546875" style="665" hidden="1" customWidth="1"/>
    <col min="7430" max="7430" width="50.7109375" style="665" hidden="1" customWidth="1"/>
    <col min="7431" max="7431" width="1.7109375" style="665" hidden="1" customWidth="1"/>
    <col min="7432" max="7438" width="3.28515625" style="665" hidden="1" customWidth="1"/>
    <col min="7439" max="7681" width="3.28515625" style="665" hidden="1"/>
    <col min="7682" max="7682" width="7.7109375" style="665" hidden="1" customWidth="1"/>
    <col min="7683" max="7683" width="15.7109375" style="665" hidden="1" customWidth="1"/>
    <col min="7684" max="7684" width="3.28515625" style="665" hidden="1" customWidth="1"/>
    <col min="7685" max="7685" width="4.85546875" style="665" hidden="1" customWidth="1"/>
    <col min="7686" max="7686" width="50.7109375" style="665" hidden="1" customWidth="1"/>
    <col min="7687" max="7687" width="1.7109375" style="665" hidden="1" customWidth="1"/>
    <col min="7688" max="7694" width="3.28515625" style="665" hidden="1" customWidth="1"/>
    <col min="7695" max="7937" width="3.28515625" style="665" hidden="1"/>
    <col min="7938" max="7938" width="7.7109375" style="665" hidden="1" customWidth="1"/>
    <col min="7939" max="7939" width="15.7109375" style="665" hidden="1" customWidth="1"/>
    <col min="7940" max="7940" width="3.28515625" style="665" hidden="1" customWidth="1"/>
    <col min="7941" max="7941" width="4.85546875" style="665" hidden="1" customWidth="1"/>
    <col min="7942" max="7942" width="50.7109375" style="665" hidden="1" customWidth="1"/>
    <col min="7943" max="7943" width="1.7109375" style="665" hidden="1" customWidth="1"/>
    <col min="7944" max="7950" width="3.28515625" style="665" hidden="1" customWidth="1"/>
    <col min="7951" max="8193" width="3.28515625" style="665" hidden="1"/>
    <col min="8194" max="8194" width="7.7109375" style="665" hidden="1" customWidth="1"/>
    <col min="8195" max="8195" width="15.7109375" style="665" hidden="1" customWidth="1"/>
    <col min="8196" max="8196" width="3.28515625" style="665" hidden="1" customWidth="1"/>
    <col min="8197" max="8197" width="4.85546875" style="665" hidden="1" customWidth="1"/>
    <col min="8198" max="8198" width="50.7109375" style="665" hidden="1" customWidth="1"/>
    <col min="8199" max="8199" width="1.7109375" style="665" hidden="1" customWidth="1"/>
    <col min="8200" max="8206" width="3.28515625" style="665" hidden="1" customWidth="1"/>
    <col min="8207" max="8449" width="3.28515625" style="665" hidden="1"/>
    <col min="8450" max="8450" width="7.7109375" style="665" hidden="1" customWidth="1"/>
    <col min="8451" max="8451" width="15.7109375" style="665" hidden="1" customWidth="1"/>
    <col min="8452" max="8452" width="3.28515625" style="665" hidden="1" customWidth="1"/>
    <col min="8453" max="8453" width="4.85546875" style="665" hidden="1" customWidth="1"/>
    <col min="8454" max="8454" width="50.7109375" style="665" hidden="1" customWidth="1"/>
    <col min="8455" max="8455" width="1.7109375" style="665" hidden="1" customWidth="1"/>
    <col min="8456" max="8462" width="3.28515625" style="665" hidden="1" customWidth="1"/>
    <col min="8463" max="8705" width="3.28515625" style="665" hidden="1"/>
    <col min="8706" max="8706" width="7.7109375" style="665" hidden="1" customWidth="1"/>
    <col min="8707" max="8707" width="15.7109375" style="665" hidden="1" customWidth="1"/>
    <col min="8708" max="8708" width="3.28515625" style="665" hidden="1" customWidth="1"/>
    <col min="8709" max="8709" width="4.85546875" style="665" hidden="1" customWidth="1"/>
    <col min="8710" max="8710" width="50.7109375" style="665" hidden="1" customWidth="1"/>
    <col min="8711" max="8711" width="1.7109375" style="665" hidden="1" customWidth="1"/>
    <col min="8712" max="8718" width="3.28515625" style="665" hidden="1" customWidth="1"/>
    <col min="8719" max="8961" width="3.28515625" style="665" hidden="1"/>
    <col min="8962" max="8962" width="7.7109375" style="665" hidden="1" customWidth="1"/>
    <col min="8963" max="8963" width="15.7109375" style="665" hidden="1" customWidth="1"/>
    <col min="8964" max="8964" width="3.28515625" style="665" hidden="1" customWidth="1"/>
    <col min="8965" max="8965" width="4.85546875" style="665" hidden="1" customWidth="1"/>
    <col min="8966" max="8966" width="50.7109375" style="665" hidden="1" customWidth="1"/>
    <col min="8967" max="8967" width="1.7109375" style="665" hidden="1" customWidth="1"/>
    <col min="8968" max="8974" width="3.28515625" style="665" hidden="1" customWidth="1"/>
    <col min="8975" max="9217" width="3.28515625" style="665" hidden="1"/>
    <col min="9218" max="9218" width="7.7109375" style="665" hidden="1" customWidth="1"/>
    <col min="9219" max="9219" width="15.7109375" style="665" hidden="1" customWidth="1"/>
    <col min="9220" max="9220" width="3.28515625" style="665" hidden="1" customWidth="1"/>
    <col min="9221" max="9221" width="4.85546875" style="665" hidden="1" customWidth="1"/>
    <col min="9222" max="9222" width="50.7109375" style="665" hidden="1" customWidth="1"/>
    <col min="9223" max="9223" width="1.7109375" style="665" hidden="1" customWidth="1"/>
    <col min="9224" max="9230" width="3.28515625" style="665" hidden="1" customWidth="1"/>
    <col min="9231" max="9473" width="3.28515625" style="665" hidden="1"/>
    <col min="9474" max="9474" width="7.7109375" style="665" hidden="1" customWidth="1"/>
    <col min="9475" max="9475" width="15.7109375" style="665" hidden="1" customWidth="1"/>
    <col min="9476" max="9476" width="3.28515625" style="665" hidden="1" customWidth="1"/>
    <col min="9477" max="9477" width="4.85546875" style="665" hidden="1" customWidth="1"/>
    <col min="9478" max="9478" width="50.7109375" style="665" hidden="1" customWidth="1"/>
    <col min="9479" max="9479" width="1.7109375" style="665" hidden="1" customWidth="1"/>
    <col min="9480" max="9486" width="3.28515625" style="665" hidden="1" customWidth="1"/>
    <col min="9487" max="9729" width="3.28515625" style="665" hidden="1"/>
    <col min="9730" max="9730" width="7.7109375" style="665" hidden="1" customWidth="1"/>
    <col min="9731" max="9731" width="15.7109375" style="665" hidden="1" customWidth="1"/>
    <col min="9732" max="9732" width="3.28515625" style="665" hidden="1" customWidth="1"/>
    <col min="9733" max="9733" width="4.85546875" style="665" hidden="1" customWidth="1"/>
    <col min="9734" max="9734" width="50.7109375" style="665" hidden="1" customWidth="1"/>
    <col min="9735" max="9735" width="1.7109375" style="665" hidden="1" customWidth="1"/>
    <col min="9736" max="9742" width="3.28515625" style="665" hidden="1" customWidth="1"/>
    <col min="9743" max="9985" width="3.28515625" style="665" hidden="1"/>
    <col min="9986" max="9986" width="7.7109375" style="665" hidden="1" customWidth="1"/>
    <col min="9987" max="9987" width="15.7109375" style="665" hidden="1" customWidth="1"/>
    <col min="9988" max="9988" width="3.28515625" style="665" hidden="1" customWidth="1"/>
    <col min="9989" max="9989" width="4.85546875" style="665" hidden="1" customWidth="1"/>
    <col min="9990" max="9990" width="50.7109375" style="665" hidden="1" customWidth="1"/>
    <col min="9991" max="9991" width="1.7109375" style="665" hidden="1" customWidth="1"/>
    <col min="9992" max="9998" width="3.28515625" style="665" hidden="1" customWidth="1"/>
    <col min="9999" max="10241" width="3.28515625" style="665" hidden="1"/>
    <col min="10242" max="10242" width="7.7109375" style="665" hidden="1" customWidth="1"/>
    <col min="10243" max="10243" width="15.7109375" style="665" hidden="1" customWidth="1"/>
    <col min="10244" max="10244" width="3.28515625" style="665" hidden="1" customWidth="1"/>
    <col min="10245" max="10245" width="4.85546875" style="665" hidden="1" customWidth="1"/>
    <col min="10246" max="10246" width="50.7109375" style="665" hidden="1" customWidth="1"/>
    <col min="10247" max="10247" width="1.7109375" style="665" hidden="1" customWidth="1"/>
    <col min="10248" max="10254" width="3.28515625" style="665" hidden="1" customWidth="1"/>
    <col min="10255" max="10497" width="3.28515625" style="665" hidden="1"/>
    <col min="10498" max="10498" width="7.7109375" style="665" hidden="1" customWidth="1"/>
    <col min="10499" max="10499" width="15.7109375" style="665" hidden="1" customWidth="1"/>
    <col min="10500" max="10500" width="3.28515625" style="665" hidden="1" customWidth="1"/>
    <col min="10501" max="10501" width="4.85546875" style="665" hidden="1" customWidth="1"/>
    <col min="10502" max="10502" width="50.7109375" style="665" hidden="1" customWidth="1"/>
    <col min="10503" max="10503" width="1.7109375" style="665" hidden="1" customWidth="1"/>
    <col min="10504" max="10510" width="3.28515625" style="665" hidden="1" customWidth="1"/>
    <col min="10511" max="10753" width="3.28515625" style="665" hidden="1"/>
    <col min="10754" max="10754" width="7.7109375" style="665" hidden="1" customWidth="1"/>
    <col min="10755" max="10755" width="15.7109375" style="665" hidden="1" customWidth="1"/>
    <col min="10756" max="10756" width="3.28515625" style="665" hidden="1" customWidth="1"/>
    <col min="10757" max="10757" width="4.85546875" style="665" hidden="1" customWidth="1"/>
    <col min="10758" max="10758" width="50.7109375" style="665" hidden="1" customWidth="1"/>
    <col min="10759" max="10759" width="1.7109375" style="665" hidden="1" customWidth="1"/>
    <col min="10760" max="10766" width="3.28515625" style="665" hidden="1" customWidth="1"/>
    <col min="10767" max="11009" width="3.28515625" style="665" hidden="1"/>
    <col min="11010" max="11010" width="7.7109375" style="665" hidden="1" customWidth="1"/>
    <col min="11011" max="11011" width="15.7109375" style="665" hidden="1" customWidth="1"/>
    <col min="11012" max="11012" width="3.28515625" style="665" hidden="1" customWidth="1"/>
    <col min="11013" max="11013" width="4.85546875" style="665" hidden="1" customWidth="1"/>
    <col min="11014" max="11014" width="50.7109375" style="665" hidden="1" customWidth="1"/>
    <col min="11015" max="11015" width="1.7109375" style="665" hidden="1" customWidth="1"/>
    <col min="11016" max="11022" width="3.28515625" style="665" hidden="1" customWidth="1"/>
    <col min="11023" max="11265" width="3.28515625" style="665" hidden="1"/>
    <col min="11266" max="11266" width="7.7109375" style="665" hidden="1" customWidth="1"/>
    <col min="11267" max="11267" width="15.7109375" style="665" hidden="1" customWidth="1"/>
    <col min="11268" max="11268" width="3.28515625" style="665" hidden="1" customWidth="1"/>
    <col min="11269" max="11269" width="4.85546875" style="665" hidden="1" customWidth="1"/>
    <col min="11270" max="11270" width="50.7109375" style="665" hidden="1" customWidth="1"/>
    <col min="11271" max="11271" width="1.7109375" style="665" hidden="1" customWidth="1"/>
    <col min="11272" max="11278" width="3.28515625" style="665" hidden="1" customWidth="1"/>
    <col min="11279" max="11521" width="3.28515625" style="665" hidden="1"/>
    <col min="11522" max="11522" width="7.7109375" style="665" hidden="1" customWidth="1"/>
    <col min="11523" max="11523" width="15.7109375" style="665" hidden="1" customWidth="1"/>
    <col min="11524" max="11524" width="3.28515625" style="665" hidden="1" customWidth="1"/>
    <col min="11525" max="11525" width="4.85546875" style="665" hidden="1" customWidth="1"/>
    <col min="11526" max="11526" width="50.7109375" style="665" hidden="1" customWidth="1"/>
    <col min="11527" max="11527" width="1.7109375" style="665" hidden="1" customWidth="1"/>
    <col min="11528" max="11534" width="3.28515625" style="665" hidden="1" customWidth="1"/>
    <col min="11535" max="11777" width="3.28515625" style="665" hidden="1"/>
    <col min="11778" max="11778" width="7.7109375" style="665" hidden="1" customWidth="1"/>
    <col min="11779" max="11779" width="15.7109375" style="665" hidden="1" customWidth="1"/>
    <col min="11780" max="11780" width="3.28515625" style="665" hidden="1" customWidth="1"/>
    <col min="11781" max="11781" width="4.85546875" style="665" hidden="1" customWidth="1"/>
    <col min="11782" max="11782" width="50.7109375" style="665" hidden="1" customWidth="1"/>
    <col min="11783" max="11783" width="1.7109375" style="665" hidden="1" customWidth="1"/>
    <col min="11784" max="11790" width="3.28515625" style="665" hidden="1" customWidth="1"/>
    <col min="11791" max="12033" width="3.28515625" style="665" hidden="1"/>
    <col min="12034" max="12034" width="7.7109375" style="665" hidden="1" customWidth="1"/>
    <col min="12035" max="12035" width="15.7109375" style="665" hidden="1" customWidth="1"/>
    <col min="12036" max="12036" width="3.28515625" style="665" hidden="1" customWidth="1"/>
    <col min="12037" max="12037" width="4.85546875" style="665" hidden="1" customWidth="1"/>
    <col min="12038" max="12038" width="50.7109375" style="665" hidden="1" customWidth="1"/>
    <col min="12039" max="12039" width="1.7109375" style="665" hidden="1" customWidth="1"/>
    <col min="12040" max="12046" width="3.28515625" style="665" hidden="1" customWidth="1"/>
    <col min="12047" max="12289" width="3.28515625" style="665" hidden="1"/>
    <col min="12290" max="12290" width="7.7109375" style="665" hidden="1" customWidth="1"/>
    <col min="12291" max="12291" width="15.7109375" style="665" hidden="1" customWidth="1"/>
    <col min="12292" max="12292" width="3.28515625" style="665" hidden="1" customWidth="1"/>
    <col min="12293" max="12293" width="4.85546875" style="665" hidden="1" customWidth="1"/>
    <col min="12294" max="12294" width="50.7109375" style="665" hidden="1" customWidth="1"/>
    <col min="12295" max="12295" width="1.7109375" style="665" hidden="1" customWidth="1"/>
    <col min="12296" max="12302" width="3.28515625" style="665" hidden="1" customWidth="1"/>
    <col min="12303" max="12545" width="3.28515625" style="665" hidden="1"/>
    <col min="12546" max="12546" width="7.7109375" style="665" hidden="1" customWidth="1"/>
    <col min="12547" max="12547" width="15.7109375" style="665" hidden="1" customWidth="1"/>
    <col min="12548" max="12548" width="3.28515625" style="665" hidden="1" customWidth="1"/>
    <col min="12549" max="12549" width="4.85546875" style="665" hidden="1" customWidth="1"/>
    <col min="12550" max="12550" width="50.7109375" style="665" hidden="1" customWidth="1"/>
    <col min="12551" max="12551" width="1.7109375" style="665" hidden="1" customWidth="1"/>
    <col min="12552" max="12558" width="3.28515625" style="665" hidden="1" customWidth="1"/>
    <col min="12559" max="12801" width="3.28515625" style="665" hidden="1"/>
    <col min="12802" max="12802" width="7.7109375" style="665" hidden="1" customWidth="1"/>
    <col min="12803" max="12803" width="15.7109375" style="665" hidden="1" customWidth="1"/>
    <col min="12804" max="12804" width="3.28515625" style="665" hidden="1" customWidth="1"/>
    <col min="12805" max="12805" width="4.85546875" style="665" hidden="1" customWidth="1"/>
    <col min="12806" max="12806" width="50.7109375" style="665" hidden="1" customWidth="1"/>
    <col min="12807" max="12807" width="1.7109375" style="665" hidden="1" customWidth="1"/>
    <col min="12808" max="12814" width="3.28515625" style="665" hidden="1" customWidth="1"/>
    <col min="12815" max="13057" width="3.28515625" style="665" hidden="1"/>
    <col min="13058" max="13058" width="7.7109375" style="665" hidden="1" customWidth="1"/>
    <col min="13059" max="13059" width="15.7109375" style="665" hidden="1" customWidth="1"/>
    <col min="13060" max="13060" width="3.28515625" style="665" hidden="1" customWidth="1"/>
    <col min="13061" max="13061" width="4.85546875" style="665" hidden="1" customWidth="1"/>
    <col min="13062" max="13062" width="50.7109375" style="665" hidden="1" customWidth="1"/>
    <col min="13063" max="13063" width="1.7109375" style="665" hidden="1" customWidth="1"/>
    <col min="13064" max="13070" width="3.28515625" style="665" hidden="1" customWidth="1"/>
    <col min="13071" max="13313" width="3.28515625" style="665" hidden="1"/>
    <col min="13314" max="13314" width="7.7109375" style="665" hidden="1" customWidth="1"/>
    <col min="13315" max="13315" width="15.7109375" style="665" hidden="1" customWidth="1"/>
    <col min="13316" max="13316" width="3.28515625" style="665" hidden="1" customWidth="1"/>
    <col min="13317" max="13317" width="4.85546875" style="665" hidden="1" customWidth="1"/>
    <col min="13318" max="13318" width="50.7109375" style="665" hidden="1" customWidth="1"/>
    <col min="13319" max="13319" width="1.7109375" style="665" hidden="1" customWidth="1"/>
    <col min="13320" max="13326" width="3.28515625" style="665" hidden="1" customWidth="1"/>
    <col min="13327" max="13569" width="3.28515625" style="665" hidden="1"/>
    <col min="13570" max="13570" width="7.7109375" style="665" hidden="1" customWidth="1"/>
    <col min="13571" max="13571" width="15.7109375" style="665" hidden="1" customWidth="1"/>
    <col min="13572" max="13572" width="3.28515625" style="665" hidden="1" customWidth="1"/>
    <col min="13573" max="13573" width="4.85546875" style="665" hidden="1" customWidth="1"/>
    <col min="13574" max="13574" width="50.7109375" style="665" hidden="1" customWidth="1"/>
    <col min="13575" max="13575" width="1.7109375" style="665" hidden="1" customWidth="1"/>
    <col min="13576" max="13582" width="3.28515625" style="665" hidden="1" customWidth="1"/>
    <col min="13583" max="13825" width="3.28515625" style="665" hidden="1"/>
    <col min="13826" max="13826" width="7.7109375" style="665" hidden="1" customWidth="1"/>
    <col min="13827" max="13827" width="15.7109375" style="665" hidden="1" customWidth="1"/>
    <col min="13828" max="13828" width="3.28515625" style="665" hidden="1" customWidth="1"/>
    <col min="13829" max="13829" width="4.85546875" style="665" hidden="1" customWidth="1"/>
    <col min="13830" max="13830" width="50.7109375" style="665" hidden="1" customWidth="1"/>
    <col min="13831" max="13831" width="1.7109375" style="665" hidden="1" customWidth="1"/>
    <col min="13832" max="13838" width="3.28515625" style="665" hidden="1" customWidth="1"/>
    <col min="13839" max="14081" width="3.28515625" style="665" hidden="1"/>
    <col min="14082" max="14082" width="7.7109375" style="665" hidden="1" customWidth="1"/>
    <col min="14083" max="14083" width="15.7109375" style="665" hidden="1" customWidth="1"/>
    <col min="14084" max="14084" width="3.28515625" style="665" hidden="1" customWidth="1"/>
    <col min="14085" max="14085" width="4.85546875" style="665" hidden="1" customWidth="1"/>
    <col min="14086" max="14086" width="50.7109375" style="665" hidden="1" customWidth="1"/>
    <col min="14087" max="14087" width="1.7109375" style="665" hidden="1" customWidth="1"/>
    <col min="14088" max="14094" width="3.28515625" style="665" hidden="1" customWidth="1"/>
    <col min="14095" max="14337" width="3.28515625" style="665" hidden="1"/>
    <col min="14338" max="14338" width="7.7109375" style="665" hidden="1" customWidth="1"/>
    <col min="14339" max="14339" width="15.7109375" style="665" hidden="1" customWidth="1"/>
    <col min="14340" max="14340" width="3.28515625" style="665" hidden="1" customWidth="1"/>
    <col min="14341" max="14341" width="4.85546875" style="665" hidden="1" customWidth="1"/>
    <col min="14342" max="14342" width="50.7109375" style="665" hidden="1" customWidth="1"/>
    <col min="14343" max="14343" width="1.7109375" style="665" hidden="1" customWidth="1"/>
    <col min="14344" max="14350" width="3.28515625" style="665" hidden="1" customWidth="1"/>
    <col min="14351" max="14593" width="3.28515625" style="665" hidden="1"/>
    <col min="14594" max="14594" width="7.7109375" style="665" hidden="1" customWidth="1"/>
    <col min="14595" max="14595" width="15.7109375" style="665" hidden="1" customWidth="1"/>
    <col min="14596" max="14596" width="3.28515625" style="665" hidden="1" customWidth="1"/>
    <col min="14597" max="14597" width="4.85546875" style="665" hidden="1" customWidth="1"/>
    <col min="14598" max="14598" width="50.7109375" style="665" hidden="1" customWidth="1"/>
    <col min="14599" max="14599" width="1.7109375" style="665" hidden="1" customWidth="1"/>
    <col min="14600" max="14606" width="3.28515625" style="665" hidden="1" customWidth="1"/>
    <col min="14607" max="14849" width="3.28515625" style="665" hidden="1"/>
    <col min="14850" max="14850" width="7.7109375" style="665" hidden="1" customWidth="1"/>
    <col min="14851" max="14851" width="15.7109375" style="665" hidden="1" customWidth="1"/>
    <col min="14852" max="14852" width="3.28515625" style="665" hidden="1" customWidth="1"/>
    <col min="14853" max="14853" width="4.85546875" style="665" hidden="1" customWidth="1"/>
    <col min="14854" max="14854" width="50.7109375" style="665" hidden="1" customWidth="1"/>
    <col min="14855" max="14855" width="1.7109375" style="665" hidden="1" customWidth="1"/>
    <col min="14856" max="14862" width="3.28515625" style="665" hidden="1" customWidth="1"/>
    <col min="14863" max="15105" width="3.28515625" style="665" hidden="1"/>
    <col min="15106" max="15106" width="7.7109375" style="665" hidden="1" customWidth="1"/>
    <col min="15107" max="15107" width="15.7109375" style="665" hidden="1" customWidth="1"/>
    <col min="15108" max="15108" width="3.28515625" style="665" hidden="1" customWidth="1"/>
    <col min="15109" max="15109" width="4.85546875" style="665" hidden="1" customWidth="1"/>
    <col min="15110" max="15110" width="50.7109375" style="665" hidden="1" customWidth="1"/>
    <col min="15111" max="15111" width="1.7109375" style="665" hidden="1" customWidth="1"/>
    <col min="15112" max="15118" width="3.28515625" style="665" hidden="1" customWidth="1"/>
    <col min="15119" max="15361" width="3.28515625" style="665" hidden="1"/>
    <col min="15362" max="15362" width="7.7109375" style="665" hidden="1" customWidth="1"/>
    <col min="15363" max="15363" width="15.7109375" style="665" hidden="1" customWidth="1"/>
    <col min="15364" max="15364" width="3.28515625" style="665" hidden="1" customWidth="1"/>
    <col min="15365" max="15365" width="4.85546875" style="665" hidden="1" customWidth="1"/>
    <col min="15366" max="15366" width="50.7109375" style="665" hidden="1" customWidth="1"/>
    <col min="15367" max="15367" width="1.7109375" style="665" hidden="1" customWidth="1"/>
    <col min="15368" max="15374" width="3.28515625" style="665" hidden="1" customWidth="1"/>
    <col min="15375" max="15617" width="3.28515625" style="665" hidden="1"/>
    <col min="15618" max="15618" width="7.7109375" style="665" hidden="1" customWidth="1"/>
    <col min="15619" max="15619" width="15.7109375" style="665" hidden="1" customWidth="1"/>
    <col min="15620" max="15620" width="3.28515625" style="665" hidden="1" customWidth="1"/>
    <col min="15621" max="15621" width="4.85546875" style="665" hidden="1" customWidth="1"/>
    <col min="15622" max="15622" width="50.7109375" style="665" hidden="1" customWidth="1"/>
    <col min="15623" max="15623" width="1.7109375" style="665" hidden="1" customWidth="1"/>
    <col min="15624" max="15630" width="3.28515625" style="665" hidden="1" customWidth="1"/>
    <col min="15631" max="15873" width="3.28515625" style="665" hidden="1"/>
    <col min="15874" max="15874" width="7.7109375" style="665" hidden="1" customWidth="1"/>
    <col min="15875" max="15875" width="15.7109375" style="665" hidden="1" customWidth="1"/>
    <col min="15876" max="15876" width="3.28515625" style="665" hidden="1" customWidth="1"/>
    <col min="15877" max="15877" width="4.85546875" style="665" hidden="1" customWidth="1"/>
    <col min="15878" max="15878" width="50.7109375" style="665" hidden="1" customWidth="1"/>
    <col min="15879" max="15879" width="1.7109375" style="665" hidden="1" customWidth="1"/>
    <col min="15880" max="15886" width="3.28515625" style="665" hidden="1" customWidth="1"/>
    <col min="15887" max="16129" width="3.28515625" style="665" hidden="1"/>
    <col min="16130" max="16130" width="7.7109375" style="665" hidden="1" customWidth="1"/>
    <col min="16131" max="16131" width="15.7109375" style="665" hidden="1" customWidth="1"/>
    <col min="16132" max="16132" width="3.28515625" style="665" hidden="1" customWidth="1"/>
    <col min="16133" max="16133" width="4.85546875" style="665" hidden="1" customWidth="1"/>
    <col min="16134" max="16134" width="50.7109375" style="665" hidden="1" customWidth="1"/>
    <col min="16135" max="16135" width="1.7109375" style="665" hidden="1" customWidth="1"/>
    <col min="16136" max="16142" width="3.28515625" style="665" hidden="1" customWidth="1"/>
    <col min="16143" max="16384" width="3.28515625" style="665" hidden="1"/>
  </cols>
  <sheetData>
    <row r="1" spans="1:13" s="774" customFormat="1" ht="9.9499999999999993" customHeight="1">
      <c r="A1" s="773"/>
      <c r="B1" s="1205" t="s">
        <v>967</v>
      </c>
      <c r="C1" s="1206"/>
      <c r="D1" s="1206"/>
      <c r="E1" s="1206"/>
      <c r="H1" s="775"/>
    </row>
    <row r="2" spans="1:13" ht="33" customHeight="1">
      <c r="A2" s="776"/>
      <c r="B2" s="1207"/>
      <c r="C2" s="1208"/>
      <c r="D2" s="1208"/>
      <c r="E2" s="1209"/>
      <c r="F2" s="777"/>
      <c r="G2" s="777"/>
      <c r="H2" s="778"/>
      <c r="I2" s="812"/>
    </row>
    <row r="3" spans="1:13" s="780" customFormat="1" ht="9.9499999999999993" customHeight="1" thickBot="1">
      <c r="A3" s="774"/>
      <c r="B3" s="774" t="s">
        <v>968</v>
      </c>
      <c r="C3" s="779" t="s">
        <v>969</v>
      </c>
      <c r="D3" s="779" t="s">
        <v>970</v>
      </c>
      <c r="E3" s="774" t="s">
        <v>171</v>
      </c>
      <c r="F3" s="774"/>
      <c r="G3" s="774"/>
      <c r="H3" s="820" t="s">
        <v>971</v>
      </c>
    </row>
    <row r="4" spans="1:13" ht="20.100000000000001" customHeight="1" thickBot="1">
      <c r="A4" s="781"/>
      <c r="B4" s="782" t="s">
        <v>1402</v>
      </c>
      <c r="C4" s="783"/>
      <c r="D4" s="784"/>
      <c r="E4" s="785" t="s">
        <v>1403</v>
      </c>
      <c r="F4" s="786"/>
      <c r="G4" s="786"/>
      <c r="H4" s="822"/>
      <c r="I4" s="813"/>
    </row>
    <row r="5" spans="1:13" ht="20.100000000000001" customHeight="1">
      <c r="A5" s="1190" t="s">
        <v>547</v>
      </c>
      <c r="B5" s="788" t="s">
        <v>1404</v>
      </c>
      <c r="C5" s="789"/>
      <c r="D5" s="784"/>
      <c r="E5" s="790" t="s">
        <v>1404</v>
      </c>
      <c r="F5" s="791"/>
      <c r="G5" s="786"/>
      <c r="H5" s="787"/>
      <c r="I5" s="811"/>
    </row>
    <row r="6" spans="1:13" ht="22.5" customHeight="1">
      <c r="A6" s="798"/>
      <c r="B6" s="793" t="s">
        <v>1405</v>
      </c>
      <c r="C6" s="794"/>
      <c r="D6" s="795"/>
      <c r="E6" s="796" t="s">
        <v>1406</v>
      </c>
      <c r="F6" s="791"/>
      <c r="G6" s="786"/>
      <c r="H6" s="819"/>
    </row>
    <row r="7" spans="1:13" ht="22.5" customHeight="1">
      <c r="A7" s="798"/>
      <c r="B7" s="793" t="s">
        <v>525</v>
      </c>
      <c r="C7" s="794"/>
      <c r="D7" s="797"/>
      <c r="E7" s="796" t="s">
        <v>525</v>
      </c>
      <c r="F7" s="791"/>
      <c r="G7" s="786"/>
      <c r="H7" s="787"/>
      <c r="I7" s="811"/>
    </row>
    <row r="8" spans="1:13" ht="22.5" customHeight="1">
      <c r="A8" s="792" t="s">
        <v>547</v>
      </c>
      <c r="B8" s="793" t="s">
        <v>1407</v>
      </c>
      <c r="C8" s="794"/>
      <c r="D8" s="797"/>
      <c r="E8" s="796" t="s">
        <v>1408</v>
      </c>
      <c r="F8" s="791"/>
      <c r="G8" s="786"/>
      <c r="H8" s="819"/>
      <c r="I8" s="813"/>
    </row>
    <row r="9" spans="1:13" ht="22.5" customHeight="1">
      <c r="A9" s="798"/>
      <c r="B9" s="793" t="s">
        <v>1409</v>
      </c>
      <c r="C9" s="794"/>
      <c r="D9" s="797"/>
      <c r="E9" s="796" t="s">
        <v>1410</v>
      </c>
      <c r="F9" s="791"/>
      <c r="G9" s="786"/>
    </row>
    <row r="10" spans="1:13" ht="22.5" hidden="1" customHeight="1">
      <c r="A10" s="792">
        <f>H4</f>
        <v>0</v>
      </c>
      <c r="B10" s="793" t="s">
        <v>1411</v>
      </c>
      <c r="C10" s="794"/>
      <c r="D10" s="797"/>
      <c r="E10" s="796" t="s">
        <v>1412</v>
      </c>
      <c r="F10" s="786"/>
      <c r="G10" s="786"/>
    </row>
    <row r="11" spans="1:13" ht="22.5" customHeight="1">
      <c r="A11" s="798"/>
      <c r="B11" s="793" t="s">
        <v>1413</v>
      </c>
      <c r="C11" s="794"/>
      <c r="D11" s="797"/>
      <c r="E11" s="796" t="s">
        <v>1414</v>
      </c>
      <c r="F11" s="791"/>
      <c r="G11" s="786"/>
    </row>
    <row r="12" spans="1:13" ht="22.5" customHeight="1">
      <c r="A12" s="798"/>
      <c r="B12" s="793" t="s">
        <v>1415</v>
      </c>
      <c r="C12" s="794"/>
      <c r="D12" s="797"/>
      <c r="E12" s="796" t="s">
        <v>1416</v>
      </c>
      <c r="F12" s="791"/>
      <c r="G12" s="786"/>
      <c r="H12" s="787"/>
      <c r="I12" s="811"/>
    </row>
    <row r="13" spans="1:13" ht="22.5" hidden="1" customHeight="1">
      <c r="A13" s="792">
        <f>H4</f>
        <v>0</v>
      </c>
      <c r="B13" s="793" t="s">
        <v>1417</v>
      </c>
      <c r="C13" s="794"/>
      <c r="D13" s="797"/>
      <c r="E13" s="796" t="s">
        <v>1418</v>
      </c>
      <c r="F13" s="791"/>
      <c r="G13" s="786"/>
      <c r="H13" s="787"/>
    </row>
    <row r="14" spans="1:13" ht="22.5" hidden="1" customHeight="1">
      <c r="A14" s="792">
        <f>H4</f>
        <v>0</v>
      </c>
      <c r="B14" s="793" t="s">
        <v>1419</v>
      </c>
      <c r="C14" s="794"/>
      <c r="D14" s="797"/>
      <c r="E14" s="796" t="s">
        <v>1420</v>
      </c>
      <c r="F14" s="791"/>
      <c r="G14" s="786"/>
      <c r="H14" s="787"/>
    </row>
    <row r="15" spans="1:13" ht="22.5" hidden="1" customHeight="1">
      <c r="A15" s="792">
        <f>H4</f>
        <v>0</v>
      </c>
      <c r="B15" s="793" t="s">
        <v>1421</v>
      </c>
      <c r="C15" s="794"/>
      <c r="D15" s="797"/>
      <c r="E15" s="796" t="s">
        <v>1422</v>
      </c>
      <c r="F15" s="791"/>
      <c r="G15" s="786"/>
      <c r="H15" s="787"/>
    </row>
    <row r="16" spans="1:13" ht="22.5" hidden="1" customHeight="1">
      <c r="A16" s="792">
        <f>H4</f>
        <v>0</v>
      </c>
      <c r="B16" s="793" t="s">
        <v>1423</v>
      </c>
      <c r="C16" s="794"/>
      <c r="D16" s="799"/>
      <c r="E16" s="796" t="s">
        <v>1424</v>
      </c>
      <c r="F16" s="791"/>
      <c r="G16" s="786"/>
      <c r="H16" s="787"/>
      <c r="I16" s="689"/>
      <c r="J16" s="689"/>
      <c r="M16" s="800"/>
    </row>
    <row r="17" spans="1:12" ht="22.5" customHeight="1">
      <c r="A17" s="792" t="s">
        <v>547</v>
      </c>
      <c r="B17" s="793" t="s">
        <v>1425</v>
      </c>
      <c r="C17" s="794"/>
      <c r="D17" s="797"/>
      <c r="E17" s="796" t="s">
        <v>1426</v>
      </c>
      <c r="F17" s="786"/>
      <c r="G17" s="786"/>
      <c r="H17" s="787"/>
      <c r="I17" s="689"/>
    </row>
    <row r="18" spans="1:12" ht="22.5" customHeight="1">
      <c r="A18" s="792" t="s">
        <v>547</v>
      </c>
      <c r="B18" s="793" t="s">
        <v>1427</v>
      </c>
      <c r="C18" s="794"/>
      <c r="D18" s="797"/>
      <c r="E18" s="796" t="s">
        <v>172</v>
      </c>
      <c r="F18" s="786"/>
      <c r="G18" s="786"/>
      <c r="H18" s="787"/>
    </row>
    <row r="19" spans="1:12" ht="22.5" customHeight="1">
      <c r="A19" s="798"/>
      <c r="B19" s="793" t="s">
        <v>1428</v>
      </c>
      <c r="C19" s="794"/>
      <c r="D19" s="797"/>
      <c r="E19" s="796" t="s">
        <v>1429</v>
      </c>
      <c r="F19" s="786"/>
      <c r="G19" s="786"/>
      <c r="H19" s="787"/>
    </row>
    <row r="20" spans="1:12" ht="22.5" customHeight="1">
      <c r="A20" s="798"/>
      <c r="B20" s="793" t="s">
        <v>1430</v>
      </c>
      <c r="C20" s="794"/>
      <c r="D20" s="797"/>
      <c r="E20" s="796" t="s">
        <v>173</v>
      </c>
      <c r="F20" s="786"/>
      <c r="G20" s="786"/>
      <c r="H20" s="787"/>
      <c r="I20" s="689"/>
      <c r="K20" s="801"/>
    </row>
    <row r="21" spans="1:12" ht="22.5" customHeight="1">
      <c r="A21" s="798"/>
      <c r="B21" s="793" t="s">
        <v>1431</v>
      </c>
      <c r="C21" s="802"/>
      <c r="D21" s="797"/>
      <c r="E21" s="796" t="s">
        <v>1432</v>
      </c>
      <c r="F21" s="786"/>
      <c r="G21" s="786"/>
      <c r="H21" s="787"/>
    </row>
    <row r="22" spans="1:12" ht="22.5" customHeight="1">
      <c r="A22" s="798"/>
      <c r="B22" s="793" t="s">
        <v>1433</v>
      </c>
      <c r="C22" s="794"/>
      <c r="D22" s="797"/>
      <c r="E22" s="796" t="s">
        <v>1434</v>
      </c>
      <c r="F22" s="786"/>
      <c r="G22" s="786"/>
      <c r="H22" s="787"/>
      <c r="I22" s="689"/>
    </row>
    <row r="23" spans="1:12" ht="22.5" customHeight="1">
      <c r="A23" s="798"/>
      <c r="B23" s="793" t="s">
        <v>1435</v>
      </c>
      <c r="C23" s="794"/>
      <c r="D23" s="797"/>
      <c r="E23" s="796" t="s">
        <v>521</v>
      </c>
      <c r="F23" s="786"/>
      <c r="G23" s="786"/>
      <c r="H23" s="787"/>
      <c r="I23" s="689"/>
    </row>
    <row r="24" spans="1:12" ht="22.5" customHeight="1">
      <c r="A24" s="798"/>
      <c r="B24" s="793" t="s">
        <v>1436</v>
      </c>
      <c r="C24" s="794"/>
      <c r="D24" s="799"/>
      <c r="E24" s="796" t="s">
        <v>1437</v>
      </c>
      <c r="F24" s="786"/>
      <c r="G24" s="786"/>
      <c r="H24" s="787"/>
      <c r="I24" s="689"/>
    </row>
    <row r="25" spans="1:12" ht="22.5" customHeight="1">
      <c r="A25" s="798"/>
      <c r="B25" s="803" t="s">
        <v>1438</v>
      </c>
      <c r="C25" s="794"/>
      <c r="D25" s="797"/>
      <c r="E25" s="796" t="s">
        <v>522</v>
      </c>
      <c r="F25" s="791"/>
      <c r="G25" s="786"/>
      <c r="H25" s="787"/>
      <c r="I25" s="666"/>
    </row>
    <row r="26" spans="1:12" ht="22.5" customHeight="1">
      <c r="A26" s="798"/>
      <c r="B26" s="793" t="s">
        <v>1439</v>
      </c>
      <c r="C26" s="794"/>
      <c r="D26" s="799"/>
      <c r="E26" s="796" t="s">
        <v>1440</v>
      </c>
      <c r="F26" s="786"/>
      <c r="G26" s="786"/>
      <c r="H26" s="787"/>
      <c r="I26" s="689"/>
      <c r="L26" s="801"/>
    </row>
    <row r="27" spans="1:12" ht="22.5" customHeight="1">
      <c r="A27" s="798"/>
      <c r="B27" s="793" t="s">
        <v>1441</v>
      </c>
      <c r="C27" s="794"/>
      <c r="D27" s="799"/>
      <c r="E27" s="796" t="s">
        <v>1442</v>
      </c>
      <c r="F27" s="786"/>
      <c r="G27" s="786"/>
      <c r="H27" s="787"/>
      <c r="I27" s="689"/>
      <c r="L27" s="801"/>
    </row>
    <row r="28" spans="1:12" ht="22.5" customHeight="1">
      <c r="A28" s="798"/>
      <c r="B28" s="793" t="s">
        <v>1443</v>
      </c>
      <c r="C28" s="794"/>
      <c r="D28" s="799"/>
      <c r="E28" s="796" t="s">
        <v>1444</v>
      </c>
      <c r="F28" s="786"/>
      <c r="G28" s="786"/>
      <c r="H28" s="787"/>
      <c r="I28" s="689"/>
      <c r="L28" s="801"/>
    </row>
    <row r="29" spans="1:12" ht="22.5" customHeight="1">
      <c r="A29" s="798"/>
      <c r="B29" s="793" t="s">
        <v>1445</v>
      </c>
      <c r="C29" s="794"/>
      <c r="D29" s="797"/>
      <c r="E29" s="796" t="s">
        <v>1446</v>
      </c>
      <c r="F29" s="786"/>
      <c r="G29" s="786"/>
      <c r="H29" s="787"/>
      <c r="I29" s="689"/>
      <c r="L29" s="801"/>
    </row>
    <row r="30" spans="1:12" ht="22.5" customHeight="1">
      <c r="A30" s="798"/>
      <c r="B30" s="793" t="s">
        <v>1447</v>
      </c>
      <c r="C30" s="794"/>
      <c r="D30" s="797"/>
      <c r="E30" s="796" t="s">
        <v>1448</v>
      </c>
      <c r="F30" s="786"/>
      <c r="G30" s="786"/>
      <c r="H30" s="787"/>
      <c r="I30" s="689"/>
      <c r="L30" s="801"/>
    </row>
    <row r="31" spans="1:12" ht="22.5" customHeight="1">
      <c r="A31" s="798"/>
      <c r="B31" s="793" t="s">
        <v>1449</v>
      </c>
      <c r="C31" s="794"/>
      <c r="D31" s="797"/>
      <c r="E31" s="796" t="s">
        <v>1450</v>
      </c>
      <c r="F31" s="786"/>
      <c r="G31" s="786"/>
      <c r="H31" s="787"/>
      <c r="I31" s="689"/>
      <c r="L31" s="801"/>
    </row>
    <row r="32" spans="1:12" ht="22.5" hidden="1" customHeight="1">
      <c r="A32" s="792">
        <f>H4</f>
        <v>0</v>
      </c>
      <c r="B32" s="793" t="s">
        <v>1451</v>
      </c>
      <c r="C32" s="794"/>
      <c r="D32" s="797"/>
      <c r="E32" s="796" t="s">
        <v>1452</v>
      </c>
      <c r="F32" s="786"/>
      <c r="G32" s="786"/>
      <c r="H32" s="787"/>
      <c r="I32" s="689"/>
      <c r="L32" s="801"/>
    </row>
    <row r="33" spans="1:12" ht="22.5" customHeight="1">
      <c r="A33" s="798"/>
      <c r="B33" s="793" t="s">
        <v>1453</v>
      </c>
      <c r="C33" s="794"/>
      <c r="D33" s="797"/>
      <c r="E33" s="796" t="s">
        <v>1454</v>
      </c>
      <c r="F33" s="786"/>
      <c r="G33" s="786"/>
      <c r="H33" s="787"/>
      <c r="I33" s="689"/>
      <c r="L33" s="801"/>
    </row>
    <row r="34" spans="1:12" ht="22.5" customHeight="1">
      <c r="A34" s="792" t="s">
        <v>547</v>
      </c>
      <c r="B34" s="793" t="s">
        <v>1455</v>
      </c>
      <c r="C34" s="794"/>
      <c r="D34" s="797"/>
      <c r="E34" s="796" t="s">
        <v>1456</v>
      </c>
      <c r="F34" s="786"/>
      <c r="G34" s="786"/>
      <c r="H34" s="787"/>
      <c r="I34" s="689"/>
      <c r="L34" s="801"/>
    </row>
    <row r="35" spans="1:12" ht="22.5" customHeight="1">
      <c r="A35" s="792" t="s">
        <v>547</v>
      </c>
      <c r="B35" s="793" t="s">
        <v>1457</v>
      </c>
      <c r="C35" s="794"/>
      <c r="D35" s="797"/>
      <c r="E35" s="796" t="s">
        <v>1458</v>
      </c>
      <c r="F35" s="786"/>
      <c r="G35" s="786"/>
      <c r="H35" s="787"/>
      <c r="I35" s="689"/>
      <c r="L35" s="801"/>
    </row>
    <row r="36" spans="1:12" ht="22.5" customHeight="1">
      <c r="A36" s="792" t="s">
        <v>547</v>
      </c>
      <c r="B36" s="793" t="s">
        <v>1459</v>
      </c>
      <c r="C36" s="794"/>
      <c r="D36" s="797"/>
      <c r="E36" s="796" t="s">
        <v>1460</v>
      </c>
      <c r="F36" s="786"/>
      <c r="G36" s="786"/>
      <c r="H36" s="787"/>
      <c r="I36" s="689"/>
      <c r="L36" s="801"/>
    </row>
    <row r="37" spans="1:12" ht="22.5" hidden="1" customHeight="1">
      <c r="A37" s="792">
        <f>H4</f>
        <v>0</v>
      </c>
      <c r="B37" s="793" t="s">
        <v>1461</v>
      </c>
      <c r="C37" s="794"/>
      <c r="D37" s="799"/>
      <c r="E37" s="796" t="s">
        <v>1462</v>
      </c>
      <c r="F37" s="786"/>
      <c r="G37" s="786"/>
      <c r="H37" s="787"/>
    </row>
    <row r="38" spans="1:12" ht="22.5" customHeight="1">
      <c r="A38" s="798"/>
      <c r="B38" s="793" t="s">
        <v>1463</v>
      </c>
      <c r="C38" s="794"/>
      <c r="D38" s="799"/>
      <c r="E38" s="796" t="s">
        <v>1464</v>
      </c>
      <c r="F38" s="791"/>
      <c r="G38" s="786"/>
      <c r="H38" s="787"/>
      <c r="I38" s="689"/>
    </row>
    <row r="39" spans="1:12" ht="22.5" customHeight="1">
      <c r="A39" s="798"/>
      <c r="B39" s="793" t="s">
        <v>1465</v>
      </c>
      <c r="C39" s="794"/>
      <c r="D39" s="799"/>
      <c r="E39" s="796" t="s">
        <v>1466</v>
      </c>
      <c r="F39" s="791"/>
      <c r="G39" s="786"/>
      <c r="H39" s="787"/>
    </row>
    <row r="40" spans="1:12" ht="22.5" customHeight="1">
      <c r="A40" s="798"/>
      <c r="B40" s="793" t="s">
        <v>1467</v>
      </c>
      <c r="C40" s="794"/>
      <c r="D40" s="799"/>
      <c r="E40" s="796" t="s">
        <v>1468</v>
      </c>
      <c r="F40" s="786"/>
      <c r="G40" s="786"/>
      <c r="H40" s="787"/>
      <c r="I40" s="689"/>
      <c r="L40" s="801"/>
    </row>
    <row r="41" spans="1:12" ht="22.5" customHeight="1">
      <c r="A41" s="798"/>
      <c r="B41" s="793"/>
      <c r="C41" s="794"/>
      <c r="D41" s="799"/>
      <c r="E41" s="796"/>
      <c r="F41" s="786"/>
      <c r="G41" s="786"/>
      <c r="H41" s="787"/>
      <c r="I41" s="689"/>
      <c r="L41" s="801"/>
    </row>
    <row r="42" spans="1:12" ht="22.5" customHeight="1">
      <c r="A42" s="798"/>
      <c r="B42" s="793"/>
      <c r="C42" s="794"/>
      <c r="D42" s="799"/>
      <c r="E42" s="796"/>
      <c r="F42" s="791"/>
      <c r="G42" s="786"/>
      <c r="H42" s="787"/>
      <c r="I42" s="689"/>
    </row>
    <row r="43" spans="1:12" ht="22.5" customHeight="1">
      <c r="A43" s="798"/>
      <c r="B43" s="793"/>
      <c r="C43" s="794"/>
      <c r="D43" s="799"/>
      <c r="E43" s="796"/>
      <c r="F43" s="791"/>
      <c r="G43" s="786"/>
      <c r="H43" s="787"/>
      <c r="I43" s="689"/>
    </row>
    <row r="44" spans="1:12" ht="22.5" customHeight="1">
      <c r="A44" s="798"/>
      <c r="B44" s="793"/>
      <c r="C44" s="794"/>
      <c r="D44" s="799"/>
      <c r="E44" s="796"/>
      <c r="F44" s="791"/>
      <c r="G44" s="786"/>
      <c r="H44" s="787"/>
      <c r="I44" s="689"/>
    </row>
    <row r="45" spans="1:12" ht="22.5" customHeight="1">
      <c r="A45" s="798"/>
      <c r="B45" s="793"/>
      <c r="C45" s="794"/>
      <c r="D45" s="799"/>
      <c r="E45" s="796"/>
      <c r="F45" s="791"/>
      <c r="G45" s="786"/>
      <c r="H45" s="787"/>
      <c r="I45" s="689"/>
    </row>
    <row r="46" spans="1:12" ht="22.5" customHeight="1">
      <c r="A46" s="798"/>
      <c r="B46" s="793"/>
      <c r="C46" s="794"/>
      <c r="D46" s="799"/>
      <c r="E46" s="796"/>
      <c r="F46" s="791"/>
      <c r="G46" s="786"/>
      <c r="H46" s="787"/>
      <c r="I46" s="689"/>
    </row>
    <row r="47" spans="1:12" ht="22.5" customHeight="1">
      <c r="A47" s="798"/>
      <c r="B47" s="793"/>
      <c r="C47" s="794"/>
      <c r="D47" s="799"/>
      <c r="E47" s="796"/>
      <c r="F47" s="791"/>
      <c r="G47" s="786"/>
      <c r="H47" s="787"/>
      <c r="I47" s="689"/>
    </row>
    <row r="48" spans="1:12" ht="22.5" customHeight="1">
      <c r="A48" s="798"/>
      <c r="B48" s="793"/>
      <c r="C48" s="794"/>
      <c r="D48" s="799"/>
      <c r="E48" s="796"/>
      <c r="F48" s="791"/>
      <c r="G48" s="786"/>
      <c r="H48" s="787"/>
      <c r="I48" s="689"/>
    </row>
    <row r="49" spans="1:9" ht="22.5" customHeight="1">
      <c r="A49" s="798"/>
      <c r="B49" s="793"/>
      <c r="C49" s="794"/>
      <c r="D49" s="797"/>
      <c r="E49" s="804"/>
      <c r="F49" s="786"/>
      <c r="G49" s="786"/>
      <c r="H49" s="787"/>
      <c r="I49" s="689"/>
    </row>
    <row r="50" spans="1:9" ht="22.5" customHeight="1">
      <c r="A50" s="798"/>
      <c r="B50" s="793"/>
      <c r="C50" s="794"/>
      <c r="D50" s="797"/>
      <c r="E50" s="804"/>
      <c r="F50" s="786"/>
      <c r="G50" s="786"/>
      <c r="H50" s="787"/>
      <c r="I50" s="689"/>
    </row>
    <row r="51" spans="1:9" ht="22.5" customHeight="1">
      <c r="A51" s="798"/>
      <c r="B51" s="793"/>
      <c r="C51" s="794"/>
      <c r="D51" s="797"/>
      <c r="E51" s="804"/>
      <c r="F51" s="786"/>
      <c r="G51" s="786"/>
      <c r="H51" s="787"/>
      <c r="I51" s="689"/>
    </row>
    <row r="52" spans="1:9" ht="22.5" customHeight="1">
      <c r="A52" s="798"/>
      <c r="B52" s="793"/>
      <c r="C52" s="794"/>
      <c r="D52" s="797"/>
      <c r="E52" s="804"/>
      <c r="F52" s="786"/>
      <c r="G52" s="786"/>
      <c r="H52" s="787"/>
      <c r="I52" s="689"/>
    </row>
    <row r="53" spans="1:9" ht="22.5" customHeight="1">
      <c r="A53" s="798"/>
      <c r="B53" s="793"/>
      <c r="C53" s="794"/>
      <c r="D53" s="797"/>
      <c r="E53" s="804"/>
      <c r="F53" s="786"/>
      <c r="G53" s="786"/>
      <c r="H53" s="787"/>
      <c r="I53" s="689"/>
    </row>
    <row r="54" spans="1:9" ht="22.5" customHeight="1">
      <c r="A54" s="798"/>
      <c r="B54" s="793"/>
      <c r="C54" s="794"/>
      <c r="D54" s="797"/>
      <c r="E54" s="804"/>
      <c r="F54" s="786"/>
      <c r="G54" s="786"/>
      <c r="H54" s="787"/>
      <c r="I54" s="689"/>
    </row>
    <row r="55" spans="1:9" ht="22.5" customHeight="1">
      <c r="A55" s="792"/>
      <c r="B55" s="793"/>
      <c r="C55" s="794"/>
      <c r="D55" s="797"/>
      <c r="E55" s="804"/>
      <c r="F55" s="786"/>
      <c r="G55" s="786"/>
      <c r="H55" s="787"/>
      <c r="I55" s="689"/>
    </row>
    <row r="56" spans="1:9" ht="22.5" customHeight="1">
      <c r="A56" s="798"/>
      <c r="B56" s="793"/>
      <c r="C56" s="794"/>
      <c r="D56" s="797"/>
      <c r="E56" s="804"/>
      <c r="F56" s="786"/>
      <c r="G56" s="786"/>
      <c r="H56" s="787"/>
      <c r="I56" s="689"/>
    </row>
    <row r="57" spans="1:9" ht="22.5" customHeight="1">
      <c r="A57" s="798"/>
      <c r="B57" s="793"/>
      <c r="C57" s="794"/>
      <c r="D57" s="797"/>
      <c r="E57" s="804"/>
      <c r="F57" s="786"/>
      <c r="G57" s="786"/>
      <c r="H57" s="787"/>
      <c r="I57" s="689"/>
    </row>
    <row r="58" spans="1:9" ht="22.5" customHeight="1">
      <c r="A58" s="792"/>
      <c r="B58" s="793"/>
      <c r="C58" s="794"/>
      <c r="D58" s="797"/>
      <c r="E58" s="804"/>
      <c r="F58" s="786"/>
      <c r="G58" s="786"/>
      <c r="H58" s="787"/>
      <c r="I58" s="689"/>
    </row>
    <row r="59" spans="1:9" ht="22.5" customHeight="1">
      <c r="A59" s="798"/>
      <c r="B59" s="793"/>
      <c r="C59" s="794"/>
      <c r="D59" s="797"/>
      <c r="E59" s="804"/>
      <c r="F59" s="786"/>
      <c r="G59" s="786"/>
      <c r="H59" s="787"/>
      <c r="I59" s="689"/>
    </row>
    <row r="60" spans="1:9" ht="22.5" customHeight="1">
      <c r="A60" s="798"/>
      <c r="B60" s="793"/>
      <c r="C60" s="794"/>
      <c r="D60" s="797"/>
      <c r="E60" s="804"/>
      <c r="F60" s="786"/>
      <c r="G60" s="786"/>
      <c r="H60" s="787"/>
      <c r="I60" s="689"/>
    </row>
    <row r="61" spans="1:9" ht="22.5" customHeight="1">
      <c r="A61" s="798"/>
      <c r="B61" s="793"/>
      <c r="C61" s="794"/>
      <c r="D61" s="797"/>
      <c r="E61" s="804"/>
      <c r="F61" s="786"/>
      <c r="G61" s="786"/>
      <c r="H61" s="787"/>
      <c r="I61" s="689"/>
    </row>
    <row r="62" spans="1:9" ht="22.5" customHeight="1">
      <c r="A62" s="792"/>
      <c r="B62" s="793"/>
      <c r="C62" s="794"/>
      <c r="D62" s="797"/>
      <c r="E62" s="804"/>
      <c r="F62" s="786"/>
      <c r="G62" s="786"/>
      <c r="H62" s="787"/>
      <c r="I62" s="689"/>
    </row>
    <row r="63" spans="1:9" ht="22.5" customHeight="1">
      <c r="A63" s="798"/>
      <c r="B63" s="793"/>
      <c r="C63" s="794"/>
      <c r="D63" s="797"/>
      <c r="E63" s="804"/>
      <c r="F63" s="786"/>
      <c r="G63" s="786"/>
      <c r="H63" s="787"/>
      <c r="I63" s="689"/>
    </row>
    <row r="64" spans="1:9" ht="22.5" customHeight="1">
      <c r="A64" s="798"/>
      <c r="B64" s="793"/>
      <c r="C64" s="794"/>
      <c r="D64" s="797"/>
      <c r="E64" s="804"/>
      <c r="F64" s="786"/>
      <c r="G64" s="786"/>
      <c r="H64" s="787"/>
      <c r="I64" s="689"/>
    </row>
    <row r="65" spans="1:9" ht="22.5" customHeight="1">
      <c r="A65" s="798"/>
      <c r="B65" s="793"/>
      <c r="C65" s="794"/>
      <c r="D65" s="797"/>
      <c r="E65" s="804"/>
      <c r="F65" s="786"/>
      <c r="G65" s="786"/>
      <c r="H65" s="787"/>
      <c r="I65" s="689"/>
    </row>
    <row r="66" spans="1:9" ht="22.5" customHeight="1">
      <c r="A66" s="792"/>
      <c r="B66" s="793"/>
      <c r="C66" s="794"/>
      <c r="D66" s="797"/>
      <c r="E66" s="804"/>
      <c r="F66" s="786"/>
      <c r="G66" s="786"/>
      <c r="H66" s="787"/>
      <c r="I66" s="689"/>
    </row>
    <row r="67" spans="1:9" ht="22.5" customHeight="1">
      <c r="A67" s="792"/>
      <c r="B67" s="793"/>
      <c r="C67" s="794"/>
      <c r="D67" s="797"/>
      <c r="E67" s="804"/>
      <c r="F67" s="786"/>
      <c r="G67" s="786"/>
      <c r="H67" s="787"/>
      <c r="I67" s="689"/>
    </row>
    <row r="68" spans="1:9" ht="22.5" customHeight="1">
      <c r="A68" s="798"/>
      <c r="B68" s="793"/>
      <c r="C68" s="794"/>
      <c r="D68" s="797"/>
      <c r="E68" s="804"/>
      <c r="F68" s="786"/>
      <c r="G68" s="786"/>
      <c r="H68" s="787"/>
      <c r="I68" s="689"/>
    </row>
    <row r="69" spans="1:9" ht="22.5" customHeight="1">
      <c r="A69" s="798"/>
      <c r="B69" s="793"/>
      <c r="C69" s="794"/>
      <c r="D69" s="797"/>
      <c r="E69" s="804"/>
      <c r="F69" s="786"/>
      <c r="G69" s="786"/>
      <c r="H69" s="787"/>
      <c r="I69" s="689"/>
    </row>
    <row r="70" spans="1:9" ht="22.5" customHeight="1">
      <c r="A70" s="792"/>
      <c r="B70" s="793"/>
      <c r="C70" s="794"/>
      <c r="D70" s="797"/>
      <c r="E70" s="804"/>
      <c r="F70" s="786"/>
      <c r="G70" s="786"/>
      <c r="H70" s="787"/>
      <c r="I70" s="689"/>
    </row>
    <row r="71" spans="1:9" ht="22.5" customHeight="1">
      <c r="A71" s="798"/>
      <c r="B71" s="793"/>
      <c r="C71" s="794"/>
      <c r="D71" s="797"/>
      <c r="E71" s="804"/>
      <c r="F71" s="786"/>
      <c r="G71" s="786"/>
      <c r="H71" s="787"/>
      <c r="I71" s="689"/>
    </row>
    <row r="72" spans="1:9" ht="22.5" customHeight="1">
      <c r="A72" s="798"/>
      <c r="B72" s="793"/>
      <c r="C72" s="794"/>
      <c r="D72" s="797"/>
      <c r="E72" s="804"/>
      <c r="F72" s="786"/>
      <c r="G72" s="786"/>
      <c r="H72" s="787"/>
      <c r="I72" s="689"/>
    </row>
    <row r="73" spans="1:9" ht="22.5" customHeight="1">
      <c r="A73" s="798"/>
      <c r="B73" s="793"/>
      <c r="C73" s="794"/>
      <c r="D73" s="797"/>
      <c r="E73" s="804"/>
      <c r="F73" s="786"/>
      <c r="G73" s="786"/>
      <c r="H73" s="787"/>
      <c r="I73" s="689"/>
    </row>
    <row r="74" spans="1:9" ht="22.5" customHeight="1">
      <c r="A74" s="792"/>
      <c r="B74" s="793"/>
      <c r="C74" s="794"/>
      <c r="D74" s="797"/>
      <c r="E74" s="804"/>
      <c r="F74" s="786"/>
      <c r="G74" s="786"/>
      <c r="H74" s="787"/>
      <c r="I74" s="689"/>
    </row>
    <row r="75" spans="1:9" ht="22.5" customHeight="1">
      <c r="A75" s="792"/>
      <c r="B75" s="793"/>
      <c r="C75" s="794"/>
      <c r="D75" s="797"/>
      <c r="E75" s="804"/>
      <c r="F75" s="786"/>
      <c r="G75" s="786"/>
      <c r="H75" s="787"/>
      <c r="I75" s="689"/>
    </row>
    <row r="76" spans="1:9" ht="22.5" customHeight="1">
      <c r="A76" s="792"/>
      <c r="B76" s="793"/>
      <c r="C76" s="794"/>
      <c r="D76" s="797"/>
      <c r="E76" s="804"/>
      <c r="F76" s="786"/>
      <c r="G76" s="786"/>
      <c r="H76" s="787"/>
      <c r="I76" s="689"/>
    </row>
    <row r="77" spans="1:9" ht="22.5" customHeight="1">
      <c r="A77" s="798"/>
      <c r="B77" s="793"/>
      <c r="C77" s="794"/>
      <c r="D77" s="797"/>
      <c r="E77" s="796"/>
      <c r="F77" s="791"/>
      <c r="G77" s="786"/>
      <c r="H77" s="787"/>
      <c r="I77" s="689"/>
    </row>
    <row r="78" spans="1:9" ht="9.9499999999999993" customHeight="1">
      <c r="A78" s="805"/>
      <c r="B78" s="805"/>
      <c r="C78" s="806"/>
      <c r="D78" s="806"/>
      <c r="E78" s="805"/>
      <c r="F78" s="805"/>
      <c r="G78" s="805"/>
      <c r="H78" s="778"/>
    </row>
    <row r="79" spans="1:9" ht="20.100000000000001" hidden="1" customHeight="1"/>
    <row r="80" spans="1:9" ht="20.100000000000001" hidden="1" customHeight="1"/>
  </sheetData>
  <sheetProtection algorithmName="SHA-512" hashValue="+kfJXXfdAES7vKwt+d6bHpu0h681+v/DeNlre3KKzBEIVrUUzChbdADkl25ToXOE9WvTr9+SSR5iH6OFZqJUXg==" saltValue="op2THqhJ52VNI4C/iCGZGw==" spinCount="100000" sheet="1" objects="1" scenarios="1"/>
  <mergeCells count="2">
    <mergeCell ref="B1:E1"/>
    <mergeCell ref="B2:E2"/>
  </mergeCells>
  <dataValidations count="2">
    <dataValidation type="list" allowBlank="1" showDropDown="1" showInputMessage="1" showErrorMessage="1" errorTitle="Saisie verrouillée" error="Vous ne pouvez saisir que des &quot;X&quot; dans cette case." sqref="H8 H6" xr:uid="{00000000-0002-0000-0300-000000000000}">
      <formula1>$I$2</formula1>
    </dataValidation>
    <dataValidation type="list" allowBlank="1" showDropDown="1" showInputMessage="1" showErrorMessage="1" errorTitle="Saisie verrouillée" error="Vous ne pouvez saisir que des &quot;X&quot; dans cette case." sqref="H4" xr:uid="{00000000-0002-0000-0300-000001000000}">
      <formula1>"X,x"</formula1>
    </dataValidation>
  </dataValidations>
  <printOptions horizontalCentered="1" verticalCentered="1"/>
  <pageMargins left="0" right="0" top="0" bottom="0.39370078740157483" header="0" footer="0"/>
  <pageSetup paperSize="9" scale="119" fitToHeight="0" orientation="portrait" blackAndWhite="1" r:id="rId1"/>
  <headerFooter alignWithMargins="0">
    <oddFooter>&amp;L&amp;8Edité le &amp;D&amp;C&amp;P/&amp;N&amp;R&amp;8Impression</oddFooter>
  </headerFooter>
  <drawing r:id="rId2"/>
  <legacyDrawing r:id="rId3"/>
  <controls>
    <mc:AlternateContent xmlns:mc="http://schemas.openxmlformats.org/markup-compatibility/2006">
      <mc:Choice Requires="x14">
        <control shapeId="869378" r:id="rId4" name="cmd_imprimer">
          <controlPr autoLine="0" autoPict="0" r:id="rId5">
            <anchor moveWithCells="1">
              <from>
                <xdr:col>4</xdr:col>
                <xdr:colOff>2238375</xdr:colOff>
                <xdr:row>1</xdr:row>
                <xdr:rowOff>57150</xdr:rowOff>
              </from>
              <to>
                <xdr:col>4</xdr:col>
                <xdr:colOff>3152775</xdr:colOff>
                <xdr:row>1</xdr:row>
                <xdr:rowOff>323850</xdr:rowOff>
              </to>
            </anchor>
          </controlPr>
        </control>
      </mc:Choice>
      <mc:Fallback>
        <control shapeId="869378" r:id="rId4" name="cmd_imprimer"/>
      </mc:Fallback>
    </mc:AlternateContent>
    <mc:AlternateContent xmlns:mc="http://schemas.openxmlformats.org/markup-compatibility/2006">
      <mc:Choice Requires="x14">
        <control shapeId="869377" r:id="rId6" name="cmd_onglet">
          <controlPr autoLine="0" autoPict="0" r:id="rId7">
            <anchor moveWithCells="1">
              <from>
                <xdr:col>0</xdr:col>
                <xdr:colOff>95250</xdr:colOff>
                <xdr:row>1</xdr:row>
                <xdr:rowOff>57150</xdr:rowOff>
              </from>
              <to>
                <xdr:col>1</xdr:col>
                <xdr:colOff>609600</xdr:colOff>
                <xdr:row>1</xdr:row>
                <xdr:rowOff>333375</xdr:rowOff>
              </to>
            </anchor>
          </controlPr>
        </control>
      </mc:Choice>
      <mc:Fallback>
        <control shapeId="869377" r:id="rId6" name="cmd_onglet"/>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2">
    <pageSetUpPr fitToPage="1"/>
  </sheetPr>
  <dimension ref="A1:O116"/>
  <sheetViews>
    <sheetView showGridLines="0" view="pageBreakPreview" zoomScaleNormal="100" zoomScaleSheetLayoutView="100" workbookViewId="0">
      <selection activeCell="K14" sqref="K14:M14"/>
    </sheetView>
  </sheetViews>
  <sheetFormatPr baseColWidth="10" defaultColWidth="11.42578125" defaultRowHeight="12.75"/>
  <cols>
    <col min="1" max="1" width="19.7109375" style="669" customWidth="1"/>
    <col min="2" max="2" width="10.5703125" style="669" customWidth="1"/>
    <col min="3" max="3" width="13.7109375" style="669" bestFit="1" customWidth="1"/>
    <col min="4" max="4" width="15.28515625" style="669" bestFit="1" customWidth="1"/>
    <col min="5" max="5" width="7.5703125" style="669" customWidth="1"/>
    <col min="6" max="6" width="9.5703125" style="669" customWidth="1"/>
    <col min="7" max="7" width="10.85546875" style="669" customWidth="1"/>
    <col min="8" max="8" width="6.28515625" style="669" customWidth="1"/>
    <col min="9" max="9" width="5.7109375" style="669" customWidth="1"/>
    <col min="10" max="10" width="14.42578125" style="669" customWidth="1"/>
    <col min="11" max="11" width="11.28515625" style="669" customWidth="1"/>
    <col min="12" max="12" width="18.28515625" style="669" bestFit="1" customWidth="1"/>
    <col min="13" max="13" width="7.5703125" style="669" customWidth="1"/>
    <col min="14" max="14" width="13.85546875" style="669" customWidth="1"/>
    <col min="15" max="15" width="4.85546875" style="669" customWidth="1"/>
    <col min="16" max="19" width="11.42578125" style="669"/>
    <col min="20" max="20" width="34.42578125" style="669" customWidth="1"/>
    <col min="21" max="16384" width="11.42578125" style="669"/>
  </cols>
  <sheetData>
    <row r="1" spans="1:15" ht="18">
      <c r="A1" s="823"/>
      <c r="I1" s="670"/>
      <c r="J1" s="823"/>
      <c r="L1" s="1211" t="s">
        <v>1144</v>
      </c>
      <c r="M1" s="1211"/>
      <c r="N1" s="1211"/>
    </row>
    <row r="2" spans="1:15" ht="18" customHeight="1">
      <c r="A2" s="823"/>
      <c r="B2" s="823"/>
      <c r="F2" s="824"/>
      <c r="G2" s="824"/>
      <c r="J2" s="823"/>
      <c r="L2" s="1211"/>
      <c r="M2" s="1211"/>
      <c r="N2" s="1211"/>
      <c r="O2" s="825"/>
    </row>
    <row r="3" spans="1:15" ht="18" customHeight="1">
      <c r="F3" s="823"/>
      <c r="G3" s="823"/>
      <c r="J3" s="823"/>
      <c r="L3" s="1211"/>
      <c r="M3" s="1211"/>
      <c r="N3" s="1211"/>
      <c r="O3" s="825"/>
    </row>
    <row r="4" spans="1:15" ht="18" customHeight="1">
      <c r="A4" s="676"/>
      <c r="I4" s="670"/>
      <c r="J4" s="823"/>
      <c r="L4" s="1211"/>
      <c r="M4" s="1211"/>
      <c r="N4" s="1211"/>
      <c r="O4" s="825"/>
    </row>
    <row r="5" spans="1:15" ht="13.5" customHeight="1">
      <c r="A5" s="676"/>
      <c r="B5" s="826"/>
      <c r="C5" s="826"/>
      <c r="D5" s="827"/>
      <c r="E5" s="827"/>
      <c r="F5" s="827"/>
      <c r="J5" s="823"/>
    </row>
    <row r="6" spans="1:15" s="672" customFormat="1" ht="23.25">
      <c r="A6" s="828"/>
      <c r="B6" s="829"/>
      <c r="C6" s="829"/>
      <c r="D6" s="830"/>
      <c r="E6" s="830"/>
      <c r="F6" s="830"/>
      <c r="I6" s="824" t="s">
        <v>526</v>
      </c>
      <c r="K6" s="937"/>
      <c r="L6" s="938"/>
    </row>
    <row r="7" spans="1:15" s="672" customFormat="1" ht="39.950000000000003" customHeight="1" thickBot="1">
      <c r="A7" s="828"/>
      <c r="B7" s="829"/>
      <c r="C7" s="829"/>
      <c r="D7" s="830"/>
      <c r="E7" s="830"/>
      <c r="F7" s="830"/>
      <c r="I7" s="1212" t="s">
        <v>800</v>
      </c>
      <c r="J7" s="1212"/>
      <c r="K7" s="1212"/>
      <c r="L7" s="1212"/>
      <c r="M7" s="1212"/>
      <c r="N7" s="1212"/>
    </row>
    <row r="8" spans="1:15" s="672" customFormat="1" ht="21" customHeight="1">
      <c r="A8" s="831" t="s">
        <v>527</v>
      </c>
      <c r="B8" s="936"/>
      <c r="C8" s="938"/>
      <c r="I8" s="832" t="s">
        <v>1040</v>
      </c>
      <c r="J8" s="833"/>
      <c r="K8" s="834"/>
      <c r="L8" s="835"/>
      <c r="M8" s="835"/>
      <c r="N8" s="836"/>
      <c r="O8" s="825"/>
    </row>
    <row r="9" spans="1:15" s="672" customFormat="1" ht="21" customHeight="1">
      <c r="A9" s="831" t="s">
        <v>528</v>
      </c>
      <c r="B9" s="1213"/>
      <c r="C9" s="1213"/>
      <c r="D9" s="1213"/>
      <c r="E9" s="1213"/>
      <c r="F9" s="1213"/>
      <c r="G9" s="1213"/>
      <c r="I9" s="837" t="s">
        <v>801</v>
      </c>
      <c r="L9" s="838" t="s">
        <v>1041</v>
      </c>
      <c r="N9" s="839"/>
    </row>
    <row r="10" spans="1:15" s="672" customFormat="1" ht="21" customHeight="1">
      <c r="A10" s="831" t="s">
        <v>529</v>
      </c>
      <c r="C10" s="840"/>
      <c r="I10" s="841"/>
      <c r="N10" s="839"/>
    </row>
    <row r="11" spans="1:15" s="672" customFormat="1" ht="21" customHeight="1">
      <c r="A11" s="831" t="s">
        <v>530</v>
      </c>
      <c r="C11" s="840"/>
      <c r="I11" s="841"/>
      <c r="N11" s="839"/>
    </row>
    <row r="12" spans="1:15" s="672" customFormat="1" ht="18.75" customHeight="1" thickBot="1">
      <c r="D12" s="671"/>
      <c r="I12" s="842"/>
      <c r="J12" s="843"/>
      <c r="K12" s="843"/>
      <c r="L12" s="843"/>
      <c r="M12" s="843"/>
      <c r="N12" s="844"/>
    </row>
    <row r="13" spans="1:15" s="672" customFormat="1" ht="18.75" customHeight="1">
      <c r="A13" s="855" t="s">
        <v>1034</v>
      </c>
      <c r="B13" s="831"/>
      <c r="D13" s="940"/>
      <c r="I13" s="845"/>
      <c r="J13" s="845"/>
      <c r="K13" s="846"/>
    </row>
    <row r="14" spans="1:15" s="672" customFormat="1" ht="22.5" customHeight="1">
      <c r="A14" s="855" t="s">
        <v>1036</v>
      </c>
      <c r="B14" s="831"/>
      <c r="D14" s="940"/>
      <c r="J14" s="851" t="s">
        <v>1033</v>
      </c>
      <c r="K14" s="1213"/>
      <c r="L14" s="1213"/>
      <c r="M14" s="1213"/>
    </row>
    <row r="15" spans="1:15" s="672" customFormat="1" ht="9" customHeight="1">
      <c r="A15" s="855"/>
      <c r="B15" s="831"/>
      <c r="D15" s="890"/>
      <c r="J15" s="851"/>
      <c r="K15" s="891"/>
      <c r="L15" s="892"/>
    </row>
    <row r="16" spans="1:15" s="672" customFormat="1" ht="24.95" customHeight="1">
      <c r="A16" s="831" t="s">
        <v>531</v>
      </c>
      <c r="B16" s="941"/>
      <c r="C16" s="848"/>
      <c r="D16" s="849"/>
      <c r="E16" s="850"/>
      <c r="F16" s="850"/>
    </row>
    <row r="17" spans="1:15" s="672" customFormat="1" ht="24.95" customHeight="1">
      <c r="A17" s="831" t="s">
        <v>802</v>
      </c>
      <c r="B17" s="942"/>
      <c r="C17" s="848"/>
      <c r="D17" s="849"/>
      <c r="E17" s="850"/>
      <c r="F17" s="850"/>
      <c r="I17" s="851" t="s">
        <v>532</v>
      </c>
      <c r="J17" s="939"/>
      <c r="K17" s="850"/>
      <c r="L17" s="850"/>
      <c r="M17" s="850"/>
    </row>
    <row r="18" spans="1:15" s="672" customFormat="1" ht="24.95" customHeight="1">
      <c r="B18" s="852"/>
      <c r="C18" s="853"/>
      <c r="D18" s="854"/>
      <c r="E18" s="853"/>
      <c r="F18" s="853"/>
    </row>
    <row r="19" spans="1:15" s="672" customFormat="1" ht="32.25" customHeight="1">
      <c r="A19" s="855" t="s">
        <v>533</v>
      </c>
      <c r="B19" s="856"/>
      <c r="D19" s="1214"/>
      <c r="E19" s="1214"/>
      <c r="F19" s="1214"/>
      <c r="G19" s="1214"/>
      <c r="H19" s="1214"/>
      <c r="I19" s="1214"/>
      <c r="J19" s="1214"/>
      <c r="K19" s="1214"/>
      <c r="L19" s="1214"/>
      <c r="M19" s="1214"/>
      <c r="N19" s="1214"/>
    </row>
    <row r="20" spans="1:15" s="672" customFormat="1" ht="24.95" customHeight="1">
      <c r="A20" s="857"/>
      <c r="B20" s="857"/>
      <c r="C20" s="857"/>
      <c r="D20" s="858"/>
      <c r="E20" s="859"/>
      <c r="F20" s="859"/>
      <c r="G20" s="859"/>
      <c r="H20" s="859"/>
      <c r="I20" s="859"/>
      <c r="J20" s="859"/>
      <c r="K20" s="859"/>
      <c r="L20" s="859"/>
      <c r="M20" s="859"/>
      <c r="N20" s="859"/>
    </row>
    <row r="21" spans="1:15" s="672" customFormat="1" ht="24.95" customHeight="1">
      <c r="A21" s="859"/>
      <c r="B21" s="859"/>
      <c r="C21" s="859"/>
      <c r="D21" s="859"/>
      <c r="E21" s="859"/>
      <c r="F21" s="859"/>
      <c r="G21" s="859"/>
      <c r="H21" s="859"/>
      <c r="I21" s="859"/>
      <c r="J21" s="859"/>
      <c r="K21" s="859"/>
      <c r="L21" s="859"/>
      <c r="M21" s="859"/>
      <c r="N21" s="859"/>
    </row>
    <row r="22" spans="1:15" s="672" customFormat="1" ht="14.25" customHeight="1">
      <c r="D22" s="847"/>
    </row>
    <row r="23" spans="1:15" s="672" customFormat="1" ht="17.100000000000001" customHeight="1">
      <c r="A23" s="831" t="s">
        <v>1149</v>
      </c>
      <c r="H23" s="831" t="s">
        <v>1150</v>
      </c>
      <c r="I23" s="831"/>
      <c r="J23" s="831"/>
      <c r="K23" s="831"/>
      <c r="L23" s="831"/>
      <c r="M23" s="831"/>
    </row>
    <row r="24" spans="1:15" s="672" customFormat="1" ht="24.95" customHeight="1">
      <c r="A24" s="941"/>
      <c r="B24" s="848"/>
      <c r="C24" s="850"/>
      <c r="D24" s="849"/>
      <c r="H24" s="1215"/>
      <c r="I24" s="1215"/>
      <c r="J24" s="1215"/>
      <c r="K24" s="850"/>
      <c r="L24" s="848"/>
      <c r="M24" s="848"/>
    </row>
    <row r="25" spans="1:15" s="672" customFormat="1" ht="24.95" customHeight="1">
      <c r="A25" s="860"/>
      <c r="B25" s="861"/>
      <c r="C25" s="861"/>
      <c r="D25" s="862"/>
      <c r="H25" s="1210"/>
      <c r="I25" s="1210"/>
      <c r="J25" s="1210"/>
      <c r="K25" s="1210"/>
      <c r="L25" s="1210"/>
      <c r="M25" s="1210"/>
    </row>
    <row r="26" spans="1:15" s="672" customFormat="1" ht="24.95" customHeight="1">
      <c r="A26" s="860"/>
      <c r="B26" s="861"/>
      <c r="C26" s="861"/>
      <c r="D26" s="862"/>
      <c r="H26" s="863"/>
      <c r="I26" s="861"/>
      <c r="J26" s="861"/>
      <c r="K26" s="861"/>
      <c r="L26" s="861"/>
      <c r="M26" s="861"/>
      <c r="N26" s="864"/>
    </row>
    <row r="27" spans="1:15" s="672" customFormat="1"/>
    <row r="28" spans="1:15" s="672" customFormat="1" ht="24.95" customHeight="1">
      <c r="B28" s="851" t="s">
        <v>1035</v>
      </c>
      <c r="C28" s="941"/>
      <c r="D28" s="943"/>
      <c r="E28" s="943"/>
      <c r="K28" s="851" t="s">
        <v>803</v>
      </c>
      <c r="L28" s="941"/>
      <c r="M28" s="943"/>
    </row>
    <row r="29" spans="1:15" s="672" customFormat="1" ht="24.95" customHeight="1">
      <c r="A29" s="865"/>
      <c r="B29" s="866" t="s">
        <v>534</v>
      </c>
      <c r="C29" s="944"/>
      <c r="D29" s="944"/>
      <c r="E29" s="944"/>
      <c r="K29" s="866" t="s">
        <v>534</v>
      </c>
      <c r="L29" s="1216"/>
      <c r="M29" s="1216"/>
    </row>
    <row r="30" spans="1:15" s="672" customFormat="1" ht="15" customHeight="1">
      <c r="A30" s="847"/>
    </row>
    <row r="31" spans="1:15" s="847" customFormat="1" ht="34.5" customHeight="1">
      <c r="A31" s="1217" t="s">
        <v>535</v>
      </c>
      <c r="B31" s="1218"/>
      <c r="C31" s="1218"/>
      <c r="D31" s="1218" t="s">
        <v>536</v>
      </c>
      <c r="E31" s="1218"/>
      <c r="F31" s="1218"/>
      <c r="G31" s="1218"/>
      <c r="H31" s="1218" t="s">
        <v>537</v>
      </c>
      <c r="I31" s="1218"/>
      <c r="J31" s="1218"/>
      <c r="K31" s="1218"/>
      <c r="L31" s="1218" t="s">
        <v>538</v>
      </c>
      <c r="M31" s="1218"/>
      <c r="N31" s="1218"/>
    </row>
    <row r="32" spans="1:15" s="672" customFormat="1" ht="27.95" customHeight="1">
      <c r="A32" s="1219"/>
      <c r="B32" s="1219"/>
      <c r="C32" s="1219"/>
      <c r="D32" s="1219"/>
      <c r="E32" s="1219"/>
      <c r="F32" s="1219"/>
      <c r="G32" s="1219"/>
      <c r="H32" s="1219"/>
      <c r="I32" s="1219"/>
      <c r="J32" s="1219"/>
      <c r="K32" s="1219"/>
      <c r="L32" s="1220"/>
      <c r="M32" s="1220"/>
      <c r="N32" s="1220"/>
      <c r="O32" s="847"/>
    </row>
    <row r="33" spans="1:15" s="672" customFormat="1" ht="27.95" customHeight="1">
      <c r="A33" s="1221"/>
      <c r="B33" s="1221"/>
      <c r="C33" s="1221"/>
      <c r="D33" s="1221"/>
      <c r="E33" s="1221"/>
      <c r="F33" s="1221"/>
      <c r="G33" s="1221"/>
      <c r="H33" s="1221"/>
      <c r="I33" s="1221"/>
      <c r="J33" s="1221"/>
      <c r="K33" s="1221"/>
      <c r="L33" s="1222"/>
      <c r="M33" s="1222"/>
      <c r="N33" s="1222"/>
      <c r="O33" s="847"/>
    </row>
    <row r="34" spans="1:15" s="672" customFormat="1" ht="27.95" customHeight="1">
      <c r="A34" s="1223"/>
      <c r="B34" s="1223"/>
      <c r="C34" s="1223"/>
      <c r="D34" s="1223"/>
      <c r="E34" s="1223"/>
      <c r="F34" s="1223"/>
      <c r="G34" s="1223"/>
      <c r="H34" s="1223"/>
      <c r="I34" s="1223"/>
      <c r="J34" s="1223"/>
      <c r="K34" s="1223"/>
      <c r="L34" s="1224"/>
      <c r="M34" s="1224"/>
      <c r="N34" s="1224"/>
    </row>
    <row r="35" spans="1:15" s="672" customFormat="1" ht="30" customHeight="1">
      <c r="A35" s="1218" t="s">
        <v>539</v>
      </c>
      <c r="B35" s="1218"/>
      <c r="C35" s="1218"/>
      <c r="D35" s="1218" t="s">
        <v>540</v>
      </c>
      <c r="E35" s="1218"/>
      <c r="F35" s="1218"/>
      <c r="G35" s="1218"/>
      <c r="H35" s="1218" t="s">
        <v>541</v>
      </c>
      <c r="I35" s="1218"/>
      <c r="J35" s="1218"/>
      <c r="K35" s="1218"/>
      <c r="L35" s="1218" t="s">
        <v>538</v>
      </c>
      <c r="M35" s="1218"/>
      <c r="N35" s="1218"/>
    </row>
    <row r="36" spans="1:15" s="672" customFormat="1" ht="27.95" customHeight="1">
      <c r="A36" s="1223"/>
      <c r="B36" s="1223"/>
      <c r="C36" s="1223"/>
      <c r="D36" s="1223"/>
      <c r="E36" s="1223"/>
      <c r="F36" s="1223"/>
      <c r="G36" s="1223"/>
      <c r="H36" s="1223"/>
      <c r="I36" s="1223"/>
      <c r="J36" s="1223"/>
      <c r="K36" s="1223"/>
      <c r="L36" s="1224"/>
      <c r="M36" s="1224"/>
      <c r="N36" s="1224"/>
    </row>
    <row r="37" spans="1:15" s="672" customFormat="1" ht="27.95" customHeight="1">
      <c r="A37" s="1223"/>
      <c r="B37" s="1223"/>
      <c r="C37" s="1223"/>
      <c r="D37" s="1223"/>
      <c r="E37" s="1223"/>
      <c r="F37" s="1223"/>
      <c r="G37" s="1223"/>
      <c r="H37" s="1223"/>
      <c r="I37" s="1223"/>
      <c r="J37" s="1223"/>
      <c r="K37" s="1223"/>
      <c r="L37" s="1224"/>
      <c r="M37" s="1224"/>
      <c r="N37" s="1224"/>
    </row>
    <row r="38" spans="1:15" s="672" customFormat="1" ht="27.95" customHeight="1">
      <c r="A38" s="1230"/>
      <c r="B38" s="1230"/>
      <c r="C38" s="1230"/>
      <c r="D38" s="1230"/>
      <c r="E38" s="1230"/>
      <c r="F38" s="1230"/>
      <c r="G38" s="1230"/>
      <c r="H38" s="1230"/>
      <c r="I38" s="1230"/>
      <c r="J38" s="1230"/>
      <c r="K38" s="1230"/>
      <c r="L38" s="1231"/>
      <c r="M38" s="1231"/>
      <c r="N38" s="1231"/>
    </row>
    <row r="39" spans="1:15" s="672" customFormat="1" ht="9.75" customHeight="1">
      <c r="A39" s="867"/>
      <c r="B39" s="868"/>
      <c r="J39" s="865"/>
    </row>
    <row r="40" spans="1:15" s="672" customFormat="1" ht="27.95" customHeight="1">
      <c r="A40" s="935" t="s">
        <v>1142</v>
      </c>
      <c r="B40" s="902"/>
      <c r="C40" s="864"/>
      <c r="D40" s="864"/>
      <c r="E40" s="864"/>
      <c r="F40" s="864"/>
      <c r="G40" s="864"/>
      <c r="H40" s="864"/>
      <c r="I40" s="864"/>
      <c r="J40" s="903"/>
      <c r="K40" s="864"/>
      <c r="L40" s="864"/>
      <c r="M40" s="864"/>
      <c r="N40" s="864"/>
    </row>
    <row r="41" spans="1:15" s="672" customFormat="1" ht="27.75" customHeight="1">
      <c r="A41" s="896" t="s">
        <v>1037</v>
      </c>
      <c r="B41" s="871"/>
      <c r="C41" s="872"/>
      <c r="D41" s="872"/>
      <c r="E41" s="872"/>
      <c r="F41" s="872"/>
      <c r="G41" s="872"/>
      <c r="H41" s="872"/>
      <c r="I41" s="872"/>
      <c r="J41" s="873"/>
      <c r="K41" s="872"/>
      <c r="L41" s="872"/>
      <c r="M41" s="872"/>
      <c r="N41" s="872"/>
    </row>
    <row r="42" spans="1:15" s="672" customFormat="1" ht="27.95" customHeight="1">
      <c r="A42" s="896" t="s">
        <v>1038</v>
      </c>
      <c r="B42" s="875"/>
      <c r="C42" s="876"/>
      <c r="D42" s="876"/>
      <c r="E42" s="876"/>
      <c r="F42" s="876"/>
      <c r="G42" s="876"/>
      <c r="H42" s="876"/>
      <c r="I42" s="876"/>
      <c r="J42" s="877"/>
      <c r="K42" s="876"/>
      <c r="L42" s="876"/>
      <c r="M42" s="876"/>
      <c r="N42" s="876"/>
    </row>
    <row r="43" spans="1:15" s="672" customFormat="1" ht="27.95" customHeight="1">
      <c r="A43" s="896" t="s">
        <v>1039</v>
      </c>
      <c r="B43" s="875"/>
      <c r="C43" s="876"/>
      <c r="D43" s="876"/>
      <c r="E43" s="876"/>
      <c r="F43" s="876"/>
      <c r="G43" s="876"/>
      <c r="H43" s="876"/>
      <c r="I43" s="876"/>
      <c r="J43" s="877"/>
      <c r="K43" s="876"/>
      <c r="L43" s="876"/>
      <c r="M43" s="876"/>
      <c r="N43" s="876"/>
    </row>
    <row r="44" spans="1:15" s="672" customFormat="1" ht="29.25" customHeight="1">
      <c r="A44" s="901" t="s">
        <v>1143</v>
      </c>
      <c r="B44" s="868"/>
      <c r="J44" s="865"/>
    </row>
    <row r="45" spans="1:15" s="672" customFormat="1" ht="15">
      <c r="A45" s="869" t="s">
        <v>978</v>
      </c>
      <c r="B45" s="868"/>
      <c r="J45" s="865"/>
    </row>
    <row r="46" spans="1:15" s="672" customFormat="1" ht="15.75" customHeight="1">
      <c r="A46" s="870"/>
      <c r="B46" s="871"/>
      <c r="C46" s="872"/>
      <c r="D46" s="872"/>
      <c r="E46" s="872"/>
      <c r="F46" s="872"/>
      <c r="G46" s="872"/>
      <c r="H46" s="872"/>
      <c r="I46" s="872"/>
      <c r="J46" s="873"/>
      <c r="K46" s="872"/>
      <c r="L46" s="872"/>
      <c r="M46" s="872"/>
      <c r="N46" s="872"/>
    </row>
    <row r="47" spans="1:15" s="672" customFormat="1" ht="15.75" customHeight="1">
      <c r="A47" s="870"/>
      <c r="B47" s="871"/>
      <c r="C47" s="872"/>
      <c r="D47" s="872"/>
      <c r="E47" s="872"/>
      <c r="F47" s="872"/>
      <c r="G47" s="872"/>
      <c r="H47" s="872"/>
      <c r="I47" s="872"/>
      <c r="J47" s="873"/>
      <c r="K47" s="872"/>
      <c r="L47" s="872"/>
      <c r="M47" s="872"/>
      <c r="N47" s="872"/>
    </row>
    <row r="48" spans="1:15" s="672" customFormat="1" ht="15.75" customHeight="1">
      <c r="A48" s="870"/>
      <c r="B48" s="871"/>
      <c r="C48" s="872"/>
      <c r="D48" s="872"/>
      <c r="E48" s="872"/>
      <c r="F48" s="872"/>
      <c r="G48" s="872"/>
      <c r="H48" s="872"/>
      <c r="I48" s="872"/>
      <c r="J48" s="873"/>
      <c r="K48" s="872"/>
      <c r="L48" s="872"/>
      <c r="M48" s="872"/>
      <c r="N48" s="872"/>
    </row>
    <row r="49" spans="1:14" s="672" customFormat="1" ht="27.95" customHeight="1">
      <c r="A49" s="874"/>
      <c r="B49" s="875"/>
      <c r="C49" s="876"/>
      <c r="D49" s="876"/>
      <c r="E49" s="876"/>
      <c r="F49" s="876"/>
      <c r="G49" s="876"/>
      <c r="H49" s="876"/>
      <c r="I49" s="876"/>
      <c r="J49" s="877"/>
      <c r="K49" s="876"/>
      <c r="L49" s="876"/>
      <c r="M49" s="876"/>
      <c r="N49" s="876"/>
    </row>
    <row r="50" spans="1:14" s="847" customFormat="1" ht="17.100000000000001" customHeight="1">
      <c r="A50" s="878" t="s">
        <v>804</v>
      </c>
      <c r="B50" s="879"/>
      <c r="C50" s="879"/>
      <c r="D50" s="1225" t="s">
        <v>805</v>
      </c>
      <c r="E50" s="1226"/>
      <c r="F50" s="1227" t="s">
        <v>1186</v>
      </c>
      <c r="G50" s="1228"/>
      <c r="H50" s="1229" t="s">
        <v>806</v>
      </c>
      <c r="I50" s="1229"/>
      <c r="J50" s="1229"/>
      <c r="K50" s="1229"/>
      <c r="L50" s="1229"/>
      <c r="M50" s="1229"/>
      <c r="N50" s="1229"/>
    </row>
    <row r="51" spans="1:14" s="672" customFormat="1" ht="27.95" customHeight="1">
      <c r="A51" s="1232" t="s">
        <v>182</v>
      </c>
      <c r="B51" s="1232"/>
      <c r="C51" s="1232"/>
      <c r="D51" s="1233"/>
      <c r="E51" s="1234"/>
      <c r="F51" s="1235"/>
      <c r="G51" s="1236"/>
      <c r="H51" s="880" t="s">
        <v>807</v>
      </c>
      <c r="I51" s="859"/>
      <c r="J51" s="859"/>
      <c r="K51" s="1235"/>
      <c r="L51" s="1234"/>
      <c r="M51" s="1234"/>
      <c r="N51" s="1236"/>
    </row>
    <row r="52" spans="1:14" s="672" customFormat="1" ht="27.95" customHeight="1">
      <c r="A52" s="1232" t="s">
        <v>808</v>
      </c>
      <c r="B52" s="1232"/>
      <c r="C52" s="1232"/>
      <c r="D52" s="1233"/>
      <c r="E52" s="1234"/>
      <c r="F52" s="1235"/>
      <c r="G52" s="1236"/>
      <c r="H52" s="880" t="s">
        <v>809</v>
      </c>
      <c r="I52" s="859"/>
      <c r="J52" s="859"/>
      <c r="K52" s="1235"/>
      <c r="L52" s="1234"/>
      <c r="M52" s="1234"/>
      <c r="N52" s="1236"/>
    </row>
    <row r="53" spans="1:14" s="672" customFormat="1" ht="27.95" customHeight="1">
      <c r="A53" s="1232" t="s">
        <v>190</v>
      </c>
      <c r="B53" s="1232"/>
      <c r="C53" s="1232"/>
      <c r="D53" s="1233"/>
      <c r="E53" s="1234"/>
      <c r="F53" s="1235"/>
      <c r="G53" s="1236"/>
      <c r="H53" s="880" t="s">
        <v>810</v>
      </c>
      <c r="I53" s="859"/>
      <c r="J53" s="859"/>
      <c r="K53" s="1235"/>
      <c r="L53" s="1234"/>
      <c r="M53" s="1234"/>
      <c r="N53" s="1236"/>
    </row>
    <row r="54" spans="1:14" s="672" customFormat="1" ht="27.95" customHeight="1">
      <c r="A54" s="1232" t="s">
        <v>979</v>
      </c>
      <c r="B54" s="1232"/>
      <c r="C54" s="1232"/>
      <c r="D54" s="1233"/>
      <c r="E54" s="1234"/>
      <c r="F54" s="1234"/>
      <c r="G54" s="1236"/>
      <c r="H54" s="880" t="s">
        <v>811</v>
      </c>
      <c r="I54" s="859"/>
      <c r="J54" s="859"/>
      <c r="K54" s="859"/>
      <c r="L54" s="1235"/>
      <c r="M54" s="1234"/>
      <c r="N54" s="1236"/>
    </row>
    <row r="55" spans="1:14" s="672" customFormat="1" ht="27.95" customHeight="1">
      <c r="A55" s="1238"/>
      <c r="B55" s="1238"/>
      <c r="C55" s="1238"/>
      <c r="D55" s="1239"/>
      <c r="E55" s="1240"/>
      <c r="F55" s="1240"/>
      <c r="G55" s="1241"/>
      <c r="H55" s="881"/>
      <c r="I55" s="882"/>
      <c r="J55" s="882"/>
      <c r="K55" s="882"/>
      <c r="L55" s="1242"/>
      <c r="M55" s="1243"/>
      <c r="N55" s="1243"/>
    </row>
    <row r="56" spans="1:14" ht="24.95" customHeight="1">
      <c r="A56" s="883"/>
      <c r="B56" s="674"/>
      <c r="C56" s="674"/>
      <c r="D56" s="674"/>
      <c r="E56" s="674"/>
      <c r="F56" s="674"/>
      <c r="G56" s="674"/>
      <c r="H56" s="674"/>
      <c r="I56" s="674"/>
      <c r="J56" s="674"/>
      <c r="K56" s="674"/>
      <c r="L56" s="674"/>
      <c r="M56" s="674"/>
      <c r="N56" s="674"/>
    </row>
    <row r="57" spans="1:14" ht="100.5" customHeight="1">
      <c r="A57" s="674"/>
      <c r="B57" s="674"/>
      <c r="C57" s="674"/>
      <c r="D57" s="674"/>
      <c r="E57" s="674"/>
      <c r="F57" s="674"/>
      <c r="G57" s="674"/>
      <c r="H57" s="674"/>
      <c r="I57" s="674"/>
      <c r="J57" s="674"/>
      <c r="K57" s="674"/>
      <c r="L57" s="674"/>
      <c r="M57" s="674"/>
      <c r="N57" s="674"/>
    </row>
    <row r="58" spans="1:14" ht="132.75" customHeight="1">
      <c r="A58" s="674"/>
      <c r="B58" s="674"/>
      <c r="C58" s="674"/>
      <c r="D58" s="674"/>
      <c r="E58" s="674"/>
      <c r="F58" s="674"/>
      <c r="G58" s="674"/>
      <c r="H58" s="674"/>
      <c r="I58" s="674"/>
      <c r="J58" s="674"/>
      <c r="K58" s="674"/>
      <c r="L58" s="674"/>
      <c r="M58" s="674"/>
      <c r="N58" s="674"/>
    </row>
    <row r="59" spans="1:14" ht="136.5" customHeight="1">
      <c r="A59" s="884"/>
      <c r="B59" s="884"/>
      <c r="L59" s="823"/>
      <c r="N59" s="823"/>
    </row>
    <row r="60" spans="1:14" ht="141" customHeight="1"/>
    <row r="61" spans="1:14" ht="15.75" thickBot="1">
      <c r="B61" s="1237" t="s">
        <v>980</v>
      </c>
      <c r="C61" s="1237"/>
      <c r="D61" s="1237"/>
    </row>
    <row r="62" spans="1:14" ht="44.25" customHeight="1">
      <c r="B62" s="672" t="s">
        <v>981</v>
      </c>
      <c r="D62" s="893"/>
    </row>
    <row r="63" spans="1:14" ht="44.25" customHeight="1">
      <c r="B63" s="672" t="s">
        <v>982</v>
      </c>
      <c r="D63" s="893"/>
    </row>
    <row r="64" spans="1:14" ht="44.25" customHeight="1">
      <c r="B64" s="672" t="s">
        <v>983</v>
      </c>
      <c r="D64" s="893"/>
    </row>
    <row r="65" spans="2:15" ht="44.25" customHeight="1">
      <c r="B65" s="672" t="s">
        <v>984</v>
      </c>
      <c r="D65" s="893"/>
    </row>
    <row r="66" spans="2:15" ht="44.25" customHeight="1">
      <c r="B66" s="672" t="s">
        <v>985</v>
      </c>
      <c r="D66" s="893"/>
    </row>
    <row r="67" spans="2:15" ht="44.25" customHeight="1">
      <c r="B67" s="672" t="s">
        <v>986</v>
      </c>
      <c r="D67" s="893"/>
    </row>
    <row r="68" spans="2:15" ht="44.25" customHeight="1">
      <c r="B68" s="672" t="s">
        <v>987</v>
      </c>
      <c r="D68" s="893"/>
    </row>
    <row r="69" spans="2:15" ht="44.25" customHeight="1">
      <c r="B69" s="672" t="s">
        <v>988</v>
      </c>
      <c r="C69" s="885"/>
      <c r="D69" s="893"/>
      <c r="J69" s="885"/>
      <c r="L69" s="885"/>
      <c r="N69" s="885"/>
    </row>
    <row r="70" spans="2:15" ht="44.25" customHeight="1">
      <c r="B70" s="672" t="s">
        <v>989</v>
      </c>
      <c r="D70" s="893"/>
    </row>
    <row r="71" spans="2:15" ht="44.25" customHeight="1">
      <c r="B71" s="672" t="s">
        <v>990</v>
      </c>
      <c r="D71" s="893"/>
      <c r="J71" s="885"/>
      <c r="L71" s="885"/>
      <c r="N71" s="885"/>
    </row>
    <row r="72" spans="2:15" ht="44.25" customHeight="1">
      <c r="B72" s="672" t="s">
        <v>991</v>
      </c>
      <c r="D72" s="893"/>
    </row>
    <row r="73" spans="2:15" ht="44.25" customHeight="1">
      <c r="B73" s="672" t="s">
        <v>992</v>
      </c>
      <c r="C73" s="827"/>
      <c r="D73" s="894"/>
      <c r="E73" s="827"/>
      <c r="F73" s="827"/>
      <c r="G73" s="827"/>
      <c r="H73" s="827"/>
      <c r="J73" s="886"/>
      <c r="L73" s="823"/>
      <c r="N73" s="823"/>
    </row>
    <row r="74" spans="2:15" ht="44.25" customHeight="1">
      <c r="B74" s="672" t="s">
        <v>993</v>
      </c>
      <c r="C74" s="827"/>
      <c r="D74" s="894"/>
      <c r="E74" s="827"/>
      <c r="F74" s="827"/>
      <c r="G74" s="827"/>
      <c r="H74" s="827"/>
    </row>
    <row r="75" spans="2:15" ht="44.25" customHeight="1">
      <c r="B75" s="672" t="s">
        <v>994</v>
      </c>
      <c r="C75" s="827"/>
      <c r="D75" s="894"/>
      <c r="E75" s="827"/>
      <c r="F75" s="827"/>
      <c r="G75" s="827"/>
      <c r="H75" s="827"/>
      <c r="J75" s="887"/>
      <c r="K75" s="887"/>
      <c r="L75" s="887"/>
      <c r="M75" s="887"/>
      <c r="N75" s="887"/>
      <c r="O75" s="887"/>
    </row>
    <row r="76" spans="2:15" ht="44.25" customHeight="1">
      <c r="B76" s="672" t="s">
        <v>995</v>
      </c>
      <c r="D76" s="893"/>
    </row>
    <row r="77" spans="2:15" ht="44.25" customHeight="1">
      <c r="B77" s="672" t="s">
        <v>1215</v>
      </c>
      <c r="C77" s="825"/>
      <c r="D77" s="895"/>
      <c r="E77" s="825"/>
      <c r="F77" s="825"/>
      <c r="G77" s="825"/>
      <c r="H77" s="825"/>
      <c r="J77" s="868"/>
      <c r="K77" s="868"/>
      <c r="L77" s="868"/>
      <c r="M77" s="868"/>
      <c r="N77" s="868"/>
      <c r="O77" s="868"/>
    </row>
    <row r="78" spans="2:15" ht="44.25" customHeight="1">
      <c r="B78" s="672" t="s">
        <v>1232</v>
      </c>
      <c r="C78" s="825"/>
      <c r="D78" s="895"/>
      <c r="E78" s="825"/>
      <c r="F78" s="825"/>
      <c r="G78" s="825"/>
      <c r="H78" s="825"/>
      <c r="J78" s="868"/>
      <c r="K78" s="868"/>
      <c r="L78" s="868"/>
      <c r="M78" s="868"/>
      <c r="N78" s="868"/>
      <c r="O78" s="868"/>
    </row>
    <row r="79" spans="2:15" ht="44.25" customHeight="1">
      <c r="B79" s="672" t="s">
        <v>996</v>
      </c>
      <c r="D79" s="893"/>
    </row>
    <row r="80" spans="2:15" ht="44.25" customHeight="1">
      <c r="B80" s="672" t="s">
        <v>997</v>
      </c>
      <c r="C80" s="825"/>
      <c r="D80" s="895"/>
      <c r="E80" s="825"/>
      <c r="F80" s="825"/>
      <c r="G80" s="825"/>
      <c r="H80" s="825"/>
      <c r="N80" s="888"/>
    </row>
    <row r="81" spans="2:14" ht="44.25" customHeight="1">
      <c r="B81" s="672" t="s">
        <v>998</v>
      </c>
      <c r="D81" s="893"/>
    </row>
    <row r="82" spans="2:14" ht="44.25" customHeight="1">
      <c r="B82" s="672" t="s">
        <v>999</v>
      </c>
      <c r="C82" s="825"/>
      <c r="D82" s="895"/>
      <c r="E82" s="825"/>
      <c r="F82" s="825"/>
      <c r="G82" s="825"/>
      <c r="H82" s="825"/>
      <c r="N82" s="888"/>
    </row>
    <row r="83" spans="2:14" ht="44.25" customHeight="1">
      <c r="B83" s="672" t="s">
        <v>1000</v>
      </c>
      <c r="C83" s="825"/>
      <c r="D83" s="895"/>
      <c r="E83" s="825"/>
      <c r="F83" s="825"/>
      <c r="G83" s="825"/>
      <c r="H83" s="825"/>
      <c r="I83" s="889"/>
    </row>
    <row r="84" spans="2:14" ht="44.25" customHeight="1">
      <c r="B84" s="672" t="s">
        <v>1001</v>
      </c>
      <c r="D84" s="893"/>
    </row>
    <row r="85" spans="2:14" ht="44.25" customHeight="1">
      <c r="B85" s="672" t="s">
        <v>1002</v>
      </c>
      <c r="D85" s="893"/>
      <c r="N85" s="888"/>
    </row>
    <row r="86" spans="2:14" ht="44.25" customHeight="1">
      <c r="B86" s="672" t="s">
        <v>1231</v>
      </c>
      <c r="D86" s="893"/>
      <c r="I86" s="889"/>
    </row>
    <row r="87" spans="2:14" ht="44.25" customHeight="1">
      <c r="B87" s="672" t="s">
        <v>1003</v>
      </c>
      <c r="D87" s="893"/>
      <c r="I87" s="889"/>
    </row>
    <row r="88" spans="2:14" ht="44.25" customHeight="1">
      <c r="B88" s="672" t="s">
        <v>1004</v>
      </c>
      <c r="D88" s="893"/>
      <c r="I88" s="889"/>
      <c r="N88" s="888"/>
    </row>
    <row r="89" spans="2:14" ht="44.25" customHeight="1">
      <c r="B89" s="672" t="s">
        <v>1005</v>
      </c>
      <c r="D89" s="893"/>
      <c r="I89" s="889"/>
    </row>
    <row r="90" spans="2:14" ht="44.25" customHeight="1">
      <c r="B90" s="672" t="s">
        <v>1006</v>
      </c>
      <c r="D90" s="893"/>
    </row>
    <row r="91" spans="2:14" ht="44.25" customHeight="1">
      <c r="B91" s="672" t="s">
        <v>1007</v>
      </c>
      <c r="D91" s="893"/>
    </row>
    <row r="92" spans="2:14" ht="44.25" customHeight="1">
      <c r="B92" s="672" t="s">
        <v>1008</v>
      </c>
      <c r="D92" s="893"/>
    </row>
    <row r="93" spans="2:14" ht="44.25" customHeight="1">
      <c r="B93" s="672" t="s">
        <v>1009</v>
      </c>
      <c r="D93" s="893"/>
    </row>
    <row r="94" spans="2:14" ht="44.25" customHeight="1">
      <c r="B94" s="672" t="s">
        <v>1010</v>
      </c>
      <c r="D94" s="893"/>
    </row>
    <row r="95" spans="2:14" ht="44.25" customHeight="1">
      <c r="B95" s="672" t="s">
        <v>1011</v>
      </c>
      <c r="D95" s="893"/>
    </row>
    <row r="96" spans="2:14" ht="44.25" customHeight="1">
      <c r="B96" s="672" t="s">
        <v>1012</v>
      </c>
      <c r="D96" s="893"/>
    </row>
    <row r="97" spans="2:4" ht="44.25" customHeight="1">
      <c r="B97" s="672" t="s">
        <v>1013</v>
      </c>
      <c r="D97" s="893"/>
    </row>
    <row r="98" spans="2:4" ht="44.25" customHeight="1">
      <c r="B98" s="672" t="s">
        <v>1014</v>
      </c>
      <c r="D98" s="893"/>
    </row>
    <row r="99" spans="2:4" ht="44.25" customHeight="1">
      <c r="B99" s="672" t="s">
        <v>1015</v>
      </c>
      <c r="D99" s="893"/>
    </row>
    <row r="100" spans="2:4" ht="44.25" customHeight="1">
      <c r="B100" s="672" t="s">
        <v>1016</v>
      </c>
      <c r="D100" s="893"/>
    </row>
    <row r="101" spans="2:4" ht="44.25" customHeight="1">
      <c r="B101" s="672" t="s">
        <v>1017</v>
      </c>
      <c r="D101" s="893"/>
    </row>
    <row r="102" spans="2:4" ht="44.25" customHeight="1">
      <c r="B102" s="672" t="s">
        <v>1018</v>
      </c>
      <c r="D102" s="893"/>
    </row>
    <row r="103" spans="2:4" ht="44.25" customHeight="1">
      <c r="B103" s="672" t="s">
        <v>1019</v>
      </c>
      <c r="D103" s="893"/>
    </row>
    <row r="104" spans="2:4" ht="44.25" customHeight="1">
      <c r="B104" s="672" t="s">
        <v>1020</v>
      </c>
      <c r="D104" s="893"/>
    </row>
    <row r="105" spans="2:4" ht="44.25" customHeight="1">
      <c r="B105" s="672" t="s">
        <v>1021</v>
      </c>
      <c r="D105" s="893"/>
    </row>
    <row r="106" spans="2:4" ht="44.25" customHeight="1">
      <c r="B106" s="672" t="s">
        <v>1022</v>
      </c>
      <c r="D106" s="893"/>
    </row>
    <row r="107" spans="2:4" ht="44.25" customHeight="1">
      <c r="B107" s="672" t="s">
        <v>1023</v>
      </c>
      <c r="D107" s="893"/>
    </row>
    <row r="108" spans="2:4" ht="44.25" customHeight="1">
      <c r="B108" s="672" t="s">
        <v>1024</v>
      </c>
      <c r="D108" s="893"/>
    </row>
    <row r="109" spans="2:4" ht="44.25" customHeight="1">
      <c r="B109" s="672" t="s">
        <v>1025</v>
      </c>
      <c r="D109" s="893"/>
    </row>
    <row r="110" spans="2:4" ht="44.25" customHeight="1">
      <c r="B110" s="672" t="s">
        <v>1026</v>
      </c>
      <c r="D110" s="893"/>
    </row>
    <row r="111" spans="2:4" ht="44.25" customHeight="1">
      <c r="B111" s="672" t="s">
        <v>1027</v>
      </c>
      <c r="D111" s="893"/>
    </row>
    <row r="112" spans="2:4" ht="44.25" customHeight="1">
      <c r="B112" s="672" t="s">
        <v>1028</v>
      </c>
      <c r="D112" s="893"/>
    </row>
    <row r="113" spans="2:4" ht="44.25" customHeight="1">
      <c r="B113" s="672" t="s">
        <v>1029</v>
      </c>
      <c r="D113" s="893"/>
    </row>
    <row r="114" spans="2:4" ht="44.25" customHeight="1">
      <c r="B114" s="672" t="s">
        <v>1030</v>
      </c>
      <c r="D114" s="893"/>
    </row>
    <row r="115" spans="2:4">
      <c r="B115" s="672" t="s">
        <v>1031</v>
      </c>
    </row>
    <row r="116" spans="2:4">
      <c r="B116" s="672" t="s">
        <v>1032</v>
      </c>
    </row>
  </sheetData>
  <autoFilter ref="B61:D114" xr:uid="{00000000-0009-0000-0000-000008000000}">
    <filterColumn colId="0" showButton="0"/>
    <filterColumn colId="1" showButton="0"/>
  </autoFilter>
  <mergeCells count="64">
    <mergeCell ref="B61:D61"/>
    <mergeCell ref="A55:C55"/>
    <mergeCell ref="D55:G55"/>
    <mergeCell ref="L55:N55"/>
    <mergeCell ref="A53:C53"/>
    <mergeCell ref="D53:E53"/>
    <mergeCell ref="F53:G53"/>
    <mergeCell ref="K53:N53"/>
    <mergeCell ref="A54:C54"/>
    <mergeCell ref="D54:E54"/>
    <mergeCell ref="F54:G54"/>
    <mergeCell ref="L54:N54"/>
    <mergeCell ref="A51:C51"/>
    <mergeCell ref="D51:E51"/>
    <mergeCell ref="F51:G51"/>
    <mergeCell ref="K51:N51"/>
    <mergeCell ref="A52:C52"/>
    <mergeCell ref="D52:E52"/>
    <mergeCell ref="F52:G52"/>
    <mergeCell ref="K52:N52"/>
    <mergeCell ref="D50:E50"/>
    <mergeCell ref="F50:G50"/>
    <mergeCell ref="H50:N50"/>
    <mergeCell ref="A36:C36"/>
    <mergeCell ref="D36:G36"/>
    <mergeCell ref="H36:K36"/>
    <mergeCell ref="L36:N36"/>
    <mergeCell ref="A37:C37"/>
    <mergeCell ref="D37:G37"/>
    <mergeCell ref="H37:K37"/>
    <mergeCell ref="L37:N37"/>
    <mergeCell ref="A38:C38"/>
    <mergeCell ref="D38:G38"/>
    <mergeCell ref="H38:K38"/>
    <mergeCell ref="L38:N38"/>
    <mergeCell ref="A34:C34"/>
    <mergeCell ref="D34:G34"/>
    <mergeCell ref="H34:K34"/>
    <mergeCell ref="L34:N34"/>
    <mergeCell ref="A35:C35"/>
    <mergeCell ref="D35:G35"/>
    <mergeCell ref="H35:K35"/>
    <mergeCell ref="L35:N35"/>
    <mergeCell ref="A32:C32"/>
    <mergeCell ref="D32:G32"/>
    <mergeCell ref="H32:K32"/>
    <mergeCell ref="L32:N32"/>
    <mergeCell ref="A33:C33"/>
    <mergeCell ref="D33:G33"/>
    <mergeCell ref="H33:K33"/>
    <mergeCell ref="L33:N33"/>
    <mergeCell ref="L29:M29"/>
    <mergeCell ref="A31:C31"/>
    <mergeCell ref="D31:G31"/>
    <mergeCell ref="H31:K31"/>
    <mergeCell ref="L31:N31"/>
    <mergeCell ref="H25:J25"/>
    <mergeCell ref="K25:M25"/>
    <mergeCell ref="L1:N4"/>
    <mergeCell ref="I7:N7"/>
    <mergeCell ref="B9:G9"/>
    <mergeCell ref="D19:N19"/>
    <mergeCell ref="H24:J24"/>
    <mergeCell ref="K14:M14"/>
  </mergeCells>
  <dataValidations count="1">
    <dataValidation type="list" allowBlank="1" showInputMessage="1" showErrorMessage="1" sqref="K14:M14" xr:uid="{00000000-0002-0000-0800-000000000000}">
      <formula1>$B$62:$B$116</formula1>
    </dataValidation>
  </dataValidations>
  <printOptions horizontalCentered="1" verticalCentered="1"/>
  <pageMargins left="0" right="0" top="0.39370078740157483" bottom="0.39370078740157483" header="0" footer="0"/>
  <pageSetup paperSize="9" scale="62" orientation="portrait" blackAndWhite="1" verticalDpi="4294967292" r:id="rId1"/>
  <headerFooter>
    <oddFooter>&amp;LEdité le &amp;D&amp;C&amp;P/&amp;N&amp;RPage de garde</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69">
    <pageSetUpPr fitToPage="1"/>
  </sheetPr>
  <dimension ref="A1:K59"/>
  <sheetViews>
    <sheetView view="pageBreakPreview" topLeftCell="A15" zoomScaleNormal="100" zoomScaleSheetLayoutView="75" workbookViewId="0">
      <selection activeCell="A36" sqref="A36:G36"/>
    </sheetView>
  </sheetViews>
  <sheetFormatPr baseColWidth="10" defaultRowHeight="12.75"/>
  <cols>
    <col min="1" max="5" width="11.42578125" style="665"/>
    <col min="6" max="6" width="9.42578125" style="665" customWidth="1"/>
    <col min="7" max="7" width="19.42578125" style="665" customWidth="1"/>
    <col min="8" max="8" width="22.140625" style="687" customWidth="1"/>
    <col min="9" max="9" width="11.42578125" style="665" hidden="1" customWidth="1"/>
    <col min="10" max="261" width="11.42578125" style="665"/>
    <col min="262" max="262" width="9.42578125" style="665" customWidth="1"/>
    <col min="263" max="263" width="19.42578125" style="665" customWidth="1"/>
    <col min="264" max="264" width="22.140625" style="665" customWidth="1"/>
    <col min="265" max="265" width="0" style="665" hidden="1" customWidth="1"/>
    <col min="266" max="517" width="11.42578125" style="665"/>
    <col min="518" max="518" width="9.42578125" style="665" customWidth="1"/>
    <col min="519" max="519" width="19.42578125" style="665" customWidth="1"/>
    <col min="520" max="520" width="22.140625" style="665" customWidth="1"/>
    <col min="521" max="521" width="0" style="665" hidden="1" customWidth="1"/>
    <col min="522" max="773" width="11.42578125" style="665"/>
    <col min="774" max="774" width="9.42578125" style="665" customWidth="1"/>
    <col min="775" max="775" width="19.42578125" style="665" customWidth="1"/>
    <col min="776" max="776" width="22.140625" style="665" customWidth="1"/>
    <col min="777" max="777" width="0" style="665" hidden="1" customWidth="1"/>
    <col min="778" max="1029" width="11.42578125" style="665"/>
    <col min="1030" max="1030" width="9.42578125" style="665" customWidth="1"/>
    <col min="1031" max="1031" width="19.42578125" style="665" customWidth="1"/>
    <col min="1032" max="1032" width="22.140625" style="665" customWidth="1"/>
    <col min="1033" max="1033" width="0" style="665" hidden="1" customWidth="1"/>
    <col min="1034" max="1285" width="11.42578125" style="665"/>
    <col min="1286" max="1286" width="9.42578125" style="665" customWidth="1"/>
    <col min="1287" max="1287" width="19.42578125" style="665" customWidth="1"/>
    <col min="1288" max="1288" width="22.140625" style="665" customWidth="1"/>
    <col min="1289" max="1289" width="0" style="665" hidden="1" customWidth="1"/>
    <col min="1290" max="1541" width="11.42578125" style="665"/>
    <col min="1542" max="1542" width="9.42578125" style="665" customWidth="1"/>
    <col min="1543" max="1543" width="19.42578125" style="665" customWidth="1"/>
    <col min="1544" max="1544" width="22.140625" style="665" customWidth="1"/>
    <col min="1545" max="1545" width="0" style="665" hidden="1" customWidth="1"/>
    <col min="1546" max="1797" width="11.42578125" style="665"/>
    <col min="1798" max="1798" width="9.42578125" style="665" customWidth="1"/>
    <col min="1799" max="1799" width="19.42578125" style="665" customWidth="1"/>
    <col min="1800" max="1800" width="22.140625" style="665" customWidth="1"/>
    <col min="1801" max="1801" width="0" style="665" hidden="1" customWidth="1"/>
    <col min="1802" max="2053" width="11.42578125" style="665"/>
    <col min="2054" max="2054" width="9.42578125" style="665" customWidth="1"/>
    <col min="2055" max="2055" width="19.42578125" style="665" customWidth="1"/>
    <col min="2056" max="2056" width="22.140625" style="665" customWidth="1"/>
    <col min="2057" max="2057" width="0" style="665" hidden="1" customWidth="1"/>
    <col min="2058" max="2309" width="11.42578125" style="665"/>
    <col min="2310" max="2310" width="9.42578125" style="665" customWidth="1"/>
    <col min="2311" max="2311" width="19.42578125" style="665" customWidth="1"/>
    <col min="2312" max="2312" width="22.140625" style="665" customWidth="1"/>
    <col min="2313" max="2313" width="0" style="665" hidden="1" customWidth="1"/>
    <col min="2314" max="2565" width="11.42578125" style="665"/>
    <col min="2566" max="2566" width="9.42578125" style="665" customWidth="1"/>
    <col min="2567" max="2567" width="19.42578125" style="665" customWidth="1"/>
    <col min="2568" max="2568" width="22.140625" style="665" customWidth="1"/>
    <col min="2569" max="2569" width="0" style="665" hidden="1" customWidth="1"/>
    <col min="2570" max="2821" width="11.42578125" style="665"/>
    <col min="2822" max="2822" width="9.42578125" style="665" customWidth="1"/>
    <col min="2823" max="2823" width="19.42578125" style="665" customWidth="1"/>
    <col min="2824" max="2824" width="22.140625" style="665" customWidth="1"/>
    <col min="2825" max="2825" width="0" style="665" hidden="1" customWidth="1"/>
    <col min="2826" max="3077" width="11.42578125" style="665"/>
    <col min="3078" max="3078" width="9.42578125" style="665" customWidth="1"/>
    <col min="3079" max="3079" width="19.42578125" style="665" customWidth="1"/>
    <col min="3080" max="3080" width="22.140625" style="665" customWidth="1"/>
    <col min="3081" max="3081" width="0" style="665" hidden="1" customWidth="1"/>
    <col min="3082" max="3333" width="11.42578125" style="665"/>
    <col min="3334" max="3334" width="9.42578125" style="665" customWidth="1"/>
    <col min="3335" max="3335" width="19.42578125" style="665" customWidth="1"/>
    <col min="3336" max="3336" width="22.140625" style="665" customWidth="1"/>
    <col min="3337" max="3337" width="0" style="665" hidden="1" customWidth="1"/>
    <col min="3338" max="3589" width="11.42578125" style="665"/>
    <col min="3590" max="3590" width="9.42578125" style="665" customWidth="1"/>
    <col min="3591" max="3591" width="19.42578125" style="665" customWidth="1"/>
    <col min="3592" max="3592" width="22.140625" style="665" customWidth="1"/>
    <col min="3593" max="3593" width="0" style="665" hidden="1" customWidth="1"/>
    <col min="3594" max="3845" width="11.42578125" style="665"/>
    <col min="3846" max="3846" width="9.42578125" style="665" customWidth="1"/>
    <col min="3847" max="3847" width="19.42578125" style="665" customWidth="1"/>
    <col min="3848" max="3848" width="22.140625" style="665" customWidth="1"/>
    <col min="3849" max="3849" width="0" style="665" hidden="1" customWidth="1"/>
    <col min="3850" max="4101" width="11.42578125" style="665"/>
    <col min="4102" max="4102" width="9.42578125" style="665" customWidth="1"/>
    <col min="4103" max="4103" width="19.42578125" style="665" customWidth="1"/>
    <col min="4104" max="4104" width="22.140625" style="665" customWidth="1"/>
    <col min="4105" max="4105" width="0" style="665" hidden="1" customWidth="1"/>
    <col min="4106" max="4357" width="11.42578125" style="665"/>
    <col min="4358" max="4358" width="9.42578125" style="665" customWidth="1"/>
    <col min="4359" max="4359" width="19.42578125" style="665" customWidth="1"/>
    <col min="4360" max="4360" width="22.140625" style="665" customWidth="1"/>
    <col min="4361" max="4361" width="0" style="665" hidden="1" customWidth="1"/>
    <col min="4362" max="4613" width="11.42578125" style="665"/>
    <col min="4614" max="4614" width="9.42578125" style="665" customWidth="1"/>
    <col min="4615" max="4615" width="19.42578125" style="665" customWidth="1"/>
    <col min="4616" max="4616" width="22.140625" style="665" customWidth="1"/>
    <col min="4617" max="4617" width="0" style="665" hidden="1" customWidth="1"/>
    <col min="4618" max="4869" width="11.42578125" style="665"/>
    <col min="4870" max="4870" width="9.42578125" style="665" customWidth="1"/>
    <col min="4871" max="4871" width="19.42578125" style="665" customWidth="1"/>
    <col min="4872" max="4872" width="22.140625" style="665" customWidth="1"/>
    <col min="4873" max="4873" width="0" style="665" hidden="1" customWidth="1"/>
    <col min="4874" max="5125" width="11.42578125" style="665"/>
    <col min="5126" max="5126" width="9.42578125" style="665" customWidth="1"/>
    <col min="5127" max="5127" width="19.42578125" style="665" customWidth="1"/>
    <col min="5128" max="5128" width="22.140625" style="665" customWidth="1"/>
    <col min="5129" max="5129" width="0" style="665" hidden="1" customWidth="1"/>
    <col min="5130" max="5381" width="11.42578125" style="665"/>
    <col min="5382" max="5382" width="9.42578125" style="665" customWidth="1"/>
    <col min="5383" max="5383" width="19.42578125" style="665" customWidth="1"/>
    <col min="5384" max="5384" width="22.140625" style="665" customWidth="1"/>
    <col min="5385" max="5385" width="0" style="665" hidden="1" customWidth="1"/>
    <col min="5386" max="5637" width="11.42578125" style="665"/>
    <col min="5638" max="5638" width="9.42578125" style="665" customWidth="1"/>
    <col min="5639" max="5639" width="19.42578125" style="665" customWidth="1"/>
    <col min="5640" max="5640" width="22.140625" style="665" customWidth="1"/>
    <col min="5641" max="5641" width="0" style="665" hidden="1" customWidth="1"/>
    <col min="5642" max="5893" width="11.42578125" style="665"/>
    <col min="5894" max="5894" width="9.42578125" style="665" customWidth="1"/>
    <col min="5895" max="5895" width="19.42578125" style="665" customWidth="1"/>
    <col min="5896" max="5896" width="22.140625" style="665" customWidth="1"/>
    <col min="5897" max="5897" width="0" style="665" hidden="1" customWidth="1"/>
    <col min="5898" max="6149" width="11.42578125" style="665"/>
    <col min="6150" max="6150" width="9.42578125" style="665" customWidth="1"/>
    <col min="6151" max="6151" width="19.42578125" style="665" customWidth="1"/>
    <col min="6152" max="6152" width="22.140625" style="665" customWidth="1"/>
    <col min="6153" max="6153" width="0" style="665" hidden="1" customWidth="1"/>
    <col min="6154" max="6405" width="11.42578125" style="665"/>
    <col min="6406" max="6406" width="9.42578125" style="665" customWidth="1"/>
    <col min="6407" max="6407" width="19.42578125" style="665" customWidth="1"/>
    <col min="6408" max="6408" width="22.140625" style="665" customWidth="1"/>
    <col min="6409" max="6409" width="0" style="665" hidden="1" customWidth="1"/>
    <col min="6410" max="6661" width="11.42578125" style="665"/>
    <col min="6662" max="6662" width="9.42578125" style="665" customWidth="1"/>
    <col min="6663" max="6663" width="19.42578125" style="665" customWidth="1"/>
    <col min="6664" max="6664" width="22.140625" style="665" customWidth="1"/>
    <col min="6665" max="6665" width="0" style="665" hidden="1" customWidth="1"/>
    <col min="6666" max="6917" width="11.42578125" style="665"/>
    <col min="6918" max="6918" width="9.42578125" style="665" customWidth="1"/>
    <col min="6919" max="6919" width="19.42578125" style="665" customWidth="1"/>
    <col min="6920" max="6920" width="22.140625" style="665" customWidth="1"/>
    <col min="6921" max="6921" width="0" style="665" hidden="1" customWidth="1"/>
    <col min="6922" max="7173" width="11.42578125" style="665"/>
    <col min="7174" max="7174" width="9.42578125" style="665" customWidth="1"/>
    <col min="7175" max="7175" width="19.42578125" style="665" customWidth="1"/>
    <col min="7176" max="7176" width="22.140625" style="665" customWidth="1"/>
    <col min="7177" max="7177" width="0" style="665" hidden="1" customWidth="1"/>
    <col min="7178" max="7429" width="11.42578125" style="665"/>
    <col min="7430" max="7430" width="9.42578125" style="665" customWidth="1"/>
    <col min="7431" max="7431" width="19.42578125" style="665" customWidth="1"/>
    <col min="7432" max="7432" width="22.140625" style="665" customWidth="1"/>
    <col min="7433" max="7433" width="0" style="665" hidden="1" customWidth="1"/>
    <col min="7434" max="7685" width="11.42578125" style="665"/>
    <col min="7686" max="7686" width="9.42578125" style="665" customWidth="1"/>
    <col min="7687" max="7687" width="19.42578125" style="665" customWidth="1"/>
    <col min="7688" max="7688" width="22.140625" style="665" customWidth="1"/>
    <col min="7689" max="7689" width="0" style="665" hidden="1" customWidth="1"/>
    <col min="7690" max="7941" width="11.42578125" style="665"/>
    <col min="7942" max="7942" width="9.42578125" style="665" customWidth="1"/>
    <col min="7943" max="7943" width="19.42578125" style="665" customWidth="1"/>
    <col min="7944" max="7944" width="22.140625" style="665" customWidth="1"/>
    <col min="7945" max="7945" width="0" style="665" hidden="1" customWidth="1"/>
    <col min="7946" max="8197" width="11.42578125" style="665"/>
    <col min="8198" max="8198" width="9.42578125" style="665" customWidth="1"/>
    <col min="8199" max="8199" width="19.42578125" style="665" customWidth="1"/>
    <col min="8200" max="8200" width="22.140625" style="665" customWidth="1"/>
    <col min="8201" max="8201" width="0" style="665" hidden="1" customWidth="1"/>
    <col min="8202" max="8453" width="11.42578125" style="665"/>
    <col min="8454" max="8454" width="9.42578125" style="665" customWidth="1"/>
    <col min="8455" max="8455" width="19.42578125" style="665" customWidth="1"/>
    <col min="8456" max="8456" width="22.140625" style="665" customWidth="1"/>
    <col min="8457" max="8457" width="0" style="665" hidden="1" customWidth="1"/>
    <col min="8458" max="8709" width="11.42578125" style="665"/>
    <col min="8710" max="8710" width="9.42578125" style="665" customWidth="1"/>
    <col min="8711" max="8711" width="19.42578125" style="665" customWidth="1"/>
    <col min="8712" max="8712" width="22.140625" style="665" customWidth="1"/>
    <col min="8713" max="8713" width="0" style="665" hidden="1" customWidth="1"/>
    <col min="8714" max="8965" width="11.42578125" style="665"/>
    <col min="8966" max="8966" width="9.42578125" style="665" customWidth="1"/>
    <col min="8967" max="8967" width="19.42578125" style="665" customWidth="1"/>
    <col min="8968" max="8968" width="22.140625" style="665" customWidth="1"/>
    <col min="8969" max="8969" width="0" style="665" hidden="1" customWidth="1"/>
    <col min="8970" max="9221" width="11.42578125" style="665"/>
    <col min="9222" max="9222" width="9.42578125" style="665" customWidth="1"/>
    <col min="9223" max="9223" width="19.42578125" style="665" customWidth="1"/>
    <col min="9224" max="9224" width="22.140625" style="665" customWidth="1"/>
    <col min="9225" max="9225" width="0" style="665" hidden="1" customWidth="1"/>
    <col min="9226" max="9477" width="11.42578125" style="665"/>
    <col min="9478" max="9478" width="9.42578125" style="665" customWidth="1"/>
    <col min="9479" max="9479" width="19.42578125" style="665" customWidth="1"/>
    <col min="9480" max="9480" width="22.140625" style="665" customWidth="1"/>
    <col min="9481" max="9481" width="0" style="665" hidden="1" customWidth="1"/>
    <col min="9482" max="9733" width="11.42578125" style="665"/>
    <col min="9734" max="9734" width="9.42578125" style="665" customWidth="1"/>
    <col min="9735" max="9735" width="19.42578125" style="665" customWidth="1"/>
    <col min="9736" max="9736" width="22.140625" style="665" customWidth="1"/>
    <col min="9737" max="9737" width="0" style="665" hidden="1" customWidth="1"/>
    <col min="9738" max="9989" width="11.42578125" style="665"/>
    <col min="9990" max="9990" width="9.42578125" style="665" customWidth="1"/>
    <col min="9991" max="9991" width="19.42578125" style="665" customWidth="1"/>
    <col min="9992" max="9992" width="22.140625" style="665" customWidth="1"/>
    <col min="9993" max="9993" width="0" style="665" hidden="1" customWidth="1"/>
    <col min="9994" max="10245" width="11.42578125" style="665"/>
    <col min="10246" max="10246" width="9.42578125" style="665" customWidth="1"/>
    <col min="10247" max="10247" width="19.42578125" style="665" customWidth="1"/>
    <col min="10248" max="10248" width="22.140625" style="665" customWidth="1"/>
    <col min="10249" max="10249" width="0" style="665" hidden="1" customWidth="1"/>
    <col min="10250" max="10501" width="11.42578125" style="665"/>
    <col min="10502" max="10502" width="9.42578125" style="665" customWidth="1"/>
    <col min="10503" max="10503" width="19.42578125" style="665" customWidth="1"/>
    <col min="10504" max="10504" width="22.140625" style="665" customWidth="1"/>
    <col min="10505" max="10505" width="0" style="665" hidden="1" customWidth="1"/>
    <col min="10506" max="10757" width="11.42578125" style="665"/>
    <col min="10758" max="10758" width="9.42578125" style="665" customWidth="1"/>
    <col min="10759" max="10759" width="19.42578125" style="665" customWidth="1"/>
    <col min="10760" max="10760" width="22.140625" style="665" customWidth="1"/>
    <col min="10761" max="10761" width="0" style="665" hidden="1" customWidth="1"/>
    <col min="10762" max="11013" width="11.42578125" style="665"/>
    <col min="11014" max="11014" width="9.42578125" style="665" customWidth="1"/>
    <col min="11015" max="11015" width="19.42578125" style="665" customWidth="1"/>
    <col min="11016" max="11016" width="22.140625" style="665" customWidth="1"/>
    <col min="11017" max="11017" width="0" style="665" hidden="1" customWidth="1"/>
    <col min="11018" max="11269" width="11.42578125" style="665"/>
    <col min="11270" max="11270" width="9.42578125" style="665" customWidth="1"/>
    <col min="11271" max="11271" width="19.42578125" style="665" customWidth="1"/>
    <col min="11272" max="11272" width="22.140625" style="665" customWidth="1"/>
    <col min="11273" max="11273" width="0" style="665" hidden="1" customWidth="1"/>
    <col min="11274" max="11525" width="11.42578125" style="665"/>
    <col min="11526" max="11526" width="9.42578125" style="665" customWidth="1"/>
    <col min="11527" max="11527" width="19.42578125" style="665" customWidth="1"/>
    <col min="11528" max="11528" width="22.140625" style="665" customWidth="1"/>
    <col min="11529" max="11529" width="0" style="665" hidden="1" customWidth="1"/>
    <col min="11530" max="11781" width="11.42578125" style="665"/>
    <col min="11782" max="11782" width="9.42578125" style="665" customWidth="1"/>
    <col min="11783" max="11783" width="19.42578125" style="665" customWidth="1"/>
    <col min="11784" max="11784" width="22.140625" style="665" customWidth="1"/>
    <col min="11785" max="11785" width="0" style="665" hidden="1" customWidth="1"/>
    <col min="11786" max="12037" width="11.42578125" style="665"/>
    <col min="12038" max="12038" width="9.42578125" style="665" customWidth="1"/>
    <col min="12039" max="12039" width="19.42578125" style="665" customWidth="1"/>
    <col min="12040" max="12040" width="22.140625" style="665" customWidth="1"/>
    <col min="12041" max="12041" width="0" style="665" hidden="1" customWidth="1"/>
    <col min="12042" max="12293" width="11.42578125" style="665"/>
    <col min="12294" max="12294" width="9.42578125" style="665" customWidth="1"/>
    <col min="12295" max="12295" width="19.42578125" style="665" customWidth="1"/>
    <col min="12296" max="12296" width="22.140625" style="665" customWidth="1"/>
    <col min="12297" max="12297" width="0" style="665" hidden="1" customWidth="1"/>
    <col min="12298" max="12549" width="11.42578125" style="665"/>
    <col min="12550" max="12550" width="9.42578125" style="665" customWidth="1"/>
    <col min="12551" max="12551" width="19.42578125" style="665" customWidth="1"/>
    <col min="12552" max="12552" width="22.140625" style="665" customWidth="1"/>
    <col min="12553" max="12553" width="0" style="665" hidden="1" customWidth="1"/>
    <col min="12554" max="12805" width="11.42578125" style="665"/>
    <col min="12806" max="12806" width="9.42578125" style="665" customWidth="1"/>
    <col min="12807" max="12807" width="19.42578125" style="665" customWidth="1"/>
    <col min="12808" max="12808" width="22.140625" style="665" customWidth="1"/>
    <col min="12809" max="12809" width="0" style="665" hidden="1" customWidth="1"/>
    <col min="12810" max="13061" width="11.42578125" style="665"/>
    <col min="13062" max="13062" width="9.42578125" style="665" customWidth="1"/>
    <col min="13063" max="13063" width="19.42578125" style="665" customWidth="1"/>
    <col min="13064" max="13064" width="22.140625" style="665" customWidth="1"/>
    <col min="13065" max="13065" width="0" style="665" hidden="1" customWidth="1"/>
    <col min="13066" max="13317" width="11.42578125" style="665"/>
    <col min="13318" max="13318" width="9.42578125" style="665" customWidth="1"/>
    <col min="13319" max="13319" width="19.42578125" style="665" customWidth="1"/>
    <col min="13320" max="13320" width="22.140625" style="665" customWidth="1"/>
    <col min="13321" max="13321" width="0" style="665" hidden="1" customWidth="1"/>
    <col min="13322" max="13573" width="11.42578125" style="665"/>
    <col min="13574" max="13574" width="9.42578125" style="665" customWidth="1"/>
    <col min="13575" max="13575" width="19.42578125" style="665" customWidth="1"/>
    <col min="13576" max="13576" width="22.140625" style="665" customWidth="1"/>
    <col min="13577" max="13577" width="0" style="665" hidden="1" customWidth="1"/>
    <col min="13578" max="13829" width="11.42578125" style="665"/>
    <col min="13830" max="13830" width="9.42578125" style="665" customWidth="1"/>
    <col min="13831" max="13831" width="19.42578125" style="665" customWidth="1"/>
    <col min="13832" max="13832" width="22.140625" style="665" customWidth="1"/>
    <col min="13833" max="13833" width="0" style="665" hidden="1" customWidth="1"/>
    <col min="13834" max="14085" width="11.42578125" style="665"/>
    <col min="14086" max="14086" width="9.42578125" style="665" customWidth="1"/>
    <col min="14087" max="14087" width="19.42578125" style="665" customWidth="1"/>
    <col min="14088" max="14088" width="22.140625" style="665" customWidth="1"/>
    <col min="14089" max="14089" width="0" style="665" hidden="1" customWidth="1"/>
    <col min="14090" max="14341" width="11.42578125" style="665"/>
    <col min="14342" max="14342" width="9.42578125" style="665" customWidth="1"/>
    <col min="14343" max="14343" width="19.42578125" style="665" customWidth="1"/>
    <col min="14344" max="14344" width="22.140625" style="665" customWidth="1"/>
    <col min="14345" max="14345" width="0" style="665" hidden="1" customWidth="1"/>
    <col min="14346" max="14597" width="11.42578125" style="665"/>
    <col min="14598" max="14598" width="9.42578125" style="665" customWidth="1"/>
    <col min="14599" max="14599" width="19.42578125" style="665" customWidth="1"/>
    <col min="14600" max="14600" width="22.140625" style="665" customWidth="1"/>
    <col min="14601" max="14601" width="0" style="665" hidden="1" customWidth="1"/>
    <col min="14602" max="14853" width="11.42578125" style="665"/>
    <col min="14854" max="14854" width="9.42578125" style="665" customWidth="1"/>
    <col min="14855" max="14855" width="19.42578125" style="665" customWidth="1"/>
    <col min="14856" max="14856" width="22.140625" style="665" customWidth="1"/>
    <col min="14857" max="14857" width="0" style="665" hidden="1" customWidth="1"/>
    <col min="14858" max="15109" width="11.42578125" style="665"/>
    <col min="15110" max="15110" width="9.42578125" style="665" customWidth="1"/>
    <col min="15111" max="15111" width="19.42578125" style="665" customWidth="1"/>
    <col min="15112" max="15112" width="22.140625" style="665" customWidth="1"/>
    <col min="15113" max="15113" width="0" style="665" hidden="1" customWidth="1"/>
    <col min="15114" max="15365" width="11.42578125" style="665"/>
    <col min="15366" max="15366" width="9.42578125" style="665" customWidth="1"/>
    <col min="15367" max="15367" width="19.42578125" style="665" customWidth="1"/>
    <col min="15368" max="15368" width="22.140625" style="665" customWidth="1"/>
    <col min="15369" max="15369" width="0" style="665" hidden="1" customWidth="1"/>
    <col min="15370" max="15621" width="11.42578125" style="665"/>
    <col min="15622" max="15622" width="9.42578125" style="665" customWidth="1"/>
    <col min="15623" max="15623" width="19.42578125" style="665" customWidth="1"/>
    <col min="15624" max="15624" width="22.140625" style="665" customWidth="1"/>
    <col min="15625" max="15625" width="0" style="665" hidden="1" customWidth="1"/>
    <col min="15626" max="15877" width="11.42578125" style="665"/>
    <col min="15878" max="15878" width="9.42578125" style="665" customWidth="1"/>
    <col min="15879" max="15879" width="19.42578125" style="665" customWidth="1"/>
    <col min="15880" max="15880" width="22.140625" style="665" customWidth="1"/>
    <col min="15881" max="15881" width="0" style="665" hidden="1" customWidth="1"/>
    <col min="15882" max="16133" width="11.42578125" style="665"/>
    <col min="16134" max="16134" width="9.42578125" style="665" customWidth="1"/>
    <col min="16135" max="16135" width="19.42578125" style="665" customWidth="1"/>
    <col min="16136" max="16136" width="22.140625" style="665" customWidth="1"/>
    <col min="16137" max="16137" width="0" style="665" hidden="1" customWidth="1"/>
    <col min="16138" max="16384" width="11.42578125" style="665"/>
  </cols>
  <sheetData>
    <row r="1" spans="1:10" ht="12.75" customHeight="1">
      <c r="B1" s="1249" t="s">
        <v>874</v>
      </c>
      <c r="C1" s="1249"/>
      <c r="D1" s="1249"/>
      <c r="E1" s="1249"/>
      <c r="F1" s="1249"/>
      <c r="G1" s="1249"/>
      <c r="H1" s="1251" t="s">
        <v>875</v>
      </c>
    </row>
    <row r="2" spans="1:10" ht="26.25" customHeight="1" thickBot="1">
      <c r="A2" s="685"/>
      <c r="B2" s="1250"/>
      <c r="C2" s="1250"/>
      <c r="D2" s="1250"/>
      <c r="E2" s="1250"/>
      <c r="F2" s="1250"/>
      <c r="G2" s="1250"/>
      <c r="H2" s="1252"/>
    </row>
    <row r="3" spans="1:10" ht="12.75" customHeight="1">
      <c r="A3" s="690"/>
      <c r="B3" s="691"/>
      <c r="C3" s="691"/>
      <c r="D3" s="691"/>
      <c r="E3" s="691"/>
      <c r="F3" s="691"/>
      <c r="G3" s="691"/>
      <c r="H3" s="1253" t="s">
        <v>876</v>
      </c>
    </row>
    <row r="4" spans="1:10">
      <c r="A4" s="1256" t="s">
        <v>877</v>
      </c>
      <c r="B4" s="1257"/>
      <c r="C4" s="1257"/>
      <c r="D4" s="1257"/>
      <c r="E4" s="1257"/>
      <c r="F4" s="1257"/>
      <c r="G4" s="1257"/>
      <c r="H4" s="1254"/>
    </row>
    <row r="5" spans="1:10">
      <c r="A5" s="1258"/>
      <c r="B5" s="1259"/>
      <c r="C5" s="1259"/>
      <c r="D5" s="1259"/>
      <c r="E5" s="1259"/>
      <c r="F5" s="1259"/>
      <c r="G5" s="1259"/>
      <c r="H5" s="1254"/>
    </row>
    <row r="6" spans="1:10" ht="13.5" thickBot="1">
      <c r="A6" s="1260" t="s">
        <v>878</v>
      </c>
      <c r="B6" s="1261"/>
      <c r="C6" s="1261"/>
      <c r="D6" s="1261"/>
      <c r="E6" s="1261"/>
      <c r="F6" s="1261"/>
      <c r="G6" s="1261"/>
      <c r="H6" s="1255"/>
    </row>
    <row r="7" spans="1:10">
      <c r="A7" s="1260" t="s">
        <v>879</v>
      </c>
      <c r="B7" s="1261"/>
      <c r="C7" s="1261"/>
      <c r="D7" s="1261"/>
      <c r="E7" s="1261"/>
      <c r="F7" s="1261"/>
      <c r="G7" s="1261"/>
      <c r="H7" s="692"/>
    </row>
    <row r="8" spans="1:10">
      <c r="A8" s="1260" t="s">
        <v>880</v>
      </c>
      <c r="B8" s="1261"/>
      <c r="C8" s="1261"/>
      <c r="D8" s="1261"/>
      <c r="E8" s="1261"/>
      <c r="F8" s="1261"/>
      <c r="G8" s="1261"/>
      <c r="H8" s="693" t="s">
        <v>881</v>
      </c>
    </row>
    <row r="9" spans="1:10">
      <c r="A9" s="1260" t="s">
        <v>882</v>
      </c>
      <c r="B9" s="1261"/>
      <c r="C9" s="1261"/>
      <c r="D9" s="1261"/>
      <c r="E9" s="1261"/>
      <c r="F9" s="1261"/>
      <c r="G9" s="1261"/>
      <c r="H9" s="694" t="s">
        <v>883</v>
      </c>
    </row>
    <row r="10" spans="1:10">
      <c r="A10" s="1260" t="s">
        <v>884</v>
      </c>
      <c r="B10" s="1261"/>
      <c r="C10" s="1261"/>
      <c r="D10" s="1261"/>
      <c r="E10" s="1261"/>
      <c r="F10" s="1261"/>
      <c r="G10" s="1261"/>
      <c r="H10" s="694" t="s">
        <v>885</v>
      </c>
    </row>
    <row r="11" spans="1:10" ht="13.5" thickBot="1">
      <c r="A11" s="685" t="s">
        <v>886</v>
      </c>
      <c r="B11" s="686"/>
      <c r="C11" s="686"/>
      <c r="D11" s="686"/>
      <c r="E11" s="686"/>
      <c r="F11" s="686"/>
      <c r="G11" s="665" t="s">
        <v>887</v>
      </c>
      <c r="H11" s="694" t="s">
        <v>888</v>
      </c>
    </row>
    <row r="12" spans="1:10">
      <c r="A12" s="1262" t="s">
        <v>889</v>
      </c>
      <c r="B12" s="1263"/>
      <c r="C12" s="1263"/>
      <c r="D12" s="1263"/>
      <c r="E12" s="1263"/>
      <c r="F12" s="1263"/>
      <c r="G12" s="1263"/>
      <c r="H12" s="694"/>
    </row>
    <row r="13" spans="1:10" ht="12.75" customHeight="1">
      <c r="A13" s="1264"/>
      <c r="B13" s="1265"/>
      <c r="C13" s="1265"/>
      <c r="D13" s="1265"/>
      <c r="E13" s="1265"/>
      <c r="F13" s="1265"/>
      <c r="G13" s="1265"/>
      <c r="H13" s="695"/>
    </row>
    <row r="14" spans="1:10" ht="13.5" customHeight="1" thickBot="1">
      <c r="A14" s="1266"/>
      <c r="B14" s="1267"/>
      <c r="C14" s="1267"/>
      <c r="D14" s="1267"/>
      <c r="E14" s="1267"/>
      <c r="F14" s="1267"/>
      <c r="G14" s="1267"/>
      <c r="H14" s="695"/>
      <c r="I14" s="696"/>
      <c r="J14" s="696"/>
    </row>
    <row r="15" spans="1:10" ht="13.5" customHeight="1">
      <c r="A15" s="697"/>
      <c r="B15" s="698"/>
      <c r="C15" s="698"/>
      <c r="D15" s="698"/>
      <c r="E15" s="698"/>
      <c r="F15" s="698"/>
      <c r="G15" s="698"/>
      <c r="H15" s="693" t="s">
        <v>890</v>
      </c>
      <c r="I15" s="696"/>
      <c r="J15" s="696"/>
    </row>
    <row r="16" spans="1:10">
      <c r="A16" s="1244" t="s">
        <v>891</v>
      </c>
      <c r="B16" s="1245"/>
      <c r="C16" s="1245"/>
      <c r="D16" s="1245"/>
      <c r="E16" s="1245"/>
      <c r="F16" s="1245"/>
      <c r="G16" s="1245"/>
      <c r="H16" s="694" t="s">
        <v>892</v>
      </c>
    </row>
    <row r="17" spans="1:10">
      <c r="A17" s="1246"/>
      <c r="B17" s="1245"/>
      <c r="C17" s="1245"/>
      <c r="D17" s="1245"/>
      <c r="E17" s="1245"/>
      <c r="F17" s="1245"/>
      <c r="G17" s="1245"/>
      <c r="H17" s="694" t="s">
        <v>893</v>
      </c>
    </row>
    <row r="18" spans="1:10" s="699" customFormat="1">
      <c r="A18" s="1246"/>
      <c r="B18" s="1245"/>
      <c r="C18" s="1245"/>
      <c r="D18" s="1245"/>
      <c r="E18" s="1245"/>
      <c r="F18" s="1245"/>
      <c r="G18" s="1245"/>
      <c r="H18" s="694" t="s">
        <v>894</v>
      </c>
    </row>
    <row r="19" spans="1:10">
      <c r="A19" s="1246"/>
      <c r="B19" s="1245"/>
      <c r="C19" s="1245"/>
      <c r="D19" s="1245"/>
      <c r="E19" s="1245"/>
      <c r="F19" s="1245"/>
      <c r="G19" s="1245"/>
      <c r="H19" s="694" t="s">
        <v>895</v>
      </c>
    </row>
    <row r="20" spans="1:10">
      <c r="A20" s="1246"/>
      <c r="B20" s="1245"/>
      <c r="C20" s="1245"/>
      <c r="D20" s="1245"/>
      <c r="E20" s="1245"/>
      <c r="F20" s="1245"/>
      <c r="G20" s="1245"/>
      <c r="H20" s="694" t="s">
        <v>896</v>
      </c>
    </row>
    <row r="21" spans="1:10">
      <c r="A21" s="1246"/>
      <c r="B21" s="1245"/>
      <c r="C21" s="1245"/>
      <c r="D21" s="1245"/>
      <c r="E21" s="1245"/>
      <c r="F21" s="1245"/>
      <c r="G21" s="1245"/>
      <c r="H21" s="700" t="s">
        <v>897</v>
      </c>
    </row>
    <row r="22" spans="1:10">
      <c r="A22" s="1246"/>
      <c r="B22" s="1245"/>
      <c r="C22" s="1245"/>
      <c r="D22" s="1245"/>
      <c r="E22" s="1245"/>
      <c r="F22" s="1245"/>
      <c r="G22" s="1245"/>
      <c r="H22" s="701" t="s">
        <v>898</v>
      </c>
    </row>
    <row r="23" spans="1:10">
      <c r="A23" s="1246"/>
      <c r="B23" s="1245"/>
      <c r="C23" s="1245"/>
      <c r="D23" s="1245"/>
      <c r="E23" s="1245"/>
      <c r="F23" s="1245"/>
      <c r="G23" s="1245"/>
      <c r="H23" s="695"/>
    </row>
    <row r="24" spans="1:10">
      <c r="A24" s="1246"/>
      <c r="B24" s="1245"/>
      <c r="C24" s="1245"/>
      <c r="D24" s="1245"/>
      <c r="E24" s="1245"/>
      <c r="F24" s="1245"/>
      <c r="G24" s="1245"/>
      <c r="H24" s="695"/>
    </row>
    <row r="25" spans="1:10">
      <c r="A25" s="1246"/>
      <c r="B25" s="1245"/>
      <c r="C25" s="1245"/>
      <c r="D25" s="1245"/>
      <c r="E25" s="1245"/>
      <c r="F25" s="1245"/>
      <c r="G25" s="1245"/>
      <c r="H25" s="695"/>
    </row>
    <row r="26" spans="1:10">
      <c r="A26" s="1246"/>
      <c r="B26" s="1245"/>
      <c r="C26" s="1245"/>
      <c r="D26" s="1245"/>
      <c r="E26" s="1245"/>
      <c r="F26" s="1245"/>
      <c r="G26" s="1245"/>
      <c r="H26" s="693" t="s">
        <v>899</v>
      </c>
    </row>
    <row r="27" spans="1:10">
      <c r="A27" s="1246"/>
      <c r="B27" s="1245"/>
      <c r="C27" s="1245"/>
      <c r="D27" s="1245"/>
      <c r="E27" s="1245"/>
      <c r="F27" s="1245"/>
      <c r="G27" s="1245"/>
      <c r="H27" s="694" t="s">
        <v>900</v>
      </c>
    </row>
    <row r="28" spans="1:10">
      <c r="A28" s="1246"/>
      <c r="B28" s="1245"/>
      <c r="C28" s="1245"/>
      <c r="D28" s="1245"/>
      <c r="E28" s="1245"/>
      <c r="F28" s="1245"/>
      <c r="G28" s="1245"/>
      <c r="H28" s="694" t="s">
        <v>901</v>
      </c>
    </row>
    <row r="29" spans="1:10">
      <c r="A29" s="1246"/>
      <c r="B29" s="1245"/>
      <c r="C29" s="1245"/>
      <c r="D29" s="1245"/>
      <c r="E29" s="1245"/>
      <c r="F29" s="1245"/>
      <c r="G29" s="1245"/>
      <c r="H29" s="694" t="s">
        <v>902</v>
      </c>
    </row>
    <row r="30" spans="1:10">
      <c r="A30" s="1246"/>
      <c r="B30" s="1245"/>
      <c r="C30" s="1245"/>
      <c r="D30" s="1245"/>
      <c r="E30" s="1245"/>
      <c r="F30" s="1245"/>
      <c r="G30" s="1245"/>
      <c r="H30" s="694" t="s">
        <v>903</v>
      </c>
      <c r="J30" s="699"/>
    </row>
    <row r="31" spans="1:10">
      <c r="A31" s="1246"/>
      <c r="B31" s="1245"/>
      <c r="C31" s="1245"/>
      <c r="D31" s="1245"/>
      <c r="E31" s="1245"/>
      <c r="F31" s="1245"/>
      <c r="G31" s="1245"/>
      <c r="H31" s="694" t="s">
        <v>904</v>
      </c>
    </row>
    <row r="32" spans="1:10">
      <c r="A32" s="1247"/>
      <c r="B32" s="1248"/>
      <c r="C32" s="1248"/>
      <c r="D32" s="1248"/>
      <c r="E32" s="1248"/>
      <c r="F32" s="1248"/>
      <c r="G32" s="1248"/>
      <c r="H32" s="694" t="s">
        <v>905</v>
      </c>
    </row>
    <row r="33" spans="1:11">
      <c r="A33" s="702"/>
      <c r="B33" s="703"/>
      <c r="C33" s="703"/>
      <c r="D33" s="703"/>
      <c r="E33" s="703"/>
      <c r="F33" s="703"/>
      <c r="G33" s="703"/>
      <c r="H33" s="694" t="s">
        <v>906</v>
      </c>
    </row>
    <row r="34" spans="1:11" ht="12.75" customHeight="1">
      <c r="A34" s="1274" t="s">
        <v>1173</v>
      </c>
      <c r="B34" s="1275"/>
      <c r="C34" s="1275"/>
      <c r="D34" s="1275"/>
      <c r="E34" s="1275"/>
      <c r="F34" s="1275"/>
      <c r="G34" s="1276"/>
      <c r="H34" s="694" t="s">
        <v>907</v>
      </c>
    </row>
    <row r="35" spans="1:11">
      <c r="A35" s="1274" t="s">
        <v>1174</v>
      </c>
      <c r="B35" s="1275"/>
      <c r="C35" s="1275"/>
      <c r="D35" s="1275"/>
      <c r="E35" s="1275"/>
      <c r="F35" s="1275"/>
      <c r="G35" s="1276"/>
      <c r="H35" s="695"/>
    </row>
    <row r="36" spans="1:11">
      <c r="A36" s="1274" t="s">
        <v>1175</v>
      </c>
      <c r="B36" s="1275"/>
      <c r="C36" s="1275"/>
      <c r="D36" s="1275"/>
      <c r="E36" s="1275"/>
      <c r="F36" s="1275"/>
      <c r="G36" s="1276"/>
      <c r="H36" s="695"/>
    </row>
    <row r="37" spans="1:11" ht="13.5" thickBot="1">
      <c r="A37" s="1274"/>
      <c r="B37" s="1275"/>
      <c r="C37" s="1275"/>
      <c r="D37" s="1275"/>
      <c r="E37" s="1275"/>
      <c r="F37" s="1275"/>
      <c r="G37" s="1276"/>
      <c r="H37" s="704"/>
    </row>
    <row r="38" spans="1:11">
      <c r="A38" s="705"/>
      <c r="B38" s="706"/>
      <c r="C38" s="706"/>
      <c r="D38" s="706"/>
      <c r="E38" s="706"/>
      <c r="F38" s="706"/>
      <c r="G38" s="706"/>
      <c r="H38" s="1253" t="s">
        <v>908</v>
      </c>
    </row>
    <row r="39" spans="1:11">
      <c r="A39" s="1268" t="s">
        <v>909</v>
      </c>
      <c r="B39" s="1269"/>
      <c r="C39" s="1269"/>
      <c r="D39" s="1269"/>
      <c r="E39" s="1269"/>
      <c r="F39" s="1269"/>
      <c r="G39" s="1269"/>
      <c r="H39" s="1254"/>
    </row>
    <row r="40" spans="1:11">
      <c r="A40" s="1268"/>
      <c r="B40" s="1269"/>
      <c r="C40" s="1269"/>
      <c r="D40" s="1269"/>
      <c r="E40" s="1269"/>
      <c r="F40" s="1269"/>
      <c r="G40" s="1269"/>
      <c r="H40" s="1254"/>
    </row>
    <row r="41" spans="1:11" ht="13.5" thickBot="1">
      <c r="A41" s="1268"/>
      <c r="B41" s="1269"/>
      <c r="C41" s="1269"/>
      <c r="D41" s="1269"/>
      <c r="E41" s="1269"/>
      <c r="F41" s="1269"/>
      <c r="G41" s="1269"/>
      <c r="H41" s="1255"/>
    </row>
    <row r="42" spans="1:11">
      <c r="A42" s="1268"/>
      <c r="B42" s="1269"/>
      <c r="C42" s="1269"/>
      <c r="D42" s="1269"/>
      <c r="E42" s="1269"/>
      <c r="F42" s="1269"/>
      <c r="G42" s="1269"/>
      <c r="H42" s="707" t="s">
        <v>415</v>
      </c>
    </row>
    <row r="43" spans="1:11">
      <c r="A43" s="1268"/>
      <c r="B43" s="1269"/>
      <c r="C43" s="1269"/>
      <c r="D43" s="1269"/>
      <c r="E43" s="1269"/>
      <c r="F43" s="1269"/>
      <c r="G43" s="1269"/>
      <c r="H43" s="695"/>
      <c r="K43" s="708" t="s">
        <v>910</v>
      </c>
    </row>
    <row r="44" spans="1:11">
      <c r="A44" s="1268"/>
      <c r="B44" s="1269"/>
      <c r="C44" s="1269"/>
      <c r="D44" s="1269"/>
      <c r="E44" s="1269"/>
      <c r="F44" s="1269"/>
      <c r="G44" s="1269"/>
      <c r="H44" s="695"/>
      <c r="K44" s="708"/>
    </row>
    <row r="45" spans="1:11">
      <c r="A45" s="1268"/>
      <c r="B45" s="1269"/>
      <c r="C45" s="1269"/>
      <c r="D45" s="1269"/>
      <c r="E45" s="1269"/>
      <c r="F45" s="1269"/>
      <c r="G45" s="1269"/>
      <c r="H45" s="709" t="s">
        <v>911</v>
      </c>
      <c r="K45" s="708"/>
    </row>
    <row r="46" spans="1:11">
      <c r="A46" s="1268"/>
      <c r="B46" s="1269"/>
      <c r="C46" s="1269"/>
      <c r="D46" s="1269"/>
      <c r="E46" s="1269"/>
      <c r="F46" s="1269"/>
      <c r="G46" s="1269"/>
      <c r="H46" s="709" t="s">
        <v>912</v>
      </c>
      <c r="K46" s="708"/>
    </row>
    <row r="47" spans="1:11">
      <c r="A47" s="1268"/>
      <c r="B47" s="1269"/>
      <c r="C47" s="1269"/>
      <c r="D47" s="1269"/>
      <c r="E47" s="1269"/>
      <c r="F47" s="1269"/>
      <c r="G47" s="1269"/>
      <c r="H47" s="709" t="s">
        <v>913</v>
      </c>
      <c r="K47" s="710" t="s">
        <v>415</v>
      </c>
    </row>
    <row r="48" spans="1:11">
      <c r="A48" s="1268"/>
      <c r="B48" s="1269"/>
      <c r="C48" s="1269"/>
      <c r="D48" s="1269"/>
      <c r="E48" s="1269"/>
      <c r="F48" s="1269"/>
      <c r="G48" s="1269"/>
      <c r="H48" s="709" t="s">
        <v>914</v>
      </c>
      <c r="K48" s="710"/>
    </row>
    <row r="49" spans="1:11" ht="21">
      <c r="A49" s="1268"/>
      <c r="B49" s="1269"/>
      <c r="C49" s="1269"/>
      <c r="D49" s="1269"/>
      <c r="E49" s="1269"/>
      <c r="F49" s="1269"/>
      <c r="G49" s="1269"/>
      <c r="H49" s="711" t="s">
        <v>915</v>
      </c>
      <c r="K49" s="708"/>
    </row>
    <row r="50" spans="1:11">
      <c r="A50" s="1268"/>
      <c r="B50" s="1269"/>
      <c r="C50" s="1269"/>
      <c r="D50" s="1269"/>
      <c r="E50" s="1269"/>
      <c r="F50" s="1269"/>
      <c r="G50" s="1269"/>
      <c r="H50" s="709" t="s">
        <v>916</v>
      </c>
      <c r="K50" s="708" t="s">
        <v>415</v>
      </c>
    </row>
    <row r="51" spans="1:11">
      <c r="A51" s="1268"/>
      <c r="B51" s="1269"/>
      <c r="C51" s="1269"/>
      <c r="D51" s="1269"/>
      <c r="E51" s="1269"/>
      <c r="F51" s="1269"/>
      <c r="G51" s="1269"/>
      <c r="H51" s="709" t="s">
        <v>917</v>
      </c>
      <c r="K51" s="708"/>
    </row>
    <row r="52" spans="1:11">
      <c r="A52" s="1268"/>
      <c r="B52" s="1269"/>
      <c r="C52" s="1269"/>
      <c r="D52" s="1269"/>
      <c r="E52" s="1269"/>
      <c r="F52" s="1269"/>
      <c r="G52" s="1269"/>
      <c r="H52" s="709" t="s">
        <v>918</v>
      </c>
      <c r="K52" s="708"/>
    </row>
    <row r="53" spans="1:11">
      <c r="A53" s="1268"/>
      <c r="B53" s="1269"/>
      <c r="C53" s="1269"/>
      <c r="D53" s="1269"/>
      <c r="E53" s="1269"/>
      <c r="F53" s="1269"/>
      <c r="G53" s="1269"/>
      <c r="H53" s="709" t="s">
        <v>919</v>
      </c>
    </row>
    <row r="54" spans="1:11">
      <c r="A54" s="1268"/>
      <c r="B54" s="1269"/>
      <c r="C54" s="1269"/>
      <c r="D54" s="1269"/>
      <c r="E54" s="1269"/>
      <c r="F54" s="1269"/>
      <c r="G54" s="1269"/>
      <c r="H54" s="712"/>
    </row>
    <row r="55" spans="1:11" ht="38.25" customHeight="1">
      <c r="A55" s="713"/>
      <c r="B55" s="714"/>
      <c r="C55" s="714"/>
      <c r="D55" s="714"/>
      <c r="E55" s="714"/>
      <c r="F55" s="714"/>
      <c r="G55" s="714"/>
      <c r="H55" s="712"/>
    </row>
    <row r="56" spans="1:11">
      <c r="A56" s="1256" t="s">
        <v>920</v>
      </c>
      <c r="B56" s="1261"/>
      <c r="C56" s="1261"/>
      <c r="D56" s="1261"/>
      <c r="E56" s="1261"/>
      <c r="F56" s="1261"/>
      <c r="G56" s="1261"/>
      <c r="H56" s="712"/>
    </row>
    <row r="57" spans="1:11">
      <c r="A57" s="715"/>
      <c r="B57" s="716"/>
      <c r="C57" s="716"/>
      <c r="D57" s="716"/>
      <c r="E57" s="716"/>
      <c r="F57" s="716"/>
      <c r="G57" s="717"/>
      <c r="H57" s="712"/>
    </row>
    <row r="58" spans="1:11" s="718" customFormat="1">
      <c r="A58" s="1270" t="s">
        <v>921</v>
      </c>
      <c r="B58" s="1271"/>
      <c r="C58" s="1271"/>
      <c r="D58" s="1271"/>
      <c r="E58" s="1271"/>
      <c r="F58" s="1271"/>
      <c r="G58" s="1271"/>
      <c r="H58" s="712"/>
    </row>
    <row r="59" spans="1:11" s="718" customFormat="1" ht="13.5" thickBot="1">
      <c r="A59" s="1272"/>
      <c r="B59" s="1273"/>
      <c r="C59" s="1273"/>
      <c r="D59" s="1273"/>
      <c r="E59" s="1273"/>
      <c r="F59" s="1273"/>
      <c r="G59" s="1273"/>
      <c r="H59" s="719"/>
    </row>
  </sheetData>
  <mergeCells count="20">
    <mergeCell ref="H38:H41"/>
    <mergeCell ref="A39:G54"/>
    <mergeCell ref="A56:G56"/>
    <mergeCell ref="A58:G59"/>
    <mergeCell ref="A34:G34"/>
    <mergeCell ref="A35:G35"/>
    <mergeCell ref="A36:G36"/>
    <mergeCell ref="A37:G37"/>
    <mergeCell ref="A16:G32"/>
    <mergeCell ref="B1:G2"/>
    <mergeCell ref="H1:H2"/>
    <mergeCell ref="H3:H6"/>
    <mergeCell ref="A4:G4"/>
    <mergeCell ref="A5:G5"/>
    <mergeCell ref="A6:G6"/>
    <mergeCell ref="A7:G7"/>
    <mergeCell ref="A8:G8"/>
    <mergeCell ref="A9:G9"/>
    <mergeCell ref="A10:G10"/>
    <mergeCell ref="A12:G14"/>
  </mergeCells>
  <printOptions horizontalCentered="1" verticalCentered="1"/>
  <pageMargins left="0" right="0" top="0.39370078740157483" bottom="0.39370078740157483" header="0" footer="0"/>
  <pageSetup paperSize="9" scale="95" orientation="portrait" blackAndWhite="1" r:id="rId1"/>
  <headerFooter alignWithMargins="0"/>
  <colBreaks count="1" manualBreakCount="1">
    <brk id="9"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48">
    <pageSetUpPr fitToPage="1"/>
  </sheetPr>
  <dimension ref="A1:T38"/>
  <sheetViews>
    <sheetView showGridLines="0" view="pageBreakPreview" zoomScale="85" zoomScaleNormal="70" zoomScaleSheetLayoutView="85" workbookViewId="0">
      <selection activeCell="A22" sqref="A22:I22"/>
    </sheetView>
  </sheetViews>
  <sheetFormatPr baseColWidth="10" defaultRowHeight="12.75"/>
  <cols>
    <col min="1" max="1" width="17.42578125" customWidth="1"/>
    <col min="2" max="2" width="19.140625" customWidth="1"/>
    <col min="3" max="3" width="1.5703125" hidden="1" customWidth="1"/>
    <col min="4" max="4" width="32.85546875" customWidth="1"/>
    <col min="5" max="5" width="15.140625" customWidth="1"/>
    <col min="6" max="7" width="14.85546875" customWidth="1"/>
    <col min="8" max="8" width="13" customWidth="1"/>
    <col min="9" max="9" width="12.5703125" customWidth="1"/>
    <col min="10" max="10" width="15.42578125" customWidth="1"/>
    <col min="12" max="14" width="10.7109375" customWidth="1"/>
    <col min="257" max="257" width="17.42578125" customWidth="1"/>
    <col min="258" max="258" width="19.140625" customWidth="1"/>
    <col min="259" max="259" width="0" hidden="1" customWidth="1"/>
    <col min="260" max="260" width="32.85546875" customWidth="1"/>
    <col min="261" max="261" width="15.140625" customWidth="1"/>
    <col min="262" max="263" width="14.85546875" customWidth="1"/>
    <col min="264" max="264" width="13" customWidth="1"/>
    <col min="265" max="265" width="12.5703125" customWidth="1"/>
    <col min="266" max="266" width="15.42578125" customWidth="1"/>
    <col min="268" max="270" width="10.7109375" customWidth="1"/>
    <col min="513" max="513" width="17.42578125" customWidth="1"/>
    <col min="514" max="514" width="19.140625" customWidth="1"/>
    <col min="515" max="515" width="0" hidden="1" customWidth="1"/>
    <col min="516" max="516" width="32.85546875" customWidth="1"/>
    <col min="517" max="517" width="15.140625" customWidth="1"/>
    <col min="518" max="519" width="14.85546875" customWidth="1"/>
    <col min="520" max="520" width="13" customWidth="1"/>
    <col min="521" max="521" width="12.5703125" customWidth="1"/>
    <col min="522" max="522" width="15.42578125" customWidth="1"/>
    <col min="524" max="526" width="10.7109375" customWidth="1"/>
    <col min="769" max="769" width="17.42578125" customWidth="1"/>
    <col min="770" max="770" width="19.140625" customWidth="1"/>
    <col min="771" max="771" width="0" hidden="1" customWidth="1"/>
    <col min="772" max="772" width="32.85546875" customWidth="1"/>
    <col min="773" max="773" width="15.140625" customWidth="1"/>
    <col min="774" max="775" width="14.85546875" customWidth="1"/>
    <col min="776" max="776" width="13" customWidth="1"/>
    <col min="777" max="777" width="12.5703125" customWidth="1"/>
    <col min="778" max="778" width="15.42578125" customWidth="1"/>
    <col min="780" max="782" width="10.7109375" customWidth="1"/>
    <col min="1025" max="1025" width="17.42578125" customWidth="1"/>
    <col min="1026" max="1026" width="19.140625" customWidth="1"/>
    <col min="1027" max="1027" width="0" hidden="1" customWidth="1"/>
    <col min="1028" max="1028" width="32.85546875" customWidth="1"/>
    <col min="1029" max="1029" width="15.140625" customWidth="1"/>
    <col min="1030" max="1031" width="14.85546875" customWidth="1"/>
    <col min="1032" max="1032" width="13" customWidth="1"/>
    <col min="1033" max="1033" width="12.5703125" customWidth="1"/>
    <col min="1034" max="1034" width="15.42578125" customWidth="1"/>
    <col min="1036" max="1038" width="10.7109375" customWidth="1"/>
    <col min="1281" max="1281" width="17.42578125" customWidth="1"/>
    <col min="1282" max="1282" width="19.140625" customWidth="1"/>
    <col min="1283" max="1283" width="0" hidden="1" customWidth="1"/>
    <col min="1284" max="1284" width="32.85546875" customWidth="1"/>
    <col min="1285" max="1285" width="15.140625" customWidth="1"/>
    <col min="1286" max="1287" width="14.85546875" customWidth="1"/>
    <col min="1288" max="1288" width="13" customWidth="1"/>
    <col min="1289" max="1289" width="12.5703125" customWidth="1"/>
    <col min="1290" max="1290" width="15.42578125" customWidth="1"/>
    <col min="1292" max="1294" width="10.7109375" customWidth="1"/>
    <col min="1537" max="1537" width="17.42578125" customWidth="1"/>
    <col min="1538" max="1538" width="19.140625" customWidth="1"/>
    <col min="1539" max="1539" width="0" hidden="1" customWidth="1"/>
    <col min="1540" max="1540" width="32.85546875" customWidth="1"/>
    <col min="1541" max="1541" width="15.140625" customWidth="1"/>
    <col min="1542" max="1543" width="14.85546875" customWidth="1"/>
    <col min="1544" max="1544" width="13" customWidth="1"/>
    <col min="1545" max="1545" width="12.5703125" customWidth="1"/>
    <col min="1546" max="1546" width="15.42578125" customWidth="1"/>
    <col min="1548" max="1550" width="10.7109375" customWidth="1"/>
    <col min="1793" max="1793" width="17.42578125" customWidth="1"/>
    <col min="1794" max="1794" width="19.140625" customWidth="1"/>
    <col min="1795" max="1795" width="0" hidden="1" customWidth="1"/>
    <col min="1796" max="1796" width="32.85546875" customWidth="1"/>
    <col min="1797" max="1797" width="15.140625" customWidth="1"/>
    <col min="1798" max="1799" width="14.85546875" customWidth="1"/>
    <col min="1800" max="1800" width="13" customWidth="1"/>
    <col min="1801" max="1801" width="12.5703125" customWidth="1"/>
    <col min="1802" max="1802" width="15.42578125" customWidth="1"/>
    <col min="1804" max="1806" width="10.7109375" customWidth="1"/>
    <col min="2049" max="2049" width="17.42578125" customWidth="1"/>
    <col min="2050" max="2050" width="19.140625" customWidth="1"/>
    <col min="2051" max="2051" width="0" hidden="1" customWidth="1"/>
    <col min="2052" max="2052" width="32.85546875" customWidth="1"/>
    <col min="2053" max="2053" width="15.140625" customWidth="1"/>
    <col min="2054" max="2055" width="14.85546875" customWidth="1"/>
    <col min="2056" max="2056" width="13" customWidth="1"/>
    <col min="2057" max="2057" width="12.5703125" customWidth="1"/>
    <col min="2058" max="2058" width="15.42578125" customWidth="1"/>
    <col min="2060" max="2062" width="10.7109375" customWidth="1"/>
    <col min="2305" max="2305" width="17.42578125" customWidth="1"/>
    <col min="2306" max="2306" width="19.140625" customWidth="1"/>
    <col min="2307" max="2307" width="0" hidden="1" customWidth="1"/>
    <col min="2308" max="2308" width="32.85546875" customWidth="1"/>
    <col min="2309" max="2309" width="15.140625" customWidth="1"/>
    <col min="2310" max="2311" width="14.85546875" customWidth="1"/>
    <col min="2312" max="2312" width="13" customWidth="1"/>
    <col min="2313" max="2313" width="12.5703125" customWidth="1"/>
    <col min="2314" max="2314" width="15.42578125" customWidth="1"/>
    <col min="2316" max="2318" width="10.7109375" customWidth="1"/>
    <col min="2561" max="2561" width="17.42578125" customWidth="1"/>
    <col min="2562" max="2562" width="19.140625" customWidth="1"/>
    <col min="2563" max="2563" width="0" hidden="1" customWidth="1"/>
    <col min="2564" max="2564" width="32.85546875" customWidth="1"/>
    <col min="2565" max="2565" width="15.140625" customWidth="1"/>
    <col min="2566" max="2567" width="14.85546875" customWidth="1"/>
    <col min="2568" max="2568" width="13" customWidth="1"/>
    <col min="2569" max="2569" width="12.5703125" customWidth="1"/>
    <col min="2570" max="2570" width="15.42578125" customWidth="1"/>
    <col min="2572" max="2574" width="10.7109375" customWidth="1"/>
    <col min="2817" max="2817" width="17.42578125" customWidth="1"/>
    <col min="2818" max="2818" width="19.140625" customWidth="1"/>
    <col min="2819" max="2819" width="0" hidden="1" customWidth="1"/>
    <col min="2820" max="2820" width="32.85546875" customWidth="1"/>
    <col min="2821" max="2821" width="15.140625" customWidth="1"/>
    <col min="2822" max="2823" width="14.85546875" customWidth="1"/>
    <col min="2824" max="2824" width="13" customWidth="1"/>
    <col min="2825" max="2825" width="12.5703125" customWidth="1"/>
    <col min="2826" max="2826" width="15.42578125" customWidth="1"/>
    <col min="2828" max="2830" width="10.7109375" customWidth="1"/>
    <col min="3073" max="3073" width="17.42578125" customWidth="1"/>
    <col min="3074" max="3074" width="19.140625" customWidth="1"/>
    <col min="3075" max="3075" width="0" hidden="1" customWidth="1"/>
    <col min="3076" max="3076" width="32.85546875" customWidth="1"/>
    <col min="3077" max="3077" width="15.140625" customWidth="1"/>
    <col min="3078" max="3079" width="14.85546875" customWidth="1"/>
    <col min="3080" max="3080" width="13" customWidth="1"/>
    <col min="3081" max="3081" width="12.5703125" customWidth="1"/>
    <col min="3082" max="3082" width="15.42578125" customWidth="1"/>
    <col min="3084" max="3086" width="10.7109375" customWidth="1"/>
    <col min="3329" max="3329" width="17.42578125" customWidth="1"/>
    <col min="3330" max="3330" width="19.140625" customWidth="1"/>
    <col min="3331" max="3331" width="0" hidden="1" customWidth="1"/>
    <col min="3332" max="3332" width="32.85546875" customWidth="1"/>
    <col min="3333" max="3333" width="15.140625" customWidth="1"/>
    <col min="3334" max="3335" width="14.85546875" customWidth="1"/>
    <col min="3336" max="3336" width="13" customWidth="1"/>
    <col min="3337" max="3337" width="12.5703125" customWidth="1"/>
    <col min="3338" max="3338" width="15.42578125" customWidth="1"/>
    <col min="3340" max="3342" width="10.7109375" customWidth="1"/>
    <col min="3585" max="3585" width="17.42578125" customWidth="1"/>
    <col min="3586" max="3586" width="19.140625" customWidth="1"/>
    <col min="3587" max="3587" width="0" hidden="1" customWidth="1"/>
    <col min="3588" max="3588" width="32.85546875" customWidth="1"/>
    <col min="3589" max="3589" width="15.140625" customWidth="1"/>
    <col min="3590" max="3591" width="14.85546875" customWidth="1"/>
    <col min="3592" max="3592" width="13" customWidth="1"/>
    <col min="3593" max="3593" width="12.5703125" customWidth="1"/>
    <col min="3594" max="3594" width="15.42578125" customWidth="1"/>
    <col min="3596" max="3598" width="10.7109375" customWidth="1"/>
    <col min="3841" max="3841" width="17.42578125" customWidth="1"/>
    <col min="3842" max="3842" width="19.140625" customWidth="1"/>
    <col min="3843" max="3843" width="0" hidden="1" customWidth="1"/>
    <col min="3844" max="3844" width="32.85546875" customWidth="1"/>
    <col min="3845" max="3845" width="15.140625" customWidth="1"/>
    <col min="3846" max="3847" width="14.85546875" customWidth="1"/>
    <col min="3848" max="3848" width="13" customWidth="1"/>
    <col min="3849" max="3849" width="12.5703125" customWidth="1"/>
    <col min="3850" max="3850" width="15.42578125" customWidth="1"/>
    <col min="3852" max="3854" width="10.7109375" customWidth="1"/>
    <col min="4097" max="4097" width="17.42578125" customWidth="1"/>
    <col min="4098" max="4098" width="19.140625" customWidth="1"/>
    <col min="4099" max="4099" width="0" hidden="1" customWidth="1"/>
    <col min="4100" max="4100" width="32.85546875" customWidth="1"/>
    <col min="4101" max="4101" width="15.140625" customWidth="1"/>
    <col min="4102" max="4103" width="14.85546875" customWidth="1"/>
    <col min="4104" max="4104" width="13" customWidth="1"/>
    <col min="4105" max="4105" width="12.5703125" customWidth="1"/>
    <col min="4106" max="4106" width="15.42578125" customWidth="1"/>
    <col min="4108" max="4110" width="10.7109375" customWidth="1"/>
    <col min="4353" max="4353" width="17.42578125" customWidth="1"/>
    <col min="4354" max="4354" width="19.140625" customWidth="1"/>
    <col min="4355" max="4355" width="0" hidden="1" customWidth="1"/>
    <col min="4356" max="4356" width="32.85546875" customWidth="1"/>
    <col min="4357" max="4357" width="15.140625" customWidth="1"/>
    <col min="4358" max="4359" width="14.85546875" customWidth="1"/>
    <col min="4360" max="4360" width="13" customWidth="1"/>
    <col min="4361" max="4361" width="12.5703125" customWidth="1"/>
    <col min="4362" max="4362" width="15.42578125" customWidth="1"/>
    <col min="4364" max="4366" width="10.7109375" customWidth="1"/>
    <col min="4609" max="4609" width="17.42578125" customWidth="1"/>
    <col min="4610" max="4610" width="19.140625" customWidth="1"/>
    <col min="4611" max="4611" width="0" hidden="1" customWidth="1"/>
    <col min="4612" max="4612" width="32.85546875" customWidth="1"/>
    <col min="4613" max="4613" width="15.140625" customWidth="1"/>
    <col min="4614" max="4615" width="14.85546875" customWidth="1"/>
    <col min="4616" max="4616" width="13" customWidth="1"/>
    <col min="4617" max="4617" width="12.5703125" customWidth="1"/>
    <col min="4618" max="4618" width="15.42578125" customWidth="1"/>
    <col min="4620" max="4622" width="10.7109375" customWidth="1"/>
    <col min="4865" max="4865" width="17.42578125" customWidth="1"/>
    <col min="4866" max="4866" width="19.140625" customWidth="1"/>
    <col min="4867" max="4867" width="0" hidden="1" customWidth="1"/>
    <col min="4868" max="4868" width="32.85546875" customWidth="1"/>
    <col min="4869" max="4869" width="15.140625" customWidth="1"/>
    <col min="4870" max="4871" width="14.85546875" customWidth="1"/>
    <col min="4872" max="4872" width="13" customWidth="1"/>
    <col min="4873" max="4873" width="12.5703125" customWidth="1"/>
    <col min="4874" max="4874" width="15.42578125" customWidth="1"/>
    <col min="4876" max="4878" width="10.7109375" customWidth="1"/>
    <col min="5121" max="5121" width="17.42578125" customWidth="1"/>
    <col min="5122" max="5122" width="19.140625" customWidth="1"/>
    <col min="5123" max="5123" width="0" hidden="1" customWidth="1"/>
    <col min="5124" max="5124" width="32.85546875" customWidth="1"/>
    <col min="5125" max="5125" width="15.140625" customWidth="1"/>
    <col min="5126" max="5127" width="14.85546875" customWidth="1"/>
    <col min="5128" max="5128" width="13" customWidth="1"/>
    <col min="5129" max="5129" width="12.5703125" customWidth="1"/>
    <col min="5130" max="5130" width="15.42578125" customWidth="1"/>
    <col min="5132" max="5134" width="10.7109375" customWidth="1"/>
    <col min="5377" max="5377" width="17.42578125" customWidth="1"/>
    <col min="5378" max="5378" width="19.140625" customWidth="1"/>
    <col min="5379" max="5379" width="0" hidden="1" customWidth="1"/>
    <col min="5380" max="5380" width="32.85546875" customWidth="1"/>
    <col min="5381" max="5381" width="15.140625" customWidth="1"/>
    <col min="5382" max="5383" width="14.85546875" customWidth="1"/>
    <col min="5384" max="5384" width="13" customWidth="1"/>
    <col min="5385" max="5385" width="12.5703125" customWidth="1"/>
    <col min="5386" max="5386" width="15.42578125" customWidth="1"/>
    <col min="5388" max="5390" width="10.7109375" customWidth="1"/>
    <col min="5633" max="5633" width="17.42578125" customWidth="1"/>
    <col min="5634" max="5634" width="19.140625" customWidth="1"/>
    <col min="5635" max="5635" width="0" hidden="1" customWidth="1"/>
    <col min="5636" max="5636" width="32.85546875" customWidth="1"/>
    <col min="5637" max="5637" width="15.140625" customWidth="1"/>
    <col min="5638" max="5639" width="14.85546875" customWidth="1"/>
    <col min="5640" max="5640" width="13" customWidth="1"/>
    <col min="5641" max="5641" width="12.5703125" customWidth="1"/>
    <col min="5642" max="5642" width="15.42578125" customWidth="1"/>
    <col min="5644" max="5646" width="10.7109375" customWidth="1"/>
    <col min="5889" max="5889" width="17.42578125" customWidth="1"/>
    <col min="5890" max="5890" width="19.140625" customWidth="1"/>
    <col min="5891" max="5891" width="0" hidden="1" customWidth="1"/>
    <col min="5892" max="5892" width="32.85546875" customWidth="1"/>
    <col min="5893" max="5893" width="15.140625" customWidth="1"/>
    <col min="5894" max="5895" width="14.85546875" customWidth="1"/>
    <col min="5896" max="5896" width="13" customWidth="1"/>
    <col min="5897" max="5897" width="12.5703125" customWidth="1"/>
    <col min="5898" max="5898" width="15.42578125" customWidth="1"/>
    <col min="5900" max="5902" width="10.7109375" customWidth="1"/>
    <col min="6145" max="6145" width="17.42578125" customWidth="1"/>
    <col min="6146" max="6146" width="19.140625" customWidth="1"/>
    <col min="6147" max="6147" width="0" hidden="1" customWidth="1"/>
    <col min="6148" max="6148" width="32.85546875" customWidth="1"/>
    <col min="6149" max="6149" width="15.140625" customWidth="1"/>
    <col min="6150" max="6151" width="14.85546875" customWidth="1"/>
    <col min="6152" max="6152" width="13" customWidth="1"/>
    <col min="6153" max="6153" width="12.5703125" customWidth="1"/>
    <col min="6154" max="6154" width="15.42578125" customWidth="1"/>
    <col min="6156" max="6158" width="10.7109375" customWidth="1"/>
    <col min="6401" max="6401" width="17.42578125" customWidth="1"/>
    <col min="6402" max="6402" width="19.140625" customWidth="1"/>
    <col min="6403" max="6403" width="0" hidden="1" customWidth="1"/>
    <col min="6404" max="6404" width="32.85546875" customWidth="1"/>
    <col min="6405" max="6405" width="15.140625" customWidth="1"/>
    <col min="6406" max="6407" width="14.85546875" customWidth="1"/>
    <col min="6408" max="6408" width="13" customWidth="1"/>
    <col min="6409" max="6409" width="12.5703125" customWidth="1"/>
    <col min="6410" max="6410" width="15.42578125" customWidth="1"/>
    <col min="6412" max="6414" width="10.7109375" customWidth="1"/>
    <col min="6657" max="6657" width="17.42578125" customWidth="1"/>
    <col min="6658" max="6658" width="19.140625" customWidth="1"/>
    <col min="6659" max="6659" width="0" hidden="1" customWidth="1"/>
    <col min="6660" max="6660" width="32.85546875" customWidth="1"/>
    <col min="6661" max="6661" width="15.140625" customWidth="1"/>
    <col min="6662" max="6663" width="14.85546875" customWidth="1"/>
    <col min="6664" max="6664" width="13" customWidth="1"/>
    <col min="6665" max="6665" width="12.5703125" customWidth="1"/>
    <col min="6666" max="6666" width="15.42578125" customWidth="1"/>
    <col min="6668" max="6670" width="10.7109375" customWidth="1"/>
    <col min="6913" max="6913" width="17.42578125" customWidth="1"/>
    <col min="6914" max="6914" width="19.140625" customWidth="1"/>
    <col min="6915" max="6915" width="0" hidden="1" customWidth="1"/>
    <col min="6916" max="6916" width="32.85546875" customWidth="1"/>
    <col min="6917" max="6917" width="15.140625" customWidth="1"/>
    <col min="6918" max="6919" width="14.85546875" customWidth="1"/>
    <col min="6920" max="6920" width="13" customWidth="1"/>
    <col min="6921" max="6921" width="12.5703125" customWidth="1"/>
    <col min="6922" max="6922" width="15.42578125" customWidth="1"/>
    <col min="6924" max="6926" width="10.7109375" customWidth="1"/>
    <col min="7169" max="7169" width="17.42578125" customWidth="1"/>
    <col min="7170" max="7170" width="19.140625" customWidth="1"/>
    <col min="7171" max="7171" width="0" hidden="1" customWidth="1"/>
    <col min="7172" max="7172" width="32.85546875" customWidth="1"/>
    <col min="7173" max="7173" width="15.140625" customWidth="1"/>
    <col min="7174" max="7175" width="14.85546875" customWidth="1"/>
    <col min="7176" max="7176" width="13" customWidth="1"/>
    <col min="7177" max="7177" width="12.5703125" customWidth="1"/>
    <col min="7178" max="7178" width="15.42578125" customWidth="1"/>
    <col min="7180" max="7182" width="10.7109375" customWidth="1"/>
    <col min="7425" max="7425" width="17.42578125" customWidth="1"/>
    <col min="7426" max="7426" width="19.140625" customWidth="1"/>
    <col min="7427" max="7427" width="0" hidden="1" customWidth="1"/>
    <col min="7428" max="7428" width="32.85546875" customWidth="1"/>
    <col min="7429" max="7429" width="15.140625" customWidth="1"/>
    <col min="7430" max="7431" width="14.85546875" customWidth="1"/>
    <col min="7432" max="7432" width="13" customWidth="1"/>
    <col min="7433" max="7433" width="12.5703125" customWidth="1"/>
    <col min="7434" max="7434" width="15.42578125" customWidth="1"/>
    <col min="7436" max="7438" width="10.7109375" customWidth="1"/>
    <col min="7681" max="7681" width="17.42578125" customWidth="1"/>
    <col min="7682" max="7682" width="19.140625" customWidth="1"/>
    <col min="7683" max="7683" width="0" hidden="1" customWidth="1"/>
    <col min="7684" max="7684" width="32.85546875" customWidth="1"/>
    <col min="7685" max="7685" width="15.140625" customWidth="1"/>
    <col min="7686" max="7687" width="14.85546875" customWidth="1"/>
    <col min="7688" max="7688" width="13" customWidth="1"/>
    <col min="7689" max="7689" width="12.5703125" customWidth="1"/>
    <col min="7690" max="7690" width="15.42578125" customWidth="1"/>
    <col min="7692" max="7694" width="10.7109375" customWidth="1"/>
    <col min="7937" max="7937" width="17.42578125" customWidth="1"/>
    <col min="7938" max="7938" width="19.140625" customWidth="1"/>
    <col min="7939" max="7939" width="0" hidden="1" customWidth="1"/>
    <col min="7940" max="7940" width="32.85546875" customWidth="1"/>
    <col min="7941" max="7941" width="15.140625" customWidth="1"/>
    <col min="7942" max="7943" width="14.85546875" customWidth="1"/>
    <col min="7944" max="7944" width="13" customWidth="1"/>
    <col min="7945" max="7945" width="12.5703125" customWidth="1"/>
    <col min="7946" max="7946" width="15.42578125" customWidth="1"/>
    <col min="7948" max="7950" width="10.7109375" customWidth="1"/>
    <col min="8193" max="8193" width="17.42578125" customWidth="1"/>
    <col min="8194" max="8194" width="19.140625" customWidth="1"/>
    <col min="8195" max="8195" width="0" hidden="1" customWidth="1"/>
    <col min="8196" max="8196" width="32.85546875" customWidth="1"/>
    <col min="8197" max="8197" width="15.140625" customWidth="1"/>
    <col min="8198" max="8199" width="14.85546875" customWidth="1"/>
    <col min="8200" max="8200" width="13" customWidth="1"/>
    <col min="8201" max="8201" width="12.5703125" customWidth="1"/>
    <col min="8202" max="8202" width="15.42578125" customWidth="1"/>
    <col min="8204" max="8206" width="10.7109375" customWidth="1"/>
    <col min="8449" max="8449" width="17.42578125" customWidth="1"/>
    <col min="8450" max="8450" width="19.140625" customWidth="1"/>
    <col min="8451" max="8451" width="0" hidden="1" customWidth="1"/>
    <col min="8452" max="8452" width="32.85546875" customWidth="1"/>
    <col min="8453" max="8453" width="15.140625" customWidth="1"/>
    <col min="8454" max="8455" width="14.85546875" customWidth="1"/>
    <col min="8456" max="8456" width="13" customWidth="1"/>
    <col min="8457" max="8457" width="12.5703125" customWidth="1"/>
    <col min="8458" max="8458" width="15.42578125" customWidth="1"/>
    <col min="8460" max="8462" width="10.7109375" customWidth="1"/>
    <col min="8705" max="8705" width="17.42578125" customWidth="1"/>
    <col min="8706" max="8706" width="19.140625" customWidth="1"/>
    <col min="8707" max="8707" width="0" hidden="1" customWidth="1"/>
    <col min="8708" max="8708" width="32.85546875" customWidth="1"/>
    <col min="8709" max="8709" width="15.140625" customWidth="1"/>
    <col min="8710" max="8711" width="14.85546875" customWidth="1"/>
    <col min="8712" max="8712" width="13" customWidth="1"/>
    <col min="8713" max="8713" width="12.5703125" customWidth="1"/>
    <col min="8714" max="8714" width="15.42578125" customWidth="1"/>
    <col min="8716" max="8718" width="10.7109375" customWidth="1"/>
    <col min="8961" max="8961" width="17.42578125" customWidth="1"/>
    <col min="8962" max="8962" width="19.140625" customWidth="1"/>
    <col min="8963" max="8963" width="0" hidden="1" customWidth="1"/>
    <col min="8964" max="8964" width="32.85546875" customWidth="1"/>
    <col min="8965" max="8965" width="15.140625" customWidth="1"/>
    <col min="8966" max="8967" width="14.85546875" customWidth="1"/>
    <col min="8968" max="8968" width="13" customWidth="1"/>
    <col min="8969" max="8969" width="12.5703125" customWidth="1"/>
    <col min="8970" max="8970" width="15.42578125" customWidth="1"/>
    <col min="8972" max="8974" width="10.7109375" customWidth="1"/>
    <col min="9217" max="9217" width="17.42578125" customWidth="1"/>
    <col min="9218" max="9218" width="19.140625" customWidth="1"/>
    <col min="9219" max="9219" width="0" hidden="1" customWidth="1"/>
    <col min="9220" max="9220" width="32.85546875" customWidth="1"/>
    <col min="9221" max="9221" width="15.140625" customWidth="1"/>
    <col min="9222" max="9223" width="14.85546875" customWidth="1"/>
    <col min="9224" max="9224" width="13" customWidth="1"/>
    <col min="9225" max="9225" width="12.5703125" customWidth="1"/>
    <col min="9226" max="9226" width="15.42578125" customWidth="1"/>
    <col min="9228" max="9230" width="10.7109375" customWidth="1"/>
    <col min="9473" max="9473" width="17.42578125" customWidth="1"/>
    <col min="9474" max="9474" width="19.140625" customWidth="1"/>
    <col min="9475" max="9475" width="0" hidden="1" customWidth="1"/>
    <col min="9476" max="9476" width="32.85546875" customWidth="1"/>
    <col min="9477" max="9477" width="15.140625" customWidth="1"/>
    <col min="9478" max="9479" width="14.85546875" customWidth="1"/>
    <col min="9480" max="9480" width="13" customWidth="1"/>
    <col min="9481" max="9481" width="12.5703125" customWidth="1"/>
    <col min="9482" max="9482" width="15.42578125" customWidth="1"/>
    <col min="9484" max="9486" width="10.7109375" customWidth="1"/>
    <col min="9729" max="9729" width="17.42578125" customWidth="1"/>
    <col min="9730" max="9730" width="19.140625" customWidth="1"/>
    <col min="9731" max="9731" width="0" hidden="1" customWidth="1"/>
    <col min="9732" max="9732" width="32.85546875" customWidth="1"/>
    <col min="9733" max="9733" width="15.140625" customWidth="1"/>
    <col min="9734" max="9735" width="14.85546875" customWidth="1"/>
    <col min="9736" max="9736" width="13" customWidth="1"/>
    <col min="9737" max="9737" width="12.5703125" customWidth="1"/>
    <col min="9738" max="9738" width="15.42578125" customWidth="1"/>
    <col min="9740" max="9742" width="10.7109375" customWidth="1"/>
    <col min="9985" max="9985" width="17.42578125" customWidth="1"/>
    <col min="9986" max="9986" width="19.140625" customWidth="1"/>
    <col min="9987" max="9987" width="0" hidden="1" customWidth="1"/>
    <col min="9988" max="9988" width="32.85546875" customWidth="1"/>
    <col min="9989" max="9989" width="15.140625" customWidth="1"/>
    <col min="9990" max="9991" width="14.85546875" customWidth="1"/>
    <col min="9992" max="9992" width="13" customWidth="1"/>
    <col min="9993" max="9993" width="12.5703125" customWidth="1"/>
    <col min="9994" max="9994" width="15.42578125" customWidth="1"/>
    <col min="9996" max="9998" width="10.7109375" customWidth="1"/>
    <col min="10241" max="10241" width="17.42578125" customWidth="1"/>
    <col min="10242" max="10242" width="19.140625" customWidth="1"/>
    <col min="10243" max="10243" width="0" hidden="1" customWidth="1"/>
    <col min="10244" max="10244" width="32.85546875" customWidth="1"/>
    <col min="10245" max="10245" width="15.140625" customWidth="1"/>
    <col min="10246" max="10247" width="14.85546875" customWidth="1"/>
    <col min="10248" max="10248" width="13" customWidth="1"/>
    <col min="10249" max="10249" width="12.5703125" customWidth="1"/>
    <col min="10250" max="10250" width="15.42578125" customWidth="1"/>
    <col min="10252" max="10254" width="10.7109375" customWidth="1"/>
    <col min="10497" max="10497" width="17.42578125" customWidth="1"/>
    <col min="10498" max="10498" width="19.140625" customWidth="1"/>
    <col min="10499" max="10499" width="0" hidden="1" customWidth="1"/>
    <col min="10500" max="10500" width="32.85546875" customWidth="1"/>
    <col min="10501" max="10501" width="15.140625" customWidth="1"/>
    <col min="10502" max="10503" width="14.85546875" customWidth="1"/>
    <col min="10504" max="10504" width="13" customWidth="1"/>
    <col min="10505" max="10505" width="12.5703125" customWidth="1"/>
    <col min="10506" max="10506" width="15.42578125" customWidth="1"/>
    <col min="10508" max="10510" width="10.7109375" customWidth="1"/>
    <col min="10753" max="10753" width="17.42578125" customWidth="1"/>
    <col min="10754" max="10754" width="19.140625" customWidth="1"/>
    <col min="10755" max="10755" width="0" hidden="1" customWidth="1"/>
    <col min="10756" max="10756" width="32.85546875" customWidth="1"/>
    <col min="10757" max="10757" width="15.140625" customWidth="1"/>
    <col min="10758" max="10759" width="14.85546875" customWidth="1"/>
    <col min="10760" max="10760" width="13" customWidth="1"/>
    <col min="10761" max="10761" width="12.5703125" customWidth="1"/>
    <col min="10762" max="10762" width="15.42578125" customWidth="1"/>
    <col min="10764" max="10766" width="10.7109375" customWidth="1"/>
    <col min="11009" max="11009" width="17.42578125" customWidth="1"/>
    <col min="11010" max="11010" width="19.140625" customWidth="1"/>
    <col min="11011" max="11011" width="0" hidden="1" customWidth="1"/>
    <col min="11012" max="11012" width="32.85546875" customWidth="1"/>
    <col min="11013" max="11013" width="15.140625" customWidth="1"/>
    <col min="11014" max="11015" width="14.85546875" customWidth="1"/>
    <col min="11016" max="11016" width="13" customWidth="1"/>
    <col min="11017" max="11017" width="12.5703125" customWidth="1"/>
    <col min="11018" max="11018" width="15.42578125" customWidth="1"/>
    <col min="11020" max="11022" width="10.7109375" customWidth="1"/>
    <col min="11265" max="11265" width="17.42578125" customWidth="1"/>
    <col min="11266" max="11266" width="19.140625" customWidth="1"/>
    <col min="11267" max="11267" width="0" hidden="1" customWidth="1"/>
    <col min="11268" max="11268" width="32.85546875" customWidth="1"/>
    <col min="11269" max="11269" width="15.140625" customWidth="1"/>
    <col min="11270" max="11271" width="14.85546875" customWidth="1"/>
    <col min="11272" max="11272" width="13" customWidth="1"/>
    <col min="11273" max="11273" width="12.5703125" customWidth="1"/>
    <col min="11274" max="11274" width="15.42578125" customWidth="1"/>
    <col min="11276" max="11278" width="10.7109375" customWidth="1"/>
    <col min="11521" max="11521" width="17.42578125" customWidth="1"/>
    <col min="11522" max="11522" width="19.140625" customWidth="1"/>
    <col min="11523" max="11523" width="0" hidden="1" customWidth="1"/>
    <col min="11524" max="11524" width="32.85546875" customWidth="1"/>
    <col min="11525" max="11525" width="15.140625" customWidth="1"/>
    <col min="11526" max="11527" width="14.85546875" customWidth="1"/>
    <col min="11528" max="11528" width="13" customWidth="1"/>
    <col min="11529" max="11529" width="12.5703125" customWidth="1"/>
    <col min="11530" max="11530" width="15.42578125" customWidth="1"/>
    <col min="11532" max="11534" width="10.7109375" customWidth="1"/>
    <col min="11777" max="11777" width="17.42578125" customWidth="1"/>
    <col min="11778" max="11778" width="19.140625" customWidth="1"/>
    <col min="11779" max="11779" width="0" hidden="1" customWidth="1"/>
    <col min="11780" max="11780" width="32.85546875" customWidth="1"/>
    <col min="11781" max="11781" width="15.140625" customWidth="1"/>
    <col min="11782" max="11783" width="14.85546875" customWidth="1"/>
    <col min="11784" max="11784" width="13" customWidth="1"/>
    <col min="11785" max="11785" width="12.5703125" customWidth="1"/>
    <col min="11786" max="11786" width="15.42578125" customWidth="1"/>
    <col min="11788" max="11790" width="10.7109375" customWidth="1"/>
    <col min="12033" max="12033" width="17.42578125" customWidth="1"/>
    <col min="12034" max="12034" width="19.140625" customWidth="1"/>
    <col min="12035" max="12035" width="0" hidden="1" customWidth="1"/>
    <col min="12036" max="12036" width="32.85546875" customWidth="1"/>
    <col min="12037" max="12037" width="15.140625" customWidth="1"/>
    <col min="12038" max="12039" width="14.85546875" customWidth="1"/>
    <col min="12040" max="12040" width="13" customWidth="1"/>
    <col min="12041" max="12041" width="12.5703125" customWidth="1"/>
    <col min="12042" max="12042" width="15.42578125" customWidth="1"/>
    <col min="12044" max="12046" width="10.7109375" customWidth="1"/>
    <col min="12289" max="12289" width="17.42578125" customWidth="1"/>
    <col min="12290" max="12290" width="19.140625" customWidth="1"/>
    <col min="12291" max="12291" width="0" hidden="1" customWidth="1"/>
    <col min="12292" max="12292" width="32.85546875" customWidth="1"/>
    <col min="12293" max="12293" width="15.140625" customWidth="1"/>
    <col min="12294" max="12295" width="14.85546875" customWidth="1"/>
    <col min="12296" max="12296" width="13" customWidth="1"/>
    <col min="12297" max="12297" width="12.5703125" customWidth="1"/>
    <col min="12298" max="12298" width="15.42578125" customWidth="1"/>
    <col min="12300" max="12302" width="10.7109375" customWidth="1"/>
    <col min="12545" max="12545" width="17.42578125" customWidth="1"/>
    <col min="12546" max="12546" width="19.140625" customWidth="1"/>
    <col min="12547" max="12547" width="0" hidden="1" customWidth="1"/>
    <col min="12548" max="12548" width="32.85546875" customWidth="1"/>
    <col min="12549" max="12549" width="15.140625" customWidth="1"/>
    <col min="12550" max="12551" width="14.85546875" customWidth="1"/>
    <col min="12552" max="12552" width="13" customWidth="1"/>
    <col min="12553" max="12553" width="12.5703125" customWidth="1"/>
    <col min="12554" max="12554" width="15.42578125" customWidth="1"/>
    <col min="12556" max="12558" width="10.7109375" customWidth="1"/>
    <col min="12801" max="12801" width="17.42578125" customWidth="1"/>
    <col min="12802" max="12802" width="19.140625" customWidth="1"/>
    <col min="12803" max="12803" width="0" hidden="1" customWidth="1"/>
    <col min="12804" max="12804" width="32.85546875" customWidth="1"/>
    <col min="12805" max="12805" width="15.140625" customWidth="1"/>
    <col min="12806" max="12807" width="14.85546875" customWidth="1"/>
    <col min="12808" max="12808" width="13" customWidth="1"/>
    <col min="12809" max="12809" width="12.5703125" customWidth="1"/>
    <col min="12810" max="12810" width="15.42578125" customWidth="1"/>
    <col min="12812" max="12814" width="10.7109375" customWidth="1"/>
    <col min="13057" max="13057" width="17.42578125" customWidth="1"/>
    <col min="13058" max="13058" width="19.140625" customWidth="1"/>
    <col min="13059" max="13059" width="0" hidden="1" customWidth="1"/>
    <col min="13060" max="13060" width="32.85546875" customWidth="1"/>
    <col min="13061" max="13061" width="15.140625" customWidth="1"/>
    <col min="13062" max="13063" width="14.85546875" customWidth="1"/>
    <col min="13064" max="13064" width="13" customWidth="1"/>
    <col min="13065" max="13065" width="12.5703125" customWidth="1"/>
    <col min="13066" max="13066" width="15.42578125" customWidth="1"/>
    <col min="13068" max="13070" width="10.7109375" customWidth="1"/>
    <col min="13313" max="13313" width="17.42578125" customWidth="1"/>
    <col min="13314" max="13314" width="19.140625" customWidth="1"/>
    <col min="13315" max="13315" width="0" hidden="1" customWidth="1"/>
    <col min="13316" max="13316" width="32.85546875" customWidth="1"/>
    <col min="13317" max="13317" width="15.140625" customWidth="1"/>
    <col min="13318" max="13319" width="14.85546875" customWidth="1"/>
    <col min="13320" max="13320" width="13" customWidth="1"/>
    <col min="13321" max="13321" width="12.5703125" customWidth="1"/>
    <col min="13322" max="13322" width="15.42578125" customWidth="1"/>
    <col min="13324" max="13326" width="10.7109375" customWidth="1"/>
    <col min="13569" max="13569" width="17.42578125" customWidth="1"/>
    <col min="13570" max="13570" width="19.140625" customWidth="1"/>
    <col min="13571" max="13571" width="0" hidden="1" customWidth="1"/>
    <col min="13572" max="13572" width="32.85546875" customWidth="1"/>
    <col min="13573" max="13573" width="15.140625" customWidth="1"/>
    <col min="13574" max="13575" width="14.85546875" customWidth="1"/>
    <col min="13576" max="13576" width="13" customWidth="1"/>
    <col min="13577" max="13577" width="12.5703125" customWidth="1"/>
    <col min="13578" max="13578" width="15.42578125" customWidth="1"/>
    <col min="13580" max="13582" width="10.7109375" customWidth="1"/>
    <col min="13825" max="13825" width="17.42578125" customWidth="1"/>
    <col min="13826" max="13826" width="19.140625" customWidth="1"/>
    <col min="13827" max="13827" width="0" hidden="1" customWidth="1"/>
    <col min="13828" max="13828" width="32.85546875" customWidth="1"/>
    <col min="13829" max="13829" width="15.140625" customWidth="1"/>
    <col min="13830" max="13831" width="14.85546875" customWidth="1"/>
    <col min="13832" max="13832" width="13" customWidth="1"/>
    <col min="13833" max="13833" width="12.5703125" customWidth="1"/>
    <col min="13834" max="13834" width="15.42578125" customWidth="1"/>
    <col min="13836" max="13838" width="10.7109375" customWidth="1"/>
    <col min="14081" max="14081" width="17.42578125" customWidth="1"/>
    <col min="14082" max="14082" width="19.140625" customWidth="1"/>
    <col min="14083" max="14083" width="0" hidden="1" customWidth="1"/>
    <col min="14084" max="14084" width="32.85546875" customWidth="1"/>
    <col min="14085" max="14085" width="15.140625" customWidth="1"/>
    <col min="14086" max="14087" width="14.85546875" customWidth="1"/>
    <col min="14088" max="14088" width="13" customWidth="1"/>
    <col min="14089" max="14089" width="12.5703125" customWidth="1"/>
    <col min="14090" max="14090" width="15.42578125" customWidth="1"/>
    <col min="14092" max="14094" width="10.7109375" customWidth="1"/>
    <col min="14337" max="14337" width="17.42578125" customWidth="1"/>
    <col min="14338" max="14338" width="19.140625" customWidth="1"/>
    <col min="14339" max="14339" width="0" hidden="1" customWidth="1"/>
    <col min="14340" max="14340" width="32.85546875" customWidth="1"/>
    <col min="14341" max="14341" width="15.140625" customWidth="1"/>
    <col min="14342" max="14343" width="14.85546875" customWidth="1"/>
    <col min="14344" max="14344" width="13" customWidth="1"/>
    <col min="14345" max="14345" width="12.5703125" customWidth="1"/>
    <col min="14346" max="14346" width="15.42578125" customWidth="1"/>
    <col min="14348" max="14350" width="10.7109375" customWidth="1"/>
    <col min="14593" max="14593" width="17.42578125" customWidth="1"/>
    <col min="14594" max="14594" width="19.140625" customWidth="1"/>
    <col min="14595" max="14595" width="0" hidden="1" customWidth="1"/>
    <col min="14596" max="14596" width="32.85546875" customWidth="1"/>
    <col min="14597" max="14597" width="15.140625" customWidth="1"/>
    <col min="14598" max="14599" width="14.85546875" customWidth="1"/>
    <col min="14600" max="14600" width="13" customWidth="1"/>
    <col min="14601" max="14601" width="12.5703125" customWidth="1"/>
    <col min="14602" max="14602" width="15.42578125" customWidth="1"/>
    <col min="14604" max="14606" width="10.7109375" customWidth="1"/>
    <col min="14849" max="14849" width="17.42578125" customWidth="1"/>
    <col min="14850" max="14850" width="19.140625" customWidth="1"/>
    <col min="14851" max="14851" width="0" hidden="1" customWidth="1"/>
    <col min="14852" max="14852" width="32.85546875" customWidth="1"/>
    <col min="14853" max="14853" width="15.140625" customWidth="1"/>
    <col min="14854" max="14855" width="14.85546875" customWidth="1"/>
    <col min="14856" max="14856" width="13" customWidth="1"/>
    <col min="14857" max="14857" width="12.5703125" customWidth="1"/>
    <col min="14858" max="14858" width="15.42578125" customWidth="1"/>
    <col min="14860" max="14862" width="10.7109375" customWidth="1"/>
    <col min="15105" max="15105" width="17.42578125" customWidth="1"/>
    <col min="15106" max="15106" width="19.140625" customWidth="1"/>
    <col min="15107" max="15107" width="0" hidden="1" customWidth="1"/>
    <col min="15108" max="15108" width="32.85546875" customWidth="1"/>
    <col min="15109" max="15109" width="15.140625" customWidth="1"/>
    <col min="15110" max="15111" width="14.85546875" customWidth="1"/>
    <col min="15112" max="15112" width="13" customWidth="1"/>
    <col min="15113" max="15113" width="12.5703125" customWidth="1"/>
    <col min="15114" max="15114" width="15.42578125" customWidth="1"/>
    <col min="15116" max="15118" width="10.7109375" customWidth="1"/>
    <col min="15361" max="15361" width="17.42578125" customWidth="1"/>
    <col min="15362" max="15362" width="19.140625" customWidth="1"/>
    <col min="15363" max="15363" width="0" hidden="1" customWidth="1"/>
    <col min="15364" max="15364" width="32.85546875" customWidth="1"/>
    <col min="15365" max="15365" width="15.140625" customWidth="1"/>
    <col min="15366" max="15367" width="14.85546875" customWidth="1"/>
    <col min="15368" max="15368" width="13" customWidth="1"/>
    <col min="15369" max="15369" width="12.5703125" customWidth="1"/>
    <col min="15370" max="15370" width="15.42578125" customWidth="1"/>
    <col min="15372" max="15374" width="10.7109375" customWidth="1"/>
    <col min="15617" max="15617" width="17.42578125" customWidth="1"/>
    <col min="15618" max="15618" width="19.140625" customWidth="1"/>
    <col min="15619" max="15619" width="0" hidden="1" customWidth="1"/>
    <col min="15620" max="15620" width="32.85546875" customWidth="1"/>
    <col min="15621" max="15621" width="15.140625" customWidth="1"/>
    <col min="15622" max="15623" width="14.85546875" customWidth="1"/>
    <col min="15624" max="15624" width="13" customWidth="1"/>
    <col min="15625" max="15625" width="12.5703125" customWidth="1"/>
    <col min="15626" max="15626" width="15.42578125" customWidth="1"/>
    <col min="15628" max="15630" width="10.7109375" customWidth="1"/>
    <col min="15873" max="15873" width="17.42578125" customWidth="1"/>
    <col min="15874" max="15874" width="19.140625" customWidth="1"/>
    <col min="15875" max="15875" width="0" hidden="1" customWidth="1"/>
    <col min="15876" max="15876" width="32.85546875" customWidth="1"/>
    <col min="15877" max="15877" width="15.140625" customWidth="1"/>
    <col min="15878" max="15879" width="14.85546875" customWidth="1"/>
    <col min="15880" max="15880" width="13" customWidth="1"/>
    <col min="15881" max="15881" width="12.5703125" customWidth="1"/>
    <col min="15882" max="15882" width="15.42578125" customWidth="1"/>
    <col min="15884" max="15886" width="10.7109375" customWidth="1"/>
    <col min="16129" max="16129" width="17.42578125" customWidth="1"/>
    <col min="16130" max="16130" width="19.140625" customWidth="1"/>
    <col min="16131" max="16131" width="0" hidden="1" customWidth="1"/>
    <col min="16132" max="16132" width="32.85546875" customWidth="1"/>
    <col min="16133" max="16133" width="15.140625" customWidth="1"/>
    <col min="16134" max="16135" width="14.85546875" customWidth="1"/>
    <col min="16136" max="16136" width="13" customWidth="1"/>
    <col min="16137" max="16137" width="12.5703125" customWidth="1"/>
    <col min="16138" max="16138" width="15.42578125" customWidth="1"/>
    <col min="16140" max="16142" width="10.7109375" customWidth="1"/>
  </cols>
  <sheetData>
    <row r="1" spans="1:14" ht="18">
      <c r="A1" s="1308" t="s">
        <v>922</v>
      </c>
      <c r="B1" s="1308"/>
      <c r="C1" s="1308"/>
      <c r="D1" s="1308"/>
      <c r="E1" s="1308"/>
      <c r="F1" s="1308"/>
      <c r="G1" s="1308"/>
      <c r="H1" s="1308"/>
      <c r="I1" s="1308"/>
      <c r="J1" s="1308"/>
      <c r="K1" s="1308"/>
      <c r="L1" s="1308"/>
      <c r="M1" s="1308"/>
      <c r="N1" s="1308"/>
    </row>
    <row r="2" spans="1:14" ht="18.75" thickBot="1">
      <c r="A2" s="809"/>
      <c r="B2" s="809"/>
      <c r="C2" s="809"/>
      <c r="D2" s="809"/>
      <c r="E2" s="809"/>
      <c r="F2" s="809"/>
      <c r="G2" s="720"/>
      <c r="H2" s="720"/>
      <c r="I2" s="720"/>
      <c r="J2" s="721"/>
      <c r="K2" s="679"/>
      <c r="L2" s="679"/>
      <c r="M2" s="679"/>
      <c r="N2" s="679"/>
    </row>
    <row r="3" spans="1:14" ht="19.5" thickBot="1">
      <c r="A3" s="1302" t="s">
        <v>923</v>
      </c>
      <c r="B3" s="1303"/>
      <c r="C3" s="1303"/>
      <c r="D3" s="1303"/>
      <c r="E3" s="1303"/>
      <c r="F3" s="1303"/>
      <c r="G3" s="1303"/>
      <c r="H3" s="1304"/>
      <c r="I3" s="722"/>
      <c r="J3" s="722"/>
      <c r="K3" s="679"/>
      <c r="L3" s="679"/>
      <c r="M3" s="679"/>
      <c r="N3" s="679"/>
    </row>
    <row r="4" spans="1:14" ht="18.75" thickBot="1">
      <c r="A4" s="1297" t="s">
        <v>867</v>
      </c>
      <c r="B4" s="1298"/>
      <c r="C4" s="1298"/>
      <c r="D4" s="1299"/>
      <c r="E4" s="1309" t="s">
        <v>924</v>
      </c>
      <c r="F4" s="1310"/>
      <c r="G4" s="1310"/>
      <c r="H4" s="1311"/>
      <c r="I4" s="720"/>
      <c r="J4" s="810"/>
      <c r="K4" s="679"/>
      <c r="L4" s="679"/>
      <c r="M4" s="679"/>
      <c r="N4" s="679"/>
    </row>
    <row r="5" spans="1:14" ht="36" customHeight="1" thickBot="1">
      <c r="A5" s="1289"/>
      <c r="B5" s="1290"/>
      <c r="C5" s="1290"/>
      <c r="D5" s="1291"/>
      <c r="E5" s="723" t="s">
        <v>925</v>
      </c>
      <c r="F5" s="724" t="s">
        <v>926</v>
      </c>
      <c r="G5" s="725" t="s">
        <v>927</v>
      </c>
      <c r="H5" s="726" t="s">
        <v>928</v>
      </c>
      <c r="I5" s="679"/>
      <c r="J5" s="808"/>
      <c r="K5" s="679"/>
      <c r="L5" s="1312" t="s">
        <v>929</v>
      </c>
      <c r="M5" s="1313"/>
      <c r="N5" s="1314"/>
    </row>
    <row r="6" spans="1:14" ht="18" customHeight="1">
      <c r="A6" s="1294" t="s">
        <v>930</v>
      </c>
      <c r="B6" s="1295"/>
      <c r="C6" s="1295"/>
      <c r="D6" s="1296"/>
      <c r="E6" s="727">
        <v>33.5</v>
      </c>
      <c r="F6" s="728">
        <v>38.6</v>
      </c>
      <c r="G6" s="729">
        <v>48.5</v>
      </c>
      <c r="H6" s="729">
        <v>58.7</v>
      </c>
      <c r="I6" s="679"/>
      <c r="J6" s="808"/>
      <c r="K6" s="679"/>
      <c r="L6" s="1315"/>
      <c r="M6" s="1316"/>
      <c r="N6" s="1317"/>
    </row>
    <row r="7" spans="1:14" ht="18.75" thickBot="1">
      <c r="A7" s="1283" t="s">
        <v>931</v>
      </c>
      <c r="B7" s="1284"/>
      <c r="C7" s="1284"/>
      <c r="D7" s="1285"/>
      <c r="E7" s="730">
        <v>1.3</v>
      </c>
      <c r="F7" s="731">
        <v>2</v>
      </c>
      <c r="G7" s="732">
        <v>2.75</v>
      </c>
      <c r="H7" s="732">
        <v>4.0999999999999996</v>
      </c>
      <c r="I7" s="679"/>
      <c r="J7" s="808"/>
      <c r="K7" s="679"/>
      <c r="L7" s="1318"/>
      <c r="M7" s="1319"/>
      <c r="N7" s="1320"/>
    </row>
    <row r="8" spans="1:14" ht="18.75" thickBot="1">
      <c r="A8" s="1283" t="s">
        <v>932</v>
      </c>
      <c r="B8" s="1284"/>
      <c r="C8" s="1284"/>
      <c r="D8" s="1285"/>
      <c r="E8" s="730">
        <v>30</v>
      </c>
      <c r="F8" s="731">
        <v>62</v>
      </c>
      <c r="G8" s="732">
        <v>78</v>
      </c>
      <c r="H8" s="732">
        <v>94</v>
      </c>
      <c r="I8" s="679"/>
      <c r="J8" s="808"/>
      <c r="K8" s="679"/>
      <c r="L8" s="679"/>
      <c r="M8" s="679"/>
      <c r="N8" s="679"/>
    </row>
    <row r="9" spans="1:14" ht="18.75" hidden="1" thickBot="1">
      <c r="A9" s="1283" t="s">
        <v>933</v>
      </c>
      <c r="B9" s="1284"/>
      <c r="C9" s="1284"/>
      <c r="D9" s="1285"/>
      <c r="E9" s="730">
        <v>150</v>
      </c>
      <c r="F9" s="731">
        <v>285</v>
      </c>
      <c r="G9" s="732">
        <v>450</v>
      </c>
      <c r="H9" s="732">
        <v>720</v>
      </c>
      <c r="I9" s="679"/>
      <c r="J9" s="808"/>
      <c r="K9" s="679"/>
      <c r="L9" s="679"/>
      <c r="M9" s="679"/>
      <c r="N9" s="679"/>
    </row>
    <row r="10" spans="1:14" ht="18.75" thickBot="1">
      <c r="A10" s="1280" t="s">
        <v>935</v>
      </c>
      <c r="B10" s="1281"/>
      <c r="C10" s="1281"/>
      <c r="D10" s="1282"/>
      <c r="E10" s="733">
        <v>600</v>
      </c>
      <c r="F10" s="734">
        <v>1005</v>
      </c>
      <c r="G10" s="735">
        <v>1560</v>
      </c>
      <c r="H10" s="735">
        <v>2445</v>
      </c>
      <c r="I10" s="679"/>
      <c r="J10" s="808"/>
      <c r="K10" s="679"/>
      <c r="L10" s="1277" t="s">
        <v>934</v>
      </c>
      <c r="M10" s="1278"/>
      <c r="N10" s="1279"/>
    </row>
    <row r="11" spans="1:14" ht="18.75" thickBot="1">
      <c r="A11" s="1301"/>
      <c r="B11" s="1301"/>
      <c r="C11" s="1308"/>
      <c r="D11" s="1308"/>
      <c r="E11" s="720"/>
      <c r="F11" s="720"/>
      <c r="G11" s="720"/>
      <c r="H11" s="720"/>
      <c r="I11" s="720"/>
      <c r="J11" s="721"/>
      <c r="K11" s="679"/>
      <c r="L11" s="1277" t="s">
        <v>936</v>
      </c>
      <c r="M11" s="1278"/>
      <c r="N11" s="1279"/>
    </row>
    <row r="12" spans="1:14" ht="18.75" thickBot="1">
      <c r="A12" s="808"/>
      <c r="B12" s="808"/>
      <c r="C12" s="809"/>
      <c r="D12" s="809"/>
      <c r="E12" s="720"/>
      <c r="F12" s="720"/>
      <c r="G12" s="720"/>
      <c r="H12" s="720"/>
      <c r="I12" s="720"/>
      <c r="J12" s="721"/>
      <c r="K12" s="679"/>
      <c r="L12" s="809"/>
      <c r="M12" s="809"/>
      <c r="N12" s="809"/>
    </row>
    <row r="13" spans="1:14" ht="19.5" thickBot="1">
      <c r="A13" s="1305" t="s">
        <v>937</v>
      </c>
      <c r="B13" s="1306"/>
      <c r="C13" s="1306"/>
      <c r="D13" s="1306"/>
      <c r="E13" s="1306"/>
      <c r="F13" s="1306"/>
      <c r="G13" s="1306"/>
      <c r="H13" s="1306"/>
      <c r="I13" s="1306"/>
      <c r="J13" s="1307"/>
      <c r="K13" s="679"/>
      <c r="L13" s="679"/>
      <c r="M13" s="679"/>
      <c r="N13" s="679"/>
    </row>
    <row r="14" spans="1:14" ht="18.75" thickBot="1">
      <c r="A14" s="1286" t="s">
        <v>867</v>
      </c>
      <c r="B14" s="1287"/>
      <c r="C14" s="1287"/>
      <c r="D14" s="1288"/>
      <c r="E14" s="1292" t="s">
        <v>924</v>
      </c>
      <c r="F14" s="1292"/>
      <c r="G14" s="1292"/>
      <c r="H14" s="1292"/>
      <c r="I14" s="1292"/>
      <c r="J14" s="1293"/>
      <c r="K14" s="679"/>
      <c r="L14" s="679"/>
      <c r="M14" s="679"/>
      <c r="N14" s="679"/>
    </row>
    <row r="15" spans="1:14" ht="36.75" thickBot="1">
      <c r="A15" s="1289"/>
      <c r="B15" s="1290"/>
      <c r="C15" s="1290"/>
      <c r="D15" s="1291"/>
      <c r="E15" s="736" t="s">
        <v>938</v>
      </c>
      <c r="F15" s="737" t="s">
        <v>939</v>
      </c>
      <c r="G15" s="724" t="s">
        <v>940</v>
      </c>
      <c r="H15" s="724" t="s">
        <v>941</v>
      </c>
      <c r="I15" s="738" t="s">
        <v>942</v>
      </c>
      <c r="J15" s="739" t="s">
        <v>943</v>
      </c>
      <c r="K15" s="679"/>
      <c r="L15" s="679"/>
      <c r="M15" s="679"/>
      <c r="N15" s="679"/>
    </row>
    <row r="16" spans="1:14" ht="18.75" thickBot="1">
      <c r="A16" s="1294" t="s">
        <v>944</v>
      </c>
      <c r="B16" s="1295"/>
      <c r="C16" s="1295"/>
      <c r="D16" s="1296"/>
      <c r="E16" s="740">
        <v>8.6999999999999993</v>
      </c>
      <c r="F16" s="741">
        <v>68</v>
      </c>
      <c r="G16" s="742">
        <v>68</v>
      </c>
      <c r="H16" s="742">
        <v>77</v>
      </c>
      <c r="I16" s="742">
        <v>86</v>
      </c>
      <c r="J16" s="743">
        <v>96</v>
      </c>
      <c r="K16" s="679"/>
      <c r="L16" s="1277" t="s">
        <v>934</v>
      </c>
      <c r="M16" s="1278"/>
      <c r="N16" s="1279"/>
    </row>
    <row r="17" spans="1:20" ht="18.75" thickBot="1">
      <c r="A17" s="1283" t="s">
        <v>931</v>
      </c>
      <c r="B17" s="1284"/>
      <c r="C17" s="1284"/>
      <c r="D17" s="1285"/>
      <c r="E17" s="744"/>
      <c r="F17" s="745">
        <v>3</v>
      </c>
      <c r="G17" s="746">
        <v>3</v>
      </c>
      <c r="H17" s="746">
        <v>3.85</v>
      </c>
      <c r="I17" s="746">
        <v>4.75</v>
      </c>
      <c r="J17" s="747">
        <v>6.1</v>
      </c>
      <c r="K17" s="679"/>
      <c r="L17" s="1277" t="s">
        <v>936</v>
      </c>
      <c r="M17" s="1278"/>
      <c r="N17" s="1279"/>
      <c r="O17" s="679"/>
      <c r="P17" s="679"/>
      <c r="Q17" s="679"/>
      <c r="R17" s="679"/>
      <c r="S17" s="679"/>
      <c r="T17" s="679"/>
    </row>
    <row r="18" spans="1:20" ht="18">
      <c r="A18" s="1283" t="s">
        <v>945</v>
      </c>
      <c r="B18" s="1284"/>
      <c r="C18" s="1284"/>
      <c r="D18" s="1285"/>
      <c r="E18" s="748"/>
      <c r="F18" s="749">
        <v>55</v>
      </c>
      <c r="G18" s="749">
        <v>55</v>
      </c>
      <c r="H18" s="749">
        <v>61</v>
      </c>
      <c r="I18" s="749">
        <v>67</v>
      </c>
      <c r="J18" s="750">
        <v>85</v>
      </c>
      <c r="K18" s="679"/>
      <c r="L18" s="679"/>
      <c r="M18" s="679"/>
      <c r="N18" s="679"/>
      <c r="O18" s="679"/>
      <c r="P18" s="679"/>
      <c r="Q18" s="679"/>
      <c r="R18" s="679"/>
      <c r="S18" s="679"/>
      <c r="T18" s="679"/>
    </row>
    <row r="19" spans="1:20" ht="18" hidden="1">
      <c r="A19" s="1283" t="s">
        <v>946</v>
      </c>
      <c r="B19" s="1284"/>
      <c r="C19" s="1284"/>
      <c r="D19" s="1285"/>
      <c r="E19" s="744">
        <v>150</v>
      </c>
      <c r="F19" s="745">
        <v>150</v>
      </c>
      <c r="G19" s="746">
        <v>150</v>
      </c>
      <c r="H19" s="746">
        <v>285</v>
      </c>
      <c r="I19" s="746">
        <v>450</v>
      </c>
      <c r="J19" s="747">
        <v>720</v>
      </c>
      <c r="K19" s="679"/>
      <c r="L19" s="679"/>
      <c r="M19" s="679"/>
      <c r="N19" s="679"/>
      <c r="O19" s="679"/>
      <c r="P19" s="679"/>
      <c r="Q19" s="679"/>
      <c r="R19" s="679"/>
      <c r="S19" s="679"/>
      <c r="T19" s="679"/>
    </row>
    <row r="20" spans="1:20" ht="18.75" thickBot="1">
      <c r="A20" s="1280" t="s">
        <v>947</v>
      </c>
      <c r="B20" s="1281"/>
      <c r="C20" s="1281"/>
      <c r="D20" s="1282"/>
      <c r="E20" s="751">
        <v>150</v>
      </c>
      <c r="F20" s="752">
        <v>450</v>
      </c>
      <c r="G20" s="753">
        <v>450</v>
      </c>
      <c r="H20" s="753">
        <v>855</v>
      </c>
      <c r="I20" s="753">
        <v>1350</v>
      </c>
      <c r="J20" s="754">
        <v>2160</v>
      </c>
      <c r="K20" s="679"/>
      <c r="L20" s="679"/>
      <c r="M20" s="679"/>
      <c r="N20" s="679"/>
      <c r="O20" s="679"/>
      <c r="P20" s="679"/>
      <c r="Q20" s="679"/>
      <c r="R20" s="679"/>
      <c r="S20" s="679"/>
      <c r="T20" s="679"/>
    </row>
    <row r="21" spans="1:20" ht="18.75" thickBot="1">
      <c r="A21" s="1301"/>
      <c r="B21" s="1301"/>
      <c r="C21" s="1308"/>
      <c r="D21" s="1308"/>
      <c r="E21" s="720"/>
      <c r="F21" s="720"/>
      <c r="G21" s="720"/>
      <c r="H21" s="720"/>
      <c r="I21" s="720"/>
      <c r="J21" s="721"/>
      <c r="K21" s="679"/>
      <c r="L21" s="679"/>
      <c r="M21" s="679"/>
      <c r="N21" s="679"/>
      <c r="O21" s="679"/>
      <c r="P21" s="679"/>
      <c r="Q21" s="679"/>
      <c r="R21" s="679"/>
      <c r="S21" s="679"/>
      <c r="T21" s="679"/>
    </row>
    <row r="22" spans="1:20" ht="19.5" thickBot="1">
      <c r="A22" s="1305" t="s">
        <v>948</v>
      </c>
      <c r="B22" s="1306"/>
      <c r="C22" s="1306"/>
      <c r="D22" s="1306"/>
      <c r="E22" s="1306"/>
      <c r="F22" s="1306"/>
      <c r="G22" s="1306"/>
      <c r="H22" s="1306"/>
      <c r="I22" s="1307"/>
      <c r="J22" s="682"/>
      <c r="K22" s="679"/>
      <c r="L22" s="679"/>
      <c r="M22" s="679"/>
      <c r="N22" s="679"/>
      <c r="O22" s="679"/>
      <c r="P22" s="679"/>
      <c r="Q22" s="679"/>
      <c r="R22" s="679"/>
      <c r="S22" s="679"/>
      <c r="T22" s="679"/>
    </row>
    <row r="23" spans="1:20" ht="18.75" thickBot="1">
      <c r="A23" s="1297" t="s">
        <v>867</v>
      </c>
      <c r="B23" s="1298"/>
      <c r="C23" s="1298"/>
      <c r="D23" s="1299"/>
      <c r="E23" s="1300" t="s">
        <v>924</v>
      </c>
      <c r="F23" s="1292"/>
      <c r="G23" s="1292"/>
      <c r="H23" s="1292"/>
      <c r="I23" s="1293"/>
      <c r="J23" s="721"/>
      <c r="K23" s="679"/>
      <c r="L23" s="679"/>
      <c r="M23" s="679"/>
      <c r="N23" s="679"/>
      <c r="O23" s="679"/>
      <c r="P23" s="679"/>
      <c r="Q23" s="679"/>
      <c r="R23" s="679"/>
      <c r="S23" s="679"/>
      <c r="T23" s="679"/>
    </row>
    <row r="24" spans="1:20" ht="36.75" thickBot="1">
      <c r="A24" s="1289"/>
      <c r="B24" s="1290"/>
      <c r="C24" s="1290"/>
      <c r="D24" s="1291"/>
      <c r="E24" s="736" t="s">
        <v>939</v>
      </c>
      <c r="F24" s="724" t="s">
        <v>941</v>
      </c>
      <c r="G24" s="738" t="s">
        <v>942</v>
      </c>
      <c r="H24" s="755" t="s">
        <v>943</v>
      </c>
      <c r="I24" s="756" t="s">
        <v>949</v>
      </c>
      <c r="J24" s="721"/>
      <c r="K24" s="679"/>
      <c r="L24" s="679"/>
      <c r="M24" s="679"/>
      <c r="N24" s="679"/>
      <c r="O24" s="679"/>
      <c r="P24" s="679"/>
      <c r="Q24" s="679"/>
      <c r="R24" s="679"/>
      <c r="S24" s="679"/>
      <c r="T24" s="679"/>
    </row>
    <row r="25" spans="1:20" ht="18.75" thickBot="1">
      <c r="A25" s="1294" t="s">
        <v>944</v>
      </c>
      <c r="B25" s="1295"/>
      <c r="C25" s="1295"/>
      <c r="D25" s="1296"/>
      <c r="E25" s="757">
        <v>65</v>
      </c>
      <c r="F25" s="758">
        <v>70</v>
      </c>
      <c r="G25" s="758">
        <v>70</v>
      </c>
      <c r="H25" s="759">
        <v>80</v>
      </c>
      <c r="I25" s="760">
        <v>80</v>
      </c>
      <c r="J25" s="808"/>
      <c r="K25" s="679"/>
      <c r="L25" s="1305" t="s">
        <v>950</v>
      </c>
      <c r="M25" s="1306"/>
      <c r="N25" s="1307"/>
      <c r="O25" s="679"/>
      <c r="P25" s="679"/>
      <c r="Q25" s="679"/>
      <c r="R25" s="679"/>
      <c r="S25" s="679"/>
      <c r="T25" s="679"/>
    </row>
    <row r="26" spans="1:20" ht="18.75" thickBot="1">
      <c r="A26" s="1283" t="s">
        <v>931</v>
      </c>
      <c r="B26" s="1284"/>
      <c r="C26" s="1284"/>
      <c r="D26" s="1285"/>
      <c r="E26" s="748">
        <v>2.1</v>
      </c>
      <c r="F26" s="749">
        <v>2.8</v>
      </c>
      <c r="G26" s="749">
        <v>3.1</v>
      </c>
      <c r="H26" s="761">
        <v>4.2</v>
      </c>
      <c r="I26" s="750">
        <v>9</v>
      </c>
      <c r="J26" s="808"/>
      <c r="K26" s="679"/>
      <c r="L26" s="1277" t="s">
        <v>936</v>
      </c>
      <c r="M26" s="1278"/>
      <c r="N26" s="1279"/>
      <c r="O26" s="679"/>
      <c r="P26" s="679"/>
      <c r="Q26" s="679"/>
      <c r="R26" s="679"/>
      <c r="S26" s="679"/>
      <c r="T26" s="679"/>
    </row>
    <row r="27" spans="1:20" ht="18">
      <c r="A27" s="1283" t="s">
        <v>951</v>
      </c>
      <c r="B27" s="1284"/>
      <c r="C27" s="1284"/>
      <c r="D27" s="1285"/>
      <c r="E27" s="748">
        <v>65</v>
      </c>
      <c r="F27" s="749">
        <v>70</v>
      </c>
      <c r="G27" s="749">
        <v>80</v>
      </c>
      <c r="H27" s="761">
        <v>90</v>
      </c>
      <c r="I27" s="750">
        <v>95</v>
      </c>
      <c r="J27" s="721"/>
      <c r="K27" s="679"/>
      <c r="L27" s="679"/>
      <c r="M27" s="679"/>
      <c r="N27" s="679"/>
      <c r="O27" s="679"/>
      <c r="P27" s="679"/>
      <c r="Q27" s="679"/>
      <c r="R27" s="679"/>
      <c r="S27" s="679"/>
      <c r="T27" s="679"/>
    </row>
    <row r="28" spans="1:20" ht="18" hidden="1">
      <c r="A28" s="1283" t="s">
        <v>952</v>
      </c>
      <c r="B28" s="1284"/>
      <c r="C28" s="1284"/>
      <c r="D28" s="1285"/>
      <c r="E28" s="748">
        <v>150</v>
      </c>
      <c r="F28" s="749">
        <v>285</v>
      </c>
      <c r="G28" s="749">
        <v>450</v>
      </c>
      <c r="H28" s="761">
        <v>720</v>
      </c>
      <c r="I28" s="750">
        <v>1200</v>
      </c>
      <c r="J28" s="721"/>
      <c r="K28" s="679"/>
      <c r="L28" s="679"/>
      <c r="M28" s="679"/>
      <c r="N28" s="679"/>
      <c r="O28" s="679"/>
      <c r="P28" s="679"/>
      <c r="Q28" s="679"/>
      <c r="R28" s="679"/>
      <c r="S28" s="679"/>
      <c r="T28" s="679"/>
    </row>
    <row r="29" spans="1:20" ht="18.75" thickBot="1">
      <c r="A29" s="1280" t="s">
        <v>953</v>
      </c>
      <c r="B29" s="1281"/>
      <c r="C29" s="1281"/>
      <c r="D29" s="1282"/>
      <c r="E29" s="762">
        <v>450</v>
      </c>
      <c r="F29" s="763">
        <v>855</v>
      </c>
      <c r="G29" s="763">
        <v>1350</v>
      </c>
      <c r="H29" s="764">
        <v>2160</v>
      </c>
      <c r="I29" s="765">
        <v>3600</v>
      </c>
      <c r="J29" s="721"/>
      <c r="K29" s="679"/>
      <c r="L29" s="679"/>
      <c r="M29" s="679"/>
      <c r="N29" s="679"/>
      <c r="O29" s="679"/>
      <c r="P29" s="679"/>
      <c r="Q29" s="679"/>
      <c r="R29" s="679"/>
      <c r="S29" s="679"/>
      <c r="T29" s="679"/>
    </row>
    <row r="30" spans="1:20" ht="18.75" thickBot="1">
      <c r="A30" s="1301"/>
      <c r="B30" s="1301"/>
      <c r="C30" s="720"/>
      <c r="D30" s="720"/>
      <c r="E30" s="720"/>
      <c r="F30" s="720"/>
      <c r="G30" s="720"/>
      <c r="H30" s="720"/>
      <c r="I30" s="720"/>
      <c r="J30" s="721"/>
      <c r="K30" s="679"/>
      <c r="L30" s="679"/>
      <c r="M30" s="679"/>
      <c r="N30" s="679"/>
      <c r="O30" s="679"/>
      <c r="P30" s="679"/>
      <c r="Q30" s="679"/>
      <c r="R30" s="679"/>
      <c r="S30" s="679"/>
      <c r="T30" s="679"/>
    </row>
    <row r="31" spans="1:20" ht="19.5" thickBot="1">
      <c r="A31" s="1302" t="s">
        <v>954</v>
      </c>
      <c r="B31" s="1303"/>
      <c r="C31" s="1303"/>
      <c r="D31" s="1303"/>
      <c r="E31" s="1303"/>
      <c r="F31" s="1303"/>
      <c r="G31" s="1303"/>
      <c r="H31" s="1303"/>
      <c r="I31" s="1303"/>
      <c r="J31" s="1303"/>
      <c r="K31" s="1304"/>
      <c r="L31" s="722"/>
      <c r="M31" s="722"/>
      <c r="N31" s="722"/>
      <c r="O31" s="722"/>
      <c r="P31" s="722"/>
      <c r="Q31" s="722"/>
      <c r="R31" s="722"/>
      <c r="S31" s="722"/>
      <c r="T31" s="722"/>
    </row>
    <row r="32" spans="1:20" ht="18.75" thickBot="1">
      <c r="A32" s="1286" t="s">
        <v>867</v>
      </c>
      <c r="B32" s="1287"/>
      <c r="C32" s="1287"/>
      <c r="D32" s="1288"/>
      <c r="E32" s="1292" t="s">
        <v>955</v>
      </c>
      <c r="F32" s="1292"/>
      <c r="G32" s="1292"/>
      <c r="H32" s="1292"/>
      <c r="I32" s="1292"/>
      <c r="J32" s="1292"/>
      <c r="K32" s="1293"/>
      <c r="L32" s="679"/>
      <c r="M32" s="679"/>
      <c r="N32" s="679"/>
      <c r="O32" s="679"/>
      <c r="P32" s="679"/>
      <c r="Q32" s="679"/>
      <c r="R32" s="679"/>
      <c r="S32" s="679"/>
      <c r="T32" s="679"/>
    </row>
    <row r="33" spans="1:14" ht="18.75" thickBot="1">
      <c r="A33" s="1289"/>
      <c r="B33" s="1290"/>
      <c r="C33" s="1290"/>
      <c r="D33" s="1291"/>
      <c r="E33" s="814" t="s">
        <v>956</v>
      </c>
      <c r="F33" s="815" t="s">
        <v>957</v>
      </c>
      <c r="G33" s="815" t="s">
        <v>958</v>
      </c>
      <c r="H33" s="815" t="s">
        <v>959</v>
      </c>
      <c r="I33" s="815" t="s">
        <v>960</v>
      </c>
      <c r="J33" s="815" t="s">
        <v>961</v>
      </c>
      <c r="K33" s="816" t="s">
        <v>962</v>
      </c>
      <c r="L33" s="679"/>
      <c r="M33" s="679"/>
      <c r="N33" s="679"/>
    </row>
    <row r="34" spans="1:14" ht="18.75" thickBot="1">
      <c r="A34" s="1294" t="s">
        <v>963</v>
      </c>
      <c r="B34" s="1295"/>
      <c r="C34" s="1295"/>
      <c r="D34" s="1296"/>
      <c r="E34" s="817">
        <v>120</v>
      </c>
      <c r="F34" s="758">
        <v>190</v>
      </c>
      <c r="G34" s="758">
        <v>270</v>
      </c>
      <c r="H34" s="758">
        <v>330</v>
      </c>
      <c r="I34" s="758">
        <v>375</v>
      </c>
      <c r="J34" s="758">
        <v>480</v>
      </c>
      <c r="K34" s="766">
        <v>600</v>
      </c>
      <c r="L34" s="1277" t="s">
        <v>934</v>
      </c>
      <c r="M34" s="1278"/>
      <c r="N34" s="1279"/>
    </row>
    <row r="35" spans="1:14" ht="18.75" thickBot="1">
      <c r="A35" s="1280" t="s">
        <v>964</v>
      </c>
      <c r="B35" s="1281"/>
      <c r="C35" s="1281"/>
      <c r="D35" s="1282"/>
      <c r="E35" s="818">
        <v>210</v>
      </c>
      <c r="F35" s="763">
        <v>520</v>
      </c>
      <c r="G35" s="763">
        <v>1050</v>
      </c>
      <c r="H35" s="763">
        <v>1570</v>
      </c>
      <c r="I35" s="763">
        <v>2030</v>
      </c>
      <c r="J35" s="763">
        <v>3330</v>
      </c>
      <c r="K35" s="767">
        <v>3380</v>
      </c>
      <c r="L35" s="1277" t="s">
        <v>936</v>
      </c>
      <c r="M35" s="1278"/>
      <c r="N35" s="1279"/>
    </row>
    <row r="36" spans="1:14" ht="18" hidden="1">
      <c r="A36" s="1283" t="s">
        <v>965</v>
      </c>
      <c r="B36" s="1284"/>
      <c r="C36" s="1284"/>
      <c r="D36" s="1285"/>
      <c r="E36" s="748"/>
      <c r="F36" s="749"/>
      <c r="G36" s="749"/>
      <c r="H36" s="749"/>
      <c r="I36" s="749"/>
      <c r="J36" s="749"/>
      <c r="K36" s="766"/>
      <c r="L36" s="679"/>
      <c r="M36" s="679"/>
      <c r="N36" s="679"/>
    </row>
    <row r="37" spans="1:14" ht="18.75" hidden="1" thickBot="1">
      <c r="A37" s="1280" t="s">
        <v>966</v>
      </c>
      <c r="B37" s="1281"/>
      <c r="C37" s="1281"/>
      <c r="D37" s="1282"/>
      <c r="E37" s="762"/>
      <c r="F37" s="763"/>
      <c r="G37" s="763"/>
      <c r="H37" s="763"/>
      <c r="I37" s="763"/>
      <c r="J37" s="763"/>
      <c r="K37" s="767"/>
      <c r="L37" s="679"/>
      <c r="M37" s="679"/>
      <c r="N37" s="679"/>
    </row>
    <row r="38" spans="1:14" ht="18">
      <c r="A38" s="679"/>
      <c r="B38" s="679"/>
      <c r="C38" s="679"/>
      <c r="D38" s="679"/>
      <c r="E38" s="679"/>
      <c r="F38" s="679"/>
      <c r="G38" s="679"/>
      <c r="H38" s="679"/>
      <c r="I38" s="679"/>
      <c r="J38" s="808"/>
      <c r="K38" s="679"/>
      <c r="L38" s="679"/>
      <c r="M38" s="679"/>
      <c r="N38" s="679"/>
    </row>
  </sheetData>
  <mergeCells count="46">
    <mergeCell ref="A1:N1"/>
    <mergeCell ref="A3:H3"/>
    <mergeCell ref="A4:D5"/>
    <mergeCell ref="E4:H4"/>
    <mergeCell ref="L5:N7"/>
    <mergeCell ref="A6:D6"/>
    <mergeCell ref="A7:D7"/>
    <mergeCell ref="A8:D8"/>
    <mergeCell ref="A9:D9"/>
    <mergeCell ref="A10:D10"/>
    <mergeCell ref="L10:N10"/>
    <mergeCell ref="A11:B11"/>
    <mergeCell ref="C11:D11"/>
    <mergeCell ref="L11:N11"/>
    <mergeCell ref="L25:N25"/>
    <mergeCell ref="A26:D26"/>
    <mergeCell ref="L26:N26"/>
    <mergeCell ref="A22:I22"/>
    <mergeCell ref="A13:J13"/>
    <mergeCell ref="A14:D15"/>
    <mergeCell ref="E14:J14"/>
    <mergeCell ref="A16:D16"/>
    <mergeCell ref="A18:D18"/>
    <mergeCell ref="A19:D19"/>
    <mergeCell ref="A20:D20"/>
    <mergeCell ref="A21:B21"/>
    <mergeCell ref="C21:D21"/>
    <mergeCell ref="L16:N16"/>
    <mergeCell ref="A17:D17"/>
    <mergeCell ref="L17:N17"/>
    <mergeCell ref="A32:D33"/>
    <mergeCell ref="E32:K32"/>
    <mergeCell ref="A34:D34"/>
    <mergeCell ref="A23:D24"/>
    <mergeCell ref="E23:I23"/>
    <mergeCell ref="A25:D25"/>
    <mergeCell ref="A27:D27"/>
    <mergeCell ref="A28:D28"/>
    <mergeCell ref="A29:D29"/>
    <mergeCell ref="A30:B30"/>
    <mergeCell ref="A31:K31"/>
    <mergeCell ref="L34:N34"/>
    <mergeCell ref="A35:D35"/>
    <mergeCell ref="L35:N35"/>
    <mergeCell ref="A36:D36"/>
    <mergeCell ref="A37:D37"/>
  </mergeCells>
  <printOptions horizontalCentered="1" verticalCentered="1"/>
  <pageMargins left="0" right="0" top="0" bottom="0.39370078740157483" header="0" footer="0"/>
  <pageSetup paperSize="9" scale="74" orientation="landscape" blackAndWhite="1"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7">
    <tabColor indexed="42"/>
    <pageSetUpPr fitToPage="1"/>
  </sheetPr>
  <dimension ref="A1:Q77"/>
  <sheetViews>
    <sheetView showGridLines="0" view="pageBreakPreview" zoomScale="70" zoomScaleNormal="100" zoomScaleSheetLayoutView="70" workbookViewId="0">
      <selection activeCell="J75" sqref="J75"/>
    </sheetView>
  </sheetViews>
  <sheetFormatPr baseColWidth="10" defaultColWidth="11.42578125" defaultRowHeight="12.75"/>
  <cols>
    <col min="1" max="1" width="7.85546875" style="538" customWidth="1"/>
    <col min="2" max="2" width="4.85546875" style="37" customWidth="1"/>
    <col min="3" max="3" width="2.140625" style="539" customWidth="1"/>
    <col min="4" max="5" width="8.42578125" style="538" customWidth="1"/>
    <col min="6" max="6" width="2" style="538" customWidth="1"/>
    <col min="7" max="7" width="24.42578125" style="538" customWidth="1"/>
    <col min="8" max="8" width="9" style="538" customWidth="1"/>
    <col min="9" max="9" width="18" style="538" customWidth="1"/>
    <col min="10" max="10" width="29" style="539" customWidth="1"/>
    <col min="11" max="11" width="2" style="538" customWidth="1"/>
    <col min="12" max="12" width="7.85546875" style="538" customWidth="1"/>
    <col min="13" max="13" width="2" style="538" customWidth="1"/>
    <col min="14" max="14" width="30.140625" customWidth="1"/>
  </cols>
  <sheetData>
    <row r="1" spans="1:17" ht="13.5" customHeight="1" thickTop="1">
      <c r="A1" s="1327" t="s">
        <v>812</v>
      </c>
      <c r="B1" s="1328"/>
      <c r="C1" s="1328"/>
      <c r="D1" s="1328"/>
      <c r="E1" s="1328"/>
      <c r="F1" s="1328"/>
      <c r="G1" s="1328"/>
      <c r="H1" s="1328"/>
      <c r="I1" s="1328"/>
      <c r="J1" s="1328"/>
      <c r="K1" s="1328"/>
      <c r="L1" s="1328"/>
      <c r="M1" s="1328"/>
      <c r="N1" s="1332" t="s">
        <v>813</v>
      </c>
    </row>
    <row r="2" spans="1:17" ht="13.5" customHeight="1">
      <c r="A2" s="1329"/>
      <c r="B2" s="1196"/>
      <c r="C2" s="1196"/>
      <c r="D2" s="1196"/>
      <c r="E2" s="1196"/>
      <c r="F2" s="1196"/>
      <c r="G2" s="1196"/>
      <c r="H2" s="1196"/>
      <c r="I2" s="1196"/>
      <c r="J2" s="1196"/>
      <c r="K2" s="1196"/>
      <c r="L2" s="1196"/>
      <c r="M2" s="1196"/>
      <c r="N2" s="1333"/>
    </row>
    <row r="3" spans="1:17" ht="13.5" customHeight="1" thickBot="1">
      <c r="A3" s="1330"/>
      <c r="B3" s="1331"/>
      <c r="C3" s="1331"/>
      <c r="D3" s="1331"/>
      <c r="E3" s="1331"/>
      <c r="F3" s="1331"/>
      <c r="G3" s="1331"/>
      <c r="H3" s="1331"/>
      <c r="I3" s="1331"/>
      <c r="J3" s="1331"/>
      <c r="K3" s="1331"/>
      <c r="L3" s="1331"/>
      <c r="M3" s="1331"/>
      <c r="N3" s="1334"/>
    </row>
    <row r="4" spans="1:17" ht="10.5" customHeight="1" thickTop="1">
      <c r="B4" s="24"/>
      <c r="H4" s="28"/>
      <c r="J4" s="32"/>
      <c r="N4" s="540"/>
    </row>
    <row r="5" spans="1:17" ht="17.25" customHeight="1">
      <c r="A5" s="21" t="s">
        <v>542</v>
      </c>
      <c r="B5"/>
      <c r="C5" s="529" t="str">
        <f>IF(ISBLANK(oeOTP),"",oeOTP)</f>
        <v/>
      </c>
      <c r="D5" s="529"/>
      <c r="E5" s="529"/>
      <c r="F5" s="529"/>
      <c r="G5" s="5"/>
      <c r="H5"/>
      <c r="I5" s="33" t="s">
        <v>543</v>
      </c>
      <c r="J5" s="537" t="str">
        <f>IF(ISBLANK(oReferenceCommande),"",oReferenceCommande)</f>
        <v/>
      </c>
      <c r="K5" s="934"/>
      <c r="L5" s="21"/>
      <c r="M5" s="541"/>
    </row>
    <row r="6" spans="1:17" ht="17.25" customHeight="1">
      <c r="A6" s="21" t="s">
        <v>544</v>
      </c>
      <c r="B6"/>
      <c r="C6" s="529" t="str">
        <f>IF(ISBLANK(oMOE),"",oMOE)</f>
        <v/>
      </c>
      <c r="D6" s="529"/>
      <c r="E6" s="529"/>
      <c r="F6" s="529"/>
      <c r="G6" s="529"/>
      <c r="H6" s="5"/>
      <c r="I6" s="33" t="s">
        <v>545</v>
      </c>
      <c r="J6" s="537" t="str">
        <f>IF(ISBLANK(oVille),"",oVille)</f>
        <v/>
      </c>
      <c r="K6" s="934"/>
      <c r="L6" s="21"/>
      <c r="M6" s="12"/>
    </row>
    <row r="7" spans="1:17" ht="17.25" customHeight="1">
      <c r="A7" t="s">
        <v>546</v>
      </c>
      <c r="B7"/>
      <c r="C7" s="933" t="str">
        <f>IF(ISBLANK(oLibelleOTP),"",oLibelleOTP)</f>
        <v/>
      </c>
      <c r="D7" s="933"/>
      <c r="E7" s="933"/>
      <c r="F7" s="933"/>
      <c r="G7" s="933"/>
      <c r="H7" s="933"/>
      <c r="I7" s="26"/>
      <c r="J7" s="26"/>
      <c r="K7" s="904"/>
      <c r="L7" s="904"/>
      <c r="M7" s="904"/>
      <c r="N7" s="904"/>
    </row>
    <row r="8" spans="1:17" s="329" customFormat="1" ht="12.75" customHeight="1">
      <c r="C8" s="542"/>
      <c r="D8" s="542"/>
      <c r="E8" s="542"/>
      <c r="F8" s="542"/>
      <c r="G8" s="542"/>
      <c r="H8" s="542"/>
      <c r="I8" s="542"/>
      <c r="J8" s="542"/>
      <c r="K8" s="542"/>
      <c r="L8" s="542"/>
      <c r="M8" s="542"/>
      <c r="N8" s="542"/>
    </row>
    <row r="9" spans="1:17">
      <c r="A9"/>
      <c r="B9"/>
      <c r="C9" s="21"/>
      <c r="D9" s="1326" t="s">
        <v>1042</v>
      </c>
      <c r="E9" s="1326"/>
      <c r="F9" s="1326"/>
      <c r="G9" s="1326"/>
      <c r="H9" s="1326"/>
      <c r="I9" s="1326"/>
      <c r="J9" s="1326"/>
      <c r="K9" s="1326"/>
      <c r="L9" s="1326"/>
      <c r="M9" s="1326"/>
      <c r="N9" s="1326"/>
    </row>
    <row r="10" spans="1:17">
      <c r="A10"/>
      <c r="B10"/>
      <c r="C10" s="21"/>
      <c r="D10" s="125"/>
      <c r="E10" s="125"/>
      <c r="F10" s="125"/>
      <c r="G10" s="125"/>
      <c r="H10" s="125"/>
      <c r="I10" s="125"/>
      <c r="J10" s="125"/>
      <c r="K10" s="125"/>
      <c r="L10" s="125"/>
      <c r="M10" s="125"/>
      <c r="N10" s="125"/>
    </row>
    <row r="11" spans="1:17">
      <c r="B11" s="543"/>
      <c r="C11" s="20"/>
      <c r="D11" s="544" t="s">
        <v>1043</v>
      </c>
      <c r="E11" s="544" t="s">
        <v>361</v>
      </c>
      <c r="F11" s="37"/>
      <c r="G11" s="545" t="s">
        <v>393</v>
      </c>
      <c r="H11" s="546"/>
      <c r="I11" s="546"/>
      <c r="J11" s="536"/>
      <c r="K11" s="37"/>
      <c r="L11" s="547" t="s">
        <v>814</v>
      </c>
      <c r="M11" s="37"/>
      <c r="N11" s="548" t="s">
        <v>362</v>
      </c>
    </row>
    <row r="12" spans="1:17">
      <c r="B12" s="543"/>
      <c r="C12" s="20"/>
      <c r="D12" s="125"/>
      <c r="E12" s="125"/>
      <c r="F12" s="37"/>
      <c r="G12" s="21"/>
      <c r="H12" s="21"/>
      <c r="I12" s="21"/>
      <c r="J12" s="20"/>
      <c r="K12" s="37"/>
      <c r="L12" s="37"/>
      <c r="M12" s="37"/>
      <c r="N12" s="34"/>
    </row>
    <row r="13" spans="1:17" ht="21" customHeight="1">
      <c r="B13" s="34"/>
      <c r="C13" s="20"/>
      <c r="D13" s="37"/>
      <c r="E13" s="37"/>
      <c r="F13" s="37"/>
      <c r="G13" s="352" t="s">
        <v>815</v>
      </c>
      <c r="H13" s="21"/>
      <c r="I13" s="21"/>
      <c r="J13" s="20"/>
      <c r="K13" s="37"/>
      <c r="L13" s="37"/>
      <c r="M13" s="37"/>
      <c r="N13" s="117"/>
    </row>
    <row r="14" spans="1:17" s="6" customFormat="1" ht="20.100000000000001" customHeight="1">
      <c r="A14" s="549"/>
      <c r="B14" s="125"/>
      <c r="C14" s="119"/>
      <c r="D14" s="550"/>
      <c r="E14" s="550"/>
      <c r="F14" s="273"/>
      <c r="G14" s="1324" t="s">
        <v>165</v>
      </c>
      <c r="H14" s="1324"/>
      <c r="I14" s="1324"/>
      <c r="J14" s="1324"/>
      <c r="K14" s="273"/>
      <c r="L14" s="447"/>
      <c r="M14" s="273"/>
      <c r="N14" s="550"/>
    </row>
    <row r="15" spans="1:17" s="6" customFormat="1" ht="20.100000000000001" customHeight="1">
      <c r="A15" s="549"/>
      <c r="B15" s="125"/>
      <c r="C15" s="119"/>
      <c r="D15" s="550"/>
      <c r="E15" s="550"/>
      <c r="F15" s="273"/>
      <c r="G15" s="1324" t="s">
        <v>816</v>
      </c>
      <c r="H15" s="1324"/>
      <c r="I15" s="1324"/>
      <c r="J15" s="1324"/>
      <c r="K15" s="273"/>
      <c r="L15" s="447"/>
      <c r="M15" s="273"/>
      <c r="N15" s="550"/>
      <c r="O15" s="1335"/>
      <c r="P15" s="1335"/>
      <c r="Q15" s="1335"/>
    </row>
    <row r="16" spans="1:17" s="6" customFormat="1" ht="20.100000000000001" customHeight="1">
      <c r="A16" s="549"/>
      <c r="B16" s="125"/>
      <c r="C16" s="119"/>
      <c r="D16" s="550"/>
      <c r="E16" s="550"/>
      <c r="F16" s="273"/>
      <c r="G16" s="1324" t="s">
        <v>817</v>
      </c>
      <c r="H16" s="1324"/>
      <c r="I16" s="1324"/>
      <c r="J16" s="1324"/>
      <c r="K16" s="273"/>
      <c r="L16" s="447"/>
      <c r="M16" s="273"/>
      <c r="N16" s="550"/>
    </row>
    <row r="17" spans="1:14" s="6" customFormat="1" ht="17.25" customHeight="1">
      <c r="A17" s="549"/>
      <c r="B17" s="125"/>
      <c r="C17" s="551"/>
      <c r="D17" s="354"/>
      <c r="E17" s="354"/>
      <c r="F17" s="273"/>
      <c r="G17" s="552"/>
      <c r="H17" s="552"/>
      <c r="I17" s="552"/>
      <c r="J17" s="552"/>
      <c r="K17" s="273"/>
      <c r="L17" s="273"/>
      <c r="M17" s="273"/>
      <c r="N17" s="372"/>
    </row>
    <row r="18" spans="1:14" s="6" customFormat="1" ht="20.100000000000001" customHeight="1">
      <c r="A18" s="549"/>
      <c r="B18" s="553">
        <v>1</v>
      </c>
      <c r="C18" s="551"/>
      <c r="D18" s="188"/>
      <c r="E18" s="188"/>
      <c r="F18" s="18"/>
      <c r="G18" s="351" t="s">
        <v>548</v>
      </c>
      <c r="H18" s="549"/>
      <c r="I18" s="549"/>
      <c r="J18" s="554"/>
      <c r="K18" s="18"/>
      <c r="L18" s="18"/>
      <c r="M18" s="18"/>
      <c r="N18" s="372"/>
    </row>
    <row r="19" spans="1:14" s="6" customFormat="1" ht="20.100000000000001" customHeight="1">
      <c r="A19" s="549"/>
      <c r="B19" s="125"/>
      <c r="C19" s="551"/>
      <c r="D19" s="555"/>
      <c r="E19" s="555"/>
      <c r="F19" s="125"/>
      <c r="G19" s="1324" t="s">
        <v>1044</v>
      </c>
      <c r="H19" s="1324"/>
      <c r="I19" s="1324"/>
      <c r="J19" s="1324"/>
      <c r="K19" s="125"/>
      <c r="L19" s="544"/>
      <c r="M19" s="125"/>
      <c r="N19" s="555"/>
    </row>
    <row r="20" spans="1:14" s="6" customFormat="1" ht="20.100000000000001" customHeight="1">
      <c r="A20" s="549"/>
      <c r="B20" s="125"/>
      <c r="C20" s="551"/>
      <c r="D20" s="550"/>
      <c r="E20" s="550"/>
      <c r="F20" s="125"/>
      <c r="G20" s="1324" t="s">
        <v>818</v>
      </c>
      <c r="H20" s="1324"/>
      <c r="I20" s="1324"/>
      <c r="J20" s="1324"/>
      <c r="K20" s="125"/>
      <c r="L20" s="447"/>
      <c r="M20" s="125"/>
      <c r="N20" s="555"/>
    </row>
    <row r="21" spans="1:14" s="6" customFormat="1" ht="20.100000000000001" customHeight="1">
      <c r="A21" s="549"/>
      <c r="B21" s="125"/>
      <c r="C21" s="551"/>
      <c r="D21" s="550"/>
      <c r="E21" s="550"/>
      <c r="F21" s="125"/>
      <c r="G21" s="1324" t="s">
        <v>819</v>
      </c>
      <c r="H21" s="1324"/>
      <c r="I21" s="1324"/>
      <c r="J21" s="1324"/>
      <c r="K21" s="125"/>
      <c r="L21" s="447"/>
      <c r="M21" s="125"/>
      <c r="N21" s="555"/>
    </row>
    <row r="22" spans="1:14" s="6" customFormat="1" ht="20.100000000000001" customHeight="1">
      <c r="A22" s="549"/>
      <c r="B22" s="125"/>
      <c r="C22" s="551"/>
      <c r="D22" s="555"/>
      <c r="E22" s="555"/>
      <c r="F22" s="125"/>
      <c r="G22" s="1324" t="s">
        <v>820</v>
      </c>
      <c r="H22" s="1324"/>
      <c r="I22" s="1324"/>
      <c r="J22" s="1324"/>
      <c r="K22" s="125"/>
      <c r="L22" s="544"/>
      <c r="M22" s="125"/>
      <c r="N22" s="555"/>
    </row>
    <row r="23" spans="1:14" s="6" customFormat="1" ht="20.100000000000001" customHeight="1">
      <c r="A23" s="549"/>
      <c r="B23" s="125"/>
      <c r="C23" s="551"/>
      <c r="D23" s="555"/>
      <c r="E23" s="555"/>
      <c r="F23" s="125"/>
      <c r="G23" s="1324" t="s">
        <v>821</v>
      </c>
      <c r="H23" s="1324"/>
      <c r="I23" s="1324"/>
      <c r="J23" s="1324"/>
      <c r="K23" s="125"/>
      <c r="L23" s="544"/>
      <c r="M23" s="125"/>
      <c r="N23" s="555"/>
    </row>
    <row r="24" spans="1:14" s="6" customFormat="1" ht="20.100000000000001" customHeight="1">
      <c r="A24" s="556"/>
      <c r="B24" s="557"/>
      <c r="C24" s="558"/>
      <c r="D24" s="550"/>
      <c r="E24" s="550"/>
      <c r="F24" s="558"/>
      <c r="G24" s="1324" t="s">
        <v>363</v>
      </c>
      <c r="H24" s="1324"/>
      <c r="I24" s="1324"/>
      <c r="J24" s="1324"/>
      <c r="K24" s="558"/>
      <c r="L24" s="447"/>
      <c r="M24" s="558"/>
      <c r="N24" s="555"/>
    </row>
    <row r="25" spans="1:14" s="6" customFormat="1" ht="20.100000000000001" customHeight="1">
      <c r="A25" s="556"/>
      <c r="B25" s="557"/>
      <c r="C25" s="558"/>
      <c r="D25" s="550"/>
      <c r="E25" s="550"/>
      <c r="F25" s="551"/>
      <c r="G25" s="1325" t="s">
        <v>822</v>
      </c>
      <c r="H25" s="1324"/>
      <c r="I25" s="1324"/>
      <c r="J25" s="1324"/>
      <c r="K25" s="551"/>
      <c r="L25" s="447"/>
      <c r="M25" s="551"/>
      <c r="N25" s="555"/>
    </row>
    <row r="26" spans="1:14" s="6" customFormat="1" ht="20.100000000000001" customHeight="1">
      <c r="A26" s="556"/>
      <c r="B26" s="557"/>
      <c r="C26" s="558"/>
      <c r="D26" s="550"/>
      <c r="E26" s="550"/>
      <c r="F26" s="551"/>
      <c r="G26" s="1324" t="s">
        <v>364</v>
      </c>
      <c r="H26" s="1324"/>
      <c r="I26" s="1324"/>
      <c r="J26" s="1324"/>
      <c r="K26" s="551"/>
      <c r="L26" s="447"/>
      <c r="M26" s="551"/>
      <c r="N26" s="555"/>
    </row>
    <row r="27" spans="1:14" s="6" customFormat="1" ht="20.100000000000001" customHeight="1">
      <c r="A27" s="556"/>
      <c r="B27" s="557"/>
      <c r="C27" s="558"/>
      <c r="D27" s="550"/>
      <c r="E27" s="550"/>
      <c r="F27" s="551"/>
      <c r="G27" s="1324" t="s">
        <v>181</v>
      </c>
      <c r="H27" s="1324"/>
      <c r="I27" s="1324"/>
      <c r="J27" s="1324"/>
      <c r="K27" s="551"/>
      <c r="L27" s="447"/>
      <c r="M27" s="551"/>
      <c r="N27" s="555"/>
    </row>
    <row r="28" spans="1:14" s="6" customFormat="1" ht="20.100000000000001" customHeight="1">
      <c r="A28" s="549"/>
      <c r="B28" s="125"/>
      <c r="C28" s="551"/>
      <c r="D28" s="560"/>
      <c r="E28" s="560"/>
      <c r="F28" s="549"/>
      <c r="G28" s="549"/>
      <c r="H28" s="549"/>
      <c r="I28" s="549"/>
      <c r="J28" s="551"/>
      <c r="K28" s="549"/>
      <c r="L28" s="549"/>
      <c r="M28" s="549"/>
      <c r="N28" s="372"/>
    </row>
    <row r="29" spans="1:14" s="6" customFormat="1" ht="20.100000000000001" customHeight="1">
      <c r="A29" s="549"/>
      <c r="B29" s="553">
        <v>2</v>
      </c>
      <c r="C29" s="551"/>
      <c r="D29" s="188"/>
      <c r="E29" s="188"/>
      <c r="F29" s="18"/>
      <c r="G29" s="351" t="s">
        <v>182</v>
      </c>
      <c r="H29" s="549"/>
      <c r="I29" s="549"/>
      <c r="J29" s="554"/>
      <c r="K29" s="18"/>
      <c r="L29" s="18"/>
      <c r="M29" s="18"/>
      <c r="N29" s="372"/>
    </row>
    <row r="30" spans="1:14" s="6" customFormat="1" ht="20.100000000000001" customHeight="1">
      <c r="A30" s="549"/>
      <c r="B30" s="125"/>
      <c r="C30" s="551"/>
      <c r="D30" s="555"/>
      <c r="E30" s="555"/>
      <c r="F30" s="125"/>
      <c r="G30" s="1324" t="s">
        <v>823</v>
      </c>
      <c r="H30" s="1324"/>
      <c r="I30" s="1324"/>
      <c r="J30" s="1324"/>
      <c r="K30" s="125"/>
      <c r="L30" s="544"/>
      <c r="M30" s="125"/>
      <c r="N30" s="555"/>
    </row>
    <row r="31" spans="1:14" s="6" customFormat="1" ht="20.100000000000001" customHeight="1">
      <c r="A31" s="549"/>
      <c r="B31" s="125"/>
      <c r="C31" s="551"/>
      <c r="D31" s="555"/>
      <c r="E31" s="555"/>
      <c r="F31" s="125"/>
      <c r="G31" s="1324" t="s">
        <v>824</v>
      </c>
      <c r="H31" s="1324"/>
      <c r="I31" s="1324"/>
      <c r="J31" s="1324"/>
      <c r="K31" s="125"/>
      <c r="L31" s="544"/>
      <c r="M31" s="125"/>
      <c r="N31" s="555"/>
    </row>
    <row r="32" spans="1:14" s="6" customFormat="1" ht="20.100000000000001" customHeight="1">
      <c r="A32" s="549"/>
      <c r="B32" s="125"/>
      <c r="C32" s="551"/>
      <c r="D32" s="555"/>
      <c r="E32" s="550"/>
      <c r="F32" s="125"/>
      <c r="G32" s="1325" t="s">
        <v>1089</v>
      </c>
      <c r="H32" s="1324"/>
      <c r="I32" s="1324"/>
      <c r="J32" s="1324"/>
      <c r="K32" s="125"/>
      <c r="L32" s="544"/>
      <c r="M32" s="125"/>
      <c r="N32" s="555"/>
    </row>
    <row r="33" spans="1:14" s="6" customFormat="1" ht="20.100000000000001" customHeight="1">
      <c r="A33" s="549"/>
      <c r="B33" s="125"/>
      <c r="C33" s="551"/>
      <c r="D33" s="353"/>
      <c r="E33" s="353"/>
      <c r="F33" s="125"/>
      <c r="G33" s="549"/>
      <c r="H33" s="549"/>
      <c r="I33" s="549"/>
      <c r="J33" s="554"/>
      <c r="K33" s="125"/>
      <c r="L33" s="125"/>
      <c r="M33" s="125"/>
      <c r="N33" s="372"/>
    </row>
    <row r="34" spans="1:14" s="6" customFormat="1" ht="20.100000000000001" customHeight="1">
      <c r="A34" s="549"/>
      <c r="B34" s="553">
        <v>3</v>
      </c>
      <c r="C34" s="551"/>
      <c r="D34" s="188"/>
      <c r="E34" s="188"/>
      <c r="F34" s="18"/>
      <c r="G34" s="351" t="s">
        <v>183</v>
      </c>
      <c r="H34" s="549"/>
      <c r="I34" s="549"/>
      <c r="J34" s="554"/>
      <c r="K34" s="18"/>
      <c r="L34" s="18"/>
      <c r="M34" s="18"/>
      <c r="N34" s="372"/>
    </row>
    <row r="35" spans="1:14" s="6" customFormat="1" ht="20.100000000000001" customHeight="1">
      <c r="A35" s="549"/>
      <c r="B35" s="125"/>
      <c r="C35" s="551"/>
      <c r="D35" s="555"/>
      <c r="E35" s="555"/>
      <c r="F35" s="125"/>
      <c r="G35" s="1324" t="s">
        <v>184</v>
      </c>
      <c r="H35" s="1324"/>
      <c r="I35" s="1324"/>
      <c r="J35" s="1324"/>
      <c r="K35" s="125"/>
      <c r="L35" s="544"/>
      <c r="M35" s="125"/>
      <c r="N35" s="562"/>
    </row>
    <row r="36" spans="1:14" s="6" customFormat="1" ht="20.100000000000001" customHeight="1">
      <c r="A36" s="549"/>
      <c r="B36" s="125"/>
      <c r="C36" s="551"/>
      <c r="D36" s="555"/>
      <c r="E36" s="555"/>
      <c r="F36" s="125"/>
      <c r="G36" s="1324" t="s">
        <v>185</v>
      </c>
      <c r="H36" s="1324"/>
      <c r="I36" s="1324"/>
      <c r="J36" s="1324"/>
      <c r="K36" s="125"/>
      <c r="L36" s="544"/>
      <c r="M36" s="125"/>
      <c r="N36" s="563"/>
    </row>
    <row r="37" spans="1:14" s="6" customFormat="1" ht="20.100000000000001" customHeight="1">
      <c r="A37" s="549"/>
      <c r="B37" s="125"/>
      <c r="C37" s="551"/>
      <c r="D37" s="555"/>
      <c r="E37" s="555"/>
      <c r="F37" s="125"/>
      <c r="G37" s="1324" t="s">
        <v>825</v>
      </c>
      <c r="H37" s="1324"/>
      <c r="I37" s="1324"/>
      <c r="J37" s="1324"/>
      <c r="K37" s="125"/>
      <c r="L37" s="544"/>
      <c r="M37" s="125"/>
      <c r="N37" s="563"/>
    </row>
    <row r="38" spans="1:14" s="6" customFormat="1" ht="20.100000000000001" customHeight="1">
      <c r="A38" s="549"/>
      <c r="B38" s="125"/>
      <c r="C38" s="551"/>
      <c r="D38" s="555"/>
      <c r="E38" s="555"/>
      <c r="F38" s="125"/>
      <c r="G38" s="1324" t="s">
        <v>826</v>
      </c>
      <c r="H38" s="1324"/>
      <c r="I38" s="1324"/>
      <c r="J38" s="1324"/>
      <c r="K38" s="125"/>
      <c r="L38" s="544"/>
      <c r="M38" s="125"/>
      <c r="N38" s="563"/>
    </row>
    <row r="39" spans="1:14" s="6" customFormat="1" ht="20.100000000000001" customHeight="1">
      <c r="A39" s="549"/>
      <c r="B39" s="125"/>
      <c r="C39" s="551"/>
      <c r="D39" s="559"/>
      <c r="E39" s="559"/>
      <c r="F39" s="551"/>
      <c r="G39" s="564"/>
      <c r="H39" s="549"/>
      <c r="I39" s="549"/>
      <c r="J39" s="554"/>
      <c r="K39" s="551"/>
      <c r="L39" s="551"/>
      <c r="M39" s="551"/>
      <c r="N39" s="372"/>
    </row>
    <row r="40" spans="1:14" s="6" customFormat="1" ht="20.100000000000001" customHeight="1">
      <c r="A40" s="549"/>
      <c r="B40" s="553">
        <v>4</v>
      </c>
      <c r="C40" s="551"/>
      <c r="D40" s="188"/>
      <c r="E40" s="188"/>
      <c r="F40" s="18"/>
      <c r="G40" s="351" t="s">
        <v>186</v>
      </c>
      <c r="H40" s="549"/>
      <c r="I40" s="549"/>
      <c r="J40" s="554"/>
      <c r="K40" s="18"/>
      <c r="L40" s="18"/>
      <c r="M40" s="18"/>
      <c r="N40" s="372"/>
    </row>
    <row r="41" spans="1:14" s="6" customFormat="1" ht="20.100000000000001" customHeight="1">
      <c r="A41" s="549"/>
      <c r="B41" s="125"/>
      <c r="C41" s="551"/>
      <c r="D41" s="555"/>
      <c r="E41" s="555"/>
      <c r="F41" s="565"/>
      <c r="G41" s="1324" t="s">
        <v>414</v>
      </c>
      <c r="H41" s="1324"/>
      <c r="I41" s="1324"/>
      <c r="J41" s="1324"/>
      <c r="K41" s="125"/>
      <c r="L41" s="615"/>
      <c r="M41" s="565"/>
      <c r="N41" s="563"/>
    </row>
    <row r="42" spans="1:14" s="6" customFormat="1" ht="20.100000000000001" customHeight="1">
      <c r="A42" s="549"/>
      <c r="B42" s="125"/>
      <c r="C42" s="551"/>
      <c r="D42" s="555"/>
      <c r="E42" s="555"/>
      <c r="F42" s="125"/>
      <c r="G42" s="1324" t="s">
        <v>187</v>
      </c>
      <c r="H42" s="1324"/>
      <c r="I42" s="1324"/>
      <c r="J42" s="1324"/>
      <c r="K42" s="125"/>
      <c r="L42" s="544"/>
      <c r="M42" s="125"/>
      <c r="N42" s="563"/>
    </row>
    <row r="43" spans="1:14" s="6" customFormat="1" ht="20.100000000000001" customHeight="1">
      <c r="A43" s="549"/>
      <c r="B43" s="125"/>
      <c r="C43" s="551"/>
      <c r="D43" s="555"/>
      <c r="E43" s="555"/>
      <c r="F43" s="125"/>
      <c r="G43" s="1324" t="s">
        <v>827</v>
      </c>
      <c r="H43" s="1324"/>
      <c r="I43" s="1324"/>
      <c r="J43" s="1324"/>
      <c r="K43" s="125"/>
      <c r="L43" s="544"/>
      <c r="M43" s="125"/>
      <c r="N43" s="563"/>
    </row>
    <row r="44" spans="1:14" s="6" customFormat="1" ht="20.100000000000001" customHeight="1">
      <c r="A44" s="549"/>
      <c r="B44" s="125"/>
      <c r="C44" s="551"/>
      <c r="D44" s="555"/>
      <c r="E44" s="555"/>
      <c r="F44" s="125"/>
      <c r="G44" s="1324" t="s">
        <v>828</v>
      </c>
      <c r="H44" s="1324"/>
      <c r="I44" s="1324"/>
      <c r="J44" s="1324"/>
      <c r="K44" s="125"/>
      <c r="L44" s="544"/>
      <c r="M44" s="125"/>
      <c r="N44" s="563"/>
    </row>
    <row r="45" spans="1:14" s="6" customFormat="1" ht="20.100000000000001" customHeight="1">
      <c r="A45" s="549"/>
      <c r="B45" s="125"/>
      <c r="C45" s="551"/>
      <c r="D45" s="555"/>
      <c r="E45" s="555"/>
      <c r="F45" s="125"/>
      <c r="G45" s="1324" t="s">
        <v>829</v>
      </c>
      <c r="H45" s="1324"/>
      <c r="I45" s="1324"/>
      <c r="J45" s="1324"/>
      <c r="K45" s="125"/>
      <c r="L45" s="544"/>
      <c r="M45" s="125"/>
      <c r="N45" s="563"/>
    </row>
    <row r="46" spans="1:14" s="6" customFormat="1" ht="20.100000000000001" customHeight="1">
      <c r="A46" s="549"/>
      <c r="B46" s="125"/>
      <c r="C46" s="551"/>
      <c r="D46" s="555"/>
      <c r="E46" s="555"/>
      <c r="F46" s="125"/>
      <c r="G46" s="1324" t="s">
        <v>164</v>
      </c>
      <c r="H46" s="1324"/>
      <c r="I46" s="1324"/>
      <c r="J46" s="1324"/>
      <c r="K46" s="125"/>
      <c r="L46" s="544"/>
      <c r="M46" s="125"/>
      <c r="N46" s="563"/>
    </row>
    <row r="47" spans="1:14" s="6" customFormat="1" ht="20.100000000000001" customHeight="1">
      <c r="A47" s="549"/>
      <c r="B47" s="125"/>
      <c r="C47" s="551"/>
      <c r="D47" s="353"/>
      <c r="E47" s="353"/>
      <c r="F47" s="125"/>
      <c r="G47" s="566"/>
      <c r="H47" s="566"/>
      <c r="I47" s="566"/>
      <c r="J47" s="566"/>
      <c r="K47" s="125"/>
      <c r="L47" s="125"/>
      <c r="M47" s="125"/>
      <c r="N47" s="372"/>
    </row>
    <row r="48" spans="1:14" s="6" customFormat="1" ht="20.100000000000001" customHeight="1">
      <c r="A48" s="549"/>
      <c r="B48" s="553">
        <v>5</v>
      </c>
      <c r="C48" s="551"/>
      <c r="D48" s="188"/>
      <c r="E48" s="188"/>
      <c r="F48" s="18"/>
      <c r="G48" s="351" t="s">
        <v>830</v>
      </c>
      <c r="H48" s="549"/>
      <c r="I48" s="549"/>
      <c r="J48" s="554"/>
      <c r="K48" s="18"/>
      <c r="L48" s="18"/>
      <c r="M48" s="18"/>
      <c r="N48" s="372"/>
    </row>
    <row r="49" spans="1:15" s="6" customFormat="1" ht="20.100000000000001" customHeight="1">
      <c r="A49" s="549"/>
      <c r="B49" s="125"/>
      <c r="C49" s="551"/>
      <c r="D49" s="550"/>
      <c r="E49" s="550"/>
      <c r="F49" s="567"/>
      <c r="G49" s="1324" t="s">
        <v>188</v>
      </c>
      <c r="H49" s="1324"/>
      <c r="I49" s="1324"/>
      <c r="J49" s="1324"/>
      <c r="K49" s="567"/>
      <c r="L49" s="616"/>
      <c r="M49" s="567"/>
      <c r="N49" s="563"/>
    </row>
    <row r="50" spans="1:15" s="6" customFormat="1" ht="20.100000000000001" customHeight="1">
      <c r="A50" s="549"/>
      <c r="B50" s="125"/>
      <c r="C50" s="551"/>
      <c r="D50" s="550"/>
      <c r="E50" s="550"/>
      <c r="F50" s="567"/>
      <c r="G50" s="1324" t="s">
        <v>226</v>
      </c>
      <c r="H50" s="1324"/>
      <c r="I50" s="1324"/>
      <c r="J50" s="1324"/>
      <c r="K50" s="567"/>
      <c r="L50" s="616"/>
      <c r="M50" s="565"/>
      <c r="N50" s="563"/>
    </row>
    <row r="51" spans="1:15" s="6" customFormat="1" ht="20.100000000000001" customHeight="1">
      <c r="A51" s="549"/>
      <c r="B51" s="125"/>
      <c r="C51" s="551"/>
      <c r="D51" s="550"/>
      <c r="E51" s="550"/>
      <c r="F51" s="567"/>
      <c r="G51" s="1324" t="s">
        <v>172</v>
      </c>
      <c r="H51" s="1324"/>
      <c r="I51" s="1324"/>
      <c r="J51" s="1324"/>
      <c r="K51" s="567"/>
      <c r="L51" s="616"/>
      <c r="M51" s="567"/>
      <c r="N51" s="563"/>
    </row>
    <row r="52" spans="1:15" s="6" customFormat="1" ht="20.100000000000001" customHeight="1">
      <c r="A52" s="549"/>
      <c r="B52" s="125"/>
      <c r="C52" s="551"/>
      <c r="D52" s="555"/>
      <c r="E52" s="550"/>
      <c r="F52" s="125"/>
      <c r="G52" s="1324" t="s">
        <v>831</v>
      </c>
      <c r="H52" s="1324"/>
      <c r="I52" s="1324"/>
      <c r="J52" s="1324"/>
      <c r="K52" s="567"/>
      <c r="L52" s="544"/>
      <c r="M52" s="125"/>
      <c r="N52" s="563"/>
    </row>
    <row r="53" spans="1:15" s="6" customFormat="1" ht="20.100000000000001" customHeight="1">
      <c r="A53" s="549"/>
      <c r="B53" s="125"/>
      <c r="C53" s="551"/>
      <c r="D53" s="555"/>
      <c r="E53" s="550"/>
      <c r="F53" s="125"/>
      <c r="G53" s="1324" t="s">
        <v>832</v>
      </c>
      <c r="H53" s="1324"/>
      <c r="I53" s="1324"/>
      <c r="J53" s="1324"/>
      <c r="K53" s="125"/>
      <c r="L53" s="544"/>
      <c r="M53" s="125"/>
      <c r="N53" s="563"/>
    </row>
    <row r="54" spans="1:15" s="6" customFormat="1" ht="20.100000000000001" customHeight="1">
      <c r="A54" s="549"/>
      <c r="B54" s="125"/>
      <c r="C54" s="551"/>
      <c r="D54" s="555"/>
      <c r="E54" s="555"/>
      <c r="F54" s="125"/>
      <c r="G54" s="1324" t="s">
        <v>833</v>
      </c>
      <c r="H54" s="1324"/>
      <c r="I54" s="1324"/>
      <c r="J54" s="1324"/>
      <c r="K54" s="125"/>
      <c r="L54" s="544"/>
      <c r="M54" s="125"/>
      <c r="N54" s="563"/>
    </row>
    <row r="55" spans="1:15" s="6" customFormat="1" ht="20.100000000000001" customHeight="1">
      <c r="A55" s="549"/>
      <c r="B55" s="125"/>
      <c r="C55" s="551"/>
      <c r="D55" s="555"/>
      <c r="E55" s="550"/>
      <c r="F55" s="125"/>
      <c r="G55" s="1324" t="s">
        <v>834</v>
      </c>
      <c r="H55" s="1324"/>
      <c r="I55" s="1324"/>
      <c r="J55" s="1324"/>
      <c r="K55" s="125"/>
      <c r="L55" s="447"/>
      <c r="M55" s="125"/>
      <c r="N55" s="563"/>
      <c r="O55" s="570"/>
    </row>
    <row r="56" spans="1:15" s="6" customFormat="1" ht="20.100000000000001" customHeight="1">
      <c r="A56" s="549"/>
      <c r="B56" s="125"/>
      <c r="C56" s="551"/>
      <c r="D56" s="572"/>
      <c r="E56" s="572"/>
      <c r="F56" s="125"/>
      <c r="G56" s="568"/>
      <c r="H56" s="561"/>
      <c r="I56" s="561"/>
      <c r="J56" s="571"/>
      <c r="K56" s="125"/>
      <c r="L56" s="569"/>
      <c r="M56" s="125"/>
      <c r="N56" s="573"/>
      <c r="O56" s="570"/>
    </row>
    <row r="57" spans="1:15" s="6" customFormat="1" ht="20.100000000000001" customHeight="1">
      <c r="A57" s="549"/>
      <c r="B57" s="553">
        <v>6</v>
      </c>
      <c r="C57" s="551"/>
      <c r="D57" s="188"/>
      <c r="E57" s="188"/>
      <c r="F57" s="18"/>
      <c r="G57" s="351" t="s">
        <v>189</v>
      </c>
      <c r="H57" s="549"/>
      <c r="I57" s="549"/>
      <c r="J57" s="554"/>
      <c r="K57" s="18"/>
      <c r="L57" s="18"/>
      <c r="M57" s="18"/>
      <c r="N57" s="372"/>
    </row>
    <row r="58" spans="1:15" s="6" customFormat="1" ht="20.100000000000001" customHeight="1">
      <c r="A58" s="549"/>
      <c r="B58" s="125"/>
      <c r="C58" s="551"/>
      <c r="D58" s="555"/>
      <c r="E58" s="555"/>
      <c r="F58" s="125"/>
      <c r="G58" s="1325" t="s">
        <v>1061</v>
      </c>
      <c r="H58" s="1324"/>
      <c r="I58" s="1324"/>
      <c r="J58" s="1324"/>
      <c r="K58" s="125"/>
      <c r="L58" s="544"/>
      <c r="M58" s="125"/>
      <c r="N58" s="563"/>
    </row>
    <row r="59" spans="1:15" s="6" customFormat="1" ht="20.100000000000001" customHeight="1">
      <c r="A59" s="549"/>
      <c r="B59" s="125"/>
      <c r="C59" s="551"/>
      <c r="D59" s="555"/>
      <c r="E59" s="555"/>
      <c r="F59" s="125"/>
      <c r="G59" s="1324" t="s">
        <v>835</v>
      </c>
      <c r="H59" s="1324"/>
      <c r="I59" s="1324"/>
      <c r="J59" s="1324"/>
      <c r="K59" s="125"/>
      <c r="L59" s="544"/>
      <c r="M59" s="125"/>
      <c r="N59" s="563"/>
    </row>
    <row r="60" spans="1:15" s="6" customFormat="1" ht="20.100000000000001" customHeight="1">
      <c r="A60" s="549"/>
      <c r="B60" s="125"/>
      <c r="C60" s="551"/>
      <c r="D60" s="550"/>
      <c r="E60" s="550"/>
      <c r="F60" s="125"/>
      <c r="G60" s="1324" t="s">
        <v>639</v>
      </c>
      <c r="H60" s="1324"/>
      <c r="I60" s="1324"/>
      <c r="J60" s="1324"/>
      <c r="K60" s="125"/>
      <c r="L60" s="447"/>
      <c r="M60" s="125"/>
      <c r="N60" s="563"/>
    </row>
    <row r="61" spans="1:15" s="6" customFormat="1" ht="20.100000000000001" customHeight="1">
      <c r="A61" s="549"/>
      <c r="B61" s="125"/>
      <c r="C61" s="551"/>
      <c r="D61" s="550"/>
      <c r="E61" s="550"/>
      <c r="F61" s="125"/>
      <c r="G61" s="1324" t="s">
        <v>836</v>
      </c>
      <c r="H61" s="1324"/>
      <c r="I61" s="1324"/>
      <c r="J61" s="1324"/>
      <c r="K61" s="125"/>
      <c r="L61" s="447"/>
      <c r="M61" s="125"/>
      <c r="N61" s="563"/>
    </row>
    <row r="62" spans="1:15" s="6" customFormat="1" ht="20.100000000000001" customHeight="1">
      <c r="A62" s="549"/>
      <c r="B62" s="125"/>
      <c r="C62" s="551"/>
      <c r="D62" s="550"/>
      <c r="E62" s="550"/>
      <c r="F62" s="125"/>
      <c r="G62" s="1324" t="s">
        <v>837</v>
      </c>
      <c r="H62" s="1324"/>
      <c r="I62" s="1324"/>
      <c r="J62" s="1324"/>
      <c r="K62" s="125"/>
      <c r="L62" s="447"/>
      <c r="M62" s="125"/>
      <c r="N62" s="563"/>
    </row>
    <row r="63" spans="1:15" s="6" customFormat="1" ht="20.100000000000001" customHeight="1">
      <c r="A63" s="549"/>
      <c r="B63" s="125"/>
      <c r="C63" s="551"/>
      <c r="D63" s="353"/>
      <c r="E63" s="353"/>
      <c r="F63" s="125"/>
      <c r="G63" s="549"/>
      <c r="H63" s="574"/>
      <c r="I63" s="574"/>
      <c r="J63" s="273"/>
      <c r="K63" s="125"/>
      <c r="L63" s="125"/>
      <c r="M63" s="125"/>
      <c r="N63" s="372"/>
    </row>
    <row r="64" spans="1:15" s="6" customFormat="1" ht="20.100000000000001" customHeight="1">
      <c r="A64" s="549"/>
      <c r="B64" s="553">
        <v>7</v>
      </c>
      <c r="C64" s="551"/>
      <c r="D64" s="188"/>
      <c r="E64" s="188"/>
      <c r="F64" s="18"/>
      <c r="G64" s="351" t="s">
        <v>601</v>
      </c>
      <c r="H64" s="549"/>
      <c r="I64" s="549"/>
      <c r="J64" s="273"/>
      <c r="K64" s="18"/>
      <c r="L64" s="18"/>
      <c r="M64" s="18"/>
      <c r="N64" s="372"/>
    </row>
    <row r="65" spans="1:14" s="6" customFormat="1" ht="20.100000000000001" customHeight="1">
      <c r="A65" s="549"/>
      <c r="B65" s="125"/>
      <c r="C65" s="551"/>
      <c r="D65" s="555"/>
      <c r="E65" s="555"/>
      <c r="F65" s="125"/>
      <c r="G65" s="1324" t="s">
        <v>191</v>
      </c>
      <c r="H65" s="1324"/>
      <c r="I65" s="1324"/>
      <c r="J65" s="1324"/>
      <c r="K65" s="125"/>
      <c r="L65" s="544"/>
      <c r="M65" s="125"/>
      <c r="N65" s="563"/>
    </row>
    <row r="66" spans="1:14" s="6" customFormat="1" ht="20.100000000000001" customHeight="1">
      <c r="A66" s="549"/>
      <c r="B66" s="125"/>
      <c r="C66" s="551"/>
      <c r="D66" s="555"/>
      <c r="E66" s="555"/>
      <c r="F66" s="125"/>
      <c r="G66" s="1324" t="s">
        <v>412</v>
      </c>
      <c r="H66" s="1324"/>
      <c r="I66" s="1324"/>
      <c r="J66" s="1324"/>
      <c r="K66" s="125"/>
      <c r="L66" s="544"/>
      <c r="M66" s="125"/>
      <c r="N66" s="563"/>
    </row>
    <row r="67" spans="1:14" s="6" customFormat="1" ht="20.100000000000001" customHeight="1">
      <c r="A67" s="549"/>
      <c r="B67" s="125"/>
      <c r="C67" s="551"/>
      <c r="D67" s="550"/>
      <c r="E67" s="550"/>
      <c r="F67" s="125"/>
      <c r="G67" s="1324" t="s">
        <v>413</v>
      </c>
      <c r="H67" s="1324"/>
      <c r="I67" s="1324"/>
      <c r="J67" s="1324"/>
      <c r="K67" s="125"/>
      <c r="L67" s="447"/>
      <c r="M67" s="125"/>
      <c r="N67" s="563"/>
    </row>
    <row r="68" spans="1:14">
      <c r="B68" s="34"/>
      <c r="D68" s="34"/>
      <c r="E68" s="34"/>
      <c r="F68" s="34"/>
      <c r="J68" s="575"/>
      <c r="K68" s="34"/>
      <c r="L68" s="34"/>
      <c r="M68" s="34"/>
      <c r="N68" s="266"/>
    </row>
    <row r="69" spans="1:14">
      <c r="G69" s="576"/>
      <c r="H69" s="576"/>
      <c r="I69" s="576"/>
      <c r="J69" s="576"/>
    </row>
    <row r="70" spans="1:14" ht="12" customHeight="1">
      <c r="B70" s="990"/>
      <c r="C70" s="990"/>
      <c r="D70" s="990"/>
      <c r="E70" s="990"/>
      <c r="F70" s="990"/>
      <c r="G70" s="990"/>
      <c r="H70" s="990"/>
      <c r="I70" s="990"/>
      <c r="J70" s="990"/>
      <c r="K70" s="990"/>
      <c r="L70" s="990"/>
      <c r="M70" s="989"/>
      <c r="N70" s="989"/>
    </row>
    <row r="71" spans="1:14" ht="12" customHeight="1">
      <c r="B71" s="990"/>
      <c r="C71" s="990"/>
      <c r="D71" s="990"/>
      <c r="E71" s="990"/>
      <c r="F71" s="990"/>
      <c r="G71" s="990"/>
      <c r="H71" s="990"/>
      <c r="I71" s="990"/>
      <c r="J71" s="990"/>
      <c r="K71" s="990"/>
      <c r="L71" s="990"/>
      <c r="M71" s="989"/>
      <c r="N71" s="989"/>
    </row>
    <row r="72" spans="1:14" ht="26.25" customHeight="1">
      <c r="B72" s="498"/>
      <c r="C72" s="1323"/>
      <c r="D72" s="1323"/>
      <c r="E72" s="1323"/>
      <c r="F72" s="1323"/>
      <c r="G72" s="1160"/>
      <c r="H72" s="1322"/>
      <c r="I72" s="1322"/>
      <c r="J72" s="688"/>
      <c r="K72"/>
      <c r="L72" s="688"/>
    </row>
    <row r="73" spans="1:14" ht="27" customHeight="1">
      <c r="C73" s="1321"/>
      <c r="D73" s="1321"/>
      <c r="E73" s="1321"/>
      <c r="F73" s="1321"/>
      <c r="G73" s="1020"/>
      <c r="H73" s="1020"/>
      <c r="I73" s="1020"/>
      <c r="J73" s="684"/>
      <c r="K73"/>
      <c r="L73" s="684"/>
    </row>
    <row r="74" spans="1:14" ht="27" customHeight="1">
      <c r="C74" s="1321"/>
      <c r="D74" s="1321"/>
      <c r="E74" s="1321"/>
      <c r="F74" s="1321"/>
      <c r="G74" s="1020"/>
      <c r="H74" s="1020"/>
      <c r="I74" s="1020"/>
      <c r="J74" s="684"/>
      <c r="K74"/>
      <c r="L74" s="684"/>
    </row>
    <row r="75" spans="1:14" ht="27" customHeight="1">
      <c r="C75" s="1321"/>
      <c r="D75" s="1321"/>
      <c r="E75" s="1321"/>
      <c r="F75" s="1321"/>
      <c r="G75" s="808"/>
      <c r="H75" s="808"/>
      <c r="I75" s="808"/>
      <c r="J75" s="679"/>
      <c r="K75"/>
      <c r="L75" s="679"/>
    </row>
    <row r="76" spans="1:14" ht="16.5" customHeight="1">
      <c r="C76" s="683"/>
      <c r="D76" s="683"/>
      <c r="E76" s="683"/>
      <c r="F76" s="683"/>
      <c r="G76" s="808"/>
      <c r="H76" s="808"/>
      <c r="I76" s="808"/>
      <c r="J76" s="679"/>
      <c r="K76"/>
      <c r="L76" s="679"/>
    </row>
    <row r="77" spans="1:14">
      <c r="G77" s="576"/>
      <c r="H77" s="576"/>
      <c r="I77" s="576"/>
      <c r="J77" s="576"/>
    </row>
  </sheetData>
  <mergeCells count="49">
    <mergeCell ref="O15:Q15"/>
    <mergeCell ref="G20:J20"/>
    <mergeCell ref="G23:J23"/>
    <mergeCell ref="G24:J24"/>
    <mergeCell ref="G25:J25"/>
    <mergeCell ref="G15:J15"/>
    <mergeCell ref="G16:J16"/>
    <mergeCell ref="G19:J19"/>
    <mergeCell ref="G21:J21"/>
    <mergeCell ref="G22:J22"/>
    <mergeCell ref="D9:N9"/>
    <mergeCell ref="A1:M3"/>
    <mergeCell ref="N1:N3"/>
    <mergeCell ref="G31:J31"/>
    <mergeCell ref="G32:J32"/>
    <mergeCell ref="G14:J14"/>
    <mergeCell ref="G26:J26"/>
    <mergeCell ref="G27:J27"/>
    <mergeCell ref="G30:J30"/>
    <mergeCell ref="G35:J35"/>
    <mergeCell ref="G36:J36"/>
    <mergeCell ref="G38:J38"/>
    <mergeCell ref="G42:J42"/>
    <mergeCell ref="G43:J43"/>
    <mergeCell ref="G37:J37"/>
    <mergeCell ref="G44:J44"/>
    <mergeCell ref="G45:J45"/>
    <mergeCell ref="G41:J41"/>
    <mergeCell ref="G49:J49"/>
    <mergeCell ref="G50:J50"/>
    <mergeCell ref="G46:J46"/>
    <mergeCell ref="G51:J51"/>
    <mergeCell ref="G52:J52"/>
    <mergeCell ref="G53:J53"/>
    <mergeCell ref="G54:J54"/>
    <mergeCell ref="G55:J55"/>
    <mergeCell ref="G65:J65"/>
    <mergeCell ref="G66:J66"/>
    <mergeCell ref="G67:J67"/>
    <mergeCell ref="G58:J58"/>
    <mergeCell ref="G59:J59"/>
    <mergeCell ref="G60:J60"/>
    <mergeCell ref="G61:J61"/>
    <mergeCell ref="G62:J62"/>
    <mergeCell ref="C74:F74"/>
    <mergeCell ref="C75:F75"/>
    <mergeCell ref="H72:I72"/>
    <mergeCell ref="C73:F73"/>
    <mergeCell ref="C72:F72"/>
  </mergeCells>
  <phoneticPr fontId="12" type="noConversion"/>
  <printOptions horizontalCentered="1" verticalCentered="1"/>
  <pageMargins left="0" right="0" top="0.78740157480314965" bottom="0.39370078740157483" header="0" footer="0"/>
  <pageSetup paperSize="9" scale="53" orientation="portrait" blackAndWhite="1" r:id="rId1"/>
  <headerFooter alignWithMargins="0">
    <oddFooter>&amp;LEdité le &amp;D&amp;C&amp;P/&amp;N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72">
    <tabColor indexed="42"/>
  </sheetPr>
  <dimension ref="A1:I122"/>
  <sheetViews>
    <sheetView showGridLines="0" view="pageBreakPreview" zoomScaleNormal="100" zoomScaleSheetLayoutView="100" workbookViewId="0">
      <selection activeCell="A72" sqref="A72"/>
    </sheetView>
  </sheetViews>
  <sheetFormatPr baseColWidth="10" defaultRowHeight="12.75"/>
  <cols>
    <col min="1" max="1" width="12.140625" customWidth="1"/>
    <col min="2" max="3" width="12.7109375" customWidth="1"/>
    <col min="4" max="4" width="9.7109375" customWidth="1"/>
    <col min="5" max="7" width="12.140625" customWidth="1"/>
  </cols>
  <sheetData>
    <row r="1" spans="1:9" ht="38.25" customHeight="1">
      <c r="A1" s="1336" t="s">
        <v>104</v>
      </c>
      <c r="B1" s="1337"/>
      <c r="C1" s="1337"/>
      <c r="D1" s="1337"/>
      <c r="E1" s="1337"/>
      <c r="F1" s="1337"/>
      <c r="G1" s="1337"/>
      <c r="H1" s="1337"/>
      <c r="I1" s="1337"/>
    </row>
    <row r="2" spans="1:9">
      <c r="A2" s="1338" t="s">
        <v>234</v>
      </c>
      <c r="B2" s="1338"/>
      <c r="C2" s="1338"/>
      <c r="D2" s="1338"/>
      <c r="E2" s="1338"/>
      <c r="F2" s="1338"/>
      <c r="G2" s="1338"/>
      <c r="H2" s="1338"/>
      <c r="I2" s="1338"/>
    </row>
    <row r="3" spans="1:9" ht="13.5">
      <c r="A3" s="1339" t="s">
        <v>235</v>
      </c>
      <c r="B3" s="1339"/>
      <c r="C3" s="1339"/>
      <c r="D3" s="1339"/>
      <c r="E3" s="1339"/>
      <c r="F3" s="1339"/>
      <c r="G3" s="1339"/>
      <c r="H3" s="1339"/>
      <c r="I3" s="1339"/>
    </row>
    <row r="4" spans="1:9">
      <c r="A4" s="40"/>
      <c r="B4" s="40"/>
      <c r="C4" s="40"/>
      <c r="D4" s="40"/>
      <c r="E4" s="40"/>
      <c r="F4" s="40"/>
      <c r="G4" s="40"/>
      <c r="H4" s="40"/>
    </row>
    <row r="5" spans="1:9">
      <c r="A5" s="41" t="s">
        <v>105</v>
      </c>
      <c r="B5" s="40"/>
      <c r="C5" s="40"/>
      <c r="D5" s="40"/>
      <c r="E5" s="40"/>
      <c r="F5" s="40"/>
      <c r="G5" s="40"/>
      <c r="H5" s="40"/>
    </row>
    <row r="6" spans="1:9">
      <c r="A6" s="40"/>
      <c r="B6" s="40"/>
      <c r="C6" s="40"/>
      <c r="D6" s="40"/>
      <c r="E6" s="40"/>
      <c r="F6" s="40"/>
      <c r="G6" s="40"/>
      <c r="H6" s="40"/>
    </row>
    <row r="7" spans="1:9" ht="15.95" customHeight="1">
      <c r="A7" s="40"/>
      <c r="B7" s="1340" t="s">
        <v>106</v>
      </c>
      <c r="C7" s="1341"/>
      <c r="D7" s="42" t="s">
        <v>107</v>
      </c>
      <c r="E7" s="1340" t="s">
        <v>108</v>
      </c>
      <c r="F7" s="1342"/>
      <c r="G7" s="1341"/>
      <c r="H7" s="40"/>
    </row>
    <row r="8" spans="1:9" ht="15.95" customHeight="1">
      <c r="A8" s="40"/>
      <c r="B8" s="1343" t="s">
        <v>109</v>
      </c>
      <c r="C8" s="1344"/>
      <c r="D8" s="43" t="s">
        <v>110</v>
      </c>
      <c r="E8" s="1343" t="s">
        <v>236</v>
      </c>
      <c r="F8" s="1345"/>
      <c r="G8" s="1344"/>
      <c r="H8" s="40"/>
    </row>
    <row r="9" spans="1:9" ht="15.95" customHeight="1">
      <c r="A9" s="40"/>
      <c r="B9" s="1343" t="s">
        <v>237</v>
      </c>
      <c r="C9" s="1344"/>
      <c r="D9" s="43" t="s">
        <v>111</v>
      </c>
      <c r="E9" s="1343" t="s">
        <v>238</v>
      </c>
      <c r="F9" s="1345"/>
      <c r="G9" s="1344"/>
      <c r="H9" s="40"/>
    </row>
    <row r="10" spans="1:9" ht="15.95" customHeight="1">
      <c r="A10" s="40"/>
      <c r="B10" s="1343"/>
      <c r="C10" s="1344"/>
      <c r="D10" s="43"/>
      <c r="E10" s="1340" t="s">
        <v>112</v>
      </c>
      <c r="F10" s="1342"/>
      <c r="G10" s="1341"/>
      <c r="H10" s="40"/>
    </row>
    <row r="11" spans="1:9" ht="15.95" customHeight="1">
      <c r="A11" s="40"/>
      <c r="B11" s="1343" t="s">
        <v>239</v>
      </c>
      <c r="C11" s="1344"/>
      <c r="D11" s="43" t="s">
        <v>113</v>
      </c>
      <c r="E11" s="1343" t="s">
        <v>240</v>
      </c>
      <c r="F11" s="1345"/>
      <c r="G11" s="1344"/>
      <c r="H11" s="40"/>
    </row>
    <row r="12" spans="1:9" ht="15.95" customHeight="1">
      <c r="A12" s="40"/>
      <c r="B12" s="1343" t="s">
        <v>241</v>
      </c>
      <c r="C12" s="1344"/>
      <c r="D12" s="44" t="s">
        <v>114</v>
      </c>
      <c r="E12" s="1343" t="s">
        <v>242</v>
      </c>
      <c r="F12" s="1345"/>
      <c r="G12" s="1344"/>
      <c r="H12" s="40"/>
    </row>
    <row r="13" spans="1:9" ht="15.95" customHeight="1">
      <c r="A13" s="40"/>
      <c r="B13" s="1343"/>
      <c r="C13" s="1344"/>
      <c r="D13" s="43"/>
      <c r="E13" s="1340" t="s">
        <v>115</v>
      </c>
      <c r="F13" s="1342"/>
      <c r="G13" s="1341"/>
      <c r="H13" s="40"/>
    </row>
    <row r="14" spans="1:9" ht="15.95" customHeight="1">
      <c r="A14" s="40"/>
      <c r="B14" s="1343" t="s">
        <v>243</v>
      </c>
      <c r="C14" s="1344"/>
      <c r="D14" s="45" t="s">
        <v>114</v>
      </c>
      <c r="E14" s="1343" t="s">
        <v>116</v>
      </c>
      <c r="F14" s="1345"/>
      <c r="G14" s="1344"/>
      <c r="H14" s="40"/>
    </row>
    <row r="15" spans="1:9">
      <c r="A15" s="40"/>
      <c r="B15" s="40"/>
      <c r="C15" s="40"/>
      <c r="D15" s="40"/>
      <c r="E15" s="40"/>
      <c r="F15" s="40"/>
      <c r="G15" s="40"/>
      <c r="H15" s="40"/>
    </row>
    <row r="16" spans="1:9">
      <c r="A16" s="41" t="s">
        <v>117</v>
      </c>
      <c r="B16" s="40"/>
      <c r="C16" s="40"/>
      <c r="D16" s="40"/>
      <c r="E16" s="40"/>
      <c r="F16" s="40"/>
      <c r="G16" s="40"/>
      <c r="H16" s="40"/>
    </row>
    <row r="17" spans="1:8">
      <c r="A17" s="40"/>
      <c r="B17" s="40"/>
      <c r="C17" s="40"/>
      <c r="D17" s="40"/>
      <c r="E17" s="40"/>
      <c r="F17" s="40"/>
      <c r="G17" s="40"/>
      <c r="H17" s="40"/>
    </row>
    <row r="18" spans="1:8">
      <c r="A18" s="40"/>
      <c r="B18" s="40"/>
      <c r="C18" s="40"/>
      <c r="D18" s="40"/>
      <c r="E18" s="40"/>
      <c r="F18" s="40"/>
      <c r="G18" s="40"/>
      <c r="H18" s="40"/>
    </row>
    <row r="19" spans="1:8">
      <c r="A19" s="40"/>
      <c r="B19" s="40"/>
      <c r="C19" s="40"/>
      <c r="D19" s="40"/>
      <c r="E19" s="40"/>
      <c r="F19" s="40"/>
      <c r="G19" s="40"/>
      <c r="H19" s="40"/>
    </row>
    <row r="20" spans="1:8">
      <c r="A20" s="40"/>
      <c r="B20" s="40"/>
      <c r="C20" s="40"/>
      <c r="D20" s="40"/>
      <c r="E20" s="40"/>
      <c r="F20" s="40"/>
      <c r="G20" s="40"/>
      <c r="H20" s="40"/>
    </row>
    <row r="21" spans="1:8">
      <c r="A21" s="40"/>
      <c r="B21" s="40"/>
      <c r="C21" s="40"/>
      <c r="D21" s="40"/>
      <c r="E21" s="40"/>
      <c r="F21" s="40"/>
      <c r="G21" s="40"/>
      <c r="H21" s="40"/>
    </row>
    <row r="22" spans="1:8">
      <c r="A22" s="40"/>
      <c r="B22" s="40"/>
      <c r="C22" s="40"/>
      <c r="D22" s="40"/>
      <c r="E22" s="40"/>
      <c r="F22" s="40"/>
      <c r="G22" s="40"/>
      <c r="H22" s="40"/>
    </row>
    <row r="23" spans="1:8">
      <c r="A23" s="40"/>
      <c r="B23" s="40"/>
      <c r="C23" s="40"/>
      <c r="D23" s="40"/>
      <c r="E23" s="40"/>
      <c r="F23" s="40"/>
      <c r="G23" s="40"/>
      <c r="H23" s="40"/>
    </row>
    <row r="24" spans="1:8">
      <c r="A24" s="40"/>
      <c r="B24" s="40"/>
      <c r="C24" s="40"/>
      <c r="D24" s="40"/>
      <c r="E24" s="40"/>
      <c r="F24" s="40"/>
      <c r="G24" s="40"/>
      <c r="H24" s="40"/>
    </row>
    <row r="25" spans="1:8">
      <c r="A25" s="40"/>
      <c r="B25" s="40"/>
      <c r="C25" s="40"/>
      <c r="D25" s="40"/>
      <c r="E25" s="40"/>
      <c r="F25" s="40"/>
      <c r="G25" s="40"/>
      <c r="H25" s="40"/>
    </row>
    <row r="26" spans="1:8">
      <c r="A26" s="40"/>
      <c r="B26" s="40"/>
      <c r="C26" s="40"/>
      <c r="D26" s="40"/>
      <c r="E26" s="40"/>
      <c r="F26" s="40"/>
      <c r="G26" s="40"/>
      <c r="H26" s="40"/>
    </row>
    <row r="27" spans="1:8">
      <c r="A27" s="40"/>
      <c r="B27" s="40"/>
      <c r="C27" s="40"/>
      <c r="D27" s="40"/>
      <c r="E27" s="40"/>
      <c r="F27" s="40"/>
      <c r="G27" s="40"/>
      <c r="H27" s="40"/>
    </row>
    <row r="28" spans="1:8">
      <c r="A28" s="40"/>
      <c r="B28" s="40"/>
      <c r="C28" s="40"/>
      <c r="D28" s="40"/>
      <c r="E28" s="40"/>
      <c r="F28" s="40"/>
      <c r="G28" s="40"/>
      <c r="H28" s="40"/>
    </row>
    <row r="29" spans="1:8">
      <c r="A29" s="40"/>
      <c r="B29" s="40"/>
      <c r="C29" s="40"/>
      <c r="D29" s="40"/>
      <c r="E29" s="40"/>
      <c r="F29" s="40"/>
      <c r="G29" s="40"/>
      <c r="H29" s="40"/>
    </row>
    <row r="30" spans="1:8">
      <c r="A30" s="40"/>
      <c r="B30" s="40"/>
      <c r="C30" s="40"/>
      <c r="D30" s="40"/>
      <c r="E30" s="40"/>
      <c r="F30" s="40"/>
      <c r="G30" s="40"/>
      <c r="H30" s="40"/>
    </row>
    <row r="31" spans="1:8">
      <c r="A31" s="40"/>
      <c r="B31" s="40"/>
      <c r="C31" s="40"/>
      <c r="D31" s="40"/>
      <c r="E31" s="40"/>
      <c r="F31" s="40"/>
      <c r="G31" s="40"/>
      <c r="H31" s="40"/>
    </row>
    <row r="32" spans="1:8">
      <c r="A32" s="40"/>
      <c r="B32" s="40"/>
      <c r="C32" s="40"/>
      <c r="D32" s="40"/>
      <c r="E32" s="40"/>
      <c r="F32" s="40"/>
      <c r="G32" s="40"/>
      <c r="H32" s="40"/>
    </row>
    <row r="33" spans="1:8">
      <c r="A33" s="41" t="s">
        <v>118</v>
      </c>
      <c r="B33" s="40"/>
      <c r="C33" s="40"/>
      <c r="D33" s="40"/>
      <c r="E33" s="40"/>
      <c r="F33" s="40"/>
      <c r="G33" s="40"/>
      <c r="H33" s="40"/>
    </row>
    <row r="34" spans="1:8">
      <c r="A34" s="40"/>
      <c r="B34" s="40"/>
      <c r="C34" s="40"/>
      <c r="D34" s="40"/>
      <c r="E34" s="40"/>
      <c r="F34" s="40"/>
      <c r="G34" s="40"/>
      <c r="H34" s="40"/>
    </row>
    <row r="35" spans="1:8">
      <c r="A35" s="40"/>
      <c r="B35" s="40"/>
      <c r="C35" s="40"/>
      <c r="D35" s="40"/>
      <c r="E35" s="40"/>
      <c r="F35" s="40"/>
      <c r="G35" s="40"/>
      <c r="H35" s="40"/>
    </row>
    <row r="36" spans="1:8">
      <c r="A36" s="46"/>
      <c r="B36" s="47"/>
      <c r="C36" s="47"/>
      <c r="D36" s="1346" t="s">
        <v>119</v>
      </c>
      <c r="E36" s="1347"/>
      <c r="F36" s="48" t="s">
        <v>120</v>
      </c>
      <c r="G36" s="49" t="s">
        <v>121</v>
      </c>
      <c r="H36" s="49" t="s">
        <v>122</v>
      </c>
    </row>
    <row r="37" spans="1:8">
      <c r="A37" s="50" t="s">
        <v>123</v>
      </c>
      <c r="B37" s="40"/>
      <c r="C37" s="1348" t="s">
        <v>244</v>
      </c>
      <c r="D37" s="1348"/>
      <c r="E37" s="1349"/>
      <c r="F37" s="51" t="s">
        <v>124</v>
      </c>
      <c r="G37" s="52" t="s">
        <v>125</v>
      </c>
      <c r="H37" s="52" t="s">
        <v>114</v>
      </c>
    </row>
    <row r="38" spans="1:8">
      <c r="A38" s="53"/>
      <c r="B38" s="54"/>
      <c r="C38" s="54"/>
      <c r="D38" s="54"/>
      <c r="E38" s="55"/>
      <c r="F38" s="56" t="s">
        <v>126</v>
      </c>
      <c r="G38" s="57" t="s">
        <v>114</v>
      </c>
      <c r="H38" s="57"/>
    </row>
    <row r="39" spans="1:8">
      <c r="A39" s="58" t="s">
        <v>245</v>
      </c>
      <c r="B39" s="59"/>
      <c r="C39" s="60" t="s">
        <v>127</v>
      </c>
      <c r="D39" s="1358" t="s">
        <v>246</v>
      </c>
      <c r="E39" s="1359"/>
      <c r="F39" s="61">
        <v>45</v>
      </c>
      <c r="G39" s="62">
        <v>25</v>
      </c>
      <c r="H39" s="62">
        <v>20</v>
      </c>
    </row>
    <row r="40" spans="1:8" ht="13.5">
      <c r="A40" s="63" t="s">
        <v>247</v>
      </c>
      <c r="B40" s="64"/>
      <c r="C40" s="65"/>
      <c r="D40" s="1360" t="s">
        <v>128</v>
      </c>
      <c r="E40" s="1361"/>
      <c r="F40" s="66">
        <v>5</v>
      </c>
      <c r="G40" s="65">
        <v>6</v>
      </c>
      <c r="H40" s="65">
        <v>9</v>
      </c>
    </row>
    <row r="41" spans="1:8">
      <c r="A41" s="67" t="s">
        <v>245</v>
      </c>
      <c r="B41" s="40"/>
      <c r="C41" s="68"/>
      <c r="D41" s="1362" t="s">
        <v>246</v>
      </c>
      <c r="E41" s="1363"/>
      <c r="F41" s="69">
        <v>55</v>
      </c>
      <c r="G41" s="68">
        <v>30</v>
      </c>
      <c r="H41" s="68">
        <v>25</v>
      </c>
    </row>
    <row r="42" spans="1:8" ht="13.5">
      <c r="A42" s="50" t="s">
        <v>144</v>
      </c>
      <c r="B42" s="40"/>
      <c r="C42" s="68" t="s">
        <v>129</v>
      </c>
      <c r="D42" s="1364" t="s">
        <v>128</v>
      </c>
      <c r="E42" s="1365"/>
      <c r="F42" s="69">
        <v>5</v>
      </c>
      <c r="G42" s="68">
        <v>6</v>
      </c>
      <c r="H42" s="68">
        <v>8</v>
      </c>
    </row>
    <row r="43" spans="1:8">
      <c r="A43" s="53" t="s">
        <v>130</v>
      </c>
      <c r="B43" s="54"/>
      <c r="C43" s="70"/>
      <c r="D43" s="1350"/>
      <c r="E43" s="1351"/>
      <c r="F43" s="71"/>
      <c r="G43" s="70"/>
      <c r="H43" s="70"/>
    </row>
    <row r="44" spans="1:8">
      <c r="A44" s="72" t="s">
        <v>131</v>
      </c>
      <c r="B44" s="59"/>
      <c r="C44" s="62" t="s">
        <v>132</v>
      </c>
      <c r="D44" s="1352" t="s">
        <v>246</v>
      </c>
      <c r="E44" s="1353"/>
      <c r="F44" s="61">
        <v>20</v>
      </c>
      <c r="G44" s="62"/>
      <c r="H44" s="62">
        <v>15</v>
      </c>
    </row>
    <row r="45" spans="1:8" ht="13.5">
      <c r="A45" s="72" t="s">
        <v>145</v>
      </c>
      <c r="B45" s="59"/>
      <c r="C45" s="62"/>
      <c r="D45" s="1354" t="s">
        <v>128</v>
      </c>
      <c r="E45" s="1355"/>
      <c r="F45" s="61">
        <v>5</v>
      </c>
      <c r="G45" s="62"/>
      <c r="H45" s="62">
        <v>16</v>
      </c>
    </row>
    <row r="46" spans="1:8">
      <c r="A46" s="63" t="s">
        <v>133</v>
      </c>
      <c r="B46" s="64"/>
      <c r="C46" s="65"/>
      <c r="D46" s="1356"/>
      <c r="E46" s="1357"/>
      <c r="F46" s="66"/>
      <c r="G46" s="65"/>
      <c r="H46" s="65"/>
    </row>
    <row r="47" spans="1:8">
      <c r="A47" s="50" t="s">
        <v>610</v>
      </c>
      <c r="B47" s="40"/>
      <c r="C47" s="68" t="s">
        <v>611</v>
      </c>
      <c r="D47" s="1362" t="s">
        <v>246</v>
      </c>
      <c r="E47" s="1363"/>
      <c r="F47" s="69">
        <v>40</v>
      </c>
      <c r="G47" s="68">
        <v>20</v>
      </c>
      <c r="H47" s="68">
        <v>20</v>
      </c>
    </row>
    <row r="48" spans="1:8">
      <c r="A48" s="50" t="s">
        <v>612</v>
      </c>
      <c r="B48" s="40"/>
      <c r="C48" s="68"/>
      <c r="D48" s="1364" t="s">
        <v>128</v>
      </c>
      <c r="E48" s="1365"/>
      <c r="F48" s="69">
        <v>6</v>
      </c>
      <c r="G48" s="68">
        <v>8</v>
      </c>
      <c r="H48" s="68">
        <v>12</v>
      </c>
    </row>
    <row r="49" spans="1:9" ht="13.5">
      <c r="A49" s="53" t="s">
        <v>146</v>
      </c>
      <c r="B49" s="54"/>
      <c r="C49" s="70"/>
      <c r="D49" s="1350"/>
      <c r="E49" s="1351"/>
      <c r="F49" s="71"/>
      <c r="G49" s="70"/>
      <c r="H49" s="70"/>
    </row>
    <row r="50" spans="1:9">
      <c r="A50" s="72" t="s">
        <v>610</v>
      </c>
      <c r="B50" s="59"/>
      <c r="C50" s="62" t="s">
        <v>613</v>
      </c>
      <c r="D50" s="1352" t="s">
        <v>246</v>
      </c>
      <c r="E50" s="1353"/>
      <c r="F50" s="61">
        <v>55</v>
      </c>
      <c r="G50" s="62">
        <v>30</v>
      </c>
      <c r="H50" s="62">
        <v>25</v>
      </c>
    </row>
    <row r="51" spans="1:9">
      <c r="A51" s="72" t="s">
        <v>614</v>
      </c>
      <c r="B51" s="59"/>
      <c r="C51" s="62"/>
      <c r="D51" s="1354" t="s">
        <v>128</v>
      </c>
      <c r="E51" s="1355"/>
      <c r="F51" s="61">
        <v>6</v>
      </c>
      <c r="G51" s="62">
        <v>8</v>
      </c>
      <c r="H51" s="62">
        <v>10</v>
      </c>
    </row>
    <row r="52" spans="1:9">
      <c r="A52" s="63" t="s">
        <v>615</v>
      </c>
      <c r="B52" s="64"/>
      <c r="C52" s="65"/>
      <c r="D52" s="1356"/>
      <c r="E52" s="1357"/>
      <c r="F52" s="66"/>
      <c r="G52" s="65"/>
      <c r="H52" s="65"/>
    </row>
    <row r="53" spans="1:9">
      <c r="A53" s="40"/>
      <c r="B53" s="40"/>
      <c r="C53" s="40"/>
      <c r="D53" s="40"/>
      <c r="E53" s="40"/>
      <c r="F53" s="40"/>
      <c r="G53" s="40"/>
      <c r="H53" s="40"/>
    </row>
    <row r="54" spans="1:9">
      <c r="A54" s="40" t="s">
        <v>616</v>
      </c>
      <c r="B54" s="40"/>
      <c r="C54" s="40"/>
      <c r="D54" s="40"/>
      <c r="E54" s="40"/>
      <c r="F54" s="40"/>
      <c r="G54" s="40"/>
      <c r="H54" s="40"/>
    </row>
    <row r="55" spans="1:9" ht="27" customHeight="1">
      <c r="A55" s="40"/>
      <c r="B55" s="40"/>
      <c r="C55" s="40"/>
      <c r="D55" s="40"/>
      <c r="E55" s="40"/>
      <c r="F55" s="40"/>
      <c r="G55" s="40"/>
      <c r="H55" s="40"/>
    </row>
    <row r="56" spans="1:9" ht="24">
      <c r="A56" s="40"/>
      <c r="B56" s="73" t="s">
        <v>392</v>
      </c>
      <c r="C56" s="74"/>
      <c r="D56" s="74"/>
      <c r="E56" s="74"/>
      <c r="F56" s="74"/>
      <c r="G56" s="74"/>
      <c r="H56" s="74"/>
    </row>
    <row r="57" spans="1:9" ht="27" customHeight="1">
      <c r="A57" s="40"/>
      <c r="B57" s="74"/>
      <c r="C57" s="74"/>
      <c r="D57" s="74"/>
      <c r="E57" s="74"/>
      <c r="F57" s="74"/>
      <c r="G57" s="74"/>
      <c r="H57" s="74"/>
    </row>
    <row r="58" spans="1:9">
      <c r="A58" s="40"/>
      <c r="B58" s="40"/>
      <c r="C58" s="40"/>
      <c r="D58" s="40"/>
      <c r="E58" s="40"/>
      <c r="F58" s="40"/>
      <c r="G58" s="40"/>
      <c r="H58" s="40"/>
    </row>
    <row r="59" spans="1:9" ht="38.25" customHeight="1">
      <c r="A59" s="1336" t="s">
        <v>104</v>
      </c>
      <c r="B59" s="1339"/>
      <c r="C59" s="1339"/>
      <c r="D59" s="1339"/>
      <c r="E59" s="1339"/>
      <c r="F59" s="1339"/>
      <c r="G59" s="1339"/>
      <c r="H59" s="1339"/>
      <c r="I59" s="1339"/>
    </row>
    <row r="60" spans="1:9" ht="14.25">
      <c r="A60" s="1366" t="s">
        <v>617</v>
      </c>
      <c r="B60" s="1366"/>
      <c r="C60" s="1366"/>
      <c r="D60" s="1366"/>
      <c r="E60" s="1366"/>
      <c r="F60" s="1366"/>
      <c r="G60" s="1366"/>
      <c r="H60" s="1366"/>
      <c r="I60" s="1366"/>
    </row>
    <row r="61" spans="1:9">
      <c r="A61" s="40"/>
      <c r="B61" s="40"/>
      <c r="C61" s="40"/>
      <c r="D61" s="40"/>
      <c r="E61" s="40"/>
      <c r="F61" s="40"/>
      <c r="G61" s="40"/>
      <c r="H61" s="40"/>
    </row>
    <row r="62" spans="1:9">
      <c r="A62" s="75" t="s">
        <v>618</v>
      </c>
      <c r="B62" s="40"/>
      <c r="C62" s="40"/>
      <c r="D62" s="40"/>
      <c r="E62" s="40"/>
      <c r="F62" s="40"/>
      <c r="G62" s="40"/>
      <c r="H62" s="40"/>
    </row>
    <row r="63" spans="1:9">
      <c r="A63" s="40"/>
      <c r="B63" s="40"/>
      <c r="C63" s="40"/>
      <c r="D63" s="40"/>
      <c r="E63" s="40"/>
      <c r="F63" s="40"/>
      <c r="G63" s="40"/>
      <c r="H63" s="40"/>
    </row>
    <row r="64" spans="1:9">
      <c r="A64" s="40" t="s">
        <v>619</v>
      </c>
      <c r="B64" s="40"/>
      <c r="C64" s="40"/>
      <c r="D64" s="40"/>
      <c r="E64" s="40"/>
      <c r="F64" s="40"/>
      <c r="G64" s="40"/>
      <c r="H64" s="40"/>
    </row>
    <row r="65" spans="1:8">
      <c r="A65" s="40"/>
      <c r="B65" s="40" t="s">
        <v>620</v>
      </c>
      <c r="C65" s="40"/>
      <c r="D65" s="40"/>
      <c r="E65" s="40"/>
      <c r="F65" s="40"/>
      <c r="G65" s="40"/>
      <c r="H65" s="40"/>
    </row>
    <row r="66" spans="1:8">
      <c r="A66" s="40"/>
      <c r="B66" s="40" t="s">
        <v>147</v>
      </c>
      <c r="C66" s="40"/>
      <c r="D66" s="40"/>
      <c r="E66" s="40"/>
      <c r="F66" s="40" t="s">
        <v>148</v>
      </c>
      <c r="G66" s="40"/>
      <c r="H66" s="40"/>
    </row>
    <row r="67" spans="1:8">
      <c r="A67" s="40"/>
      <c r="B67" s="40"/>
      <c r="C67" s="40"/>
      <c r="D67" s="40"/>
      <c r="E67" s="40"/>
      <c r="F67" s="40"/>
      <c r="G67" s="40"/>
      <c r="H67" s="40"/>
    </row>
    <row r="68" spans="1:8">
      <c r="A68" s="75" t="s">
        <v>621</v>
      </c>
      <c r="B68" s="40"/>
      <c r="C68" s="40"/>
      <c r="D68" s="40"/>
      <c r="E68" s="40"/>
      <c r="F68" s="40"/>
      <c r="G68" s="40"/>
      <c r="H68" s="40"/>
    </row>
    <row r="69" spans="1:8">
      <c r="A69" s="40"/>
      <c r="B69" s="40"/>
      <c r="C69" s="40"/>
      <c r="D69" s="40"/>
      <c r="E69" s="40"/>
      <c r="F69" s="40"/>
      <c r="G69" s="40"/>
      <c r="H69" s="40"/>
    </row>
    <row r="70" spans="1:8">
      <c r="A70" s="40" t="s">
        <v>622</v>
      </c>
      <c r="B70" s="40"/>
      <c r="C70" s="40"/>
      <c r="D70" s="40"/>
      <c r="E70" s="40"/>
      <c r="F70" s="40"/>
      <c r="G70" s="40"/>
      <c r="H70" s="40"/>
    </row>
    <row r="71" spans="1:8">
      <c r="A71" s="40"/>
      <c r="B71" s="40" t="s">
        <v>623</v>
      </c>
      <c r="C71" s="40"/>
      <c r="D71" s="40"/>
      <c r="E71" s="40"/>
      <c r="F71" s="40"/>
      <c r="G71" s="40"/>
      <c r="H71" s="40"/>
    </row>
    <row r="72" spans="1:8">
      <c r="A72" s="40"/>
      <c r="B72" s="40" t="s">
        <v>624</v>
      </c>
      <c r="C72" s="40"/>
      <c r="D72" s="40"/>
      <c r="E72" s="40"/>
      <c r="F72" s="40"/>
      <c r="G72" s="40"/>
      <c r="H72" s="40"/>
    </row>
    <row r="73" spans="1:8">
      <c r="A73" s="40"/>
      <c r="B73" s="40" t="s">
        <v>625</v>
      </c>
      <c r="C73" s="40"/>
      <c r="D73" s="40"/>
      <c r="E73" s="40"/>
      <c r="F73" s="40"/>
      <c r="G73" s="40"/>
      <c r="H73" s="40"/>
    </row>
    <row r="74" spans="1:8">
      <c r="A74" s="40"/>
      <c r="B74" s="40"/>
      <c r="C74" s="40"/>
      <c r="D74" s="40"/>
      <c r="E74" s="40"/>
      <c r="F74" s="40"/>
      <c r="G74" s="40"/>
      <c r="H74" s="40"/>
    </row>
    <row r="75" spans="1:8">
      <c r="A75" s="40"/>
      <c r="B75" s="40" t="s">
        <v>626</v>
      </c>
      <c r="C75" s="40"/>
      <c r="D75" s="40"/>
      <c r="E75" s="40"/>
      <c r="F75" s="40"/>
      <c r="G75" s="40"/>
      <c r="H75" s="40"/>
    </row>
    <row r="76" spans="1:8">
      <c r="A76" s="40"/>
      <c r="B76" s="40"/>
      <c r="C76" s="40"/>
      <c r="D76" s="40"/>
      <c r="E76" s="40"/>
      <c r="F76" s="40"/>
      <c r="G76" s="40"/>
      <c r="H76" s="40"/>
    </row>
    <row r="77" spans="1:8">
      <c r="A77" s="40"/>
      <c r="B77" s="40"/>
      <c r="C77" s="40"/>
      <c r="D77" s="40"/>
      <c r="E77" s="40"/>
      <c r="F77" s="40"/>
      <c r="G77" s="40"/>
      <c r="H77" s="40"/>
    </row>
    <row r="78" spans="1:8">
      <c r="A78" s="40"/>
      <c r="B78" s="40" t="s">
        <v>149</v>
      </c>
      <c r="C78" s="40"/>
      <c r="D78" s="40"/>
      <c r="E78" s="40"/>
      <c r="F78" s="40"/>
      <c r="G78" s="40"/>
      <c r="H78" s="40"/>
    </row>
    <row r="79" spans="1:8">
      <c r="A79" s="40"/>
      <c r="B79" s="40"/>
      <c r="C79" s="40"/>
      <c r="D79" s="40"/>
      <c r="E79" s="40"/>
      <c r="F79" s="40"/>
      <c r="G79" s="40"/>
      <c r="H79" s="40"/>
    </row>
    <row r="80" spans="1:8">
      <c r="A80" s="40"/>
      <c r="B80" s="40"/>
      <c r="C80" s="40"/>
      <c r="D80" s="40"/>
      <c r="E80" s="40"/>
      <c r="F80" s="40"/>
      <c r="G80" s="40"/>
      <c r="H80" s="40"/>
    </row>
    <row r="81" spans="1:9">
      <c r="A81" s="75" t="s">
        <v>627</v>
      </c>
      <c r="B81" s="40"/>
      <c r="C81" s="40"/>
      <c r="D81" s="40"/>
      <c r="E81" s="40"/>
      <c r="F81" s="40"/>
      <c r="G81" s="40"/>
      <c r="H81" s="40"/>
    </row>
    <row r="82" spans="1:9">
      <c r="A82" s="40"/>
      <c r="B82" s="40"/>
      <c r="C82" s="40"/>
      <c r="D82" s="40"/>
      <c r="E82" s="40"/>
      <c r="F82" s="40"/>
      <c r="G82" s="40"/>
      <c r="H82" s="40"/>
    </row>
    <row r="83" spans="1:9">
      <c r="A83" s="40" t="s">
        <v>628</v>
      </c>
      <c r="B83" s="40"/>
      <c r="C83" s="40"/>
      <c r="D83" s="40"/>
      <c r="E83" s="40"/>
      <c r="F83" s="40"/>
      <c r="G83" s="40"/>
      <c r="H83" s="40"/>
    </row>
    <row r="84" spans="1:9">
      <c r="A84" s="40"/>
      <c r="B84" s="40" t="s">
        <v>629</v>
      </c>
      <c r="C84" s="40"/>
      <c r="D84" s="40"/>
      <c r="E84" s="40"/>
      <c r="F84" s="40"/>
      <c r="G84" s="40"/>
      <c r="H84" s="40"/>
    </row>
    <row r="85" spans="1:9">
      <c r="A85" s="40"/>
      <c r="B85" s="40" t="s">
        <v>150</v>
      </c>
      <c r="C85" s="40"/>
      <c r="D85" s="40"/>
      <c r="E85" s="40"/>
      <c r="F85" s="40"/>
      <c r="G85" s="40"/>
      <c r="H85" s="40"/>
    </row>
    <row r="86" spans="1:9">
      <c r="A86" s="40"/>
      <c r="B86" s="40"/>
      <c r="C86" s="40"/>
      <c r="D86" s="40"/>
      <c r="E86" s="40"/>
      <c r="F86" s="40"/>
      <c r="G86" s="40"/>
      <c r="H86" s="40"/>
    </row>
    <row r="87" spans="1:9">
      <c r="A87" s="40"/>
      <c r="B87" s="40" t="s">
        <v>630</v>
      </c>
      <c r="C87" s="40"/>
      <c r="D87" s="40"/>
      <c r="E87" s="40"/>
      <c r="F87" s="40"/>
      <c r="G87" s="40" t="s">
        <v>151</v>
      </c>
      <c r="H87" s="40"/>
    </row>
    <row r="88" spans="1:9">
      <c r="A88" s="40"/>
      <c r="B88" s="40"/>
      <c r="C88" s="40"/>
      <c r="D88" s="40"/>
      <c r="E88" s="40"/>
      <c r="F88" s="40"/>
      <c r="G88" s="40"/>
      <c r="H88" s="40"/>
    </row>
    <row r="89" spans="1:9">
      <c r="A89" s="75" t="s">
        <v>631</v>
      </c>
      <c r="B89" s="40"/>
      <c r="C89" s="40"/>
      <c r="D89" s="40"/>
      <c r="E89" s="40"/>
      <c r="F89" s="40"/>
      <c r="G89" s="40"/>
      <c r="H89" s="40"/>
    </row>
    <row r="90" spans="1:9">
      <c r="A90" s="40"/>
      <c r="B90" s="40"/>
      <c r="C90" s="40"/>
      <c r="D90" s="40"/>
      <c r="E90" s="40"/>
      <c r="F90" s="40"/>
      <c r="G90" s="40"/>
      <c r="H90" s="40"/>
    </row>
    <row r="91" spans="1:9">
      <c r="A91" s="40"/>
      <c r="B91" s="40" t="s">
        <v>632</v>
      </c>
      <c r="C91" s="40"/>
      <c r="D91" s="76"/>
      <c r="E91" s="77"/>
      <c r="F91" s="78" t="s">
        <v>119</v>
      </c>
      <c r="G91" s="79" t="s">
        <v>120</v>
      </c>
      <c r="H91" s="80" t="s">
        <v>121</v>
      </c>
      <c r="I91" s="81" t="s">
        <v>122</v>
      </c>
    </row>
    <row r="92" spans="1:9">
      <c r="A92" s="40"/>
      <c r="B92" s="40"/>
      <c r="C92" s="40"/>
      <c r="D92" s="82" t="s">
        <v>633</v>
      </c>
      <c r="E92" s="83"/>
      <c r="F92" s="84" t="s">
        <v>634</v>
      </c>
      <c r="G92" s="85" t="s">
        <v>635</v>
      </c>
      <c r="H92" s="86" t="s">
        <v>125</v>
      </c>
      <c r="I92" s="87" t="s">
        <v>114</v>
      </c>
    </row>
    <row r="93" spans="1:9">
      <c r="A93" s="40"/>
      <c r="B93" s="40"/>
      <c r="C93" s="40"/>
      <c r="D93" s="88"/>
      <c r="E93" s="89"/>
      <c r="F93" s="89"/>
      <c r="G93" s="90" t="s">
        <v>126</v>
      </c>
      <c r="H93" s="91" t="s">
        <v>114</v>
      </c>
      <c r="I93" s="92"/>
    </row>
    <row r="94" spans="1:9">
      <c r="A94" s="40"/>
      <c r="D94" s="93" t="s">
        <v>636</v>
      </c>
      <c r="E94" s="94"/>
      <c r="F94" s="83" t="s">
        <v>637</v>
      </c>
      <c r="G94" s="95">
        <v>45</v>
      </c>
      <c r="H94" s="95">
        <v>25</v>
      </c>
      <c r="I94" s="96">
        <v>20</v>
      </c>
    </row>
    <row r="95" spans="1:9">
      <c r="A95" s="97"/>
      <c r="B95" s="97"/>
      <c r="C95" s="97"/>
      <c r="D95" s="82" t="s">
        <v>248</v>
      </c>
      <c r="E95" s="83"/>
      <c r="F95" s="83" t="s">
        <v>128</v>
      </c>
      <c r="G95" s="95">
        <v>5</v>
      </c>
      <c r="H95" s="95">
        <v>6</v>
      </c>
      <c r="I95" s="96">
        <v>9</v>
      </c>
    </row>
    <row r="96" spans="1:9">
      <c r="A96" s="97"/>
      <c r="B96" s="97"/>
      <c r="C96" s="97"/>
      <c r="D96" s="88"/>
      <c r="E96" s="89"/>
      <c r="F96" s="89"/>
      <c r="G96" s="98"/>
      <c r="H96" s="98"/>
      <c r="I96" s="99"/>
    </row>
    <row r="97" spans="1:9">
      <c r="A97" s="97"/>
      <c r="B97" s="97"/>
      <c r="C97" s="97"/>
      <c r="D97" s="100" t="s">
        <v>636</v>
      </c>
      <c r="E97" s="101"/>
      <c r="F97" s="102" t="s">
        <v>637</v>
      </c>
      <c r="G97" s="95">
        <v>55</v>
      </c>
      <c r="H97" s="103">
        <v>30</v>
      </c>
      <c r="I97" s="96">
        <v>25</v>
      </c>
    </row>
    <row r="98" spans="1:9">
      <c r="A98" s="97"/>
      <c r="B98" s="97"/>
      <c r="C98" s="97"/>
      <c r="D98" s="104" t="s">
        <v>249</v>
      </c>
      <c r="E98" s="102"/>
      <c r="F98" s="102" t="s">
        <v>128</v>
      </c>
      <c r="G98" s="95">
        <v>5</v>
      </c>
      <c r="H98" s="103">
        <v>6</v>
      </c>
      <c r="I98" s="96">
        <v>8</v>
      </c>
    </row>
    <row r="99" spans="1:9">
      <c r="A99" s="97"/>
      <c r="B99" s="97"/>
      <c r="C99" s="97"/>
      <c r="D99" s="105" t="s">
        <v>638</v>
      </c>
      <c r="E99" s="106"/>
      <c r="F99" s="106"/>
      <c r="G99" s="98"/>
      <c r="H99" s="107"/>
      <c r="I99" s="99"/>
    </row>
    <row r="100" spans="1:9">
      <c r="A100" s="97"/>
      <c r="B100" s="97"/>
      <c r="C100" s="97"/>
      <c r="D100" s="93" t="s">
        <v>250</v>
      </c>
      <c r="E100" s="94"/>
      <c r="F100" s="83" t="s">
        <v>637</v>
      </c>
      <c r="G100" s="95">
        <v>20</v>
      </c>
      <c r="H100" s="95"/>
      <c r="I100" s="96">
        <v>15</v>
      </c>
    </row>
    <row r="101" spans="1:9">
      <c r="A101" s="97"/>
      <c r="B101" s="97"/>
      <c r="C101" s="97"/>
      <c r="D101" s="82" t="s">
        <v>251</v>
      </c>
      <c r="E101" s="83"/>
      <c r="F101" s="83" t="s">
        <v>128</v>
      </c>
      <c r="G101" s="95">
        <v>5</v>
      </c>
      <c r="H101" s="95"/>
      <c r="I101" s="96">
        <v>16</v>
      </c>
    </row>
    <row r="102" spans="1:9">
      <c r="A102" s="97"/>
      <c r="B102" s="97"/>
      <c r="C102" s="97"/>
      <c r="D102" s="88" t="s">
        <v>133</v>
      </c>
      <c r="E102" s="89"/>
      <c r="F102" s="89"/>
      <c r="G102" s="98"/>
      <c r="H102" s="98"/>
      <c r="I102" s="99"/>
    </row>
    <row r="103" spans="1:9">
      <c r="A103" s="97"/>
      <c r="B103" s="97"/>
      <c r="C103" s="97"/>
      <c r="D103" s="93" t="s">
        <v>252</v>
      </c>
      <c r="E103" s="94"/>
      <c r="F103" s="83" t="s">
        <v>637</v>
      </c>
      <c r="G103" s="95">
        <v>40</v>
      </c>
      <c r="H103" s="95">
        <v>20</v>
      </c>
      <c r="I103" s="96">
        <v>20</v>
      </c>
    </row>
    <row r="104" spans="1:9">
      <c r="A104" s="97"/>
      <c r="B104" s="97"/>
      <c r="C104" s="97"/>
      <c r="D104" s="82" t="s">
        <v>612</v>
      </c>
      <c r="E104" s="83"/>
      <c r="F104" s="83" t="s">
        <v>128</v>
      </c>
      <c r="G104" s="95">
        <v>6</v>
      </c>
      <c r="H104" s="95">
        <v>8</v>
      </c>
      <c r="I104" s="96">
        <v>12</v>
      </c>
    </row>
    <row r="105" spans="1:9">
      <c r="A105" s="97"/>
      <c r="B105" s="97"/>
      <c r="C105" s="97"/>
      <c r="D105" s="88" t="s">
        <v>253</v>
      </c>
      <c r="E105" s="89"/>
      <c r="F105" s="89"/>
      <c r="G105" s="98"/>
      <c r="H105" s="98"/>
      <c r="I105" s="99"/>
    </row>
    <row r="106" spans="1:9">
      <c r="A106" s="97"/>
      <c r="B106" s="97"/>
      <c r="C106" s="97"/>
      <c r="D106" s="93" t="s">
        <v>252</v>
      </c>
      <c r="E106" s="94"/>
      <c r="F106" s="83" t="s">
        <v>637</v>
      </c>
      <c r="G106" s="95">
        <v>55</v>
      </c>
      <c r="H106" s="95">
        <v>30</v>
      </c>
      <c r="I106" s="96">
        <v>25</v>
      </c>
    </row>
    <row r="107" spans="1:9">
      <c r="A107" s="97"/>
      <c r="B107" s="97"/>
      <c r="C107" s="97"/>
      <c r="D107" s="82" t="s">
        <v>614</v>
      </c>
      <c r="E107" s="83"/>
      <c r="F107" s="83" t="s">
        <v>128</v>
      </c>
      <c r="G107" s="95">
        <v>6</v>
      </c>
      <c r="H107" s="95">
        <v>8</v>
      </c>
      <c r="I107" s="96">
        <v>10</v>
      </c>
    </row>
    <row r="108" spans="1:9">
      <c r="A108" s="97"/>
      <c r="B108" s="97"/>
      <c r="C108" s="97"/>
      <c r="D108" s="88" t="s">
        <v>615</v>
      </c>
      <c r="E108" s="89"/>
      <c r="F108" s="89"/>
      <c r="G108" s="98"/>
      <c r="H108" s="98"/>
      <c r="I108" s="99"/>
    </row>
    <row r="109" spans="1:9">
      <c r="A109" s="97"/>
      <c r="B109" s="97"/>
      <c r="C109" s="97"/>
    </row>
    <row r="110" spans="1:9">
      <c r="A110" s="97"/>
      <c r="B110" s="97"/>
      <c r="C110" s="97"/>
      <c r="D110" s="83"/>
      <c r="I110" s="83"/>
    </row>
    <row r="111" spans="1:9">
      <c r="D111" s="83"/>
      <c r="I111" s="83"/>
    </row>
    <row r="112" spans="1:9">
      <c r="D112" s="83"/>
      <c r="E112" s="108"/>
      <c r="I112" s="83"/>
    </row>
    <row r="113" spans="4:9">
      <c r="D113" s="83"/>
      <c r="E113" s="108"/>
      <c r="I113" s="83"/>
    </row>
    <row r="114" spans="4:9">
      <c r="D114" s="83"/>
      <c r="E114" s="108"/>
      <c r="F114" s="108"/>
      <c r="I114" s="83"/>
    </row>
    <row r="115" spans="4:9">
      <c r="D115" s="83"/>
      <c r="E115" s="108"/>
      <c r="F115" s="108"/>
      <c r="I115" s="83"/>
    </row>
    <row r="116" spans="4:9">
      <c r="D116" s="83"/>
      <c r="E116" s="108"/>
      <c r="F116" s="108"/>
      <c r="I116" s="83"/>
    </row>
    <row r="117" spans="4:9">
      <c r="D117" s="83"/>
      <c r="E117" s="108"/>
      <c r="F117" s="108"/>
      <c r="I117" s="83"/>
    </row>
    <row r="118" spans="4:9">
      <c r="D118" s="83"/>
      <c r="E118" s="108"/>
      <c r="F118" s="108"/>
      <c r="I118" s="83"/>
    </row>
    <row r="119" spans="4:9">
      <c r="D119" s="83"/>
      <c r="E119" s="108"/>
      <c r="F119" s="108"/>
      <c r="H119" s="109"/>
      <c r="I119" s="83"/>
    </row>
    <row r="120" spans="4:9">
      <c r="E120" s="108"/>
      <c r="F120" s="110"/>
      <c r="G120" s="109"/>
    </row>
    <row r="121" spans="4:9">
      <c r="F121" s="111"/>
    </row>
    <row r="122" spans="4:9">
      <c r="F122" s="108"/>
    </row>
  </sheetData>
  <mergeCells count="37">
    <mergeCell ref="D51:E51"/>
    <mergeCell ref="D52:E52"/>
    <mergeCell ref="A59:I59"/>
    <mergeCell ref="A60:I60"/>
    <mergeCell ref="D47:E47"/>
    <mergeCell ref="D48:E48"/>
    <mergeCell ref="D49:E49"/>
    <mergeCell ref="D50:E50"/>
    <mergeCell ref="D43:E43"/>
    <mergeCell ref="D44:E44"/>
    <mergeCell ref="D45:E45"/>
    <mergeCell ref="D46:E46"/>
    <mergeCell ref="D39:E39"/>
    <mergeCell ref="D40:E40"/>
    <mergeCell ref="D41:E41"/>
    <mergeCell ref="D42:E42"/>
    <mergeCell ref="B14:C14"/>
    <mergeCell ref="E14:G14"/>
    <mergeCell ref="D36:E36"/>
    <mergeCell ref="C37:E37"/>
    <mergeCell ref="B12:C12"/>
    <mergeCell ref="E12:G12"/>
    <mergeCell ref="B13:C13"/>
    <mergeCell ref="E13:G13"/>
    <mergeCell ref="B11:C11"/>
    <mergeCell ref="E11:G11"/>
    <mergeCell ref="B8:C8"/>
    <mergeCell ref="E8:G8"/>
    <mergeCell ref="B9:C9"/>
    <mergeCell ref="E9:G9"/>
    <mergeCell ref="B10:C10"/>
    <mergeCell ref="E10:G10"/>
    <mergeCell ref="A1:I1"/>
    <mergeCell ref="A2:I2"/>
    <mergeCell ref="A3:I3"/>
    <mergeCell ref="B7:C7"/>
    <mergeCell ref="E7:G7"/>
  </mergeCells>
  <phoneticPr fontId="12" type="noConversion"/>
  <printOptions horizontalCentered="1" verticalCentered="1"/>
  <pageMargins left="0.39370078740157483" right="0" top="0" bottom="0.39370078740157483" header="0" footer="0"/>
  <pageSetup paperSize="9" scale="93" fitToHeight="2" orientation="portrait" horizontalDpi="300" r:id="rId1"/>
  <headerFooter alignWithMargins="0">
    <oddFooter>&amp;LEdité le &amp;D&amp;C&amp;P/&amp;N&amp;RGuide Compactage</oddFooter>
  </headerFooter>
  <rowBreaks count="1" manualBreakCount="1">
    <brk id="58" max="16383"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56">
    <pageSetUpPr fitToPage="1"/>
  </sheetPr>
  <dimension ref="A1:F47"/>
  <sheetViews>
    <sheetView showGridLines="0" view="pageBreakPreview" zoomScaleNormal="100" zoomScaleSheetLayoutView="100" workbookViewId="0">
      <selection activeCell="B19" sqref="B19"/>
    </sheetView>
  </sheetViews>
  <sheetFormatPr baseColWidth="10" defaultColWidth="11.42578125" defaultRowHeight="12.75"/>
  <cols>
    <col min="1" max="1" width="15.7109375" style="21" customWidth="1"/>
    <col min="2" max="6" width="11.7109375" style="21" customWidth="1"/>
  </cols>
  <sheetData>
    <row r="1" spans="1:6" ht="23.25">
      <c r="A1" s="112"/>
      <c r="B1" s="1367" t="s">
        <v>254</v>
      </c>
      <c r="C1" s="1367"/>
      <c r="D1" s="1367"/>
      <c r="E1" s="1367"/>
      <c r="F1" s="496">
        <v>1</v>
      </c>
    </row>
    <row r="19" spans="2:5" ht="23.25">
      <c r="B19" s="981" t="s">
        <v>255</v>
      </c>
      <c r="C19" s="497"/>
      <c r="D19" s="113"/>
      <c r="E19" s="113"/>
    </row>
    <row r="21" spans="2:5">
      <c r="B21" s="37" t="s">
        <v>256</v>
      </c>
    </row>
    <row r="22" spans="2:5">
      <c r="B22" s="37" t="s">
        <v>783</v>
      </c>
    </row>
    <row r="23" spans="2:5">
      <c r="B23" s="37" t="s">
        <v>257</v>
      </c>
    </row>
    <row r="24" spans="2:5">
      <c r="B24" s="37" t="s">
        <v>258</v>
      </c>
    </row>
    <row r="25" spans="2:5">
      <c r="B25" s="37" t="s">
        <v>784</v>
      </c>
    </row>
    <row r="26" spans="2:5">
      <c r="B26" s="37" t="s">
        <v>259</v>
      </c>
    </row>
    <row r="27" spans="2:5">
      <c r="B27" s="37" t="s">
        <v>260</v>
      </c>
    </row>
    <row r="46" spans="2:2">
      <c r="B46" s="18"/>
    </row>
    <row r="47" spans="2:2">
      <c r="B47" s="18"/>
    </row>
  </sheetData>
  <mergeCells count="1">
    <mergeCell ref="B1:E1"/>
  </mergeCells>
  <phoneticPr fontId="12" type="noConversion"/>
  <printOptions horizontalCentered="1"/>
  <pageMargins left="0" right="0" top="0" bottom="0.39370078740157483" header="0" footer="0"/>
  <pageSetup paperSize="9" orientation="portrait" blackAndWhite="1"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74">
    <tabColor rgb="FFCCFFCC"/>
    <pageSetUpPr fitToPage="1"/>
  </sheetPr>
  <dimension ref="A1:T69"/>
  <sheetViews>
    <sheetView showGridLines="0" view="pageBreakPreview" zoomScaleNormal="100" zoomScaleSheetLayoutView="100" workbookViewId="0">
      <selection activeCell="T19" sqref="T19"/>
    </sheetView>
  </sheetViews>
  <sheetFormatPr baseColWidth="10" defaultColWidth="11.42578125" defaultRowHeight="12.75"/>
  <cols>
    <col min="1" max="1" width="5.28515625" style="577" customWidth="1"/>
    <col min="2" max="2" width="6.140625" style="577" customWidth="1"/>
    <col min="3" max="3" width="5.7109375" style="577" customWidth="1"/>
    <col min="4" max="4" width="8.85546875" style="577" customWidth="1"/>
    <col min="5" max="5" width="4.28515625" style="577" customWidth="1"/>
    <col min="6" max="6" width="7.140625" style="577" customWidth="1"/>
    <col min="7" max="7" width="5.5703125" style="577" customWidth="1"/>
    <col min="8" max="13" width="5.7109375" style="577" customWidth="1"/>
    <col min="14" max="15" width="6.7109375" style="577" customWidth="1"/>
    <col min="16" max="16" width="5.7109375" style="577" customWidth="1"/>
    <col min="17" max="17" width="13" style="577" customWidth="1"/>
    <col min="18" max="18" width="8.7109375" style="577" customWidth="1"/>
    <col min="19" max="19" width="8.140625" style="577" customWidth="1"/>
    <col min="20" max="16384" width="11.42578125" style="577"/>
  </cols>
  <sheetData>
    <row r="1" spans="1:20" ht="18" customHeight="1" thickTop="1">
      <c r="A1" s="1370"/>
      <c r="B1" s="1370"/>
      <c r="C1" s="1370"/>
      <c r="D1" s="1372" t="s">
        <v>1045</v>
      </c>
      <c r="E1" s="1373"/>
      <c r="F1" s="1373"/>
      <c r="G1" s="1373"/>
      <c r="H1" s="1373"/>
      <c r="I1" s="1373"/>
      <c r="J1" s="1373"/>
      <c r="K1" s="1373"/>
      <c r="L1" s="1373"/>
      <c r="M1" s="1373"/>
      <c r="N1" s="1373"/>
      <c r="O1" s="1373"/>
      <c r="P1" s="1373"/>
      <c r="Q1" s="1373"/>
      <c r="R1" s="1376" t="s">
        <v>838</v>
      </c>
      <c r="S1" s="1377"/>
    </row>
    <row r="2" spans="1:20" ht="24" customHeight="1" thickBot="1">
      <c r="A2" s="1371"/>
      <c r="B2" s="1371"/>
      <c r="C2" s="1371"/>
      <c r="D2" s="1374"/>
      <c r="E2" s="1375"/>
      <c r="F2" s="1375"/>
      <c r="G2" s="1375"/>
      <c r="H2" s="1375"/>
      <c r="I2" s="1375"/>
      <c r="J2" s="1375"/>
      <c r="K2" s="1375"/>
      <c r="L2" s="1375"/>
      <c r="M2" s="1375"/>
      <c r="N2" s="1375"/>
      <c r="O2" s="1375"/>
      <c r="P2" s="1375"/>
      <c r="Q2" s="1375"/>
      <c r="R2" s="1378"/>
      <c r="S2" s="1379"/>
    </row>
    <row r="3" spans="1:20" ht="30" customHeight="1" thickTop="1">
      <c r="A3" s="578"/>
      <c r="F3" s="579"/>
      <c r="G3" s="579"/>
      <c r="H3" s="579"/>
      <c r="I3" s="579"/>
      <c r="J3" s="579"/>
      <c r="K3" s="579"/>
      <c r="L3" s="579"/>
      <c r="M3" s="579"/>
      <c r="N3" s="579"/>
      <c r="O3" s="579"/>
      <c r="P3" s="579"/>
      <c r="Q3" s="579"/>
      <c r="R3" s="579"/>
      <c r="S3" s="579"/>
    </row>
    <row r="4" spans="1:20" s="580" customFormat="1" ht="17.25" customHeight="1">
      <c r="B4" s="581" t="s">
        <v>261</v>
      </c>
      <c r="C4" s="581"/>
      <c r="D4" s="582" t="str">
        <f>IF(ISBLANK(oMOE),"",oMOE)</f>
        <v/>
      </c>
      <c r="E4" s="583"/>
      <c r="F4" s="583"/>
      <c r="G4" s="583"/>
      <c r="H4" s="583"/>
      <c r="I4" s="584"/>
      <c r="J4" s="584"/>
      <c r="K4" s="584"/>
      <c r="N4" s="581" t="s">
        <v>542</v>
      </c>
      <c r="P4" s="581"/>
      <c r="Q4" s="1380" t="str">
        <f>IF(ISBLANK(oeOTP),"",oeOTP)</f>
        <v/>
      </c>
      <c r="R4" s="1380" t="e">
        <f>IF(ISBLANK(#REF!),"",#REF!)</f>
        <v>#REF!</v>
      </c>
      <c r="S4" s="1380" t="e">
        <f>IF(ISBLANK(#REF!),"",#REF!)</f>
        <v>#REF!</v>
      </c>
    </row>
    <row r="5" spans="1:20" s="580" customFormat="1" ht="20.100000000000001" customHeight="1">
      <c r="A5" s="1381" t="s">
        <v>546</v>
      </c>
      <c r="B5" s="1381"/>
      <c r="C5" s="1381"/>
      <c r="D5" s="1382" t="str">
        <f>IF(ISBLANK(oLibelleOTP),"",oLibelleOTP)</f>
        <v/>
      </c>
      <c r="E5" s="1382" t="e">
        <f>IF(ISBLANK(#REF!),"",#REF!)</f>
        <v>#REF!</v>
      </c>
      <c r="F5" s="1382" t="e">
        <f>IF(ISBLANK(#REF!),"",#REF!)</f>
        <v>#REF!</v>
      </c>
      <c r="G5" s="1382" t="e">
        <f>IF(ISBLANK(#REF!),"",#REF!)</f>
        <v>#REF!</v>
      </c>
      <c r="H5" s="1382" t="e">
        <f>IF(ISBLANK(#REF!),"",#REF!)</f>
        <v>#REF!</v>
      </c>
      <c r="I5" s="1382" t="e">
        <f>IF(ISBLANK(#REF!),"",#REF!)</f>
        <v>#REF!</v>
      </c>
      <c r="J5" s="1382" t="e">
        <f>IF(ISBLANK(#REF!),"",#REF!)</f>
        <v>#REF!</v>
      </c>
      <c r="K5" s="1382" t="e">
        <f>IF(ISBLANK(#REF!),"",#REF!)</f>
        <v>#REF!</v>
      </c>
      <c r="L5" s="1382" t="e">
        <f>IF(ISBLANK(#REF!),"",#REF!)</f>
        <v>#REF!</v>
      </c>
      <c r="M5" s="1382" t="e">
        <f>IF(ISBLANK(#REF!),"",#REF!)</f>
        <v>#REF!</v>
      </c>
      <c r="N5" s="1382" t="e">
        <f>IF(ISBLANK(#REF!),"",#REF!)</f>
        <v>#REF!</v>
      </c>
      <c r="O5" s="1382" t="e">
        <f>IF(ISBLANK(#REF!),"",#REF!)</f>
        <v>#REF!</v>
      </c>
      <c r="P5" s="1382" t="e">
        <f>IF(ISBLANK(#REF!),"",#REF!)</f>
        <v>#REF!</v>
      </c>
      <c r="Q5" s="1382" t="e">
        <f>IF(ISBLANK(#REF!),"",#REF!)</f>
        <v>#REF!</v>
      </c>
      <c r="R5" s="1382" t="e">
        <f>IF(ISBLANK(#REF!),"",#REF!)</f>
        <v>#REF!</v>
      </c>
      <c r="S5" s="1382" t="e">
        <f>IF(ISBLANK(#REF!),"",#REF!)</f>
        <v>#REF!</v>
      </c>
    </row>
    <row r="6" spans="1:20" s="580" customFormat="1" ht="20.100000000000001" customHeight="1">
      <c r="A6" s="1381"/>
      <c r="B6" s="1381"/>
      <c r="C6" s="1381"/>
      <c r="D6" s="1382" t="e">
        <f>IF(ISBLANK(#REF!),"",#REF!)</f>
        <v>#REF!</v>
      </c>
      <c r="E6" s="1382" t="e">
        <f>IF(ISBLANK(#REF!),"",#REF!)</f>
        <v>#REF!</v>
      </c>
      <c r="F6" s="1382" t="e">
        <f>IF(ISBLANK(#REF!),"",#REF!)</f>
        <v>#REF!</v>
      </c>
      <c r="G6" s="1382" t="e">
        <f>IF(ISBLANK(#REF!),"",#REF!)</f>
        <v>#REF!</v>
      </c>
      <c r="H6" s="1382" t="e">
        <f>IF(ISBLANK(#REF!),"",#REF!)</f>
        <v>#REF!</v>
      </c>
      <c r="I6" s="1382" t="e">
        <f>IF(ISBLANK(#REF!),"",#REF!)</f>
        <v>#REF!</v>
      </c>
      <c r="J6" s="1382" t="e">
        <f>IF(ISBLANK(#REF!),"",#REF!)</f>
        <v>#REF!</v>
      </c>
      <c r="K6" s="1382" t="e">
        <f>IF(ISBLANK(#REF!),"",#REF!)</f>
        <v>#REF!</v>
      </c>
      <c r="L6" s="1382" t="e">
        <f>IF(ISBLANK(#REF!),"",#REF!)</f>
        <v>#REF!</v>
      </c>
      <c r="M6" s="1382" t="e">
        <f>IF(ISBLANK(#REF!),"",#REF!)</f>
        <v>#REF!</v>
      </c>
      <c r="N6" s="1382" t="e">
        <f>IF(ISBLANK(#REF!),"",#REF!)</f>
        <v>#REF!</v>
      </c>
      <c r="O6" s="1382" t="e">
        <f>IF(ISBLANK(#REF!),"",#REF!)</f>
        <v>#REF!</v>
      </c>
      <c r="P6" s="1382" t="e">
        <f>IF(ISBLANK(#REF!),"",#REF!)</f>
        <v>#REF!</v>
      </c>
      <c r="Q6" s="1382" t="e">
        <f>IF(ISBLANK(#REF!),"",#REF!)</f>
        <v>#REF!</v>
      </c>
      <c r="R6" s="1382" t="e">
        <f>IF(ISBLANK(#REF!),"",#REF!)</f>
        <v>#REF!</v>
      </c>
      <c r="S6" s="1382" t="e">
        <f>IF(ISBLANK(#REF!),"",#REF!)</f>
        <v>#REF!</v>
      </c>
    </row>
    <row r="7" spans="1:20" s="580" customFormat="1" ht="20.100000000000001" customHeight="1">
      <c r="B7" s="585" t="s">
        <v>545</v>
      </c>
      <c r="C7" s="581"/>
      <c r="D7" s="582" t="str">
        <f>IF(ISBLANK(oVille),"",oVille)</f>
        <v/>
      </c>
      <c r="E7" s="583"/>
      <c r="F7" s="583"/>
      <c r="G7" s="583"/>
      <c r="H7" s="586"/>
      <c r="I7" s="586"/>
      <c r="J7" s="586"/>
      <c r="K7" s="586"/>
      <c r="L7" s="581"/>
      <c r="M7" s="581"/>
      <c r="N7" s="581"/>
      <c r="O7" s="581"/>
      <c r="P7" s="581"/>
      <c r="Q7" s="581"/>
      <c r="R7" s="581"/>
    </row>
    <row r="8" spans="1:20" s="580" customFormat="1" ht="10.5" customHeight="1">
      <c r="B8" s="581"/>
      <c r="C8" s="581"/>
      <c r="D8" s="581"/>
      <c r="E8" s="581"/>
      <c r="F8" s="581"/>
      <c r="G8" s="581"/>
      <c r="H8" s="581"/>
      <c r="I8" s="581"/>
      <c r="J8" s="581"/>
      <c r="K8" s="581"/>
      <c r="L8" s="581"/>
      <c r="M8" s="581"/>
      <c r="N8" s="581"/>
      <c r="O8" s="581"/>
      <c r="P8" s="581"/>
      <c r="Q8" s="581"/>
      <c r="R8" s="581"/>
    </row>
    <row r="9" spans="1:20" s="587" customFormat="1" ht="20.100000000000001" customHeight="1">
      <c r="A9" s="587" t="s">
        <v>839</v>
      </c>
    </row>
    <row r="10" spans="1:20" s="587" customFormat="1" ht="20.100000000000001" customHeight="1">
      <c r="A10" s="588"/>
      <c r="B10" s="589" t="s">
        <v>840</v>
      </c>
      <c r="C10" s="588"/>
      <c r="D10" s="588"/>
      <c r="E10" s="588"/>
      <c r="F10" s="588"/>
      <c r="G10" s="588"/>
      <c r="H10" s="588"/>
      <c r="I10" s="588"/>
      <c r="J10" s="588"/>
      <c r="K10" s="588"/>
      <c r="L10" s="588"/>
      <c r="M10" s="588"/>
      <c r="N10" s="588"/>
      <c r="O10" s="588"/>
      <c r="P10" s="588"/>
      <c r="Q10" s="588"/>
      <c r="R10" s="588"/>
      <c r="S10" s="588"/>
      <c r="T10" s="590"/>
    </row>
    <row r="11" spans="1:20" s="587" customFormat="1" ht="20.100000000000001" customHeight="1">
      <c r="A11" s="588"/>
      <c r="B11" s="589" t="s">
        <v>841</v>
      </c>
      <c r="C11" s="588"/>
      <c r="D11" s="588"/>
      <c r="E11" s="588"/>
      <c r="F11" s="588"/>
      <c r="G11" s="588"/>
      <c r="H11" s="588"/>
      <c r="I11" s="588"/>
      <c r="J11" s="588"/>
      <c r="K11" s="588"/>
      <c r="L11" s="588"/>
      <c r="M11" s="588"/>
      <c r="N11" s="588"/>
      <c r="O11" s="588"/>
      <c r="P11" s="588"/>
      <c r="Q11" s="588"/>
      <c r="R11" s="588"/>
      <c r="S11" s="588"/>
    </row>
    <row r="12" spans="1:20" s="587" customFormat="1" ht="20.100000000000001" customHeight="1">
      <c r="A12" s="588"/>
      <c r="B12" s="589" t="s">
        <v>842</v>
      </c>
      <c r="C12" s="588"/>
      <c r="D12" s="588"/>
      <c r="E12" s="588"/>
      <c r="F12" s="588"/>
      <c r="G12" s="588"/>
      <c r="H12" s="588"/>
      <c r="I12" s="588"/>
      <c r="J12" s="588"/>
      <c r="K12" s="588"/>
      <c r="L12" s="588"/>
      <c r="M12" s="588"/>
      <c r="N12" s="588"/>
      <c r="O12" s="588"/>
      <c r="P12" s="588"/>
      <c r="Q12" s="588"/>
      <c r="R12" s="588"/>
      <c r="S12" s="588"/>
    </row>
    <row r="13" spans="1:20" ht="12.75" customHeight="1">
      <c r="A13" s="591"/>
      <c r="B13" s="591"/>
      <c r="C13" s="591"/>
      <c r="D13" s="591"/>
      <c r="E13" s="591"/>
      <c r="F13" s="591"/>
      <c r="G13" s="591"/>
      <c r="H13" s="591"/>
      <c r="I13" s="591"/>
      <c r="J13" s="591"/>
      <c r="K13" s="591"/>
      <c r="L13" s="591"/>
      <c r="M13" s="591"/>
      <c r="N13" s="591"/>
      <c r="O13" s="591"/>
      <c r="P13" s="591"/>
      <c r="Q13" s="591"/>
      <c r="R13" s="591"/>
      <c r="S13" s="591"/>
      <c r="T13" s="592"/>
    </row>
    <row r="14" spans="1:20" ht="15">
      <c r="A14" s="594"/>
      <c r="B14" s="594"/>
      <c r="C14" s="594"/>
      <c r="D14" s="594"/>
      <c r="E14" s="594"/>
      <c r="F14" s="594"/>
      <c r="G14" s="594"/>
      <c r="H14" s="594"/>
      <c r="I14" s="594"/>
      <c r="J14" s="594"/>
      <c r="K14" s="594"/>
      <c r="L14" s="594"/>
      <c r="M14" s="594"/>
      <c r="N14" s="594"/>
      <c r="O14" s="594"/>
      <c r="P14" s="594"/>
      <c r="Q14" s="594"/>
      <c r="R14" s="594"/>
      <c r="S14" s="597"/>
      <c r="T14" s="593"/>
    </row>
    <row r="15" spans="1:20" ht="15">
      <c r="A15" s="594"/>
      <c r="B15" s="594" t="s">
        <v>843</v>
      </c>
      <c r="C15" s="594"/>
      <c r="D15" s="595"/>
      <c r="E15" s="595"/>
      <c r="F15" s="595"/>
      <c r="G15" s="595"/>
      <c r="H15" s="594"/>
      <c r="I15" s="594" t="s">
        <v>844</v>
      </c>
      <c r="J15" s="594"/>
      <c r="K15" s="596"/>
      <c r="L15" s="595"/>
      <c r="M15" s="595"/>
      <c r="N15" s="595"/>
      <c r="O15" s="595"/>
      <c r="P15" s="595"/>
      <c r="Q15" s="594" t="s">
        <v>264</v>
      </c>
      <c r="R15" s="595"/>
      <c r="S15" s="597"/>
      <c r="T15" s="593"/>
    </row>
    <row r="16" spans="1:20" ht="13.5" customHeight="1">
      <c r="A16" s="594"/>
      <c r="B16" s="594"/>
      <c r="C16" s="594"/>
      <c r="D16" s="594"/>
      <c r="E16" s="596"/>
      <c r="F16" s="596"/>
      <c r="G16" s="596"/>
      <c r="H16" s="594"/>
      <c r="I16" s="594"/>
      <c r="J16" s="596"/>
      <c r="K16" s="596"/>
      <c r="L16" s="596"/>
      <c r="M16" s="596"/>
      <c r="N16" s="596"/>
      <c r="O16" s="596"/>
      <c r="P16" s="596"/>
      <c r="Q16" s="594"/>
      <c r="R16" s="594"/>
      <c r="S16" s="594"/>
    </row>
    <row r="17" spans="1:20">
      <c r="A17" s="594"/>
      <c r="B17" s="594"/>
      <c r="C17" s="594"/>
      <c r="D17" s="594"/>
      <c r="E17" s="596"/>
      <c r="F17" s="596"/>
      <c r="G17" s="596"/>
      <c r="H17" s="596"/>
      <c r="I17" s="594"/>
      <c r="J17" s="596"/>
      <c r="K17" s="596"/>
      <c r="L17" s="596"/>
      <c r="M17" s="596"/>
      <c r="N17" s="596"/>
      <c r="O17" s="596"/>
      <c r="P17" s="596"/>
      <c r="Q17" s="594"/>
      <c r="R17" s="594"/>
      <c r="S17" s="594"/>
    </row>
    <row r="18" spans="1:20">
      <c r="C18" s="617"/>
      <c r="D18" s="617"/>
      <c r="E18" s="617"/>
      <c r="F18" s="617"/>
      <c r="G18" s="617"/>
      <c r="H18" s="617"/>
      <c r="J18" s="617"/>
      <c r="K18" s="617"/>
      <c r="L18" s="617"/>
      <c r="M18" s="617"/>
      <c r="N18" s="617"/>
      <c r="O18" s="617"/>
      <c r="P18" s="617"/>
    </row>
    <row r="19" spans="1:20" ht="12.75" customHeight="1">
      <c r="C19" s="617"/>
      <c r="D19" s="617"/>
      <c r="E19" s="617"/>
      <c r="F19" s="617"/>
      <c r="G19" s="617"/>
      <c r="H19" s="617"/>
      <c r="I19" s="617"/>
      <c r="J19" s="617"/>
      <c r="K19" s="617"/>
      <c r="L19" s="617"/>
      <c r="M19" s="617"/>
      <c r="N19" s="617"/>
      <c r="O19" s="617"/>
      <c r="P19" s="617"/>
    </row>
    <row r="20" spans="1:20" ht="18" customHeight="1" thickBot="1">
      <c r="B20" s="587"/>
      <c r="C20" s="587"/>
      <c r="D20" s="587"/>
      <c r="E20" s="587"/>
      <c r="F20" s="587"/>
      <c r="G20" s="587"/>
      <c r="H20" s="587"/>
      <c r="I20" s="587"/>
      <c r="J20" s="587"/>
      <c r="L20" s="587"/>
      <c r="M20" s="587"/>
      <c r="N20" s="587"/>
      <c r="O20" s="587"/>
      <c r="P20" s="587"/>
      <c r="Q20" s="587"/>
      <c r="R20" s="587"/>
    </row>
    <row r="21" spans="1:20" ht="13.5" thickTop="1">
      <c r="A21" s="1383" t="s">
        <v>409</v>
      </c>
      <c r="B21" s="1384"/>
      <c r="C21" s="1384"/>
      <c r="D21" s="1384"/>
      <c r="E21" s="1384"/>
      <c r="F21" s="1384"/>
      <c r="G21" s="1384"/>
      <c r="H21" s="1384"/>
      <c r="I21" s="1384"/>
      <c r="J21" s="1385"/>
      <c r="K21" s="1386" t="s">
        <v>409</v>
      </c>
      <c r="L21" s="1384"/>
      <c r="M21" s="1384"/>
      <c r="N21" s="1384"/>
      <c r="O21" s="1384"/>
      <c r="P21" s="1384"/>
      <c r="Q21" s="1384"/>
      <c r="R21" s="1384"/>
      <c r="S21" s="1387"/>
    </row>
    <row r="22" spans="1:20" ht="14.25" customHeight="1" thickBot="1">
      <c r="A22" s="1388" t="s">
        <v>410</v>
      </c>
      <c r="B22" s="1389"/>
      <c r="C22" s="1389"/>
      <c r="D22" s="1389"/>
      <c r="E22" s="1389"/>
      <c r="F22" s="1389"/>
      <c r="G22" s="1389"/>
      <c r="H22" s="1389"/>
      <c r="I22" s="1389"/>
      <c r="J22" s="1390"/>
      <c r="K22" s="1391" t="s">
        <v>410</v>
      </c>
      <c r="L22" s="1392"/>
      <c r="M22" s="1392"/>
      <c r="N22" s="1392"/>
      <c r="O22" s="1392"/>
      <c r="P22" s="1392"/>
      <c r="Q22" s="1392"/>
      <c r="R22" s="1392"/>
      <c r="S22" s="1393"/>
    </row>
    <row r="23" spans="1:20" ht="21" customHeight="1">
      <c r="A23" s="598"/>
      <c r="B23" s="599"/>
      <c r="C23" s="599"/>
      <c r="D23" s="599"/>
      <c r="E23" s="599"/>
      <c r="F23" s="599"/>
      <c r="G23" s="1394" t="s">
        <v>411</v>
      </c>
      <c r="H23" s="1394"/>
      <c r="I23" s="1394"/>
      <c r="J23" s="1394"/>
      <c r="K23" s="600"/>
      <c r="L23" s="601"/>
      <c r="M23" s="601"/>
      <c r="N23" s="601"/>
      <c r="O23" s="601"/>
      <c r="P23" s="601"/>
      <c r="Q23" s="602" t="s">
        <v>411</v>
      </c>
      <c r="R23" s="601"/>
      <c r="S23" s="603"/>
      <c r="T23" s="587"/>
    </row>
    <row r="24" spans="1:20">
      <c r="A24" s="598"/>
      <c r="B24" s="599"/>
      <c r="C24" s="599"/>
      <c r="D24" s="599"/>
      <c r="E24" s="599"/>
      <c r="F24" s="599"/>
      <c r="G24" s="1368"/>
      <c r="H24" s="1368"/>
      <c r="I24" s="1368"/>
      <c r="J24" s="1368"/>
      <c r="K24" s="598"/>
      <c r="L24" s="599"/>
      <c r="M24" s="599"/>
      <c r="N24" s="599"/>
      <c r="O24" s="599"/>
      <c r="P24" s="599"/>
      <c r="Q24" s="1368"/>
      <c r="R24" s="1368"/>
      <c r="S24" s="1369"/>
      <c r="T24" s="587"/>
    </row>
    <row r="25" spans="1:20" ht="16.5" customHeight="1">
      <c r="A25" s="598"/>
      <c r="B25" s="599"/>
      <c r="C25" s="599"/>
      <c r="D25" s="599"/>
      <c r="E25" s="599"/>
      <c r="F25" s="599"/>
      <c r="G25" s="1395"/>
      <c r="H25" s="1396"/>
      <c r="I25" s="1396"/>
      <c r="J25" s="1396"/>
      <c r="K25" s="598"/>
      <c r="L25" s="599"/>
      <c r="M25" s="599"/>
      <c r="N25" s="599"/>
      <c r="O25" s="599"/>
      <c r="P25" s="599"/>
      <c r="Q25" s="1395"/>
      <c r="R25" s="1396"/>
      <c r="S25" s="1397"/>
      <c r="T25" s="587"/>
    </row>
    <row r="26" spans="1:20" ht="15.75" thickBot="1">
      <c r="A26" s="598"/>
      <c r="B26" s="604"/>
      <c r="C26" s="599"/>
      <c r="D26" s="599"/>
      <c r="E26" s="599"/>
      <c r="F26" s="599"/>
      <c r="G26" s="1395"/>
      <c r="H26" s="1396"/>
      <c r="I26" s="1396"/>
      <c r="J26" s="1396"/>
      <c r="K26" s="598"/>
      <c r="L26" s="604"/>
      <c r="M26" s="599"/>
      <c r="N26" s="599"/>
      <c r="O26" s="599"/>
      <c r="P26" s="599"/>
      <c r="Q26" s="1395"/>
      <c r="R26" s="1395"/>
      <c r="S26" s="1398"/>
      <c r="T26" s="587"/>
    </row>
    <row r="27" spans="1:20" ht="15">
      <c r="A27" s="1399" t="s">
        <v>178</v>
      </c>
      <c r="B27" s="1400"/>
      <c r="C27" s="599"/>
      <c r="D27" s="599"/>
      <c r="E27" s="599"/>
      <c r="F27" s="599"/>
      <c r="G27" s="1395"/>
      <c r="H27" s="1396"/>
      <c r="I27" s="1396"/>
      <c r="J27" s="1396"/>
      <c r="K27" s="1399" t="s">
        <v>178</v>
      </c>
      <c r="L27" s="1400"/>
      <c r="M27" s="599"/>
      <c r="N27" s="599"/>
      <c r="O27" s="599"/>
      <c r="P27" s="599"/>
      <c r="Q27" s="1395"/>
      <c r="R27" s="1396"/>
      <c r="S27" s="1397"/>
      <c r="T27" s="587"/>
    </row>
    <row r="28" spans="1:20" ht="13.5" customHeight="1">
      <c r="A28" s="1401" t="s">
        <v>179</v>
      </c>
      <c r="B28" s="1402"/>
      <c r="C28" s="599"/>
      <c r="D28" s="599"/>
      <c r="E28" s="599"/>
      <c r="F28" s="599"/>
      <c r="G28" s="1395"/>
      <c r="H28" s="1396"/>
      <c r="I28" s="1396"/>
      <c r="J28" s="1396"/>
      <c r="K28" s="1401" t="s">
        <v>179</v>
      </c>
      <c r="L28" s="1402"/>
      <c r="M28" s="599"/>
      <c r="N28" s="599"/>
      <c r="O28" s="599"/>
      <c r="P28" s="599"/>
      <c r="Q28" s="1395"/>
      <c r="R28" s="1396"/>
      <c r="S28" s="1397"/>
      <c r="T28" s="587"/>
    </row>
    <row r="29" spans="1:20" ht="13.5" customHeight="1" thickBot="1">
      <c r="A29" s="1403"/>
      <c r="B29" s="1404"/>
      <c r="C29" s="599"/>
      <c r="D29" s="599"/>
      <c r="E29" s="599"/>
      <c r="F29" s="599"/>
      <c r="G29" s="1395"/>
      <c r="H29" s="1396"/>
      <c r="I29" s="1396"/>
      <c r="J29" s="1396"/>
      <c r="K29" s="1403"/>
      <c r="L29" s="1404"/>
      <c r="M29" s="599"/>
      <c r="N29" s="599"/>
      <c r="O29" s="599"/>
      <c r="P29" s="599"/>
      <c r="Q29" s="1395"/>
      <c r="R29" s="1396"/>
      <c r="S29" s="1397"/>
      <c r="T29" s="587"/>
    </row>
    <row r="30" spans="1:20" ht="13.5" customHeight="1">
      <c r="A30" s="1401"/>
      <c r="B30" s="1405"/>
      <c r="C30" s="599"/>
      <c r="D30" s="599"/>
      <c r="E30" s="599"/>
      <c r="F30" s="599"/>
      <c r="G30" s="1395"/>
      <c r="H30" s="1396"/>
      <c r="I30" s="1396"/>
      <c r="J30" s="1396"/>
      <c r="K30" s="605"/>
      <c r="L30" s="606"/>
      <c r="M30" s="599"/>
      <c r="N30" s="599"/>
      <c r="O30" s="599"/>
      <c r="P30" s="599"/>
      <c r="Q30" s="1395"/>
      <c r="R30" s="1396"/>
      <c r="S30" s="1397"/>
      <c r="T30" s="587"/>
    </row>
    <row r="31" spans="1:20" ht="13.5" customHeight="1">
      <c r="A31" s="605"/>
      <c r="B31" s="606"/>
      <c r="C31" s="599"/>
      <c r="D31" s="599"/>
      <c r="E31" s="599"/>
      <c r="F31" s="599"/>
      <c r="G31" s="1395"/>
      <c r="H31" s="1396"/>
      <c r="I31" s="1396"/>
      <c r="J31" s="1396"/>
      <c r="K31" s="605"/>
      <c r="L31" s="606"/>
      <c r="M31" s="599"/>
      <c r="N31" s="599"/>
      <c r="O31" s="599"/>
      <c r="P31" s="599"/>
      <c r="Q31" s="1395"/>
      <c r="R31" s="1396"/>
      <c r="S31" s="1397"/>
      <c r="T31" s="587"/>
    </row>
    <row r="32" spans="1:20" ht="13.5" customHeight="1">
      <c r="A32" s="605"/>
      <c r="B32" s="606"/>
      <c r="C32" s="599"/>
      <c r="D32" s="599"/>
      <c r="E32" s="599"/>
      <c r="F32" s="599"/>
      <c r="G32" s="1395"/>
      <c r="H32" s="1396"/>
      <c r="I32" s="1396"/>
      <c r="J32" s="1396"/>
      <c r="K32" s="605"/>
      <c r="L32" s="606"/>
      <c r="M32" s="599"/>
      <c r="N32" s="599"/>
      <c r="O32" s="599"/>
      <c r="P32" s="599"/>
      <c r="Q32" s="1395"/>
      <c r="R32" s="1396"/>
      <c r="S32" s="1397"/>
      <c r="T32" s="587"/>
    </row>
    <row r="33" spans="1:20" ht="15">
      <c r="A33" s="605"/>
      <c r="B33" s="606"/>
      <c r="C33" s="599"/>
      <c r="D33" s="599"/>
      <c r="E33" s="599"/>
      <c r="F33" s="599"/>
      <c r="G33" s="1395"/>
      <c r="H33" s="1396"/>
      <c r="I33" s="1396"/>
      <c r="J33" s="1396"/>
      <c r="K33" s="605"/>
      <c r="L33" s="606"/>
      <c r="M33" s="599"/>
      <c r="N33" s="599"/>
      <c r="O33" s="599"/>
      <c r="P33" s="599"/>
      <c r="Q33" s="1395"/>
      <c r="R33" s="1396"/>
      <c r="S33" s="1397"/>
      <c r="T33" s="587"/>
    </row>
    <row r="34" spans="1:20" ht="15">
      <c r="A34" s="598"/>
      <c r="B34" s="599"/>
      <c r="C34" s="599"/>
      <c r="D34" s="599"/>
      <c r="E34" s="599"/>
      <c r="F34" s="599"/>
      <c r="G34" s="1395"/>
      <c r="H34" s="1396"/>
      <c r="I34" s="1396"/>
      <c r="J34" s="1396"/>
      <c r="K34" s="598"/>
      <c r="L34" s="599"/>
      <c r="M34" s="599"/>
      <c r="N34" s="599"/>
      <c r="O34" s="599"/>
      <c r="P34" s="599"/>
      <c r="Q34" s="1395"/>
      <c r="R34" s="1396"/>
      <c r="S34" s="1397"/>
      <c r="T34" s="587"/>
    </row>
    <row r="35" spans="1:20" ht="15">
      <c r="A35" s="598"/>
      <c r="B35" s="599"/>
      <c r="C35" s="599"/>
      <c r="D35" s="599"/>
      <c r="E35" s="599"/>
      <c r="F35" s="599"/>
      <c r="G35" s="1395"/>
      <c r="H35" s="1396"/>
      <c r="I35" s="1396"/>
      <c r="J35" s="1396"/>
      <c r="K35" s="598"/>
      <c r="L35" s="599"/>
      <c r="M35" s="599"/>
      <c r="N35" s="599"/>
      <c r="O35" s="599"/>
      <c r="P35" s="599"/>
      <c r="Q35" s="1395"/>
      <c r="R35" s="1396"/>
      <c r="S35" s="1397"/>
      <c r="T35" s="587"/>
    </row>
    <row r="36" spans="1:20" ht="15">
      <c r="A36" s="598"/>
      <c r="B36" s="599"/>
      <c r="C36" s="599"/>
      <c r="D36" s="599"/>
      <c r="E36" s="599"/>
      <c r="F36" s="599"/>
      <c r="G36" s="1395"/>
      <c r="H36" s="1396"/>
      <c r="I36" s="1396"/>
      <c r="J36" s="1396"/>
      <c r="K36" s="598"/>
      <c r="L36" s="599"/>
      <c r="M36" s="599"/>
      <c r="N36" s="599"/>
      <c r="O36" s="599"/>
      <c r="P36" s="599"/>
      <c r="Q36" s="1395"/>
      <c r="R36" s="1396"/>
      <c r="S36" s="1397"/>
      <c r="T36" s="587"/>
    </row>
    <row r="37" spans="1:20" ht="15">
      <c r="A37" s="598"/>
      <c r="B37" s="599"/>
      <c r="C37" s="599"/>
      <c r="D37" s="599"/>
      <c r="E37" s="599"/>
      <c r="F37" s="599"/>
      <c r="G37" s="1395"/>
      <c r="H37" s="1396"/>
      <c r="I37" s="1396"/>
      <c r="J37" s="1396"/>
      <c r="K37" s="598"/>
      <c r="L37" s="599"/>
      <c r="M37" s="599"/>
      <c r="N37" s="599"/>
      <c r="O37" s="599"/>
      <c r="P37" s="599"/>
      <c r="Q37" s="1395"/>
      <c r="R37" s="1396"/>
      <c r="S37" s="1397"/>
      <c r="T37" s="587"/>
    </row>
    <row r="38" spans="1:20" ht="15">
      <c r="A38" s="598"/>
      <c r="B38" s="599"/>
      <c r="C38" s="599"/>
      <c r="D38" s="599"/>
      <c r="E38" s="599"/>
      <c r="F38" s="599"/>
      <c r="G38" s="1395"/>
      <c r="H38" s="1396"/>
      <c r="I38" s="1396"/>
      <c r="J38" s="1396"/>
      <c r="K38" s="598"/>
      <c r="L38" s="599"/>
      <c r="M38" s="599"/>
      <c r="N38" s="599"/>
      <c r="O38" s="599"/>
      <c r="P38" s="599"/>
      <c r="Q38" s="1395"/>
      <c r="R38" s="1396"/>
      <c r="S38" s="1397"/>
      <c r="T38" s="587"/>
    </row>
    <row r="39" spans="1:20" ht="12.75" customHeight="1">
      <c r="A39" s="598"/>
      <c r="B39" s="599"/>
      <c r="C39" s="599"/>
      <c r="D39" s="599"/>
      <c r="E39" s="599"/>
      <c r="F39" s="599"/>
      <c r="G39" s="1395"/>
      <c r="H39" s="1396"/>
      <c r="I39" s="1396"/>
      <c r="J39" s="1396"/>
      <c r="K39" s="598"/>
      <c r="L39" s="599"/>
      <c r="M39" s="599"/>
      <c r="N39" s="599"/>
      <c r="O39" s="599"/>
      <c r="P39" s="599"/>
      <c r="Q39" s="1395"/>
      <c r="R39" s="1396"/>
      <c r="S39" s="1397"/>
      <c r="T39" s="587"/>
    </row>
    <row r="40" spans="1:20" ht="3.75" customHeight="1" thickBot="1">
      <c r="A40" s="598"/>
      <c r="B40" s="599"/>
      <c r="C40" s="599"/>
      <c r="D40" s="599"/>
      <c r="E40" s="599"/>
      <c r="F40" s="599"/>
      <c r="G40" s="599"/>
      <c r="H40" s="599"/>
      <c r="I40" s="599"/>
      <c r="J40" s="599"/>
      <c r="K40" s="598"/>
      <c r="L40" s="599"/>
      <c r="M40" s="1406"/>
      <c r="N40" s="1406"/>
      <c r="O40" s="1406"/>
      <c r="P40" s="1406"/>
      <c r="Q40" s="599"/>
      <c r="R40" s="599"/>
      <c r="S40" s="607"/>
    </row>
    <row r="41" spans="1:20" ht="13.5" thickBot="1">
      <c r="A41" s="598"/>
      <c r="B41" s="604"/>
      <c r="C41" s="1407" t="s">
        <v>180</v>
      </c>
      <c r="D41" s="1408"/>
      <c r="E41" s="1408"/>
      <c r="F41" s="1408"/>
      <c r="G41" s="1409"/>
      <c r="H41" s="599"/>
      <c r="I41" s="599"/>
      <c r="J41" s="599"/>
      <c r="K41" s="608"/>
      <c r="L41" s="599"/>
      <c r="M41" s="1407" t="s">
        <v>180</v>
      </c>
      <c r="N41" s="1408"/>
      <c r="O41" s="1408"/>
      <c r="P41" s="1408"/>
      <c r="Q41" s="1409"/>
      <c r="R41" s="599"/>
      <c r="S41" s="609"/>
    </row>
    <row r="42" spans="1:20" ht="13.5" thickBot="1">
      <c r="A42" s="598"/>
      <c r="B42" s="599"/>
      <c r="C42" s="599"/>
      <c r="D42" s="599"/>
      <c r="E42" s="599"/>
      <c r="F42" s="599"/>
      <c r="G42" s="599"/>
      <c r="H42" s="599"/>
      <c r="I42" s="599"/>
      <c r="J42" s="599"/>
      <c r="K42" s="608"/>
      <c r="L42" s="599"/>
      <c r="M42" s="599"/>
      <c r="N42" s="599"/>
      <c r="O42" s="599"/>
      <c r="P42" s="599"/>
      <c r="Q42" s="599"/>
      <c r="R42" s="599"/>
      <c r="S42" s="609"/>
    </row>
    <row r="43" spans="1:20" ht="18" customHeight="1" thickTop="1">
      <c r="A43" s="1383" t="s">
        <v>409</v>
      </c>
      <c r="B43" s="1384"/>
      <c r="C43" s="1384"/>
      <c r="D43" s="1384"/>
      <c r="E43" s="1384"/>
      <c r="F43" s="1384"/>
      <c r="G43" s="1384"/>
      <c r="H43" s="1384"/>
      <c r="I43" s="1384"/>
      <c r="J43" s="1384"/>
      <c r="K43" s="1383" t="s">
        <v>409</v>
      </c>
      <c r="L43" s="1384"/>
      <c r="M43" s="1384"/>
      <c r="N43" s="1384"/>
      <c r="O43" s="1384"/>
      <c r="P43" s="1384"/>
      <c r="Q43" s="1384"/>
      <c r="R43" s="1384"/>
      <c r="S43" s="1387"/>
    </row>
    <row r="44" spans="1:20" ht="15.75" thickBot="1">
      <c r="A44" s="1388" t="s">
        <v>410</v>
      </c>
      <c r="B44" s="1389"/>
      <c r="C44" s="1389"/>
      <c r="D44" s="1389"/>
      <c r="E44" s="1389"/>
      <c r="F44" s="1389"/>
      <c r="G44" s="1389"/>
      <c r="H44" s="1389"/>
      <c r="I44" s="1389"/>
      <c r="J44" s="1389"/>
      <c r="K44" s="1388" t="s">
        <v>410</v>
      </c>
      <c r="L44" s="1392"/>
      <c r="M44" s="1392"/>
      <c r="N44" s="1392"/>
      <c r="O44" s="1392"/>
      <c r="P44" s="1392"/>
      <c r="Q44" s="1392"/>
      <c r="R44" s="1392"/>
      <c r="S44" s="1393"/>
    </row>
    <row r="45" spans="1:20" ht="27" customHeight="1">
      <c r="A45" s="598"/>
      <c r="B45" s="599"/>
      <c r="C45" s="599"/>
      <c r="D45" s="599"/>
      <c r="E45" s="599"/>
      <c r="F45" s="599"/>
      <c r="G45" s="1394" t="s">
        <v>411</v>
      </c>
      <c r="H45" s="1394"/>
      <c r="I45" s="1394"/>
      <c r="J45" s="1394"/>
      <c r="K45" s="608"/>
      <c r="L45" s="599"/>
      <c r="M45" s="599"/>
      <c r="N45" s="599"/>
      <c r="O45" s="599"/>
      <c r="P45" s="599"/>
      <c r="Q45" s="610" t="s">
        <v>411</v>
      </c>
      <c r="R45" s="599"/>
      <c r="S45" s="609"/>
    </row>
    <row r="46" spans="1:20" ht="15">
      <c r="A46" s="598"/>
      <c r="B46" s="599"/>
      <c r="C46" s="599"/>
      <c r="D46" s="599"/>
      <c r="E46" s="599"/>
      <c r="F46" s="599"/>
      <c r="G46" s="1368"/>
      <c r="H46" s="1368"/>
      <c r="I46" s="1368"/>
      <c r="J46" s="1368"/>
      <c r="K46" s="598"/>
      <c r="L46" s="599"/>
      <c r="M46" s="599"/>
      <c r="N46" s="599"/>
      <c r="O46" s="599"/>
      <c r="P46" s="599"/>
      <c r="Q46" s="1368"/>
      <c r="R46" s="1410"/>
      <c r="S46" s="1411"/>
    </row>
    <row r="47" spans="1:20" ht="15">
      <c r="A47" s="598"/>
      <c r="B47" s="599"/>
      <c r="C47" s="599"/>
      <c r="D47" s="599"/>
      <c r="E47" s="599"/>
      <c r="F47" s="599"/>
      <c r="G47" s="1395"/>
      <c r="H47" s="1396"/>
      <c r="I47" s="1396"/>
      <c r="J47" s="1396"/>
      <c r="K47" s="598"/>
      <c r="L47" s="599"/>
      <c r="M47" s="599"/>
      <c r="N47" s="599"/>
      <c r="O47" s="599"/>
      <c r="P47" s="599"/>
      <c r="Q47" s="1395"/>
      <c r="R47" s="1396"/>
      <c r="S47" s="1397"/>
    </row>
    <row r="48" spans="1:20" ht="15.75" thickBot="1">
      <c r="A48" s="598"/>
      <c r="B48" s="604"/>
      <c r="C48" s="599"/>
      <c r="D48" s="599"/>
      <c r="E48" s="599"/>
      <c r="F48" s="599"/>
      <c r="G48" s="1395"/>
      <c r="H48" s="1396"/>
      <c r="I48" s="1396"/>
      <c r="J48" s="1396"/>
      <c r="K48" s="598"/>
      <c r="L48" s="604"/>
      <c r="M48" s="599"/>
      <c r="N48" s="599"/>
      <c r="O48" s="599"/>
      <c r="P48" s="599"/>
      <c r="Q48" s="1395"/>
      <c r="R48" s="1396"/>
      <c r="S48" s="1397"/>
    </row>
    <row r="49" spans="1:19" ht="15">
      <c r="A49" s="1399" t="s">
        <v>178</v>
      </c>
      <c r="B49" s="1400"/>
      <c r="C49" s="599"/>
      <c r="D49" s="599"/>
      <c r="E49" s="599"/>
      <c r="F49" s="599"/>
      <c r="G49" s="1395"/>
      <c r="H49" s="1396"/>
      <c r="I49" s="1396"/>
      <c r="J49" s="1396"/>
      <c r="K49" s="1399" t="s">
        <v>178</v>
      </c>
      <c r="L49" s="1400"/>
      <c r="M49" s="599"/>
      <c r="N49" s="599"/>
      <c r="O49" s="599"/>
      <c r="P49" s="599"/>
      <c r="Q49" s="1395"/>
      <c r="R49" s="1396"/>
      <c r="S49" s="1397"/>
    </row>
    <row r="50" spans="1:19" ht="15">
      <c r="A50" s="1401" t="s">
        <v>179</v>
      </c>
      <c r="B50" s="1402"/>
      <c r="C50" s="599"/>
      <c r="D50" s="599"/>
      <c r="E50" s="599"/>
      <c r="F50" s="599"/>
      <c r="G50" s="1395"/>
      <c r="H50" s="1396"/>
      <c r="I50" s="1396"/>
      <c r="J50" s="1396"/>
      <c r="K50" s="1401" t="s">
        <v>179</v>
      </c>
      <c r="L50" s="1402"/>
      <c r="M50" s="599"/>
      <c r="N50" s="599"/>
      <c r="O50" s="599"/>
      <c r="P50" s="599"/>
      <c r="Q50" s="1395"/>
      <c r="R50" s="1396"/>
      <c r="S50" s="1397"/>
    </row>
    <row r="51" spans="1:19" ht="15.75" thickBot="1">
      <c r="A51" s="1403"/>
      <c r="B51" s="1404"/>
      <c r="C51" s="599"/>
      <c r="D51" s="599"/>
      <c r="E51" s="599"/>
      <c r="F51" s="599"/>
      <c r="G51" s="1395"/>
      <c r="H51" s="1396"/>
      <c r="I51" s="1396"/>
      <c r="J51" s="1396"/>
      <c r="K51" s="1403"/>
      <c r="L51" s="1404"/>
      <c r="M51" s="599"/>
      <c r="N51" s="599"/>
      <c r="O51" s="599"/>
      <c r="P51" s="599"/>
      <c r="Q51" s="1395"/>
      <c r="R51" s="1396"/>
      <c r="S51" s="1397"/>
    </row>
    <row r="52" spans="1:19" ht="15">
      <c r="A52" s="1401"/>
      <c r="B52" s="1405"/>
      <c r="C52" s="599"/>
      <c r="D52" s="599"/>
      <c r="E52" s="599"/>
      <c r="F52" s="599"/>
      <c r="G52" s="1395"/>
      <c r="H52" s="1396"/>
      <c r="I52" s="1396"/>
      <c r="J52" s="1396"/>
      <c r="K52" s="605"/>
      <c r="L52" s="606"/>
      <c r="M52" s="599"/>
      <c r="N52" s="599"/>
      <c r="O52" s="599"/>
      <c r="P52" s="599"/>
      <c r="Q52" s="1395"/>
      <c r="R52" s="1396"/>
      <c r="S52" s="1397"/>
    </row>
    <row r="53" spans="1:19" ht="15">
      <c r="A53" s="605"/>
      <c r="B53" s="606"/>
      <c r="C53" s="599"/>
      <c r="D53" s="599"/>
      <c r="E53" s="599"/>
      <c r="F53" s="599"/>
      <c r="G53" s="1395"/>
      <c r="H53" s="1396"/>
      <c r="I53" s="1396"/>
      <c r="J53" s="1396"/>
      <c r="K53" s="605"/>
      <c r="L53" s="606"/>
      <c r="M53" s="599"/>
      <c r="N53" s="599"/>
      <c r="O53" s="599"/>
      <c r="P53" s="599"/>
      <c r="Q53" s="1395"/>
      <c r="R53" s="1396"/>
      <c r="S53" s="1397"/>
    </row>
    <row r="54" spans="1:19" ht="15">
      <c r="A54" s="605"/>
      <c r="B54" s="606"/>
      <c r="C54" s="599"/>
      <c r="D54" s="599"/>
      <c r="E54" s="599"/>
      <c r="F54" s="599"/>
      <c r="G54" s="1395"/>
      <c r="H54" s="1396"/>
      <c r="I54" s="1396"/>
      <c r="J54" s="1396"/>
      <c r="K54" s="605"/>
      <c r="L54" s="606"/>
      <c r="M54" s="599"/>
      <c r="N54" s="599"/>
      <c r="O54" s="599"/>
      <c r="P54" s="599"/>
      <c r="Q54" s="1395"/>
      <c r="R54" s="1396"/>
      <c r="S54" s="1397"/>
    </row>
    <row r="55" spans="1:19" ht="15">
      <c r="A55" s="605"/>
      <c r="B55" s="606"/>
      <c r="C55" s="599"/>
      <c r="D55" s="599"/>
      <c r="E55" s="599"/>
      <c r="F55" s="599"/>
      <c r="G55" s="1395"/>
      <c r="H55" s="1396"/>
      <c r="I55" s="1396"/>
      <c r="J55" s="1396"/>
      <c r="K55" s="605"/>
      <c r="L55" s="606"/>
      <c r="M55" s="599"/>
      <c r="N55" s="599"/>
      <c r="O55" s="599"/>
      <c r="P55" s="599"/>
      <c r="Q55" s="1395"/>
      <c r="R55" s="1396"/>
      <c r="S55" s="1397"/>
    </row>
    <row r="56" spans="1:19" ht="15">
      <c r="A56" s="598"/>
      <c r="B56" s="599"/>
      <c r="C56" s="599"/>
      <c r="D56" s="599"/>
      <c r="E56" s="599"/>
      <c r="F56" s="599"/>
      <c r="G56" s="1395"/>
      <c r="H56" s="1396"/>
      <c r="I56" s="1396"/>
      <c r="J56" s="1396"/>
      <c r="K56" s="598"/>
      <c r="L56" s="599"/>
      <c r="M56" s="599"/>
      <c r="N56" s="599"/>
      <c r="O56" s="599"/>
      <c r="P56" s="599"/>
      <c r="Q56" s="1395"/>
      <c r="R56" s="1396"/>
      <c r="S56" s="1397"/>
    </row>
    <row r="57" spans="1:19" ht="15">
      <c r="A57" s="598"/>
      <c r="B57" s="599"/>
      <c r="C57" s="599"/>
      <c r="D57" s="599"/>
      <c r="E57" s="599"/>
      <c r="F57" s="599"/>
      <c r="G57" s="1395"/>
      <c r="H57" s="1396"/>
      <c r="I57" s="1396"/>
      <c r="J57" s="1396"/>
      <c r="K57" s="598"/>
      <c r="L57" s="599"/>
      <c r="M57" s="599"/>
      <c r="N57" s="599"/>
      <c r="O57" s="599"/>
      <c r="P57" s="599"/>
      <c r="Q57" s="1395"/>
      <c r="R57" s="1396"/>
      <c r="S57" s="1397"/>
    </row>
    <row r="58" spans="1:19" ht="15">
      <c r="A58" s="598"/>
      <c r="B58" s="599"/>
      <c r="C58" s="599"/>
      <c r="D58" s="599"/>
      <c r="E58" s="599"/>
      <c r="F58" s="599"/>
      <c r="G58" s="1395"/>
      <c r="H58" s="1396"/>
      <c r="I58" s="1396"/>
      <c r="J58" s="1396"/>
      <c r="K58" s="598"/>
      <c r="L58" s="599"/>
      <c r="M58" s="599"/>
      <c r="N58" s="599"/>
      <c r="O58" s="599"/>
      <c r="P58" s="599"/>
      <c r="Q58" s="1395"/>
      <c r="R58" s="1396"/>
      <c r="S58" s="1397"/>
    </row>
    <row r="59" spans="1:19" ht="15">
      <c r="A59" s="598"/>
      <c r="B59" s="599"/>
      <c r="C59" s="599"/>
      <c r="D59" s="599"/>
      <c r="E59" s="599"/>
      <c r="F59" s="599"/>
      <c r="G59" s="1395"/>
      <c r="H59" s="1396"/>
      <c r="I59" s="1396"/>
      <c r="J59" s="1396"/>
      <c r="K59" s="598"/>
      <c r="L59" s="599"/>
      <c r="M59" s="599"/>
      <c r="N59" s="599"/>
      <c r="O59" s="599"/>
      <c r="P59" s="599"/>
      <c r="Q59" s="1395"/>
      <c r="R59" s="1396"/>
      <c r="S59" s="1397"/>
    </row>
    <row r="60" spans="1:19" ht="15">
      <c r="A60" s="598"/>
      <c r="B60" s="599"/>
      <c r="C60" s="599"/>
      <c r="D60" s="599"/>
      <c r="E60" s="599"/>
      <c r="F60" s="599"/>
      <c r="G60" s="1395"/>
      <c r="H60" s="1396"/>
      <c r="I60" s="1396"/>
      <c r="J60" s="1396"/>
      <c r="K60" s="598"/>
      <c r="L60" s="599"/>
      <c r="M60" s="599"/>
      <c r="N60" s="599"/>
      <c r="O60" s="599"/>
      <c r="P60" s="599"/>
      <c r="Q60" s="1395"/>
      <c r="R60" s="1396"/>
      <c r="S60" s="1397"/>
    </row>
    <row r="61" spans="1:19" ht="15">
      <c r="A61" s="598"/>
      <c r="B61" s="599"/>
      <c r="C61" s="599"/>
      <c r="D61" s="599"/>
      <c r="E61" s="599"/>
      <c r="F61" s="599"/>
      <c r="G61" s="1395"/>
      <c r="H61" s="1396"/>
      <c r="I61" s="1396"/>
      <c r="J61" s="1396"/>
      <c r="K61" s="598"/>
      <c r="L61" s="599"/>
      <c r="M61" s="599"/>
      <c r="N61" s="599"/>
      <c r="O61" s="599"/>
      <c r="P61" s="599"/>
      <c r="Q61" s="1395"/>
      <c r="R61" s="1396"/>
      <c r="S61" s="1397"/>
    </row>
    <row r="62" spans="1:19" ht="13.5" thickBot="1">
      <c r="A62" s="598"/>
      <c r="B62" s="599"/>
      <c r="C62" s="599"/>
      <c r="D62" s="599"/>
      <c r="E62" s="599"/>
      <c r="F62" s="599"/>
      <c r="G62" s="599"/>
      <c r="H62" s="599"/>
      <c r="I62" s="599"/>
      <c r="J62" s="599"/>
      <c r="K62" s="598"/>
      <c r="L62" s="599"/>
      <c r="M62" s="1406"/>
      <c r="N62" s="1406"/>
      <c r="O62" s="1406"/>
      <c r="P62" s="1406"/>
      <c r="Q62" s="599"/>
      <c r="R62" s="599"/>
      <c r="S62" s="607"/>
    </row>
    <row r="63" spans="1:19" ht="13.5" thickBot="1">
      <c r="A63" s="598"/>
      <c r="B63" s="604"/>
      <c r="C63" s="1407" t="s">
        <v>180</v>
      </c>
      <c r="D63" s="1408"/>
      <c r="E63" s="1408"/>
      <c r="F63" s="1408"/>
      <c r="G63" s="1409"/>
      <c r="H63" s="599"/>
      <c r="I63" s="599"/>
      <c r="J63" s="599"/>
      <c r="K63" s="608"/>
      <c r="L63" s="599"/>
      <c r="M63" s="1407" t="s">
        <v>180</v>
      </c>
      <c r="N63" s="1408"/>
      <c r="O63" s="1408"/>
      <c r="P63" s="1408"/>
      <c r="Q63" s="1409"/>
      <c r="R63" s="599"/>
      <c r="S63" s="609"/>
    </row>
    <row r="64" spans="1:19" ht="13.5" thickBot="1">
      <c r="A64" s="611"/>
      <c r="B64" s="612"/>
      <c r="C64" s="612"/>
      <c r="D64" s="612"/>
      <c r="E64" s="612"/>
      <c r="F64" s="612"/>
      <c r="G64" s="612"/>
      <c r="H64" s="612"/>
      <c r="I64" s="612"/>
      <c r="J64" s="612"/>
      <c r="K64" s="613"/>
      <c r="L64" s="612"/>
      <c r="M64" s="612"/>
      <c r="N64" s="612"/>
      <c r="O64" s="612"/>
      <c r="P64" s="612"/>
      <c r="Q64" s="612"/>
      <c r="R64" s="612"/>
      <c r="S64" s="614"/>
    </row>
    <row r="65" spans="3:3" ht="13.5" thickTop="1"/>
    <row r="68" spans="3:3">
      <c r="C68" s="577" t="s">
        <v>265</v>
      </c>
    </row>
    <row r="69" spans="3:3">
      <c r="C69" s="577" t="s">
        <v>266</v>
      </c>
    </row>
  </sheetData>
  <mergeCells count="100">
    <mergeCell ref="G61:J61"/>
    <mergeCell ref="Q61:S61"/>
    <mergeCell ref="M62:P62"/>
    <mergeCell ref="C63:G63"/>
    <mergeCell ref="M63:Q63"/>
    <mergeCell ref="G58:J58"/>
    <mergeCell ref="Q58:S58"/>
    <mergeCell ref="G59:J59"/>
    <mergeCell ref="Q59:S59"/>
    <mergeCell ref="G60:J60"/>
    <mergeCell ref="Q60:S60"/>
    <mergeCell ref="G55:J55"/>
    <mergeCell ref="Q55:S55"/>
    <mergeCell ref="G56:J56"/>
    <mergeCell ref="Q56:S56"/>
    <mergeCell ref="G57:J57"/>
    <mergeCell ref="Q57:S57"/>
    <mergeCell ref="G54:J54"/>
    <mergeCell ref="Q54:S54"/>
    <mergeCell ref="A50:B50"/>
    <mergeCell ref="G50:J50"/>
    <mergeCell ref="K50:L50"/>
    <mergeCell ref="Q50:S50"/>
    <mergeCell ref="A51:B51"/>
    <mergeCell ref="G51:J51"/>
    <mergeCell ref="K51:L51"/>
    <mergeCell ref="Q51:S51"/>
    <mergeCell ref="A52:B52"/>
    <mergeCell ref="G52:J52"/>
    <mergeCell ref="Q52:S52"/>
    <mergeCell ref="G53:J53"/>
    <mergeCell ref="Q53:S53"/>
    <mergeCell ref="G48:J48"/>
    <mergeCell ref="Q48:S48"/>
    <mergeCell ref="A49:B49"/>
    <mergeCell ref="G49:J49"/>
    <mergeCell ref="K49:L49"/>
    <mergeCell ref="Q49:S49"/>
    <mergeCell ref="G47:J47"/>
    <mergeCell ref="Q47:S47"/>
    <mergeCell ref="G39:J39"/>
    <mergeCell ref="Q39:S39"/>
    <mergeCell ref="M40:P40"/>
    <mergeCell ref="C41:G41"/>
    <mergeCell ref="M41:Q41"/>
    <mergeCell ref="A43:J43"/>
    <mergeCell ref="K43:S43"/>
    <mergeCell ref="A44:J44"/>
    <mergeCell ref="K44:S44"/>
    <mergeCell ref="G45:J45"/>
    <mergeCell ref="G46:J46"/>
    <mergeCell ref="Q46:S46"/>
    <mergeCell ref="G36:J36"/>
    <mergeCell ref="Q36:S36"/>
    <mergeCell ref="G37:J37"/>
    <mergeCell ref="Q37:S37"/>
    <mergeCell ref="G38:J38"/>
    <mergeCell ref="Q38:S38"/>
    <mergeCell ref="G33:J33"/>
    <mergeCell ref="Q33:S33"/>
    <mergeCell ref="G34:J34"/>
    <mergeCell ref="Q34:S34"/>
    <mergeCell ref="G35:J35"/>
    <mergeCell ref="Q35:S35"/>
    <mergeCell ref="G32:J32"/>
    <mergeCell ref="Q32:S32"/>
    <mergeCell ref="A28:B28"/>
    <mergeCell ref="G28:J28"/>
    <mergeCell ref="K28:L28"/>
    <mergeCell ref="Q28:S28"/>
    <mergeCell ref="A29:B29"/>
    <mergeCell ref="G29:J29"/>
    <mergeCell ref="K29:L29"/>
    <mergeCell ref="Q29:S29"/>
    <mergeCell ref="A30:B30"/>
    <mergeCell ref="G30:J30"/>
    <mergeCell ref="Q30:S30"/>
    <mergeCell ref="G31:J31"/>
    <mergeCell ref="Q31:S31"/>
    <mergeCell ref="G25:J25"/>
    <mergeCell ref="Q25:S25"/>
    <mergeCell ref="G26:J26"/>
    <mergeCell ref="Q26:S26"/>
    <mergeCell ref="A27:B27"/>
    <mergeCell ref="G27:J27"/>
    <mergeCell ref="K27:L27"/>
    <mergeCell ref="Q27:S27"/>
    <mergeCell ref="G24:J24"/>
    <mergeCell ref="Q24:S24"/>
    <mergeCell ref="A1:C2"/>
    <mergeCell ref="D1:Q2"/>
    <mergeCell ref="R1:S2"/>
    <mergeCell ref="Q4:S4"/>
    <mergeCell ref="A5:C6"/>
    <mergeCell ref="D5:S6"/>
    <mergeCell ref="A21:J21"/>
    <mergeCell ref="K21:S21"/>
    <mergeCell ref="A22:J22"/>
    <mergeCell ref="K22:S22"/>
    <mergeCell ref="G23:J23"/>
  </mergeCells>
  <printOptions horizontalCentered="1" verticalCentered="1"/>
  <pageMargins left="0" right="0" top="0.39370078740157483" bottom="0.39370078740157483" header="0" footer="0"/>
  <pageSetup paperSize="9" scale="75" orientation="portrait" blackAndWhite="1" horizontalDpi="4294967292" verticalDpi="4294967292" r:id="rId1"/>
  <headerFooter>
    <oddFooter>&amp;LEdité le &amp;D&amp;C&amp;P/&amp;N</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13">
    <tabColor rgb="FFCCFFCC"/>
    <pageSetUpPr fitToPage="1"/>
  </sheetPr>
  <dimension ref="A1:U90"/>
  <sheetViews>
    <sheetView showGridLines="0" view="pageBreakPreview" topLeftCell="A64" zoomScaleNormal="75" workbookViewId="0">
      <selection activeCell="C6" sqref="C6"/>
    </sheetView>
  </sheetViews>
  <sheetFormatPr baseColWidth="10" defaultColWidth="11.42578125" defaultRowHeight="12.75"/>
  <cols>
    <col min="1" max="1" width="10.140625" style="21" customWidth="1"/>
    <col min="2" max="2" width="5.5703125" style="21" customWidth="1"/>
    <col min="3" max="4" width="10.140625" style="21" customWidth="1"/>
    <col min="5" max="6" width="5.7109375" style="21" customWidth="1"/>
    <col min="7" max="7" width="2" style="21" customWidth="1"/>
    <col min="8" max="8" width="5.7109375" style="21" customWidth="1"/>
    <col min="9" max="9" width="6.28515625" style="21" customWidth="1"/>
    <col min="10" max="10" width="7.85546875" style="21" customWidth="1"/>
    <col min="11" max="11" width="16.85546875" style="21" bestFit="1" customWidth="1"/>
    <col min="12" max="12" width="12.85546875" style="21" customWidth="1"/>
    <col min="13" max="13" width="7.28515625" style="21" customWidth="1"/>
    <col min="14" max="14" width="6" style="21" customWidth="1"/>
    <col min="15" max="16384" width="11.42578125" style="21"/>
  </cols>
  <sheetData>
    <row r="1" spans="1:13" ht="18.75" customHeight="1" thickTop="1">
      <c r="A1" s="1412"/>
      <c r="B1" s="1412"/>
      <c r="C1" s="1327" t="s">
        <v>267</v>
      </c>
      <c r="D1" s="1328"/>
      <c r="E1" s="1328"/>
      <c r="F1" s="1328"/>
      <c r="G1" s="1328"/>
      <c r="H1" s="1328"/>
      <c r="I1" s="1328"/>
      <c r="J1" s="1328"/>
      <c r="K1" s="1328"/>
      <c r="L1" s="1419" t="s">
        <v>268</v>
      </c>
      <c r="M1" s="1420"/>
    </row>
    <row r="2" spans="1:13" ht="21" customHeight="1" thickBot="1">
      <c r="A2" s="1413"/>
      <c r="B2" s="1413"/>
      <c r="C2" s="1330"/>
      <c r="D2" s="1331"/>
      <c r="E2" s="1331"/>
      <c r="F2" s="1331"/>
      <c r="G2" s="1331"/>
      <c r="H2" s="1331"/>
      <c r="I2" s="1331"/>
      <c r="J2" s="1331"/>
      <c r="K2" s="1331"/>
      <c r="L2" s="1421"/>
      <c r="M2" s="1422"/>
    </row>
    <row r="3" spans="1:13" ht="9.75" customHeight="1" thickTop="1">
      <c r="A3" s="20"/>
      <c r="B3" s="20"/>
      <c r="C3" s="20"/>
      <c r="D3" s="10"/>
      <c r="E3" s="10"/>
      <c r="F3" s="10"/>
      <c r="G3" s="10"/>
      <c r="H3" s="10"/>
      <c r="I3" s="10"/>
      <c r="J3" s="10"/>
      <c r="K3" s="10"/>
      <c r="L3" s="10"/>
      <c r="M3" s="10"/>
    </row>
    <row r="4" spans="1:13" ht="15.75">
      <c r="A4" s="28" t="s">
        <v>269</v>
      </c>
      <c r="B4" s="28"/>
      <c r="C4" s="116"/>
      <c r="D4" s="28"/>
      <c r="E4" s="124"/>
      <c r="F4" s="124"/>
      <c r="G4" s="124"/>
      <c r="H4" s="14" t="s">
        <v>542</v>
      </c>
      <c r="I4" s="139"/>
      <c r="J4" s="14"/>
      <c r="K4" s="530" t="str">
        <f>IF(ISBLANK(oeOTP),"",oeOTP)</f>
        <v/>
      </c>
      <c r="L4" s="509"/>
      <c r="M4" s="124"/>
    </row>
    <row r="5" spans="1:13" ht="12.75" customHeight="1">
      <c r="A5" s="124"/>
      <c r="B5" s="124"/>
      <c r="C5" s="124"/>
      <c r="D5" s="124"/>
      <c r="E5" s="124"/>
      <c r="F5" s="124"/>
      <c r="G5" s="124"/>
      <c r="H5" s="124"/>
      <c r="I5" s="124"/>
      <c r="J5" s="124"/>
      <c r="K5" s="124"/>
      <c r="L5" s="124"/>
      <c r="M5" s="124"/>
    </row>
    <row r="6" spans="1:13" ht="12.75" customHeight="1">
      <c r="A6" s="14" t="s">
        <v>261</v>
      </c>
      <c r="B6" s="768" t="str">
        <f>IF(ISBLANK(oMOE),"",oMOE)</f>
        <v/>
      </c>
      <c r="C6" s="511"/>
      <c r="D6" s="14"/>
      <c r="E6" s="14"/>
      <c r="F6" s="351"/>
      <c r="H6" s="351" t="s">
        <v>545</v>
      </c>
      <c r="J6" s="533" t="str">
        <f>IF(ISBLANK(oVille),"",oVille)</f>
        <v/>
      </c>
      <c r="K6" s="512"/>
    </row>
    <row r="7" spans="1:13" ht="13.5" customHeight="1">
      <c r="A7" s="14"/>
      <c r="B7" s="139"/>
      <c r="C7" s="14"/>
      <c r="D7" s="14"/>
      <c r="E7" s="14"/>
      <c r="F7" s="351"/>
      <c r="J7" s="351"/>
      <c r="K7" s="351"/>
    </row>
    <row r="8" spans="1:13" ht="30" customHeight="1">
      <c r="A8" s="351" t="s">
        <v>270</v>
      </c>
      <c r="B8" s="351"/>
      <c r="C8" s="351"/>
      <c r="D8" s="1441" t="str">
        <f>IF(ISBLANK(oLibelleOTP),"",oLibelleOTP)</f>
        <v/>
      </c>
      <c r="E8" s="1441"/>
      <c r="F8" s="1441"/>
      <c r="G8" s="1441"/>
      <c r="H8" s="1441"/>
      <c r="I8" s="1441"/>
      <c r="J8" s="1441"/>
      <c r="K8" s="1441"/>
      <c r="L8" s="1441"/>
      <c r="M8" s="1441"/>
    </row>
    <row r="9" spans="1:13" ht="12.75" customHeight="1">
      <c r="A9" s="351"/>
      <c r="B9" s="351"/>
      <c r="C9" s="351"/>
      <c r="D9" s="351"/>
      <c r="G9" s="351"/>
      <c r="H9" s="351"/>
      <c r="J9" s="351"/>
      <c r="K9" s="351"/>
    </row>
    <row r="10" spans="1:13">
      <c r="A10" s="351"/>
      <c r="B10" s="351"/>
      <c r="C10" s="351"/>
      <c r="D10" s="351"/>
      <c r="E10" s="351"/>
      <c r="F10" s="351"/>
      <c r="G10" s="351"/>
      <c r="H10" s="351"/>
      <c r="J10" s="351"/>
      <c r="K10" s="351"/>
    </row>
    <row r="11" spans="1:13" ht="12.75" customHeight="1">
      <c r="A11" s="37" t="s">
        <v>271</v>
      </c>
      <c r="B11" s="37"/>
      <c r="D11" s="769" t="str">
        <f>IF(ISBLANK(oDebut_travaux),"",oDebut_travaux)</f>
        <v/>
      </c>
      <c r="E11" s="512"/>
      <c r="F11" s="113"/>
      <c r="H11" s="352" t="s">
        <v>263</v>
      </c>
      <c r="K11" s="769" t="str">
        <f>IF(ISBLANK(oFinTravaux),"",oFinTravaux)</f>
        <v/>
      </c>
      <c r="L11" s="512"/>
      <c r="M11" s="510"/>
    </row>
    <row r="12" spans="1:13">
      <c r="A12" s="113"/>
      <c r="B12" s="118"/>
      <c r="C12" s="118"/>
      <c r="D12" s="118"/>
      <c r="E12" s="118"/>
      <c r="F12" s="118"/>
      <c r="G12" s="118"/>
      <c r="H12" s="118"/>
      <c r="I12" s="119"/>
      <c r="J12" s="34"/>
      <c r="L12" s="113"/>
      <c r="M12" s="113"/>
    </row>
    <row r="13" spans="1:13">
      <c r="A13" s="113"/>
      <c r="B13" s="118"/>
      <c r="C13" s="118"/>
      <c r="D13" s="118"/>
      <c r="E13" s="118"/>
      <c r="F13" s="118"/>
      <c r="G13" s="118"/>
      <c r="H13" s="118"/>
      <c r="I13" s="119"/>
      <c r="J13" s="38"/>
      <c r="L13" s="113"/>
      <c r="M13" s="113"/>
    </row>
    <row r="14" spans="1:13">
      <c r="A14" s="1427" t="s">
        <v>272</v>
      </c>
      <c r="B14" s="1427"/>
      <c r="C14" s="1427"/>
      <c r="D14" s="1428" t="s">
        <v>273</v>
      </c>
      <c r="E14" s="1428"/>
      <c r="F14" s="1428"/>
      <c r="G14" s="1429"/>
      <c r="H14" s="1414" t="s">
        <v>274</v>
      </c>
      <c r="I14" s="1414"/>
      <c r="J14" s="1414"/>
      <c r="K14" s="1414"/>
      <c r="L14" s="1427" t="s">
        <v>275</v>
      </c>
      <c r="M14" s="1427"/>
    </row>
    <row r="15" spans="1:13" ht="25.5" customHeight="1">
      <c r="A15" s="1417"/>
      <c r="B15" s="1417"/>
      <c r="C15" s="1417"/>
      <c r="D15" s="1423"/>
      <c r="E15" s="1423"/>
      <c r="F15" s="1423"/>
      <c r="G15" s="1424"/>
      <c r="H15" s="1430" t="s">
        <v>276</v>
      </c>
      <c r="I15" s="1431"/>
      <c r="J15" s="1431"/>
      <c r="K15" s="1431"/>
      <c r="L15" s="1417"/>
      <c r="M15" s="1417"/>
    </row>
    <row r="16" spans="1:13" ht="24.75" customHeight="1">
      <c r="A16" s="1418"/>
      <c r="B16" s="1418"/>
      <c r="C16" s="1418"/>
      <c r="D16" s="1425"/>
      <c r="E16" s="1425"/>
      <c r="F16" s="1425"/>
      <c r="G16" s="1426"/>
      <c r="H16" s="1415" t="s">
        <v>276</v>
      </c>
      <c r="I16" s="1416"/>
      <c r="J16" s="1416"/>
      <c r="K16" s="1416"/>
      <c r="L16" s="1418"/>
      <c r="M16" s="1418"/>
    </row>
    <row r="17" spans="1:21" ht="25.5" customHeight="1">
      <c r="A17" s="1418"/>
      <c r="B17" s="1418"/>
      <c r="C17" s="1418"/>
      <c r="D17" s="1425"/>
      <c r="E17" s="1425"/>
      <c r="F17" s="1425"/>
      <c r="G17" s="1426"/>
      <c r="H17" s="1415" t="s">
        <v>276</v>
      </c>
      <c r="I17" s="1416"/>
      <c r="J17" s="1416"/>
      <c r="K17" s="1416"/>
      <c r="L17" s="1418"/>
      <c r="M17" s="1418"/>
    </row>
    <row r="18" spans="1:21" ht="25.5" customHeight="1">
      <c r="A18" s="1418"/>
      <c r="B18" s="1418"/>
      <c r="C18" s="1418"/>
      <c r="D18" s="1425"/>
      <c r="E18" s="1425"/>
      <c r="F18" s="1425"/>
      <c r="G18" s="1426"/>
      <c r="H18" s="1415" t="s">
        <v>276</v>
      </c>
      <c r="I18" s="1416"/>
      <c r="J18" s="1416"/>
      <c r="K18" s="1416"/>
      <c r="L18" s="1418"/>
      <c r="M18" s="1418"/>
    </row>
    <row r="19" spans="1:21" ht="25.5" customHeight="1">
      <c r="A19" s="1418"/>
      <c r="B19" s="1418"/>
      <c r="C19" s="1418"/>
      <c r="D19" s="1425"/>
      <c r="E19" s="1425"/>
      <c r="F19" s="1425"/>
      <c r="G19" s="1426"/>
      <c r="H19" s="1415" t="s">
        <v>276</v>
      </c>
      <c r="I19" s="1416"/>
      <c r="J19" s="1416"/>
      <c r="K19" s="1416"/>
      <c r="L19" s="1418"/>
      <c r="M19" s="1418"/>
    </row>
    <row r="20" spans="1:21" ht="24.75" customHeight="1">
      <c r="A20" s="1434"/>
      <c r="B20" s="1434"/>
      <c r="C20" s="1434"/>
      <c r="D20" s="1435"/>
      <c r="E20" s="1435"/>
      <c r="F20" s="1435"/>
      <c r="G20" s="1436"/>
      <c r="H20" s="1432" t="s">
        <v>276</v>
      </c>
      <c r="I20" s="1433"/>
      <c r="J20" s="1433"/>
      <c r="K20" s="1433"/>
      <c r="L20" s="1434"/>
      <c r="M20" s="1434"/>
    </row>
    <row r="21" spans="1:21">
      <c r="A21" s="113"/>
      <c r="B21" s="118"/>
      <c r="C21" s="118"/>
      <c r="D21" s="118"/>
      <c r="E21" s="118"/>
      <c r="F21" s="118"/>
      <c r="G21" s="118"/>
      <c r="H21" s="118"/>
      <c r="I21" s="119"/>
      <c r="J21" s="38"/>
      <c r="L21" s="113"/>
      <c r="M21" s="113"/>
    </row>
    <row r="22" spans="1:21" ht="18">
      <c r="A22" s="1438" t="s">
        <v>277</v>
      </c>
      <c r="B22" s="1438"/>
      <c r="C22" s="1438"/>
      <c r="D22" s="1438"/>
      <c r="E22" s="1438"/>
      <c r="F22" s="1438"/>
      <c r="G22" s="1438"/>
      <c r="H22" s="1438"/>
      <c r="I22" s="1438"/>
      <c r="J22" s="1438"/>
      <c r="K22" s="1438"/>
      <c r="L22" s="1438"/>
      <c r="M22" s="1438"/>
      <c r="R22" s="114"/>
      <c r="S22" s="114"/>
      <c r="T22" s="114"/>
    </row>
    <row r="23" spans="1:21" ht="18">
      <c r="A23" s="1439"/>
      <c r="B23" s="1439"/>
      <c r="C23" s="1439"/>
      <c r="D23" s="1439"/>
      <c r="E23" s="1439"/>
      <c r="F23" s="1439"/>
      <c r="G23" s="1439"/>
      <c r="H23" s="1439"/>
      <c r="I23" s="1439"/>
      <c r="J23" s="1439"/>
      <c r="K23" s="1439"/>
      <c r="L23" s="121"/>
      <c r="R23" s="114"/>
      <c r="S23" s="114"/>
      <c r="T23" s="114"/>
    </row>
    <row r="24" spans="1:21" ht="15">
      <c r="A24" s="1440"/>
      <c r="B24" s="1440"/>
      <c r="C24" s="1440"/>
      <c r="D24" s="1440"/>
      <c r="E24" s="1440"/>
      <c r="F24" s="1440"/>
      <c r="G24" s="1440"/>
      <c r="H24" s="1440"/>
      <c r="I24" s="1440"/>
      <c r="J24" s="1440"/>
      <c r="K24" s="1440"/>
      <c r="L24" s="1440"/>
      <c r="M24" s="1440"/>
      <c r="R24" s="114"/>
      <c r="S24" s="114"/>
      <c r="T24" s="114"/>
    </row>
    <row r="25" spans="1:21" ht="18" customHeight="1">
      <c r="A25" s="1437"/>
      <c r="B25" s="1437"/>
      <c r="C25" s="1437"/>
      <c r="D25" s="1437"/>
      <c r="E25" s="1437"/>
      <c r="F25" s="1437"/>
      <c r="G25" s="1437"/>
      <c r="H25" s="1437"/>
      <c r="I25" s="1437"/>
      <c r="J25" s="1437"/>
      <c r="K25" s="1437"/>
      <c r="L25" s="1437"/>
      <c r="M25" s="1437"/>
      <c r="S25" s="115"/>
      <c r="T25" s="115"/>
      <c r="U25" s="115"/>
    </row>
    <row r="26" spans="1:21" ht="18" customHeight="1">
      <c r="A26" s="1437"/>
      <c r="B26" s="1437"/>
      <c r="C26" s="1437"/>
      <c r="D26" s="1437"/>
      <c r="E26" s="1437"/>
      <c r="F26" s="1437"/>
      <c r="G26" s="1437"/>
      <c r="H26" s="1437"/>
      <c r="I26" s="1437"/>
      <c r="J26" s="1437"/>
      <c r="K26" s="1437"/>
      <c r="L26" s="1437"/>
      <c r="M26" s="1437"/>
    </row>
    <row r="27" spans="1:21" ht="15">
      <c r="A27" s="1437"/>
      <c r="B27" s="1437"/>
      <c r="C27" s="1437"/>
      <c r="D27" s="1437"/>
      <c r="E27" s="1437"/>
      <c r="F27" s="1437"/>
      <c r="G27" s="1437"/>
      <c r="H27" s="1437"/>
      <c r="I27" s="1437"/>
      <c r="J27" s="1437"/>
      <c r="K27" s="1437"/>
      <c r="L27" s="1437"/>
      <c r="M27" s="1437"/>
      <c r="R27" s="114"/>
      <c r="S27" s="114"/>
      <c r="T27" s="114"/>
    </row>
    <row r="28" spans="1:21" ht="15">
      <c r="A28" s="122"/>
      <c r="B28" s="122"/>
      <c r="C28" s="122"/>
      <c r="D28" s="122"/>
      <c r="E28" s="122"/>
      <c r="F28" s="122"/>
      <c r="G28" s="122"/>
      <c r="H28" s="122"/>
      <c r="I28" s="122"/>
      <c r="J28" s="122"/>
      <c r="K28" s="122"/>
      <c r="L28" s="122"/>
      <c r="M28" s="122"/>
      <c r="R28" s="114"/>
      <c r="S28" s="114"/>
      <c r="T28" s="114"/>
    </row>
    <row r="29" spans="1:21" ht="15">
      <c r="A29" s="122"/>
      <c r="B29" s="122"/>
      <c r="C29" s="122"/>
      <c r="D29" s="122"/>
      <c r="E29" s="122"/>
      <c r="F29" s="122"/>
      <c r="G29" s="122"/>
      <c r="H29" s="122"/>
      <c r="I29" s="122"/>
      <c r="J29" s="122"/>
      <c r="K29" s="122"/>
      <c r="L29" s="122"/>
      <c r="M29" s="122"/>
      <c r="R29" s="114"/>
      <c r="S29" s="114"/>
      <c r="T29" s="114"/>
    </row>
    <row r="30" spans="1:21" ht="18" customHeight="1">
      <c r="A30" s="1437"/>
      <c r="B30" s="1437"/>
      <c r="C30" s="1437"/>
      <c r="D30" s="1437"/>
      <c r="E30" s="1437"/>
      <c r="F30" s="1437"/>
      <c r="G30" s="1437"/>
      <c r="H30" s="1437"/>
      <c r="I30" s="1437"/>
      <c r="J30" s="1437"/>
      <c r="K30" s="1437"/>
      <c r="L30" s="1437"/>
      <c r="M30" s="1437"/>
      <c r="S30" s="115"/>
      <c r="T30" s="115"/>
      <c r="U30" s="115"/>
    </row>
    <row r="31" spans="1:21" ht="18" customHeight="1">
      <c r="A31" s="122"/>
      <c r="B31" s="122"/>
      <c r="C31" s="122"/>
      <c r="D31" s="122"/>
      <c r="E31" s="122"/>
      <c r="F31" s="122"/>
      <c r="G31" s="122"/>
      <c r="H31" s="122"/>
      <c r="I31" s="122"/>
      <c r="J31" s="122"/>
      <c r="K31" s="122"/>
      <c r="L31" s="122"/>
      <c r="M31" s="122"/>
      <c r="S31" s="115"/>
      <c r="T31" s="115"/>
      <c r="U31" s="115"/>
    </row>
    <row r="32" spans="1:21" ht="18" customHeight="1">
      <c r="A32" s="122"/>
      <c r="B32" s="122"/>
      <c r="C32" s="122"/>
      <c r="D32" s="122"/>
      <c r="E32" s="122"/>
      <c r="F32" s="122"/>
      <c r="G32" s="122"/>
      <c r="H32" s="122"/>
      <c r="I32" s="122"/>
      <c r="J32" s="122"/>
      <c r="K32" s="122"/>
      <c r="L32" s="122"/>
      <c r="M32" s="122"/>
      <c r="S32" s="115"/>
      <c r="T32" s="115"/>
      <c r="U32" s="115"/>
    </row>
    <row r="33" spans="1:21" ht="15">
      <c r="A33" s="1437"/>
      <c r="B33" s="1437"/>
      <c r="C33" s="1437"/>
      <c r="D33" s="1437"/>
      <c r="E33" s="1437"/>
      <c r="F33" s="1437"/>
      <c r="G33" s="1437"/>
      <c r="H33" s="1437"/>
      <c r="I33" s="1437"/>
      <c r="J33" s="1437"/>
      <c r="K33" s="1437"/>
      <c r="L33" s="1437"/>
      <c r="M33" s="1437"/>
      <c r="R33" s="114"/>
      <c r="S33" s="114"/>
      <c r="T33" s="114"/>
    </row>
    <row r="34" spans="1:21" ht="15">
      <c r="A34" s="1437"/>
      <c r="B34" s="1437"/>
      <c r="C34" s="1437"/>
      <c r="D34" s="1437"/>
      <c r="E34" s="1437"/>
      <c r="F34" s="1437"/>
      <c r="G34" s="1437"/>
      <c r="H34" s="1437"/>
      <c r="I34" s="1437"/>
      <c r="J34" s="1437"/>
      <c r="K34" s="1437"/>
      <c r="L34" s="1437"/>
      <c r="M34" s="1437"/>
      <c r="R34" s="114"/>
      <c r="S34" s="114"/>
      <c r="T34" s="114"/>
    </row>
    <row r="35" spans="1:21" ht="15">
      <c r="A35" s="122"/>
      <c r="B35" s="122"/>
      <c r="C35" s="122"/>
      <c r="D35" s="122"/>
      <c r="E35" s="122"/>
      <c r="F35" s="122"/>
      <c r="G35" s="122"/>
      <c r="H35" s="122"/>
      <c r="I35" s="122"/>
      <c r="J35" s="122"/>
      <c r="K35" s="122"/>
      <c r="L35" s="122"/>
      <c r="M35" s="122"/>
      <c r="R35" s="114"/>
      <c r="S35" s="114"/>
      <c r="T35" s="114"/>
    </row>
    <row r="36" spans="1:21" ht="15">
      <c r="A36" s="122"/>
      <c r="B36" s="122"/>
      <c r="C36" s="122"/>
      <c r="D36" s="122"/>
      <c r="E36" s="122"/>
      <c r="F36" s="122"/>
      <c r="G36" s="122"/>
      <c r="H36" s="122"/>
      <c r="I36" s="122"/>
      <c r="J36" s="122"/>
      <c r="K36" s="122"/>
      <c r="L36" s="122"/>
      <c r="M36" s="122"/>
      <c r="R36" s="114"/>
      <c r="S36" s="114"/>
      <c r="T36" s="114"/>
    </row>
    <row r="37" spans="1:21" ht="18" customHeight="1">
      <c r="A37" s="1437"/>
      <c r="B37" s="1437"/>
      <c r="C37" s="1437"/>
      <c r="D37" s="1437"/>
      <c r="E37" s="1437"/>
      <c r="F37" s="1437"/>
      <c r="G37" s="1437"/>
      <c r="H37" s="1437"/>
      <c r="I37" s="1437"/>
      <c r="J37" s="1437"/>
      <c r="K37" s="1437"/>
      <c r="L37" s="1437"/>
      <c r="M37" s="1437"/>
      <c r="S37" s="115"/>
      <c r="T37" s="115"/>
      <c r="U37" s="115"/>
    </row>
    <row r="38" spans="1:21" ht="18" customHeight="1">
      <c r="A38" s="1437"/>
      <c r="B38" s="1437"/>
      <c r="C38" s="1437"/>
      <c r="D38" s="1437"/>
      <c r="E38" s="1437"/>
      <c r="F38" s="1437"/>
      <c r="G38" s="1437"/>
      <c r="H38" s="1437"/>
      <c r="I38" s="1437"/>
      <c r="J38" s="1437"/>
      <c r="K38" s="1437"/>
      <c r="L38" s="1437"/>
      <c r="M38" s="1437"/>
      <c r="S38" s="115"/>
      <c r="T38" s="115"/>
      <c r="U38" s="115"/>
    </row>
    <row r="39" spans="1:21" ht="18" customHeight="1">
      <c r="A39" s="1437"/>
      <c r="B39" s="1437"/>
      <c r="C39" s="1437"/>
      <c r="D39" s="1437"/>
      <c r="E39" s="1437"/>
      <c r="F39" s="1437"/>
      <c r="G39" s="1437"/>
      <c r="H39" s="1437"/>
      <c r="I39" s="1437"/>
      <c r="J39" s="1437"/>
      <c r="K39" s="1437"/>
      <c r="L39" s="1437"/>
      <c r="M39" s="1437"/>
    </row>
    <row r="40" spans="1:21" ht="15">
      <c r="A40" s="1437"/>
      <c r="B40" s="1437"/>
      <c r="C40" s="1437"/>
      <c r="D40" s="1437"/>
      <c r="E40" s="1437"/>
      <c r="F40" s="1437"/>
      <c r="G40" s="1437"/>
      <c r="H40" s="1437"/>
      <c r="I40" s="1437"/>
      <c r="J40" s="1437"/>
      <c r="K40" s="1437"/>
      <c r="L40" s="1437"/>
      <c r="M40" s="1437"/>
      <c r="R40" s="114"/>
      <c r="S40" s="114"/>
      <c r="T40" s="114"/>
    </row>
    <row r="41" spans="1:21" ht="15">
      <c r="A41" s="1437"/>
      <c r="B41" s="1437"/>
      <c r="C41" s="1437"/>
      <c r="D41" s="1437"/>
      <c r="E41" s="1437"/>
      <c r="F41" s="1437"/>
      <c r="G41" s="1437"/>
      <c r="H41" s="1437"/>
      <c r="I41" s="1437"/>
      <c r="J41" s="1437"/>
      <c r="K41" s="1437"/>
      <c r="L41" s="1437"/>
      <c r="M41" s="1437"/>
      <c r="R41" s="114"/>
      <c r="S41" s="114"/>
      <c r="T41" s="114"/>
    </row>
    <row r="42" spans="1:21" ht="18" customHeight="1">
      <c r="A42" s="1437"/>
      <c r="B42" s="1437"/>
      <c r="C42" s="1437"/>
      <c r="D42" s="1437"/>
      <c r="E42" s="1437"/>
      <c r="F42" s="1437"/>
      <c r="G42" s="1437"/>
      <c r="H42" s="1437"/>
      <c r="I42" s="1437"/>
      <c r="J42" s="1437"/>
      <c r="K42" s="1437"/>
      <c r="L42" s="1437"/>
      <c r="M42" s="1437"/>
      <c r="S42" s="115"/>
      <c r="T42" s="115"/>
      <c r="U42" s="115"/>
    </row>
    <row r="43" spans="1:21" ht="18" customHeight="1">
      <c r="A43" s="1437"/>
      <c r="B43" s="1437"/>
      <c r="C43" s="1437"/>
      <c r="D43" s="1437"/>
      <c r="E43" s="1437"/>
      <c r="F43" s="1437"/>
      <c r="G43" s="1437"/>
      <c r="H43" s="1437"/>
      <c r="I43" s="1437"/>
      <c r="J43" s="1437"/>
      <c r="K43" s="1437"/>
      <c r="L43" s="1437"/>
      <c r="M43" s="1437"/>
      <c r="S43" s="115"/>
      <c r="T43" s="115"/>
      <c r="U43" s="115"/>
    </row>
    <row r="45" spans="1:21">
      <c r="A45" s="1439" t="s">
        <v>278</v>
      </c>
      <c r="B45" s="1439"/>
      <c r="C45" s="1439"/>
      <c r="D45" s="1439"/>
      <c r="E45" s="1439"/>
      <c r="F45" s="1439"/>
      <c r="G45" s="1439"/>
      <c r="H45" s="1439"/>
      <c r="I45" s="1439"/>
      <c r="J45" s="1439"/>
      <c r="K45" s="1439"/>
      <c r="L45" s="1439"/>
      <c r="M45" s="1439"/>
    </row>
    <row r="46" spans="1:21" ht="24.95" customHeight="1">
      <c r="A46" s="1442" t="s">
        <v>279</v>
      </c>
      <c r="B46" s="1442"/>
      <c r="C46" s="1442"/>
      <c r="D46" s="1442"/>
      <c r="E46" s="1442"/>
      <c r="F46" s="1442"/>
      <c r="G46" s="1442"/>
      <c r="H46" s="1442"/>
      <c r="I46" s="1442"/>
      <c r="J46" s="1442"/>
      <c r="K46" s="1442"/>
      <c r="L46" s="1442"/>
      <c r="M46" s="1442"/>
    </row>
    <row r="47" spans="1:21" ht="24.95" customHeight="1">
      <c r="A47" s="1442"/>
      <c r="B47" s="1442"/>
      <c r="C47" s="1442"/>
      <c r="D47" s="1442"/>
      <c r="E47" s="1442"/>
      <c r="F47" s="1442"/>
      <c r="G47" s="1442"/>
      <c r="H47" s="1442"/>
      <c r="I47" s="1442"/>
      <c r="J47" s="1442"/>
      <c r="K47" s="1442"/>
      <c r="L47" s="1442"/>
      <c r="M47" s="1442"/>
    </row>
    <row r="48" spans="1:21">
      <c r="A48" s="31" t="s">
        <v>1187</v>
      </c>
    </row>
    <row r="49" spans="1:7" ht="24.95" customHeight="1"/>
    <row r="50" spans="1:7">
      <c r="A50" s="37" t="s">
        <v>1188</v>
      </c>
      <c r="G50" s="36" t="s">
        <v>280</v>
      </c>
    </row>
    <row r="51" spans="1:7">
      <c r="A51" s="21" t="s">
        <v>281</v>
      </c>
      <c r="G51" s="21" t="s">
        <v>282</v>
      </c>
    </row>
    <row r="52" spans="1:7">
      <c r="A52" s="21" t="s">
        <v>283</v>
      </c>
      <c r="G52" s="21" t="s">
        <v>284</v>
      </c>
    </row>
    <row r="53" spans="1:7">
      <c r="G53" s="21" t="s">
        <v>285</v>
      </c>
    </row>
    <row r="54" spans="1:7">
      <c r="A54" s="36" t="s">
        <v>286</v>
      </c>
      <c r="G54" s="21" t="s">
        <v>287</v>
      </c>
    </row>
    <row r="55" spans="1:7">
      <c r="A55" s="21" t="s">
        <v>288</v>
      </c>
    </row>
    <row r="56" spans="1:7">
      <c r="A56" s="21" t="s">
        <v>289</v>
      </c>
      <c r="G56" s="36" t="s">
        <v>290</v>
      </c>
    </row>
    <row r="57" spans="1:7">
      <c r="A57" s="21" t="s">
        <v>291</v>
      </c>
    </row>
    <row r="58" spans="1:7">
      <c r="A58" s="21" t="s">
        <v>292</v>
      </c>
      <c r="G58" s="36" t="s">
        <v>293</v>
      </c>
    </row>
    <row r="60" spans="1:7">
      <c r="A60" s="36" t="s">
        <v>294</v>
      </c>
      <c r="G60" s="36" t="s">
        <v>295</v>
      </c>
    </row>
    <row r="61" spans="1:7">
      <c r="A61" s="21" t="s">
        <v>296</v>
      </c>
    </row>
    <row r="62" spans="1:7">
      <c r="A62" s="21" t="s">
        <v>297</v>
      </c>
      <c r="G62" s="36" t="s">
        <v>298</v>
      </c>
    </row>
    <row r="63" spans="1:7">
      <c r="A63" s="21" t="s">
        <v>299</v>
      </c>
    </row>
    <row r="64" spans="1:7">
      <c r="A64" s="21" t="s">
        <v>300</v>
      </c>
      <c r="G64" s="36" t="s">
        <v>301</v>
      </c>
    </row>
    <row r="65" spans="1:13" ht="27" customHeight="1">
      <c r="A65" s="1443" t="s">
        <v>302</v>
      </c>
      <c r="B65" s="1443"/>
      <c r="C65" s="1443"/>
      <c r="D65" s="1443"/>
      <c r="E65" s="1443"/>
      <c r="F65" s="1443"/>
      <c r="G65" s="1443" t="s">
        <v>303</v>
      </c>
      <c r="H65" s="1443"/>
      <c r="I65" s="1443"/>
      <c r="J65" s="1443"/>
      <c r="K65" s="1443"/>
      <c r="L65" s="1443"/>
      <c r="M65" s="1443"/>
    </row>
    <row r="66" spans="1:13">
      <c r="A66" s="21" t="s">
        <v>304</v>
      </c>
      <c r="G66" s="21" t="s">
        <v>305</v>
      </c>
    </row>
    <row r="67" spans="1:13">
      <c r="A67" s="21" t="s">
        <v>306</v>
      </c>
      <c r="G67" s="21" t="s">
        <v>307</v>
      </c>
    </row>
    <row r="68" spans="1:13">
      <c r="G68" s="21" t="s">
        <v>308</v>
      </c>
    </row>
    <row r="69" spans="1:13">
      <c r="A69" s="36" t="s">
        <v>309</v>
      </c>
    </row>
    <row r="70" spans="1:13">
      <c r="A70" s="21" t="s">
        <v>310</v>
      </c>
      <c r="G70" s="36" t="s">
        <v>311</v>
      </c>
    </row>
    <row r="71" spans="1:13">
      <c r="A71" s="21" t="s">
        <v>312</v>
      </c>
      <c r="G71" s="21" t="s">
        <v>313</v>
      </c>
    </row>
    <row r="72" spans="1:13">
      <c r="A72" s="21" t="s">
        <v>314</v>
      </c>
      <c r="G72" s="21" t="s">
        <v>315</v>
      </c>
    </row>
    <row r="73" spans="1:13">
      <c r="A73" s="21" t="s">
        <v>316</v>
      </c>
    </row>
    <row r="74" spans="1:13">
      <c r="A74" s="21" t="s">
        <v>317</v>
      </c>
      <c r="G74" s="36" t="s">
        <v>318</v>
      </c>
    </row>
    <row r="75" spans="1:13">
      <c r="A75" s="21" t="s">
        <v>319</v>
      </c>
    </row>
    <row r="76" spans="1:13">
      <c r="A76" s="21" t="s">
        <v>320</v>
      </c>
      <c r="G76" s="36" t="s">
        <v>321</v>
      </c>
    </row>
    <row r="77" spans="1:13">
      <c r="G77" s="21" t="s">
        <v>322</v>
      </c>
    </row>
    <row r="78" spans="1:13">
      <c r="A78" s="36" t="s">
        <v>323</v>
      </c>
      <c r="G78" s="21" t="s">
        <v>324</v>
      </c>
    </row>
    <row r="79" spans="1:13">
      <c r="A79" s="21" t="s">
        <v>325</v>
      </c>
      <c r="G79" s="21" t="s">
        <v>326</v>
      </c>
    </row>
    <row r="80" spans="1:13">
      <c r="G80" s="21" t="s">
        <v>327</v>
      </c>
    </row>
    <row r="81" spans="1:7">
      <c r="A81" s="36" t="s">
        <v>328</v>
      </c>
      <c r="G81" s="21" t="s">
        <v>329</v>
      </c>
    </row>
    <row r="82" spans="1:7">
      <c r="G82" s="21" t="s">
        <v>330</v>
      </c>
    </row>
    <row r="83" spans="1:7">
      <c r="A83" s="36" t="s">
        <v>331</v>
      </c>
    </row>
    <row r="85" spans="1:7">
      <c r="A85" s="36" t="s">
        <v>332</v>
      </c>
    </row>
    <row r="86" spans="1:7">
      <c r="A86" s="21" t="s">
        <v>333</v>
      </c>
    </row>
    <row r="87" spans="1:7">
      <c r="A87" s="21" t="s">
        <v>334</v>
      </c>
    </row>
    <row r="88" spans="1:7">
      <c r="A88" s="21" t="s">
        <v>335</v>
      </c>
    </row>
    <row r="89" spans="1:7">
      <c r="A89" s="21" t="s">
        <v>336</v>
      </c>
    </row>
    <row r="90" spans="1:7">
      <c r="A90" s="21" t="s">
        <v>337</v>
      </c>
    </row>
  </sheetData>
  <mergeCells count="52">
    <mergeCell ref="D8:M8"/>
    <mergeCell ref="A46:M47"/>
    <mergeCell ref="A65:F65"/>
    <mergeCell ref="G65:M65"/>
    <mergeCell ref="A42:M42"/>
    <mergeCell ref="A43:M43"/>
    <mergeCell ref="A45:M45"/>
    <mergeCell ref="A38:M38"/>
    <mergeCell ref="A39:M39"/>
    <mergeCell ref="A40:M40"/>
    <mergeCell ref="A41:M41"/>
    <mergeCell ref="A26:M26"/>
    <mergeCell ref="A27:M27"/>
    <mergeCell ref="A30:M30"/>
    <mergeCell ref="A33:M33"/>
    <mergeCell ref="A34:M34"/>
    <mergeCell ref="A37:M37"/>
    <mergeCell ref="A22:M22"/>
    <mergeCell ref="A23:K23"/>
    <mergeCell ref="A24:M24"/>
    <mergeCell ref="A25:M25"/>
    <mergeCell ref="H20:K20"/>
    <mergeCell ref="L20:M20"/>
    <mergeCell ref="D20:G20"/>
    <mergeCell ref="A20:C20"/>
    <mergeCell ref="A16:C16"/>
    <mergeCell ref="H17:K17"/>
    <mergeCell ref="L16:M16"/>
    <mergeCell ref="H19:K19"/>
    <mergeCell ref="L19:M19"/>
    <mergeCell ref="D19:G19"/>
    <mergeCell ref="A19:C19"/>
    <mergeCell ref="H18:K18"/>
    <mergeCell ref="L18:M18"/>
    <mergeCell ref="D18:G18"/>
    <mergeCell ref="A18:C18"/>
    <mergeCell ref="A1:B2"/>
    <mergeCell ref="H14:K14"/>
    <mergeCell ref="H16:K16"/>
    <mergeCell ref="L15:M15"/>
    <mergeCell ref="L17:M17"/>
    <mergeCell ref="C1:K2"/>
    <mergeCell ref="L1:M2"/>
    <mergeCell ref="D15:G15"/>
    <mergeCell ref="D16:G16"/>
    <mergeCell ref="L14:M14"/>
    <mergeCell ref="D14:G14"/>
    <mergeCell ref="A14:C14"/>
    <mergeCell ref="A15:C15"/>
    <mergeCell ref="H15:K15"/>
    <mergeCell ref="A17:C17"/>
    <mergeCell ref="D17:G17"/>
  </mergeCells>
  <phoneticPr fontId="12" type="noConversion"/>
  <printOptions horizontalCentered="1" verticalCentered="1"/>
  <pageMargins left="0" right="0" top="0" bottom="0.39370078740157483" header="0" footer="0"/>
  <pageSetup paperSize="9" scale="97" fitToHeight="0" orientation="portrait" blackAndWhite="1" r:id="rId1"/>
  <headerFooter alignWithMargins="0">
    <oddFooter>&amp;L&amp;8Edité le &amp;D&amp;C&amp;P/&amp;N</oddFooter>
  </headerFooter>
  <rowBreaks count="1" manualBreakCount="1">
    <brk id="45" max="16383"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57">
    <pageSetUpPr fitToPage="1"/>
  </sheetPr>
  <dimension ref="A1:F42"/>
  <sheetViews>
    <sheetView showGridLines="0" view="pageBreakPreview" zoomScaleNormal="100" zoomScaleSheetLayoutView="100" workbookViewId="0">
      <selection activeCell="C15" sqref="C15"/>
    </sheetView>
  </sheetViews>
  <sheetFormatPr baseColWidth="10" defaultRowHeight="12.75"/>
  <cols>
    <col min="1" max="1" width="19.5703125" style="21" customWidth="1"/>
    <col min="2" max="4" width="11.7109375" style="21" customWidth="1"/>
    <col min="5" max="5" width="14.5703125" style="21" customWidth="1"/>
    <col min="6" max="6" width="11.7109375" style="21" customWidth="1"/>
  </cols>
  <sheetData>
    <row r="1" spans="1:6" ht="23.25">
      <c r="A1" s="112"/>
      <c r="B1" s="1367" t="s">
        <v>254</v>
      </c>
      <c r="C1" s="1367"/>
      <c r="D1" s="1367"/>
      <c r="E1" s="1367"/>
      <c r="F1" s="496">
        <v>2</v>
      </c>
    </row>
    <row r="10" spans="1:6" ht="101.25" customHeight="1"/>
    <row r="15" spans="1:6" ht="23.25">
      <c r="C15" s="982" t="s">
        <v>182</v>
      </c>
      <c r="D15" s="113"/>
      <c r="E15" s="113"/>
    </row>
    <row r="17" spans="1:2">
      <c r="A17" s="37" t="s">
        <v>1189</v>
      </c>
    </row>
    <row r="18" spans="1:2">
      <c r="A18" s="37" t="s">
        <v>785</v>
      </c>
    </row>
    <row r="19" spans="1:2">
      <c r="A19" s="37"/>
    </row>
    <row r="20" spans="1:2">
      <c r="B20" s="37"/>
    </row>
    <row r="21" spans="1:2">
      <c r="B21" s="37"/>
    </row>
    <row r="41" spans="2:2">
      <c r="B41" s="18"/>
    </row>
    <row r="42" spans="2:2">
      <c r="B42" s="18"/>
    </row>
  </sheetData>
  <mergeCells count="1">
    <mergeCell ref="B1:E1"/>
  </mergeCells>
  <phoneticPr fontId="12" type="noConversion"/>
  <printOptions horizontalCentered="1"/>
  <pageMargins left="0" right="0" top="0" bottom="0.39370078740157483" header="0" footer="0"/>
  <pageSetup paperSize="9" orientation="portrait" blackAndWhite="1"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58">
    <pageSetUpPr fitToPage="1"/>
  </sheetPr>
  <dimension ref="A1:F43"/>
  <sheetViews>
    <sheetView showGridLines="0" view="pageBreakPreview" zoomScaleNormal="100" zoomScaleSheetLayoutView="100" workbookViewId="0">
      <selection activeCell="A15" sqref="A15"/>
    </sheetView>
  </sheetViews>
  <sheetFormatPr baseColWidth="10" defaultRowHeight="12.75"/>
  <cols>
    <col min="1" max="1" width="19.5703125" style="21" customWidth="1"/>
    <col min="2" max="4" width="11.7109375" style="21" customWidth="1"/>
    <col min="5" max="5" width="14.5703125" style="21" customWidth="1"/>
    <col min="6" max="6" width="11.7109375" style="21" customWidth="1"/>
  </cols>
  <sheetData>
    <row r="1" spans="1:6" ht="23.25">
      <c r="A1" s="112"/>
      <c r="B1" s="1367" t="s">
        <v>254</v>
      </c>
      <c r="C1" s="1367"/>
      <c r="D1" s="1367"/>
      <c r="E1" s="1367"/>
      <c r="F1" s="496">
        <v>3</v>
      </c>
    </row>
    <row r="10" spans="1:6" ht="101.25" customHeight="1"/>
    <row r="15" spans="1:6" ht="23.25">
      <c r="A15" s="982" t="s">
        <v>786</v>
      </c>
      <c r="C15" s="497"/>
      <c r="D15" s="113"/>
      <c r="E15" s="113"/>
    </row>
    <row r="17" spans="2:2">
      <c r="B17" s="37" t="s">
        <v>338</v>
      </c>
    </row>
    <row r="18" spans="2:2">
      <c r="B18" s="37" t="s">
        <v>339</v>
      </c>
    </row>
    <row r="19" spans="2:2">
      <c r="B19" s="37" t="s">
        <v>340</v>
      </c>
    </row>
    <row r="20" spans="2:2">
      <c r="B20" s="37" t="s">
        <v>787</v>
      </c>
    </row>
    <row r="21" spans="2:2">
      <c r="B21" s="37"/>
    </row>
    <row r="22" spans="2:2">
      <c r="B22" s="37"/>
    </row>
    <row r="42" spans="2:2">
      <c r="B42" s="18"/>
    </row>
    <row r="43" spans="2:2">
      <c r="B43" s="18"/>
    </row>
  </sheetData>
  <mergeCells count="1">
    <mergeCell ref="B1:E1"/>
  </mergeCells>
  <phoneticPr fontId="12" type="noConversion"/>
  <printOptions horizontalCentered="1"/>
  <pageMargins left="0" right="0" top="0" bottom="0.39370078740157483" header="0" footer="0"/>
  <pageSetup paperSize="9" orientation="portrait" blackAndWhite="1"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59">
    <pageSetUpPr fitToPage="1"/>
  </sheetPr>
  <dimension ref="A1:F45"/>
  <sheetViews>
    <sheetView showGridLines="0" view="pageBreakPreview" topLeftCell="A16" zoomScale="115" zoomScaleNormal="100" zoomScaleSheetLayoutView="115" workbookViewId="0">
      <selection activeCell="B19" sqref="B19"/>
    </sheetView>
  </sheetViews>
  <sheetFormatPr baseColWidth="10" defaultRowHeight="12.75"/>
  <cols>
    <col min="1" max="1" width="15.7109375" style="21" customWidth="1"/>
    <col min="2" max="5" width="11.7109375" style="21" customWidth="1"/>
    <col min="6" max="6" width="20.85546875" style="21" customWidth="1"/>
  </cols>
  <sheetData>
    <row r="1" spans="1:6" ht="23.25">
      <c r="A1" s="112"/>
      <c r="B1" s="1367" t="s">
        <v>254</v>
      </c>
      <c r="C1" s="1367"/>
      <c r="D1" s="1367"/>
      <c r="E1" s="1367"/>
      <c r="F1" s="496">
        <v>4</v>
      </c>
    </row>
    <row r="16" spans="1:6" ht="57" customHeight="1"/>
    <row r="19" spans="2:6" ht="23.25">
      <c r="B19" s="981" t="s">
        <v>186</v>
      </c>
      <c r="C19" s="497"/>
      <c r="D19" s="113"/>
      <c r="E19" s="113"/>
    </row>
    <row r="21" spans="2:6" ht="24.75" customHeight="1">
      <c r="B21" s="1444" t="s">
        <v>1190</v>
      </c>
      <c r="C21" s="1444"/>
      <c r="D21" s="1444"/>
      <c r="E21" s="1444"/>
      <c r="F21" s="1444"/>
    </row>
    <row r="22" spans="2:6">
      <c r="B22" s="37" t="s">
        <v>341</v>
      </c>
    </row>
    <row r="23" spans="2:6">
      <c r="B23" s="37" t="s">
        <v>788</v>
      </c>
    </row>
    <row r="24" spans="2:6">
      <c r="B24" s="37" t="s">
        <v>789</v>
      </c>
    </row>
    <row r="25" spans="2:6">
      <c r="B25" s="37" t="s">
        <v>342</v>
      </c>
    </row>
    <row r="44" spans="2:2">
      <c r="B44" s="18"/>
    </row>
    <row r="45" spans="2:2">
      <c r="B45" s="18"/>
    </row>
  </sheetData>
  <mergeCells count="2">
    <mergeCell ref="B1:E1"/>
    <mergeCell ref="B21:F21"/>
  </mergeCells>
  <phoneticPr fontId="12" type="noConversion"/>
  <printOptions horizontalCentered="1"/>
  <pageMargins left="0" right="0" top="0" bottom="0.39370078740157483" header="0" footer="0"/>
  <pageSetup paperSize="9" orientation="portrait" blackAndWhite="1"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euil6">
    <pageSetUpPr fitToPage="1"/>
  </sheetPr>
  <dimension ref="A1:G43"/>
  <sheetViews>
    <sheetView showGridLines="0" view="pageBreakPreview" topLeftCell="A33" zoomScaleNormal="100" zoomScaleSheetLayoutView="100" workbookViewId="0">
      <selection activeCell="B17" sqref="B17"/>
    </sheetView>
  </sheetViews>
  <sheetFormatPr baseColWidth="10" defaultRowHeight="12.75"/>
  <cols>
    <col min="1" max="1" width="15.7109375" style="21" customWidth="1"/>
    <col min="2" max="6" width="11.7109375" style="21" customWidth="1"/>
  </cols>
  <sheetData>
    <row r="1" spans="1:7" ht="23.25">
      <c r="A1" s="112"/>
      <c r="B1" s="1367" t="s">
        <v>254</v>
      </c>
      <c r="C1" s="1367"/>
      <c r="D1" s="1367"/>
      <c r="E1" s="1367"/>
      <c r="G1" s="496">
        <v>5</v>
      </c>
    </row>
    <row r="13" spans="1:7" ht="90" customHeight="1"/>
    <row r="17" spans="2:7" ht="23.25">
      <c r="B17" s="981" t="s">
        <v>790</v>
      </c>
      <c r="C17" s="981"/>
      <c r="D17" s="113"/>
      <c r="E17" s="113"/>
    </row>
    <row r="19" spans="2:7">
      <c r="B19" s="37" t="s">
        <v>343</v>
      </c>
      <c r="G19" s="37"/>
    </row>
    <row r="20" spans="2:7">
      <c r="B20" s="37" t="s">
        <v>344</v>
      </c>
    </row>
    <row r="21" spans="2:7">
      <c r="B21" s="37" t="s">
        <v>345</v>
      </c>
    </row>
    <row r="22" spans="2:7">
      <c r="B22" s="1445" t="s">
        <v>791</v>
      </c>
      <c r="C22" s="1445"/>
      <c r="D22" s="1445"/>
      <c r="E22" s="1445"/>
      <c r="F22" s="1445"/>
      <c r="G22" s="1445"/>
    </row>
    <row r="23" spans="2:7">
      <c r="B23" s="37" t="s">
        <v>347</v>
      </c>
      <c r="G23" s="37"/>
    </row>
    <row r="24" spans="2:7">
      <c r="B24" s="37" t="s">
        <v>348</v>
      </c>
    </row>
    <row r="25" spans="2:7">
      <c r="B25" s="37" t="s">
        <v>349</v>
      </c>
    </row>
    <row r="26" spans="2:7">
      <c r="B26" s="37" t="s">
        <v>346</v>
      </c>
    </row>
    <row r="27" spans="2:7">
      <c r="B27" s="37" t="s">
        <v>351</v>
      </c>
    </row>
    <row r="28" spans="2:7">
      <c r="B28" s="37" t="s">
        <v>352</v>
      </c>
    </row>
    <row r="29" spans="2:7">
      <c r="B29" s="37" t="s">
        <v>354</v>
      </c>
    </row>
    <row r="30" spans="2:7">
      <c r="B30" s="37" t="s">
        <v>353</v>
      </c>
    </row>
    <row r="31" spans="2:7">
      <c r="B31" s="37" t="s">
        <v>355</v>
      </c>
    </row>
    <row r="32" spans="2:7">
      <c r="B32" s="37" t="s">
        <v>356</v>
      </c>
    </row>
    <row r="33" spans="2:7">
      <c r="B33" s="37" t="s">
        <v>350</v>
      </c>
    </row>
    <row r="34" spans="2:7">
      <c r="B34" s="37" t="s">
        <v>357</v>
      </c>
    </row>
    <row r="35" spans="2:7">
      <c r="B35" s="37" t="s">
        <v>358</v>
      </c>
    </row>
    <row r="36" spans="2:7">
      <c r="B36" s="37" t="s">
        <v>359</v>
      </c>
    </row>
    <row r="37" spans="2:7" ht="12.75" customHeight="1">
      <c r="B37" s="1444" t="s">
        <v>792</v>
      </c>
      <c r="C37" s="1444"/>
      <c r="D37" s="1444"/>
      <c r="E37" s="1444"/>
      <c r="F37" s="1444"/>
      <c r="G37" s="1444"/>
    </row>
    <row r="38" spans="2:7">
      <c r="B38" s="352" t="s">
        <v>1191</v>
      </c>
      <c r="C38" s="498"/>
      <c r="D38" s="498"/>
      <c r="E38" s="498"/>
      <c r="F38" s="498"/>
      <c r="G38" s="498"/>
    </row>
    <row r="39" spans="2:7">
      <c r="B39" s="37" t="s">
        <v>360</v>
      </c>
    </row>
    <row r="40" spans="2:7">
      <c r="B40" s="37" t="s">
        <v>793</v>
      </c>
    </row>
    <row r="41" spans="2:7">
      <c r="B41" s="37" t="s">
        <v>162</v>
      </c>
      <c r="G41" s="37"/>
    </row>
    <row r="42" spans="2:7">
      <c r="B42" s="37" t="s">
        <v>973</v>
      </c>
      <c r="D42"/>
    </row>
    <row r="43" spans="2:7">
      <c r="B43" s="37"/>
      <c r="D43"/>
    </row>
  </sheetData>
  <mergeCells count="3">
    <mergeCell ref="B1:E1"/>
    <mergeCell ref="B22:G22"/>
    <mergeCell ref="B37:G37"/>
  </mergeCells>
  <phoneticPr fontId="12" type="noConversion"/>
  <printOptions horizontalCentered="1"/>
  <pageMargins left="0" right="0" top="0" bottom="0.39370078740157483" header="0" footer="0"/>
  <pageSetup paperSize="9"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Feuil9">
    <tabColor indexed="42"/>
    <pageSetUpPr fitToPage="1"/>
  </sheetPr>
  <dimension ref="A1:M70"/>
  <sheetViews>
    <sheetView showGridLines="0" view="pageBreakPreview" zoomScale="70" zoomScaleNormal="100" zoomScaleSheetLayoutView="70" workbookViewId="0">
      <selection activeCell="F18" sqref="F18"/>
    </sheetView>
  </sheetViews>
  <sheetFormatPr baseColWidth="10" defaultColWidth="11.42578125" defaultRowHeight="15"/>
  <cols>
    <col min="1" max="1" width="15.28515625" style="139" customWidth="1"/>
    <col min="2" max="2" width="11.85546875" style="139" customWidth="1"/>
    <col min="3" max="3" width="5.140625" style="139" customWidth="1"/>
    <col min="4" max="4" width="7.7109375" style="139" customWidth="1"/>
    <col min="5" max="5" width="21.7109375" style="139" customWidth="1"/>
    <col min="6" max="6" width="21.140625" style="139" customWidth="1"/>
    <col min="7" max="7" width="18.42578125" style="139" customWidth="1"/>
    <col min="8" max="8" width="12.28515625" style="139" customWidth="1"/>
    <col min="9" max="9" width="10.140625" style="139" customWidth="1"/>
    <col min="10" max="10" width="6.28515625" style="139" customWidth="1"/>
    <col min="11" max="11" width="8.5703125" style="139" customWidth="1"/>
    <col min="12" max="12" width="23.85546875" style="139" customWidth="1"/>
    <col min="13" max="16384" width="11.42578125" style="139"/>
  </cols>
  <sheetData>
    <row r="1" spans="1:13" s="21" customFormat="1" ht="12.75" customHeight="1" thickTop="1">
      <c r="A1" s="1465"/>
      <c r="B1" s="1467" t="s">
        <v>1059</v>
      </c>
      <c r="C1" s="1468"/>
      <c r="D1" s="1468"/>
      <c r="E1" s="1468"/>
      <c r="F1" s="1468"/>
      <c r="G1" s="1468"/>
      <c r="H1" s="1468"/>
      <c r="I1" s="1468"/>
      <c r="J1" s="1468"/>
      <c r="K1" s="1469"/>
      <c r="L1" s="1473" t="s">
        <v>487</v>
      </c>
    </row>
    <row r="2" spans="1:13" s="21" customFormat="1" ht="26.25" customHeight="1" thickBot="1">
      <c r="A2" s="1466"/>
      <c r="B2" s="1470"/>
      <c r="C2" s="1471"/>
      <c r="D2" s="1471"/>
      <c r="E2" s="1471"/>
      <c r="F2" s="1471"/>
      <c r="G2" s="1471"/>
      <c r="H2" s="1471"/>
      <c r="I2" s="1471"/>
      <c r="J2" s="1471"/>
      <c r="K2" s="1472"/>
      <c r="L2" s="1474"/>
    </row>
    <row r="3" spans="1:13" s="21" customFormat="1" ht="30.75" customHeight="1" thickTop="1">
      <c r="A3" s="36"/>
      <c r="B3" s="36"/>
      <c r="C3" s="36"/>
      <c r="D3" s="36"/>
      <c r="E3" s="123"/>
      <c r="F3" s="123"/>
      <c r="G3" s="123"/>
      <c r="H3" s="123"/>
      <c r="I3" s="123"/>
      <c r="J3" s="123"/>
      <c r="K3" s="123"/>
      <c r="L3" s="123"/>
    </row>
    <row r="4" spans="1:13" s="21" customFormat="1" ht="12.75" customHeight="1">
      <c r="A4" s="118"/>
      <c r="B4" s="118"/>
      <c r="C4" s="118"/>
      <c r="D4" s="118"/>
      <c r="E4" s="118"/>
      <c r="F4" s="118"/>
    </row>
    <row r="5" spans="1:13" s="9" customFormat="1" ht="20.100000000000001" customHeight="1">
      <c r="A5" s="14" t="s">
        <v>261</v>
      </c>
      <c r="B5" s="768" t="str">
        <f>IF(ISBLANK(oMOE),"",oMOE)</f>
        <v/>
      </c>
      <c r="C5" s="511"/>
      <c r="D5" s="5"/>
      <c r="E5" s="5"/>
      <c r="F5" s="14"/>
      <c r="G5" s="14"/>
      <c r="H5" s="5"/>
      <c r="I5" s="5"/>
      <c r="J5" s="14" t="s">
        <v>542</v>
      </c>
      <c r="K5" s="5"/>
      <c r="L5" s="530" t="str">
        <f>IF(ISBLANK(oeOTP),"",oeOTP)</f>
        <v/>
      </c>
    </row>
    <row r="6" spans="1:13" s="9" customFormat="1" ht="7.5" customHeight="1">
      <c r="A6" s="14"/>
      <c r="B6" s="14"/>
      <c r="C6" s="5"/>
      <c r="D6" s="14"/>
      <c r="E6" s="14"/>
      <c r="F6" s="14"/>
      <c r="G6" s="14"/>
      <c r="H6" s="5"/>
      <c r="I6" s="5"/>
      <c r="J6" s="5"/>
      <c r="K6" s="14"/>
      <c r="L6" s="5"/>
    </row>
    <row r="7" spans="1:13" s="9" customFormat="1" ht="20.25" customHeight="1">
      <c r="A7" s="14" t="s">
        <v>545</v>
      </c>
      <c r="B7" s="768" t="str">
        <f>IF(ISBLANK(oVille),"",oVille)</f>
        <v/>
      </c>
      <c r="C7" s="511"/>
      <c r="D7" s="14"/>
      <c r="E7" s="14"/>
      <c r="F7" s="14"/>
      <c r="G7" s="14"/>
      <c r="H7" s="5"/>
      <c r="I7" s="5"/>
      <c r="J7" s="5"/>
      <c r="K7" s="14"/>
      <c r="L7" s="5"/>
    </row>
    <row r="8" spans="1:13" s="9" customFormat="1" ht="8.25" customHeight="1">
      <c r="A8" s="14"/>
      <c r="B8" s="14"/>
      <c r="C8" s="5"/>
      <c r="D8" s="14"/>
      <c r="E8" s="14"/>
      <c r="F8" s="14"/>
      <c r="G8" s="14"/>
      <c r="H8" s="5"/>
      <c r="I8" s="5"/>
      <c r="J8" s="5"/>
      <c r="K8" s="14"/>
      <c r="L8" s="5"/>
    </row>
    <row r="9" spans="1:13" s="9" customFormat="1" ht="33" customHeight="1">
      <c r="A9" s="14" t="s">
        <v>270</v>
      </c>
      <c r="B9" s="14"/>
      <c r="C9" s="5"/>
      <c r="D9" s="1475" t="str">
        <f>IF(ISBLANK(oLibelleOTP),"",oLibelleOTP)</f>
        <v/>
      </c>
      <c r="E9" s="1475"/>
      <c r="F9" s="1475"/>
      <c r="G9" s="1475"/>
      <c r="H9" s="1475"/>
      <c r="I9" s="1475"/>
      <c r="J9" s="1475"/>
      <c r="K9" s="1475"/>
      <c r="L9" s="1475"/>
      <c r="M9" s="1475"/>
    </row>
    <row r="10" spans="1:13" s="9" customFormat="1" ht="7.5" customHeight="1">
      <c r="A10" s="14"/>
      <c r="B10" s="14"/>
      <c r="C10" s="5"/>
      <c r="D10" s="14"/>
      <c r="E10" s="5"/>
      <c r="F10" s="5"/>
      <c r="G10" s="5"/>
      <c r="H10" s="5"/>
      <c r="I10" s="5"/>
      <c r="J10" s="14"/>
      <c r="K10" s="14"/>
      <c r="L10" s="5"/>
    </row>
    <row r="11" spans="1:13" s="9" customFormat="1" ht="20.100000000000001" customHeight="1">
      <c r="A11" s="28" t="s">
        <v>262</v>
      </c>
      <c r="B11" s="28"/>
      <c r="C11" s="5"/>
      <c r="D11" s="1476" t="str">
        <f>IF(ISBLANK(oDebut_travaux),"",oDebut_travaux)</f>
        <v/>
      </c>
      <c r="E11" s="1476"/>
      <c r="F11" s="329"/>
      <c r="G11" s="329"/>
      <c r="H11" s="5"/>
      <c r="I11" s="5"/>
      <c r="J11" s="14"/>
      <c r="K11" s="5"/>
      <c r="L11" s="5"/>
    </row>
    <row r="12" spans="1:13" s="18" customFormat="1" ht="10.5" customHeight="1">
      <c r="A12" s="5"/>
      <c r="B12" s="12"/>
      <c r="C12" s="12"/>
      <c r="D12" s="12"/>
      <c r="E12" s="513"/>
      <c r="F12" s="513"/>
      <c r="G12" s="12"/>
      <c r="H12" s="12"/>
      <c r="I12" s="12"/>
      <c r="J12" s="12"/>
      <c r="K12" s="12"/>
      <c r="L12" s="12"/>
    </row>
    <row r="13" spans="1:13" s="18" customFormat="1" ht="20.100000000000001" customHeight="1">
      <c r="A13" s="14" t="s">
        <v>488</v>
      </c>
      <c r="B13" s="12"/>
      <c r="C13" s="12"/>
      <c r="D13" s="12"/>
      <c r="E13" s="513"/>
      <c r="F13" s="513"/>
      <c r="G13" s="513"/>
      <c r="H13" s="12"/>
      <c r="I13" s="12"/>
      <c r="J13" s="12"/>
      <c r="K13" s="12"/>
      <c r="L13" s="12"/>
    </row>
    <row r="14" spans="1:13" s="18" customFormat="1" ht="20.100000000000001" customHeight="1">
      <c r="A14" s="1464"/>
      <c r="B14" s="1464"/>
      <c r="C14" s="1464"/>
      <c r="D14" s="1464"/>
      <c r="E14" s="1464"/>
      <c r="F14" s="1464"/>
      <c r="G14" s="1464"/>
      <c r="H14" s="1464"/>
      <c r="I14" s="1464"/>
      <c r="J14" s="1464"/>
      <c r="K14" s="1464"/>
      <c r="L14" s="1464"/>
    </row>
    <row r="15" spans="1:13" s="18" customFormat="1" ht="20.100000000000001" customHeight="1">
      <c r="A15" s="1456"/>
      <c r="B15" s="1456"/>
      <c r="C15" s="1456"/>
      <c r="D15" s="1456"/>
      <c r="E15" s="1456"/>
      <c r="F15" s="1456"/>
      <c r="G15" s="1456"/>
      <c r="H15" s="1456"/>
      <c r="I15" s="1456"/>
      <c r="J15" s="1456"/>
      <c r="K15" s="1456"/>
      <c r="L15" s="1456"/>
    </row>
    <row r="16" spans="1:13" s="18" customFormat="1" ht="20.100000000000001" customHeight="1">
      <c r="A16" s="1456"/>
      <c r="B16" s="1456"/>
      <c r="C16" s="1456"/>
      <c r="D16" s="1456"/>
      <c r="E16" s="1456"/>
      <c r="F16" s="1456"/>
      <c r="G16" s="1456"/>
      <c r="H16" s="1456"/>
      <c r="I16" s="1456"/>
      <c r="J16" s="1456"/>
      <c r="K16" s="1456"/>
      <c r="L16" s="1456"/>
    </row>
    <row r="17" spans="1:12" s="118" customFormat="1" ht="13.5" thickBot="1">
      <c r="B17" s="38"/>
      <c r="C17" s="38"/>
      <c r="D17" s="35"/>
      <c r="E17" s="35"/>
    </row>
    <row r="18" spans="1:12" s="129" customFormat="1" ht="108" customHeight="1" thickBot="1">
      <c r="A18" s="1457" t="s">
        <v>489</v>
      </c>
      <c r="B18" s="1458"/>
      <c r="C18" s="1458"/>
      <c r="D18" s="1458"/>
      <c r="E18" s="1459"/>
      <c r="F18" s="128" t="s">
        <v>490</v>
      </c>
      <c r="G18" s="127" t="s">
        <v>491</v>
      </c>
      <c r="H18" s="1458" t="s">
        <v>492</v>
      </c>
      <c r="I18" s="1458"/>
      <c r="J18" s="1458"/>
      <c r="K18" s="1458" t="s">
        <v>493</v>
      </c>
      <c r="L18" s="1459"/>
    </row>
    <row r="19" spans="1:12" s="130" customFormat="1" ht="57" customHeight="1">
      <c r="A19" s="1450"/>
      <c r="B19" s="1447"/>
      <c r="C19" s="1447"/>
      <c r="D19" s="1447"/>
      <c r="E19" s="1449"/>
      <c r="F19" s="946"/>
      <c r="G19" s="947"/>
      <c r="H19" s="1460"/>
      <c r="I19" s="1461"/>
      <c r="J19" s="1462"/>
      <c r="K19" s="1460"/>
      <c r="L19" s="1463"/>
    </row>
    <row r="20" spans="1:12" s="118" customFormat="1" ht="57" customHeight="1">
      <c r="A20" s="1450"/>
      <c r="B20" s="1447"/>
      <c r="C20" s="1447"/>
      <c r="D20" s="1447"/>
      <c r="E20" s="1449"/>
      <c r="F20" s="131"/>
      <c r="G20" s="132"/>
      <c r="H20" s="1446"/>
      <c r="I20" s="1447"/>
      <c r="J20" s="1448"/>
      <c r="K20" s="1446"/>
      <c r="L20" s="1449"/>
    </row>
    <row r="21" spans="1:12" s="118" customFormat="1" ht="57" customHeight="1">
      <c r="A21" s="1450"/>
      <c r="B21" s="1447"/>
      <c r="C21" s="1447"/>
      <c r="D21" s="1447"/>
      <c r="E21" s="1449"/>
      <c r="F21" s="131"/>
      <c r="G21" s="132"/>
      <c r="H21" s="1446"/>
      <c r="I21" s="1447"/>
      <c r="J21" s="1448"/>
      <c r="K21" s="1446"/>
      <c r="L21" s="1449"/>
    </row>
    <row r="22" spans="1:12" s="118" customFormat="1" ht="57" customHeight="1">
      <c r="A22" s="1450"/>
      <c r="B22" s="1447"/>
      <c r="C22" s="1447"/>
      <c r="D22" s="1447"/>
      <c r="E22" s="1449"/>
      <c r="F22" s="131"/>
      <c r="G22" s="132"/>
      <c r="H22" s="1446"/>
      <c r="I22" s="1447"/>
      <c r="J22" s="1448"/>
      <c r="K22" s="1446"/>
      <c r="L22" s="1449"/>
    </row>
    <row r="23" spans="1:12" s="118" customFormat="1" ht="57" customHeight="1">
      <c r="A23" s="1450"/>
      <c r="B23" s="1447"/>
      <c r="C23" s="1447"/>
      <c r="D23" s="1447"/>
      <c r="E23" s="1449"/>
      <c r="F23" s="131"/>
      <c r="G23" s="132"/>
      <c r="H23" s="1446"/>
      <c r="I23" s="1447"/>
      <c r="J23" s="1448"/>
      <c r="K23" s="1446"/>
      <c r="L23" s="1449"/>
    </row>
    <row r="24" spans="1:12" s="118" customFormat="1" ht="56.25" customHeight="1">
      <c r="A24" s="1450"/>
      <c r="B24" s="1447"/>
      <c r="C24" s="1447"/>
      <c r="D24" s="1447"/>
      <c r="E24" s="1449"/>
      <c r="F24" s="131"/>
      <c r="G24" s="132"/>
      <c r="H24" s="1446"/>
      <c r="I24" s="1447"/>
      <c r="J24" s="1448"/>
      <c r="K24" s="1446"/>
      <c r="L24" s="1449"/>
    </row>
    <row r="25" spans="1:12" s="118" customFormat="1" ht="57" customHeight="1">
      <c r="A25" s="1450"/>
      <c r="B25" s="1447"/>
      <c r="C25" s="1447"/>
      <c r="D25" s="1447"/>
      <c r="E25" s="1449"/>
      <c r="F25" s="131"/>
      <c r="G25" s="132"/>
      <c r="H25" s="1446"/>
      <c r="I25" s="1447"/>
      <c r="J25" s="1448"/>
      <c r="K25" s="1446"/>
      <c r="L25" s="1449"/>
    </row>
    <row r="26" spans="1:12" s="118" customFormat="1" ht="57" customHeight="1">
      <c r="A26" s="1450"/>
      <c r="B26" s="1447"/>
      <c r="C26" s="1447"/>
      <c r="D26" s="1447"/>
      <c r="E26" s="1449"/>
      <c r="F26" s="131"/>
      <c r="G26" s="132"/>
      <c r="H26" s="1446"/>
      <c r="I26" s="1447"/>
      <c r="J26" s="1448"/>
      <c r="K26" s="1446"/>
      <c r="L26" s="1449"/>
    </row>
    <row r="27" spans="1:12" s="118" customFormat="1" ht="57" customHeight="1">
      <c r="A27" s="1450"/>
      <c r="B27" s="1447"/>
      <c r="C27" s="1447"/>
      <c r="D27" s="1447"/>
      <c r="E27" s="1449"/>
      <c r="F27" s="131"/>
      <c r="G27" s="132"/>
      <c r="H27" s="1446"/>
      <c r="I27" s="1447"/>
      <c r="J27" s="1448"/>
      <c r="K27" s="1446"/>
      <c r="L27" s="1449"/>
    </row>
    <row r="28" spans="1:12" s="133" customFormat="1" ht="57" customHeight="1">
      <c r="A28" s="1450"/>
      <c r="B28" s="1447"/>
      <c r="C28" s="1447"/>
      <c r="D28" s="1447"/>
      <c r="E28" s="1449"/>
      <c r="F28" s="131"/>
      <c r="G28" s="132"/>
      <c r="H28" s="1446"/>
      <c r="I28" s="1447"/>
      <c r="J28" s="1448"/>
      <c r="K28" s="1446"/>
      <c r="L28" s="1449"/>
    </row>
    <row r="29" spans="1:12" s="133" customFormat="1" ht="57" customHeight="1">
      <c r="A29" s="1450"/>
      <c r="B29" s="1447"/>
      <c r="C29" s="1447"/>
      <c r="D29" s="1447"/>
      <c r="E29" s="1449"/>
      <c r="F29" s="131"/>
      <c r="G29" s="132"/>
      <c r="H29" s="1446"/>
      <c r="I29" s="1447"/>
      <c r="J29" s="1448"/>
      <c r="K29" s="1446"/>
      <c r="L29" s="1449"/>
    </row>
    <row r="30" spans="1:12" s="133" customFormat="1" ht="57" customHeight="1">
      <c r="A30" s="1450"/>
      <c r="B30" s="1447"/>
      <c r="C30" s="1447"/>
      <c r="D30" s="1447"/>
      <c r="E30" s="1449"/>
      <c r="F30" s="131"/>
      <c r="G30" s="132"/>
      <c r="H30" s="1446"/>
      <c r="I30" s="1447"/>
      <c r="J30" s="1448"/>
      <c r="K30" s="1446"/>
      <c r="L30" s="1449"/>
    </row>
    <row r="31" spans="1:12" s="133" customFormat="1" ht="57" customHeight="1">
      <c r="A31" s="1450"/>
      <c r="B31" s="1447"/>
      <c r="C31" s="1447"/>
      <c r="D31" s="1447"/>
      <c r="E31" s="1449"/>
      <c r="F31" s="131"/>
      <c r="G31" s="132"/>
      <c r="H31" s="1446"/>
      <c r="I31" s="1447"/>
      <c r="J31" s="1448"/>
      <c r="K31" s="1446"/>
      <c r="L31" s="1449"/>
    </row>
    <row r="32" spans="1:12" s="118" customFormat="1" ht="57" customHeight="1">
      <c r="A32" s="1450"/>
      <c r="B32" s="1447"/>
      <c r="C32" s="1447"/>
      <c r="D32" s="1447"/>
      <c r="E32" s="1449"/>
      <c r="F32" s="131"/>
      <c r="G32" s="132"/>
      <c r="H32" s="1446"/>
      <c r="I32" s="1447"/>
      <c r="J32" s="1448"/>
      <c r="K32" s="1446"/>
      <c r="L32" s="1449"/>
    </row>
    <row r="33" spans="1:13" s="118" customFormat="1" ht="57" customHeight="1">
      <c r="A33" s="1450"/>
      <c r="B33" s="1447"/>
      <c r="C33" s="1447"/>
      <c r="D33" s="1447"/>
      <c r="E33" s="1449"/>
      <c r="F33" s="131"/>
      <c r="G33" s="132"/>
      <c r="H33" s="1446"/>
      <c r="I33" s="1447"/>
      <c r="J33" s="1448"/>
      <c r="K33" s="1446"/>
      <c r="L33" s="1449"/>
    </row>
    <row r="34" spans="1:13" s="133" customFormat="1" ht="57" customHeight="1" thickBot="1">
      <c r="A34" s="1451"/>
      <c r="B34" s="1452"/>
      <c r="C34" s="1452"/>
      <c r="D34" s="1452"/>
      <c r="E34" s="1453"/>
      <c r="F34" s="134"/>
      <c r="G34" s="135"/>
      <c r="H34" s="1454"/>
      <c r="I34" s="1452"/>
      <c r="J34" s="1455"/>
      <c r="K34" s="1454"/>
      <c r="L34" s="1453"/>
    </row>
    <row r="35" spans="1:13" s="133" customFormat="1" ht="17.25" customHeight="1">
      <c r="A35" s="136"/>
      <c r="B35" s="136"/>
      <c r="C35" s="136"/>
      <c r="D35" s="136"/>
      <c r="E35" s="136"/>
      <c r="G35" s="136"/>
      <c r="H35" s="136"/>
      <c r="I35" s="136"/>
    </row>
    <row r="36" spans="1:13" s="133" customFormat="1" ht="6.75" hidden="1" customHeight="1">
      <c r="A36" s="136"/>
      <c r="B36" s="136"/>
      <c r="C36" s="136"/>
      <c r="D36" s="136"/>
      <c r="E36" s="136"/>
      <c r="H36" s="136"/>
      <c r="I36" s="136"/>
      <c r="L36" s="18" t="s">
        <v>408</v>
      </c>
    </row>
    <row r="37" spans="1:13" s="118" customFormat="1" ht="12" hidden="1" customHeight="1">
      <c r="B37" s="21" t="s">
        <v>496</v>
      </c>
      <c r="C37" s="9"/>
      <c r="D37" s="9"/>
      <c r="E37" s="9"/>
      <c r="F37" s="22" t="s">
        <v>497</v>
      </c>
      <c r="G37" s="18" t="s">
        <v>863</v>
      </c>
      <c r="I37" s="18" t="s">
        <v>499</v>
      </c>
      <c r="J37" s="18"/>
      <c r="K37" s="18"/>
      <c r="L37" s="18" t="s">
        <v>500</v>
      </c>
      <c r="M37" s="18"/>
    </row>
    <row r="38" spans="1:13" s="118" customFormat="1" ht="12" hidden="1" customHeight="1">
      <c r="B38" s="9" t="s">
        <v>501</v>
      </c>
      <c r="C38" s="22"/>
      <c r="D38" s="9"/>
      <c r="E38" s="9"/>
      <c r="F38" s="22" t="s">
        <v>524</v>
      </c>
      <c r="G38" s="18" t="s">
        <v>498</v>
      </c>
      <c r="I38" s="18" t="s">
        <v>503</v>
      </c>
      <c r="J38" s="18"/>
      <c r="K38" s="18"/>
      <c r="L38" s="18" t="s">
        <v>504</v>
      </c>
      <c r="M38" s="18"/>
    </row>
    <row r="39" spans="1:13" s="118" customFormat="1" ht="12" hidden="1" customHeight="1">
      <c r="B39" s="9" t="s">
        <v>505</v>
      </c>
      <c r="C39" s="22"/>
      <c r="D39" s="9"/>
      <c r="E39" s="9"/>
      <c r="F39" s="9" t="s">
        <v>506</v>
      </c>
      <c r="G39" s="18" t="s">
        <v>502</v>
      </c>
      <c r="I39" s="18" t="s">
        <v>508</v>
      </c>
      <c r="J39" s="18"/>
      <c r="K39" s="18"/>
      <c r="L39" s="18" t="s">
        <v>509</v>
      </c>
      <c r="M39" s="18"/>
    </row>
    <row r="40" spans="1:13" s="118" customFormat="1" ht="12" hidden="1" customHeight="1">
      <c r="B40" s="9" t="s">
        <v>510</v>
      </c>
      <c r="C40" s="22"/>
      <c r="D40" s="9"/>
      <c r="E40" s="9"/>
      <c r="F40" s="9" t="s">
        <v>511</v>
      </c>
      <c r="G40" s="18" t="s">
        <v>507</v>
      </c>
      <c r="I40" s="18" t="s">
        <v>513</v>
      </c>
      <c r="J40" s="18"/>
      <c r="K40" s="18"/>
      <c r="L40" s="18" t="s">
        <v>394</v>
      </c>
      <c r="M40" s="18"/>
    </row>
    <row r="41" spans="1:13" s="118" customFormat="1" ht="12" hidden="1" customHeight="1">
      <c r="B41" s="9" t="s">
        <v>395</v>
      </c>
      <c r="C41" s="22"/>
      <c r="D41" s="22"/>
      <c r="E41" s="22"/>
      <c r="F41" s="22" t="s">
        <v>396</v>
      </c>
      <c r="G41" s="18" t="s">
        <v>512</v>
      </c>
      <c r="I41" s="18" t="s">
        <v>398</v>
      </c>
      <c r="J41" s="18"/>
      <c r="K41" s="18"/>
      <c r="L41" s="18" t="s">
        <v>399</v>
      </c>
      <c r="M41" s="18"/>
    </row>
    <row r="42" spans="1:13" s="118" customFormat="1" ht="12" hidden="1" customHeight="1">
      <c r="B42" s="9" t="s">
        <v>400</v>
      </c>
      <c r="C42" s="22"/>
      <c r="D42" s="22"/>
      <c r="E42" s="22"/>
      <c r="F42" s="22" t="s">
        <v>401</v>
      </c>
      <c r="G42" s="18" t="s">
        <v>397</v>
      </c>
      <c r="I42" s="18" t="s">
        <v>403</v>
      </c>
      <c r="J42" s="18"/>
      <c r="K42" s="18"/>
      <c r="L42" s="18" t="s">
        <v>404</v>
      </c>
      <c r="M42" s="18"/>
    </row>
    <row r="43" spans="1:13" s="118" customFormat="1" ht="12" hidden="1" customHeight="1">
      <c r="B43" s="21" t="s">
        <v>405</v>
      </c>
      <c r="C43" s="22"/>
      <c r="D43" s="22"/>
      <c r="E43" s="22"/>
      <c r="F43" s="275" t="s">
        <v>814</v>
      </c>
      <c r="G43" s="18" t="s">
        <v>402</v>
      </c>
      <c r="I43" s="18" t="s">
        <v>193</v>
      </c>
      <c r="J43" s="18"/>
      <c r="K43" s="18"/>
      <c r="L43" s="18" t="s">
        <v>407</v>
      </c>
      <c r="M43" s="18"/>
    </row>
    <row r="44" spans="1:13" s="21" customFormat="1" ht="12" hidden="1" customHeight="1">
      <c r="B44" s="9" t="s">
        <v>194</v>
      </c>
      <c r="C44" s="22"/>
      <c r="D44" s="22"/>
      <c r="E44" s="22"/>
      <c r="F44" s="898" t="s">
        <v>1048</v>
      </c>
      <c r="G44" s="18" t="s">
        <v>609</v>
      </c>
      <c r="I44" s="18" t="s">
        <v>494</v>
      </c>
      <c r="J44" s="18"/>
      <c r="K44" s="18"/>
      <c r="L44" s="21" t="s">
        <v>196</v>
      </c>
      <c r="M44" s="18"/>
    </row>
    <row r="45" spans="1:13" s="21" customFormat="1" ht="12" hidden="1" customHeight="1">
      <c r="B45" s="9" t="s">
        <v>197</v>
      </c>
      <c r="C45" s="9"/>
      <c r="D45" s="22"/>
      <c r="E45" s="22"/>
      <c r="F45" s="898" t="s">
        <v>1049</v>
      </c>
      <c r="G45" s="18" t="s">
        <v>195</v>
      </c>
      <c r="I45" s="18" t="s">
        <v>199</v>
      </c>
      <c r="J45" s="18"/>
      <c r="K45" s="18"/>
      <c r="L45" s="18" t="s">
        <v>173</v>
      </c>
      <c r="M45" s="18"/>
    </row>
    <row r="46" spans="1:13" s="21" customFormat="1" ht="12" hidden="1" customHeight="1">
      <c r="B46" s="9" t="s">
        <v>862</v>
      </c>
      <c r="C46" s="9"/>
      <c r="D46" s="22"/>
      <c r="E46" s="22"/>
      <c r="F46" s="898" t="s">
        <v>1050</v>
      </c>
      <c r="G46" s="18" t="s">
        <v>198</v>
      </c>
      <c r="I46" s="18" t="s">
        <v>202</v>
      </c>
      <c r="J46" s="18"/>
      <c r="K46" s="18"/>
      <c r="L46" s="18" t="s">
        <v>203</v>
      </c>
      <c r="M46" s="18"/>
    </row>
    <row r="47" spans="1:13" s="21" customFormat="1" ht="12" hidden="1" customHeight="1">
      <c r="B47" s="9" t="s">
        <v>200</v>
      </c>
      <c r="C47" s="22"/>
      <c r="D47" s="22"/>
      <c r="E47" s="22"/>
      <c r="F47" s="898" t="s">
        <v>1051</v>
      </c>
      <c r="G47" s="18" t="s">
        <v>201</v>
      </c>
      <c r="I47" s="18" t="s">
        <v>206</v>
      </c>
      <c r="J47" s="18"/>
      <c r="K47" s="18"/>
      <c r="L47" s="18" t="s">
        <v>207</v>
      </c>
      <c r="M47" s="18"/>
    </row>
    <row r="48" spans="1:13" s="21" customFormat="1" ht="12" hidden="1" customHeight="1">
      <c r="B48" s="9" t="s">
        <v>204</v>
      </c>
      <c r="C48" s="22"/>
      <c r="D48" s="22"/>
      <c r="E48" s="22"/>
      <c r="F48" s="22" t="s">
        <v>209</v>
      </c>
      <c r="G48" s="18" t="s">
        <v>205</v>
      </c>
      <c r="I48" s="18" t="s">
        <v>211</v>
      </c>
      <c r="J48" s="18"/>
      <c r="K48" s="18"/>
      <c r="L48" s="18" t="s">
        <v>495</v>
      </c>
      <c r="M48" s="137"/>
    </row>
    <row r="49" spans="2:13" s="21" customFormat="1" ht="12" hidden="1" customHeight="1">
      <c r="B49" s="9" t="s">
        <v>208</v>
      </c>
      <c r="C49" s="22"/>
      <c r="D49" s="22"/>
      <c r="E49" s="22"/>
      <c r="F49" s="9" t="s">
        <v>213</v>
      </c>
      <c r="G49" s="18" t="s">
        <v>210</v>
      </c>
      <c r="I49" s="18" t="s">
        <v>214</v>
      </c>
      <c r="J49" s="18"/>
      <c r="K49" s="18"/>
      <c r="L49" s="18" t="s">
        <v>215</v>
      </c>
      <c r="M49" s="18"/>
    </row>
    <row r="50" spans="2:13" s="21" customFormat="1" ht="12" hidden="1" customHeight="1">
      <c r="B50" s="9" t="s">
        <v>212</v>
      </c>
      <c r="C50" s="22"/>
      <c r="D50" s="22"/>
      <c r="E50" s="22"/>
      <c r="F50" s="136"/>
      <c r="I50" s="18" t="s">
        <v>217</v>
      </c>
      <c r="J50" s="18"/>
      <c r="K50" s="18"/>
      <c r="L50" s="18" t="s">
        <v>218</v>
      </c>
      <c r="M50" s="18"/>
    </row>
    <row r="51" spans="2:13" s="21" customFormat="1" ht="12" hidden="1" customHeight="1">
      <c r="B51" s="9" t="s">
        <v>216</v>
      </c>
      <c r="C51" s="22"/>
      <c r="D51" s="22"/>
      <c r="E51" s="22"/>
      <c r="F51" s="136"/>
      <c r="G51" s="138"/>
      <c r="I51" s="18" t="s">
        <v>217</v>
      </c>
      <c r="J51" s="18"/>
      <c r="K51" s="18"/>
      <c r="L51" s="18" t="s">
        <v>220</v>
      </c>
      <c r="M51" s="18"/>
    </row>
    <row r="52" spans="2:13" s="21" customFormat="1" ht="12" hidden="1" customHeight="1">
      <c r="B52" s="9" t="s">
        <v>219</v>
      </c>
      <c r="C52" s="22"/>
      <c r="D52" s="22"/>
      <c r="E52" s="22"/>
      <c r="F52" s="22"/>
      <c r="I52" s="18" t="s">
        <v>222</v>
      </c>
      <c r="J52" s="18"/>
      <c r="K52" s="18"/>
      <c r="L52" s="18" t="s">
        <v>223</v>
      </c>
      <c r="M52" s="18"/>
    </row>
    <row r="53" spans="2:13" s="21" customFormat="1" ht="12" hidden="1" customHeight="1">
      <c r="B53" s="9" t="s">
        <v>221</v>
      </c>
      <c r="C53" s="22"/>
      <c r="D53" s="9"/>
      <c r="E53" s="9"/>
      <c r="F53" s="9"/>
      <c r="I53" s="18" t="s">
        <v>225</v>
      </c>
      <c r="J53" s="18"/>
      <c r="K53" s="18"/>
      <c r="L53" s="18" t="s">
        <v>226</v>
      </c>
      <c r="M53" s="18"/>
    </row>
    <row r="54" spans="2:13" s="21" customFormat="1" ht="12" hidden="1" customHeight="1">
      <c r="B54" s="21" t="s">
        <v>224</v>
      </c>
      <c r="C54" s="22"/>
      <c r="D54" s="22"/>
      <c r="E54" s="22"/>
      <c r="F54" s="22"/>
      <c r="I54" s="18" t="s">
        <v>228</v>
      </c>
      <c r="J54" s="18"/>
      <c r="K54" s="18"/>
      <c r="L54" s="18" t="s">
        <v>229</v>
      </c>
      <c r="M54" s="18"/>
    </row>
    <row r="55" spans="2:13" s="21" customFormat="1" ht="12" hidden="1" customHeight="1">
      <c r="B55" s="9" t="s">
        <v>227</v>
      </c>
      <c r="C55" s="22"/>
      <c r="D55" s="22"/>
      <c r="E55" s="22"/>
      <c r="F55" s="22"/>
      <c r="I55" s="18" t="s">
        <v>229</v>
      </c>
      <c r="J55" s="18"/>
      <c r="K55" s="18"/>
      <c r="L55" s="133"/>
      <c r="M55" s="18"/>
    </row>
    <row r="56" spans="2:13" s="21" customFormat="1" ht="12" hidden="1" customHeight="1">
      <c r="B56" s="9" t="s">
        <v>230</v>
      </c>
      <c r="C56" s="9"/>
      <c r="D56" s="22"/>
      <c r="E56" s="22"/>
      <c r="F56" s="22"/>
      <c r="L56" s="133"/>
      <c r="M56" s="18"/>
    </row>
    <row r="57" spans="2:13" s="21" customFormat="1" ht="12" hidden="1" customHeight="1">
      <c r="B57" s="9" t="s">
        <v>231</v>
      </c>
      <c r="C57" s="22"/>
      <c r="D57" s="22"/>
      <c r="E57" s="22"/>
      <c r="F57" s="22"/>
      <c r="G57" s="139"/>
      <c r="M57" s="18"/>
    </row>
    <row r="58" spans="2:13" s="21" customFormat="1" ht="12" hidden="1" customHeight="1">
      <c r="B58" s="9" t="s">
        <v>232</v>
      </c>
      <c r="C58" s="22"/>
      <c r="D58" s="22"/>
      <c r="E58" s="22"/>
      <c r="F58" s="22"/>
      <c r="G58" s="139"/>
      <c r="L58" s="139"/>
      <c r="M58" s="18"/>
    </row>
    <row r="59" spans="2:13" s="21" customFormat="1" ht="12" hidden="1" customHeight="1">
      <c r="B59" s="9" t="s">
        <v>233</v>
      </c>
      <c r="C59" s="22"/>
      <c r="D59" s="22"/>
      <c r="E59" s="22"/>
      <c r="F59" s="22"/>
      <c r="G59" s="139"/>
      <c r="L59" s="139"/>
      <c r="M59" s="18"/>
    </row>
    <row r="60" spans="2:13" s="21" customFormat="1" ht="12" hidden="1" customHeight="1">
      <c r="B60" s="21" t="s">
        <v>134</v>
      </c>
      <c r="C60" s="22"/>
      <c r="D60" s="22"/>
      <c r="E60" s="22"/>
      <c r="F60" s="22"/>
      <c r="G60" s="139"/>
      <c r="I60" s="139"/>
      <c r="J60" s="139"/>
      <c r="K60" s="139"/>
      <c r="L60" s="139"/>
      <c r="M60" s="18"/>
    </row>
    <row r="61" spans="2:13" s="21" customFormat="1" ht="12" hidden="1" customHeight="1">
      <c r="B61" s="9" t="s">
        <v>135</v>
      </c>
      <c r="C61" s="9"/>
      <c r="D61" s="22"/>
      <c r="E61" s="22"/>
      <c r="F61" s="22"/>
      <c r="G61" s="139"/>
      <c r="I61" s="139"/>
      <c r="J61" s="139"/>
      <c r="K61" s="139"/>
      <c r="L61" s="139"/>
      <c r="M61" s="18"/>
    </row>
    <row r="62" spans="2:13" s="21" customFormat="1" ht="12" hidden="1" customHeight="1">
      <c r="B62" s="9" t="s">
        <v>136</v>
      </c>
      <c r="C62" s="22"/>
      <c r="D62" s="22"/>
      <c r="E62" s="22"/>
      <c r="F62" s="22"/>
      <c r="G62" s="139"/>
      <c r="I62" s="139"/>
      <c r="J62" s="139"/>
      <c r="K62" s="139"/>
      <c r="L62" s="139"/>
      <c r="M62" s="18"/>
    </row>
    <row r="63" spans="2:13" s="21" customFormat="1" ht="12" hidden="1" customHeight="1">
      <c r="B63" s="9" t="s">
        <v>137</v>
      </c>
      <c r="C63" s="22"/>
      <c r="D63" s="22"/>
      <c r="E63" s="22"/>
      <c r="F63" s="22"/>
      <c r="G63" s="139"/>
      <c r="I63" s="139"/>
      <c r="J63" s="139"/>
      <c r="K63" s="139"/>
      <c r="L63" s="139"/>
    </row>
    <row r="64" spans="2:13" s="21" customFormat="1" ht="12" hidden="1" customHeight="1">
      <c r="B64" s="9" t="s">
        <v>138</v>
      </c>
      <c r="C64" s="22"/>
      <c r="D64" s="22"/>
      <c r="E64" s="22"/>
      <c r="F64" s="22"/>
      <c r="G64" s="139"/>
      <c r="I64" s="139"/>
      <c r="J64" s="139"/>
      <c r="K64" s="139"/>
      <c r="L64" s="139"/>
    </row>
    <row r="65" spans="2:2" hidden="1">
      <c r="B65" s="9" t="s">
        <v>139</v>
      </c>
    </row>
    <row r="66" spans="2:2" hidden="1">
      <c r="B66" s="9" t="s">
        <v>140</v>
      </c>
    </row>
    <row r="67" spans="2:2" hidden="1">
      <c r="B67" s="9" t="s">
        <v>141</v>
      </c>
    </row>
    <row r="68" spans="2:2" hidden="1">
      <c r="B68" s="9" t="s">
        <v>142</v>
      </c>
    </row>
    <row r="69" spans="2:2" hidden="1">
      <c r="B69" s="9" t="s">
        <v>143</v>
      </c>
    </row>
    <row r="70" spans="2:2" hidden="1"/>
  </sheetData>
  <mergeCells count="59">
    <mergeCell ref="A14:L14"/>
    <mergeCell ref="A15:L15"/>
    <mergeCell ref="A1:A2"/>
    <mergeCell ref="B1:K2"/>
    <mergeCell ref="L1:L2"/>
    <mergeCell ref="D9:M9"/>
    <mergeCell ref="D11:E11"/>
    <mergeCell ref="A16:L16"/>
    <mergeCell ref="A18:E18"/>
    <mergeCell ref="H18:J18"/>
    <mergeCell ref="K18:L18"/>
    <mergeCell ref="A19:E19"/>
    <mergeCell ref="H19:J19"/>
    <mergeCell ref="K19:L19"/>
    <mergeCell ref="A20:E20"/>
    <mergeCell ref="H20:J20"/>
    <mergeCell ref="K20:L20"/>
    <mergeCell ref="A21:E21"/>
    <mergeCell ref="H21:J21"/>
    <mergeCell ref="K21:L21"/>
    <mergeCell ref="K25:L25"/>
    <mergeCell ref="A22:E22"/>
    <mergeCell ref="H22:J22"/>
    <mergeCell ref="K22:L22"/>
    <mergeCell ref="A23:E23"/>
    <mergeCell ref="H23:J23"/>
    <mergeCell ref="K23:L23"/>
    <mergeCell ref="A24:E24"/>
    <mergeCell ref="H24:J24"/>
    <mergeCell ref="K24:L24"/>
    <mergeCell ref="A25:E25"/>
    <mergeCell ref="H25:J25"/>
    <mergeCell ref="A28:E28"/>
    <mergeCell ref="H28:J28"/>
    <mergeCell ref="K28:L28"/>
    <mergeCell ref="H32:J32"/>
    <mergeCell ref="K32:L32"/>
    <mergeCell ref="A29:E29"/>
    <mergeCell ref="H29:J29"/>
    <mergeCell ref="K29:L29"/>
    <mergeCell ref="A30:E30"/>
    <mergeCell ref="H30:J30"/>
    <mergeCell ref="K30:L30"/>
    <mergeCell ref="A34:E34"/>
    <mergeCell ref="H34:J34"/>
    <mergeCell ref="K34:L34"/>
    <mergeCell ref="A31:E31"/>
    <mergeCell ref="H31:J31"/>
    <mergeCell ref="H33:J33"/>
    <mergeCell ref="K33:L33"/>
    <mergeCell ref="A33:E33"/>
    <mergeCell ref="A32:E32"/>
    <mergeCell ref="K31:L31"/>
    <mergeCell ref="H26:J26"/>
    <mergeCell ref="K26:L26"/>
    <mergeCell ref="A27:E27"/>
    <mergeCell ref="H27:J27"/>
    <mergeCell ref="K27:L27"/>
    <mergeCell ref="A26:E26"/>
  </mergeCells>
  <phoneticPr fontId="12" type="noConversion"/>
  <dataValidations count="5">
    <dataValidation type="list" allowBlank="1" showInputMessage="1" sqref="F20:F34" xr:uid="{00000000-0002-0000-3000-000000000000}">
      <formula1>$F$39:$F$51</formula1>
    </dataValidation>
    <dataValidation type="list" allowBlank="1" showInputMessage="1" sqref="G20:G34" xr:uid="{00000000-0002-0000-3000-000001000000}">
      <formula1>$G$37:$G$51</formula1>
    </dataValidation>
    <dataValidation type="list" allowBlank="1" showInputMessage="1" sqref="H20:J34" xr:uid="{00000000-0002-0000-3000-000002000000}">
      <formula1>$I$37:$I$56</formula1>
    </dataValidation>
    <dataValidation type="list" allowBlank="1" showInputMessage="1" sqref="K20:L34" xr:uid="{00000000-0002-0000-3000-000003000000}">
      <formula1>$L$36:$L$54</formula1>
    </dataValidation>
    <dataValidation type="list" allowBlank="1" showInputMessage="1" sqref="A19:E34" xr:uid="{00000000-0002-0000-3000-000004000000}">
      <formula1>$B$37:$B$69</formula1>
    </dataValidation>
  </dataValidations>
  <printOptions horizontalCentered="1" verticalCentered="1"/>
  <pageMargins left="0" right="0" top="0" bottom="0.39370078740157483" header="0" footer="0"/>
  <pageSetup paperSize="9" scale="59" fitToHeight="2" orientation="portrait" blackAndWhite="1" r:id="rId1"/>
  <headerFooter alignWithMargins="0">
    <oddFooter>&amp;LEdité le &amp;D&amp;C&amp;P/&amp;N</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Feuil79">
    <tabColor indexed="42"/>
    <pageSetUpPr fitToPage="1"/>
  </sheetPr>
  <dimension ref="A1:I26"/>
  <sheetViews>
    <sheetView view="pageBreakPreview" zoomScaleNormal="100" zoomScaleSheetLayoutView="100" workbookViewId="0">
      <selection activeCell="E15" sqref="E15"/>
    </sheetView>
  </sheetViews>
  <sheetFormatPr baseColWidth="10" defaultColWidth="11.42578125" defaultRowHeight="11.25"/>
  <cols>
    <col min="1" max="1" width="2.7109375" style="425" customWidth="1"/>
    <col min="2" max="2" width="15.7109375" style="425" customWidth="1"/>
    <col min="3" max="3" width="12.7109375" style="425" customWidth="1"/>
    <col min="4" max="4" width="8.85546875" style="425" customWidth="1"/>
    <col min="5" max="5" width="15.5703125" style="425" customWidth="1"/>
    <col min="6" max="8" width="15.7109375" style="425" customWidth="1"/>
    <col min="9" max="9" width="1.7109375" style="425" customWidth="1"/>
    <col min="10" max="16384" width="11.42578125" style="425"/>
  </cols>
  <sheetData>
    <row r="1" spans="1:9" ht="50.1" customHeight="1">
      <c r="C1" s="1519" t="s">
        <v>172</v>
      </c>
      <c r="D1" s="1519"/>
      <c r="E1" s="1519"/>
      <c r="F1" s="1519"/>
      <c r="G1" s="1519"/>
      <c r="H1" s="426"/>
      <c r="I1" s="427"/>
    </row>
    <row r="2" spans="1:9" s="329" customFormat="1" ht="17.25" customHeight="1" thickBot="1">
      <c r="A2" s="428"/>
      <c r="B2" s="348"/>
      <c r="C2" s="429"/>
      <c r="D2" s="425"/>
      <c r="E2" s="348"/>
      <c r="F2" s="348"/>
      <c r="G2" s="1520"/>
      <c r="H2" s="1521"/>
    </row>
    <row r="3" spans="1:9" ht="20.100000000000001" customHeight="1" thickBot="1">
      <c r="A3" s="1522" t="s">
        <v>762</v>
      </c>
      <c r="B3" s="1523"/>
      <c r="C3" s="1523"/>
      <c r="D3" s="1523"/>
      <c r="E3" s="1523"/>
      <c r="F3" s="1523"/>
      <c r="G3" s="1523"/>
      <c r="H3" s="1524"/>
      <c r="I3" s="427"/>
    </row>
    <row r="4" spans="1:9" ht="15" customHeight="1" thickBot="1">
      <c r="A4" s="1509" t="s">
        <v>763</v>
      </c>
      <c r="B4" s="1510"/>
      <c r="C4" s="1510"/>
      <c r="D4" s="1510"/>
      <c r="E4" s="1510"/>
      <c r="F4" s="1510"/>
      <c r="G4" s="1510"/>
      <c r="H4" s="1511"/>
      <c r="I4" s="430"/>
    </row>
    <row r="5" spans="1:9" s="338" customFormat="1" ht="20.100000000000001" customHeight="1" thickBot="1">
      <c r="A5" s="1525" t="s">
        <v>764</v>
      </c>
      <c r="B5" s="1526"/>
      <c r="C5" s="431" t="s">
        <v>765</v>
      </c>
      <c r="D5" s="431"/>
      <c r="E5" s="432"/>
      <c r="F5" s="432" t="s">
        <v>542</v>
      </c>
      <c r="G5" s="1527" t="str">
        <f>IF(ISBLANK(oeOTP),"",oeOTP)</f>
        <v/>
      </c>
      <c r="H5" s="1528"/>
      <c r="I5" s="342"/>
    </row>
    <row r="6" spans="1:9" s="338" customFormat="1" ht="20.100000000000001" customHeight="1" thickBot="1">
      <c r="A6" s="433" t="s">
        <v>766</v>
      </c>
      <c r="B6" s="340"/>
      <c r="C6" s="340"/>
      <c r="D6" s="340"/>
      <c r="E6" s="340"/>
      <c r="F6" s="340"/>
      <c r="G6" s="340"/>
      <c r="H6" s="459"/>
      <c r="I6" s="434"/>
    </row>
    <row r="7" spans="1:9" s="338" customFormat="1" ht="15" customHeight="1" thickBot="1">
      <c r="A7" s="1509" t="s">
        <v>171</v>
      </c>
      <c r="B7" s="1510"/>
      <c r="C7" s="1510"/>
      <c r="D7" s="1510"/>
      <c r="E7" s="1510"/>
      <c r="F7" s="1510"/>
      <c r="G7" s="1510"/>
      <c r="H7" s="1511"/>
      <c r="I7" s="363"/>
    </row>
    <row r="8" spans="1:9" ht="89.25" customHeight="1">
      <c r="A8" s="1512" t="s">
        <v>767</v>
      </c>
      <c r="B8" s="1513"/>
      <c r="C8" s="1513"/>
      <c r="D8" s="1514" t="s">
        <v>768</v>
      </c>
      <c r="E8" s="1515"/>
      <c r="F8" s="1514" t="s">
        <v>769</v>
      </c>
      <c r="G8" s="1514"/>
      <c r="H8" s="435" t="s">
        <v>770</v>
      </c>
      <c r="I8" s="436"/>
    </row>
    <row r="9" spans="1:9" ht="114.95" customHeight="1" thickBot="1">
      <c r="A9" s="1516" t="s">
        <v>771</v>
      </c>
      <c r="B9" s="1517"/>
      <c r="C9" s="1517"/>
      <c r="D9" s="1517"/>
      <c r="E9" s="1517"/>
      <c r="F9" s="1517"/>
      <c r="G9" s="1517"/>
      <c r="H9" s="1518"/>
      <c r="I9" s="437"/>
    </row>
    <row r="10" spans="1:9" s="338" customFormat="1" ht="29.25" customHeight="1" thickBot="1">
      <c r="A10" s="1501" t="s">
        <v>772</v>
      </c>
      <c r="B10" s="1502"/>
      <c r="C10" s="1502"/>
      <c r="D10" s="1502"/>
      <c r="E10" s="1502"/>
      <c r="F10" s="1502"/>
      <c r="G10" s="1502"/>
      <c r="H10" s="1503"/>
    </row>
    <row r="11" spans="1:9" ht="99.95" customHeight="1" thickBot="1">
      <c r="A11" s="1504" t="s">
        <v>773</v>
      </c>
      <c r="B11" s="1505"/>
      <c r="C11" s="1505"/>
      <c r="D11" s="1505"/>
      <c r="E11" s="1506"/>
      <c r="F11" s="1506"/>
      <c r="G11" s="1506"/>
      <c r="H11" s="1507"/>
    </row>
    <row r="12" spans="1:9" ht="80.099999999999994" customHeight="1" thickBot="1">
      <c r="A12" s="1504" t="s">
        <v>774</v>
      </c>
      <c r="B12" s="1505"/>
      <c r="C12" s="1505"/>
      <c r="D12" s="1505"/>
      <c r="E12" s="1505"/>
      <c r="F12" s="1505"/>
      <c r="G12" s="1505"/>
      <c r="H12" s="1508"/>
    </row>
    <row r="13" spans="1:9" s="438" customFormat="1" ht="33.75" customHeight="1" thickBot="1">
      <c r="A13" s="1501" t="s">
        <v>775</v>
      </c>
      <c r="B13" s="1502"/>
      <c r="C13" s="1502"/>
      <c r="D13" s="1502"/>
      <c r="E13" s="1502"/>
      <c r="F13" s="1502"/>
      <c r="G13" s="1502"/>
      <c r="H13" s="1503"/>
    </row>
    <row r="14" spans="1:9" ht="15" customHeight="1" thickBot="1">
      <c r="A14" s="1509" t="s">
        <v>422</v>
      </c>
      <c r="B14" s="1510"/>
      <c r="C14" s="1510"/>
      <c r="D14" s="1510"/>
      <c r="E14" s="1510"/>
      <c r="F14" s="1510"/>
      <c r="G14" s="1510"/>
      <c r="H14" s="1511"/>
    </row>
    <row r="15" spans="1:9" ht="15" customHeight="1" thickBot="1">
      <c r="A15" s="1477" t="s">
        <v>776</v>
      </c>
      <c r="B15" s="1478"/>
      <c r="C15" s="1478"/>
      <c r="D15" s="1478"/>
      <c r="E15" s="439" t="s">
        <v>423</v>
      </c>
      <c r="F15" s="439" t="s">
        <v>424</v>
      </c>
      <c r="G15" s="440" t="s">
        <v>425</v>
      </c>
      <c r="H15" s="441" t="s">
        <v>426</v>
      </c>
    </row>
    <row r="16" spans="1:9" ht="30" customHeight="1">
      <c r="A16" s="1479"/>
      <c r="B16" s="1480"/>
      <c r="C16" s="1480"/>
      <c r="D16" s="1481"/>
      <c r="E16" s="442"/>
      <c r="F16" s="443"/>
      <c r="G16" s="444"/>
      <c r="H16" s="445"/>
    </row>
    <row r="17" spans="1:8" ht="30" customHeight="1">
      <c r="A17" s="1492"/>
      <c r="B17" s="1493"/>
      <c r="C17" s="1493"/>
      <c r="D17" s="1494"/>
      <c r="E17" s="446"/>
      <c r="F17" s="447"/>
      <c r="G17" s="448"/>
      <c r="H17" s="449"/>
    </row>
    <row r="18" spans="1:8" s="338" customFormat="1" ht="30" customHeight="1">
      <c r="A18" s="1492"/>
      <c r="B18" s="1493"/>
      <c r="C18" s="1493"/>
      <c r="D18" s="1494"/>
      <c r="E18" s="446"/>
      <c r="F18" s="450"/>
      <c r="G18" s="448"/>
      <c r="H18" s="451"/>
    </row>
    <row r="19" spans="1:8" ht="30" customHeight="1">
      <c r="A19" s="1492"/>
      <c r="B19" s="1493"/>
      <c r="C19" s="1493"/>
      <c r="D19" s="1494"/>
      <c r="E19" s="446"/>
      <c r="F19" s="450"/>
      <c r="G19" s="448"/>
      <c r="H19" s="452"/>
    </row>
    <row r="20" spans="1:8" ht="30" customHeight="1" thickBot="1">
      <c r="A20" s="1495"/>
      <c r="B20" s="1496"/>
      <c r="C20" s="1496"/>
      <c r="D20" s="1497"/>
      <c r="E20" s="453"/>
      <c r="F20" s="454"/>
      <c r="G20" s="455"/>
      <c r="H20" s="456"/>
    </row>
    <row r="21" spans="1:8" s="338" customFormat="1" ht="30" customHeight="1">
      <c r="A21" s="1482" t="s">
        <v>777</v>
      </c>
      <c r="B21" s="1498"/>
      <c r="C21" s="1484"/>
      <c r="D21" s="1484"/>
      <c r="E21" s="1482" t="s">
        <v>778</v>
      </c>
      <c r="F21" s="1484" t="s">
        <v>779</v>
      </c>
      <c r="G21" s="1484"/>
      <c r="H21" s="1485"/>
    </row>
    <row r="22" spans="1:8" s="338" customFormat="1" ht="36.75" customHeight="1" thickBot="1">
      <c r="A22" s="1499"/>
      <c r="B22" s="1500"/>
      <c r="C22" s="1486"/>
      <c r="D22" s="1486"/>
      <c r="E22" s="1483"/>
      <c r="F22" s="1486"/>
      <c r="G22" s="1486"/>
      <c r="H22" s="1487"/>
    </row>
    <row r="23" spans="1:8" ht="14.25" customHeight="1" thickBot="1">
      <c r="A23" s="1488" t="s">
        <v>780</v>
      </c>
      <c r="B23" s="1489"/>
      <c r="C23" s="1489"/>
      <c r="D23" s="1489"/>
      <c r="E23" s="1489"/>
      <c r="F23" s="1490"/>
      <c r="G23" s="1490"/>
      <c r="H23" s="1491"/>
    </row>
    <row r="24" spans="1:8" ht="12.75" customHeight="1">
      <c r="A24" s="457"/>
      <c r="B24" s="457"/>
      <c r="C24" s="457"/>
      <c r="D24" s="457"/>
      <c r="E24" s="457"/>
      <c r="F24" s="457"/>
      <c r="G24" s="457"/>
      <c r="H24" s="457"/>
    </row>
    <row r="25" spans="1:8" ht="12.75" customHeight="1">
      <c r="A25" s="457"/>
      <c r="B25" s="457"/>
      <c r="C25" s="457"/>
      <c r="D25" s="457"/>
      <c r="E25" s="457"/>
      <c r="F25" s="457"/>
      <c r="G25" s="457"/>
      <c r="H25" s="457"/>
    </row>
    <row r="26" spans="1:8" ht="33.75" customHeight="1">
      <c r="A26" s="458"/>
      <c r="B26" s="458"/>
      <c r="C26" s="458"/>
      <c r="D26" s="458"/>
      <c r="E26" s="458"/>
      <c r="F26" s="458"/>
      <c r="G26" s="458"/>
      <c r="H26" s="458"/>
    </row>
  </sheetData>
  <mergeCells count="27">
    <mergeCell ref="C1:G1"/>
    <mergeCell ref="G2:H2"/>
    <mergeCell ref="A3:H3"/>
    <mergeCell ref="A4:H4"/>
    <mergeCell ref="A5:B5"/>
    <mergeCell ref="G5:H5"/>
    <mergeCell ref="A7:H7"/>
    <mergeCell ref="A8:C8"/>
    <mergeCell ref="D8:E8"/>
    <mergeCell ref="F8:G8"/>
    <mergeCell ref="A9:H9"/>
    <mergeCell ref="A10:H10"/>
    <mergeCell ref="A11:H11"/>
    <mergeCell ref="A12:H12"/>
    <mergeCell ref="A13:H13"/>
    <mergeCell ref="A14:H14"/>
    <mergeCell ref="A15:D15"/>
    <mergeCell ref="A16:D16"/>
    <mergeCell ref="E21:E22"/>
    <mergeCell ref="F21:H22"/>
    <mergeCell ref="A23:H23"/>
    <mergeCell ref="A17:D17"/>
    <mergeCell ref="A18:D18"/>
    <mergeCell ref="A19:D19"/>
    <mergeCell ref="A20:D20"/>
    <mergeCell ref="A21:B22"/>
    <mergeCell ref="C21:D22"/>
  </mergeCells>
  <printOptions horizontalCentered="1" verticalCentered="1"/>
  <pageMargins left="0" right="0" top="0.39370078740157483" bottom="0.39370078740157483" header="0" footer="0"/>
  <pageSetup paperSize="9" scale="92" orientation="portrait" blackAndWhite="1" verticalDpi="4294967292" r:id="rId1"/>
  <headerFooter>
    <oddFooter>&amp;LEdité le &amp;D&amp;C&amp;P/&amp;N</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Feuil15">
    <tabColor indexed="42"/>
  </sheetPr>
  <dimension ref="A1:Y23"/>
  <sheetViews>
    <sheetView showGridLines="0" view="pageBreakPreview" zoomScale="85" zoomScaleNormal="100" zoomScaleSheetLayoutView="85" workbookViewId="0">
      <selection activeCell="J7" sqref="J7"/>
    </sheetView>
  </sheetViews>
  <sheetFormatPr baseColWidth="10" defaultColWidth="11.42578125" defaultRowHeight="18"/>
  <cols>
    <col min="1" max="1" width="17.42578125" style="26" customWidth="1"/>
    <col min="2" max="2" width="19.140625" style="26" customWidth="1"/>
    <col min="3" max="3" width="1.5703125" style="26" hidden="1" customWidth="1"/>
    <col min="4" max="4" width="32.85546875" style="26" customWidth="1"/>
    <col min="5" max="5" width="15.140625" style="26" customWidth="1"/>
    <col min="6" max="7" width="14.85546875" style="26" customWidth="1"/>
    <col min="8" max="8" width="13" style="26" customWidth="1"/>
    <col min="9" max="9" width="12.5703125" style="26" customWidth="1"/>
    <col min="10" max="10" width="15.42578125" style="186" customWidth="1"/>
    <col min="11" max="11" width="11.42578125" style="26"/>
    <col min="12" max="12" width="10.28515625" style="26" customWidth="1"/>
    <col min="13" max="13" width="7.85546875" style="26" customWidth="1"/>
    <col min="14" max="14" width="8.42578125" style="26" customWidth="1"/>
    <col min="15" max="16384" width="11.42578125" style="26"/>
  </cols>
  <sheetData>
    <row r="1" spans="1:25" s="25" customFormat="1" ht="23.25" customHeight="1">
      <c r="A1" s="1540"/>
      <c r="B1" s="1542" t="s">
        <v>1052</v>
      </c>
      <c r="C1" s="1543"/>
      <c r="D1" s="1543"/>
      <c r="E1" s="1543"/>
      <c r="F1" s="1543"/>
      <c r="G1" s="1543"/>
      <c r="H1" s="1543"/>
      <c r="I1" s="1543"/>
      <c r="J1" s="1543"/>
      <c r="K1" s="1544"/>
      <c r="L1" s="1546" t="s">
        <v>427</v>
      </c>
      <c r="M1" s="1546"/>
      <c r="N1" s="1547"/>
    </row>
    <row r="2" spans="1:25" s="25" customFormat="1" ht="23.25" customHeight="1" thickBot="1">
      <c r="A2" s="1541"/>
      <c r="B2" s="1330"/>
      <c r="C2" s="1331"/>
      <c r="D2" s="1331"/>
      <c r="E2" s="1331"/>
      <c r="F2" s="1331"/>
      <c r="G2" s="1331"/>
      <c r="H2" s="1331"/>
      <c r="I2" s="1331"/>
      <c r="J2" s="1331"/>
      <c r="K2" s="1545"/>
      <c r="L2" s="1548"/>
      <c r="M2" s="1548"/>
      <c r="N2" s="1549"/>
    </row>
    <row r="3" spans="1:25" s="25" customFormat="1" ht="14.25" customHeight="1" thickTop="1">
      <c r="A3" s="142"/>
      <c r="B3" s="143"/>
      <c r="C3" s="143"/>
      <c r="D3" s="143"/>
      <c r="E3" s="144"/>
      <c r="F3" s="143"/>
      <c r="G3" s="143"/>
      <c r="H3" s="144"/>
      <c r="I3" s="144"/>
      <c r="J3" s="145"/>
      <c r="K3" s="144"/>
      <c r="L3" s="144"/>
      <c r="M3" s="144"/>
      <c r="N3" s="146"/>
    </row>
    <row r="4" spans="1:25" s="25" customFormat="1" ht="32.25" customHeight="1">
      <c r="A4" s="147" t="s">
        <v>542</v>
      </c>
      <c r="B4" s="770" t="str">
        <f>IF(ISBLANK(oeOTP),"",oeOTP)</f>
        <v/>
      </c>
      <c r="C4" s="514"/>
      <c r="D4" s="30"/>
      <c r="E4" s="30"/>
      <c r="F4" s="30"/>
      <c r="G4" s="30"/>
      <c r="H4" s="30"/>
      <c r="I4" s="27"/>
      <c r="J4" s="27" t="s">
        <v>545</v>
      </c>
      <c r="K4" s="1561" t="str">
        <f>IF(ISBLANK(oVille),"",oVille)</f>
        <v/>
      </c>
      <c r="L4" s="1561"/>
      <c r="M4" s="1561"/>
      <c r="N4" s="1562"/>
    </row>
    <row r="5" spans="1:25" s="25" customFormat="1" ht="13.5" customHeight="1">
      <c r="A5" s="147"/>
      <c r="B5" s="27"/>
      <c r="C5" s="27"/>
      <c r="D5" s="27"/>
      <c r="E5" s="27"/>
      <c r="F5" s="27"/>
      <c r="G5" s="27"/>
      <c r="H5" s="30"/>
      <c r="I5" s="30"/>
      <c r="J5" s="10"/>
      <c r="K5" s="27"/>
      <c r="L5" s="27"/>
      <c r="M5" s="30"/>
      <c r="N5" s="515"/>
    </row>
    <row r="6" spans="1:25" s="25" customFormat="1" ht="48.75" customHeight="1">
      <c r="A6" s="147" t="s">
        <v>270</v>
      </c>
      <c r="B6" s="27"/>
      <c r="C6" s="30"/>
      <c r="D6" s="1561" t="str">
        <f>IF(ISBLANK(oLibelleOTP),"",oLibelleOTP)</f>
        <v/>
      </c>
      <c r="E6" s="1561"/>
      <c r="F6" s="1561"/>
      <c r="G6" s="1561"/>
      <c r="H6" s="30"/>
      <c r="I6" s="30"/>
      <c r="J6" s="148" t="s">
        <v>1192</v>
      </c>
      <c r="K6" s="770" t="str">
        <f>IF(ISBLANK(oRespChantier),"",oRespChantier)</f>
        <v/>
      </c>
      <c r="L6" s="27"/>
      <c r="M6" s="30"/>
      <c r="N6" s="515"/>
    </row>
    <row r="7" spans="1:25" s="25" customFormat="1">
      <c r="A7" s="147"/>
      <c r="B7" s="27"/>
      <c r="C7" s="27"/>
      <c r="D7" s="27"/>
      <c r="E7" s="27"/>
      <c r="F7" s="27"/>
      <c r="G7" s="27"/>
      <c r="H7" s="27"/>
      <c r="I7" s="27"/>
      <c r="J7" s="10"/>
      <c r="K7" s="27"/>
      <c r="L7" s="27"/>
      <c r="M7" s="30"/>
      <c r="N7" s="515"/>
    </row>
    <row r="8" spans="1:25" s="25" customFormat="1" ht="18" customHeight="1">
      <c r="A8" s="149" t="s">
        <v>544</v>
      </c>
      <c r="B8" s="771" t="str">
        <f>IF(ISBLANK(oMOE),"",oMOE)</f>
        <v/>
      </c>
      <c r="C8" s="517"/>
      <c r="D8" s="30"/>
      <c r="E8" s="30"/>
      <c r="F8" s="516"/>
      <c r="G8" s="516"/>
      <c r="H8" s="30"/>
      <c r="I8" s="24"/>
      <c r="J8" s="150" t="s">
        <v>428</v>
      </c>
      <c r="K8" s="151"/>
      <c r="L8" s="516"/>
      <c r="M8" s="30"/>
      <c r="N8" s="515"/>
    </row>
    <row r="9" spans="1:25" s="25" customFormat="1" ht="23.25" customHeight="1" thickBot="1">
      <c r="A9" s="153"/>
      <c r="D9" s="25" t="s">
        <v>429</v>
      </c>
      <c r="J9" s="154"/>
      <c r="N9" s="152"/>
      <c r="Y9" s="155"/>
    </row>
    <row r="10" spans="1:25" s="156" customFormat="1" ht="83.25" customHeight="1">
      <c r="A10" s="1550" t="s">
        <v>417</v>
      </c>
      <c r="B10" s="1552" t="s">
        <v>167</v>
      </c>
      <c r="C10" s="1553"/>
      <c r="D10" s="1538" t="s">
        <v>430</v>
      </c>
      <c r="E10" s="1557" t="s">
        <v>431</v>
      </c>
      <c r="F10" s="1537" t="s">
        <v>432</v>
      </c>
      <c r="G10" s="1538"/>
      <c r="H10" s="1539" t="s">
        <v>525</v>
      </c>
      <c r="I10" s="1538"/>
      <c r="J10" s="1538" t="s">
        <v>433</v>
      </c>
      <c r="K10" s="1560" t="s">
        <v>434</v>
      </c>
      <c r="L10" s="1539"/>
      <c r="M10" s="1559" t="s">
        <v>435</v>
      </c>
      <c r="N10" s="1547"/>
    </row>
    <row r="11" spans="1:25" s="156" customFormat="1" ht="72.75" thickBot="1">
      <c r="A11" s="1551"/>
      <c r="B11" s="1554"/>
      <c r="C11" s="1555"/>
      <c r="D11" s="1556"/>
      <c r="E11" s="1558"/>
      <c r="F11" s="158" t="s">
        <v>436</v>
      </c>
      <c r="G11" s="157" t="s">
        <v>437</v>
      </c>
      <c r="H11" s="159" t="s">
        <v>438</v>
      </c>
      <c r="I11" s="157" t="s">
        <v>439</v>
      </c>
      <c r="J11" s="1556"/>
      <c r="K11" s="157" t="s">
        <v>440</v>
      </c>
      <c r="L11" s="157" t="s">
        <v>419</v>
      </c>
      <c r="M11" s="159" t="s">
        <v>440</v>
      </c>
      <c r="N11" s="160" t="s">
        <v>419</v>
      </c>
    </row>
    <row r="12" spans="1:25" s="162" customFormat="1" ht="62.25" customHeight="1">
      <c r="A12" s="948"/>
      <c r="B12" s="1533"/>
      <c r="C12" s="1534"/>
      <c r="D12" s="949"/>
      <c r="E12" s="950"/>
      <c r="F12" s="951"/>
      <c r="G12" s="949"/>
      <c r="H12" s="952"/>
      <c r="I12" s="953"/>
      <c r="J12" s="953"/>
      <c r="K12" s="954"/>
      <c r="L12" s="954"/>
      <c r="M12" s="952"/>
      <c r="N12" s="955"/>
      <c r="O12" s="161"/>
      <c r="P12" s="161"/>
      <c r="Q12" s="161"/>
      <c r="R12" s="161"/>
      <c r="S12" s="161"/>
      <c r="T12" s="161"/>
      <c r="U12" s="161"/>
      <c r="V12" s="161"/>
      <c r="W12" s="161"/>
      <c r="X12" s="161"/>
      <c r="Y12" s="161"/>
    </row>
    <row r="13" spans="1:25" ht="35.1" customHeight="1">
      <c r="A13" s="163"/>
      <c r="B13" s="1535"/>
      <c r="C13" s="1536"/>
      <c r="D13" s="165"/>
      <c r="E13" s="166"/>
      <c r="F13" s="164"/>
      <c r="G13" s="165"/>
      <c r="H13" s="167"/>
      <c r="I13" s="165"/>
      <c r="J13" s="168"/>
      <c r="K13" s="165"/>
      <c r="L13" s="165"/>
      <c r="M13" s="169"/>
      <c r="N13" s="170"/>
    </row>
    <row r="14" spans="1:25" ht="35.1" customHeight="1">
      <c r="A14" s="171"/>
      <c r="B14" s="1529"/>
      <c r="C14" s="1530"/>
      <c r="D14" s="173"/>
      <c r="E14" s="174"/>
      <c r="F14" s="172"/>
      <c r="G14" s="173"/>
      <c r="H14" s="175"/>
      <c r="I14" s="173"/>
      <c r="J14" s="176"/>
      <c r="K14" s="173"/>
      <c r="L14" s="173"/>
      <c r="M14" s="169"/>
      <c r="N14" s="177"/>
    </row>
    <row r="15" spans="1:25" ht="35.1" customHeight="1">
      <c r="A15" s="171"/>
      <c r="B15" s="1529"/>
      <c r="C15" s="1530"/>
      <c r="D15" s="173"/>
      <c r="E15" s="174"/>
      <c r="F15" s="172"/>
      <c r="G15" s="173"/>
      <c r="H15" s="175"/>
      <c r="I15" s="173"/>
      <c r="J15" s="176"/>
      <c r="K15" s="173"/>
      <c r="L15" s="173"/>
      <c r="M15" s="169"/>
      <c r="N15" s="177"/>
    </row>
    <row r="16" spans="1:25" ht="35.1" customHeight="1">
      <c r="A16" s="171"/>
      <c r="B16" s="1529"/>
      <c r="C16" s="1530"/>
      <c r="D16" s="173"/>
      <c r="E16" s="174"/>
      <c r="F16" s="172"/>
      <c r="G16" s="173"/>
      <c r="H16" s="175"/>
      <c r="I16" s="173"/>
      <c r="J16" s="176"/>
      <c r="K16" s="173"/>
      <c r="L16" s="173"/>
      <c r="M16" s="169"/>
      <c r="N16" s="177"/>
    </row>
    <row r="17" spans="1:14" ht="35.1" customHeight="1">
      <c r="A17" s="178"/>
      <c r="B17" s="1529"/>
      <c r="C17" s="1530"/>
      <c r="D17" s="179"/>
      <c r="E17" s="174"/>
      <c r="F17" s="172"/>
      <c r="G17" s="173"/>
      <c r="H17" s="175"/>
      <c r="I17" s="173"/>
      <c r="J17" s="176"/>
      <c r="K17" s="173"/>
      <c r="L17" s="173"/>
      <c r="M17" s="169"/>
      <c r="N17" s="177"/>
    </row>
    <row r="18" spans="1:14" ht="35.1" customHeight="1">
      <c r="A18" s="171"/>
      <c r="B18" s="1529"/>
      <c r="C18" s="1530"/>
      <c r="D18" s="173"/>
      <c r="E18" s="174"/>
      <c r="F18" s="172"/>
      <c r="G18" s="173"/>
      <c r="H18" s="175"/>
      <c r="I18" s="173"/>
      <c r="J18" s="176"/>
      <c r="K18" s="173"/>
      <c r="L18" s="173"/>
      <c r="M18" s="169"/>
      <c r="N18" s="177"/>
    </row>
    <row r="19" spans="1:14" ht="35.1" customHeight="1">
      <c r="A19" s="178"/>
      <c r="B19" s="1529"/>
      <c r="C19" s="1530"/>
      <c r="D19" s="173"/>
      <c r="E19" s="174"/>
      <c r="F19" s="172"/>
      <c r="G19" s="173"/>
      <c r="H19" s="175"/>
      <c r="I19" s="173"/>
      <c r="J19" s="176"/>
      <c r="K19" s="173"/>
      <c r="L19" s="173"/>
      <c r="M19" s="169"/>
      <c r="N19" s="177"/>
    </row>
    <row r="20" spans="1:14" ht="35.1" customHeight="1">
      <c r="A20" s="178"/>
      <c r="B20" s="1529"/>
      <c r="C20" s="1530"/>
      <c r="D20" s="173"/>
      <c r="E20" s="174"/>
      <c r="F20" s="172"/>
      <c r="G20" s="173"/>
      <c r="H20" s="175"/>
      <c r="I20" s="173"/>
      <c r="J20" s="176"/>
      <c r="K20" s="173"/>
      <c r="L20" s="173"/>
      <c r="M20" s="169"/>
      <c r="N20" s="177"/>
    </row>
    <row r="21" spans="1:14" ht="35.1" customHeight="1">
      <c r="A21" s="178"/>
      <c r="B21" s="1529"/>
      <c r="C21" s="1530"/>
      <c r="D21" s="173"/>
      <c r="E21" s="174"/>
      <c r="F21" s="172"/>
      <c r="G21" s="173"/>
      <c r="H21" s="175"/>
      <c r="I21" s="173"/>
      <c r="J21" s="176"/>
      <c r="K21" s="173"/>
      <c r="L21" s="173"/>
      <c r="M21" s="169"/>
      <c r="N21" s="177"/>
    </row>
    <row r="22" spans="1:14" ht="35.1" customHeight="1">
      <c r="A22" s="171"/>
      <c r="B22" s="1529"/>
      <c r="C22" s="1530"/>
      <c r="D22" s="173"/>
      <c r="E22" s="174"/>
      <c r="F22" s="172"/>
      <c r="G22" s="173"/>
      <c r="H22" s="175"/>
      <c r="I22" s="173"/>
      <c r="J22" s="176"/>
      <c r="K22" s="173"/>
      <c r="L22" s="173"/>
      <c r="M22" s="169"/>
      <c r="N22" s="177"/>
    </row>
    <row r="23" spans="1:14" ht="35.1" customHeight="1" thickBot="1">
      <c r="A23" s="180"/>
      <c r="B23" s="1531"/>
      <c r="C23" s="1532"/>
      <c r="D23" s="182"/>
      <c r="E23" s="183"/>
      <c r="F23" s="181"/>
      <c r="G23" s="182"/>
      <c r="H23" s="184"/>
      <c r="I23" s="182"/>
      <c r="J23" s="182"/>
      <c r="K23" s="182"/>
      <c r="L23" s="182"/>
      <c r="M23" s="184"/>
      <c r="N23" s="185"/>
    </row>
  </sheetData>
  <mergeCells count="26">
    <mergeCell ref="A1:A2"/>
    <mergeCell ref="B1:K2"/>
    <mergeCell ref="L1:N2"/>
    <mergeCell ref="A10:A11"/>
    <mergeCell ref="B10:C11"/>
    <mergeCell ref="D10:D11"/>
    <mergeCell ref="E10:E11"/>
    <mergeCell ref="M10:N10"/>
    <mergeCell ref="K10:L10"/>
    <mergeCell ref="J10:J11"/>
    <mergeCell ref="D6:G6"/>
    <mergeCell ref="K4:N4"/>
    <mergeCell ref="B12:C12"/>
    <mergeCell ref="B13:C13"/>
    <mergeCell ref="B14:C14"/>
    <mergeCell ref="F10:G10"/>
    <mergeCell ref="H10:I10"/>
    <mergeCell ref="B21:C21"/>
    <mergeCell ref="B22:C22"/>
    <mergeCell ref="B23:C23"/>
    <mergeCell ref="B15:C15"/>
    <mergeCell ref="B16:C16"/>
    <mergeCell ref="B17:C17"/>
    <mergeCell ref="B18:C18"/>
    <mergeCell ref="B19:C19"/>
    <mergeCell ref="B20:C20"/>
  </mergeCells>
  <phoneticPr fontId="12" type="noConversion"/>
  <printOptions horizontalCentered="1" verticalCentered="1"/>
  <pageMargins left="0" right="0" top="0" bottom="0.39370078740157483" header="0" footer="0"/>
  <pageSetup paperSize="9" scale="71" fitToHeight="2" orientation="landscape" blackAndWhite="1" r:id="rId1"/>
  <headerFooter alignWithMargins="0">
    <oddFooter>&amp;LEdité le &amp;D&amp;C&amp;P/&amp;N</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Feuil161">
    <tabColor indexed="42"/>
    <pageSetUpPr fitToPage="1"/>
  </sheetPr>
  <dimension ref="A1:L47"/>
  <sheetViews>
    <sheetView showGridLines="0" view="pageBreakPreview" zoomScale="90" zoomScaleNormal="100" zoomScaleSheetLayoutView="90" workbookViewId="0">
      <selection activeCell="F11" sqref="F11"/>
    </sheetView>
  </sheetViews>
  <sheetFormatPr baseColWidth="10" defaultColWidth="11.42578125" defaultRowHeight="12.75"/>
  <cols>
    <col min="1" max="1" width="13.7109375" style="21" customWidth="1"/>
    <col min="2" max="2" width="12.85546875" style="21" customWidth="1"/>
    <col min="3" max="5" width="22.7109375" style="21" customWidth="1"/>
    <col min="6" max="6" width="22.7109375" style="118" customWidth="1"/>
    <col min="7" max="11" width="17.7109375" style="20" customWidth="1"/>
    <col min="12" max="12" width="3.85546875" style="21" customWidth="1"/>
    <col min="13" max="17" width="4.7109375" style="21" customWidth="1"/>
    <col min="18" max="18" width="9.5703125" style="21" customWidth="1"/>
    <col min="19" max="35" width="5.7109375" style="21" customWidth="1"/>
    <col min="36" max="16384" width="11.42578125" style="21"/>
  </cols>
  <sheetData>
    <row r="1" spans="1:12" ht="18" customHeight="1">
      <c r="B1" s="1336" t="s">
        <v>441</v>
      </c>
      <c r="C1" s="1336"/>
      <c r="D1" s="1336"/>
      <c r="E1" s="1336"/>
      <c r="F1" s="1336"/>
      <c r="G1" s="1336"/>
      <c r="H1" s="1336"/>
      <c r="I1" s="1336"/>
      <c r="J1" s="1336"/>
      <c r="K1" s="1578" t="s">
        <v>442</v>
      </c>
      <c r="L1" s="22"/>
    </row>
    <row r="2" spans="1:12" ht="18" customHeight="1">
      <c r="A2" s="30"/>
      <c r="B2" s="1336"/>
      <c r="C2" s="1336"/>
      <c r="D2" s="1336"/>
      <c r="E2" s="1336"/>
      <c r="F2" s="1336"/>
      <c r="G2" s="1336"/>
      <c r="H2" s="1336"/>
      <c r="I2" s="1336"/>
      <c r="J2" s="1336"/>
      <c r="K2" s="1578"/>
      <c r="L2" s="22"/>
    </row>
    <row r="3" spans="1:12" ht="18" customHeight="1">
      <c r="A3" s="30"/>
      <c r="B3" s="30"/>
      <c r="C3" s="30"/>
      <c r="E3" s="30"/>
      <c r="F3" s="24"/>
      <c r="G3" s="155"/>
      <c r="H3" s="155"/>
      <c r="I3" s="155"/>
      <c r="J3" s="2"/>
      <c r="K3" s="2"/>
      <c r="L3" s="140"/>
    </row>
    <row r="4" spans="1:12" ht="10.5" customHeight="1">
      <c r="B4" s="118"/>
      <c r="C4" s="118"/>
      <c r="E4" s="118"/>
    </row>
    <row r="5" spans="1:12" s="9" customFormat="1" ht="15.75">
      <c r="A5" s="14" t="s">
        <v>166</v>
      </c>
      <c r="B5" s="768" t="str">
        <f>IF(ISBLANK(oMOE),"",oMOE)</f>
        <v/>
      </c>
      <c r="C5" s="511"/>
      <c r="D5" s="5"/>
      <c r="E5" s="14" t="s">
        <v>1057</v>
      </c>
      <c r="F5" s="768" t="str">
        <f>IF(ISBLANK(oVille),"",oVille)</f>
        <v/>
      </c>
      <c r="G5" s="511"/>
      <c r="H5" s="5"/>
      <c r="I5" s="126" t="s">
        <v>1058</v>
      </c>
      <c r="J5" s="530" t="str">
        <f>IF(ISBLANK(oeOTP),"",oeOTP)</f>
        <v/>
      </c>
      <c r="K5" s="5"/>
    </row>
    <row r="6" spans="1:12" s="9" customFormat="1" ht="19.5" customHeight="1">
      <c r="A6" s="351" t="s">
        <v>1056</v>
      </c>
      <c r="B6" s="351"/>
      <c r="C6" s="533" t="str">
        <f>IF(ISBLANK(oLibelleOTP),"",oLibelleOTP)</f>
        <v/>
      </c>
      <c r="D6" s="512"/>
      <c r="E6" s="518"/>
      <c r="F6" s="518"/>
      <c r="G6" s="518"/>
      <c r="I6" s="351"/>
      <c r="J6" s="125"/>
      <c r="L6" s="14"/>
    </row>
    <row r="7" spans="1:12" s="9" customFormat="1" ht="16.5" customHeight="1">
      <c r="A7" s="273" t="s">
        <v>847</v>
      </c>
      <c r="B7" s="351"/>
      <c r="C7" s="533" t="str">
        <f>IF(ISBLANK(oAdresseChantier),"",oAdresseChantier)</f>
        <v/>
      </c>
      <c r="D7" s="512"/>
      <c r="E7" s="18"/>
      <c r="F7" s="351"/>
      <c r="I7" s="351"/>
      <c r="J7" s="119"/>
      <c r="L7" s="14"/>
    </row>
    <row r="8" spans="1:12">
      <c r="E8" s="118"/>
      <c r="I8" s="118"/>
    </row>
    <row r="9" spans="1:12" s="29" customFormat="1" ht="27.75" customHeight="1">
      <c r="A9" s="187" t="s">
        <v>444</v>
      </c>
      <c r="B9" s="23"/>
      <c r="C9" s="23"/>
      <c r="E9" s="188" t="s">
        <v>445</v>
      </c>
      <c r="I9" s="188" t="s">
        <v>446</v>
      </c>
      <c r="J9" s="189"/>
      <c r="K9" s="189"/>
      <c r="L9" s="23"/>
    </row>
    <row r="10" spans="1:12" s="117" customFormat="1" ht="20.100000000000001" customHeight="1" thickBot="1">
      <c r="F10" s="190"/>
      <c r="G10" s="141"/>
      <c r="H10" s="141"/>
      <c r="I10" s="141"/>
      <c r="J10" s="141"/>
      <c r="K10" s="141"/>
    </row>
    <row r="11" spans="1:12" s="22" customFormat="1" ht="39" thickBot="1">
      <c r="A11" s="191" t="s">
        <v>447</v>
      </c>
      <c r="B11" s="192" t="s">
        <v>448</v>
      </c>
      <c r="C11" s="191" t="s">
        <v>449</v>
      </c>
      <c r="D11" s="193" t="s">
        <v>450</v>
      </c>
      <c r="E11" s="193" t="s">
        <v>451</v>
      </c>
      <c r="F11" s="192" t="s">
        <v>452</v>
      </c>
      <c r="G11" s="191" t="s">
        <v>453</v>
      </c>
      <c r="H11" s="194" t="s">
        <v>454</v>
      </c>
      <c r="I11" s="193" t="s">
        <v>455</v>
      </c>
      <c r="J11" s="899" t="s">
        <v>1053</v>
      </c>
      <c r="K11" s="192" t="s">
        <v>456</v>
      </c>
    </row>
    <row r="12" spans="1:12" s="23" customFormat="1" ht="15.95" customHeight="1">
      <c r="A12" s="1579" t="s">
        <v>457</v>
      </c>
      <c r="B12" s="1580"/>
      <c r="C12" s="195" t="s">
        <v>458</v>
      </c>
      <c r="D12" s="196" t="s">
        <v>458</v>
      </c>
      <c r="E12" s="196" t="s">
        <v>458</v>
      </c>
      <c r="F12" s="197" t="s">
        <v>458</v>
      </c>
      <c r="G12" s="1581"/>
      <c r="H12" s="198"/>
      <c r="I12" s="1582"/>
      <c r="J12" s="1582"/>
      <c r="K12" s="1583"/>
    </row>
    <row r="13" spans="1:12" s="23" customFormat="1" ht="15.95" customHeight="1">
      <c r="A13" s="1573"/>
      <c r="B13" s="1574"/>
      <c r="C13" s="199" t="s">
        <v>459</v>
      </c>
      <c r="D13" s="200" t="s">
        <v>459</v>
      </c>
      <c r="E13" s="200" t="s">
        <v>459</v>
      </c>
      <c r="F13" s="201" t="s">
        <v>459</v>
      </c>
      <c r="G13" s="1575"/>
      <c r="H13" s="202"/>
      <c r="I13" s="1576"/>
      <c r="J13" s="1576"/>
      <c r="K13" s="1577"/>
    </row>
    <row r="14" spans="1:12" s="23" customFormat="1" ht="15.95" customHeight="1">
      <c r="A14" s="1567" t="s">
        <v>311</v>
      </c>
      <c r="B14" s="1569"/>
      <c r="C14" s="203" t="s">
        <v>458</v>
      </c>
      <c r="D14" s="204" t="s">
        <v>458</v>
      </c>
      <c r="E14" s="204" t="s">
        <v>458</v>
      </c>
      <c r="F14" s="205" t="s">
        <v>458</v>
      </c>
      <c r="G14" s="1571"/>
      <c r="H14" s="206"/>
      <c r="I14" s="1563"/>
      <c r="J14" s="1563"/>
      <c r="K14" s="1565"/>
    </row>
    <row r="15" spans="1:12" s="23" customFormat="1" ht="15.95" customHeight="1">
      <c r="A15" s="1573"/>
      <c r="B15" s="1574"/>
      <c r="C15" s="199" t="s">
        <v>459</v>
      </c>
      <c r="D15" s="200" t="s">
        <v>459</v>
      </c>
      <c r="E15" s="200" t="s">
        <v>459</v>
      </c>
      <c r="F15" s="201" t="s">
        <v>459</v>
      </c>
      <c r="G15" s="1575"/>
      <c r="H15" s="202"/>
      <c r="I15" s="1576"/>
      <c r="J15" s="1576"/>
      <c r="K15" s="1577"/>
    </row>
    <row r="16" spans="1:12" s="23" customFormat="1" ht="15.95" customHeight="1">
      <c r="A16" s="1567" t="s">
        <v>460</v>
      </c>
      <c r="B16" s="1569"/>
      <c r="C16" s="203" t="s">
        <v>458</v>
      </c>
      <c r="D16" s="204" t="s">
        <v>458</v>
      </c>
      <c r="E16" s="204" t="s">
        <v>458</v>
      </c>
      <c r="F16" s="205" t="s">
        <v>458</v>
      </c>
      <c r="G16" s="1571"/>
      <c r="H16" s="206"/>
      <c r="I16" s="1563"/>
      <c r="J16" s="1563"/>
      <c r="K16" s="1565"/>
    </row>
    <row r="17" spans="1:11" s="23" customFormat="1" ht="15.95" customHeight="1">
      <c r="A17" s="1573"/>
      <c r="B17" s="1574"/>
      <c r="C17" s="199" t="s">
        <v>459</v>
      </c>
      <c r="D17" s="200" t="s">
        <v>459</v>
      </c>
      <c r="E17" s="200" t="s">
        <v>459</v>
      </c>
      <c r="F17" s="201" t="s">
        <v>459</v>
      </c>
      <c r="G17" s="1575"/>
      <c r="H17" s="202"/>
      <c r="I17" s="1576"/>
      <c r="J17" s="1576"/>
      <c r="K17" s="1577"/>
    </row>
    <row r="18" spans="1:11" s="23" customFormat="1" ht="15.95" customHeight="1">
      <c r="A18" s="1567" t="s">
        <v>461</v>
      </c>
      <c r="B18" s="1569"/>
      <c r="C18" s="203" t="s">
        <v>458</v>
      </c>
      <c r="D18" s="204" t="s">
        <v>458</v>
      </c>
      <c r="E18" s="204" t="s">
        <v>458</v>
      </c>
      <c r="F18" s="205" t="s">
        <v>458</v>
      </c>
      <c r="G18" s="1571"/>
      <c r="H18" s="206"/>
      <c r="I18" s="1563"/>
      <c r="J18" s="1563"/>
      <c r="K18" s="1565"/>
    </row>
    <row r="19" spans="1:11" s="23" customFormat="1" ht="15.95" customHeight="1">
      <c r="A19" s="1573"/>
      <c r="B19" s="1574"/>
      <c r="C19" s="199" t="s">
        <v>459</v>
      </c>
      <c r="D19" s="200" t="s">
        <v>459</v>
      </c>
      <c r="E19" s="200" t="s">
        <v>459</v>
      </c>
      <c r="F19" s="201" t="s">
        <v>459</v>
      </c>
      <c r="G19" s="1575"/>
      <c r="H19" s="202"/>
      <c r="I19" s="1576"/>
      <c r="J19" s="1576"/>
      <c r="K19" s="1577"/>
    </row>
    <row r="20" spans="1:11" s="23" customFormat="1" ht="15.95" customHeight="1">
      <c r="A20" s="1567" t="s">
        <v>461</v>
      </c>
      <c r="B20" s="1569"/>
      <c r="C20" s="203" t="s">
        <v>458</v>
      </c>
      <c r="D20" s="204" t="s">
        <v>458</v>
      </c>
      <c r="E20" s="204" t="s">
        <v>458</v>
      </c>
      <c r="F20" s="205" t="s">
        <v>458</v>
      </c>
      <c r="G20" s="1571"/>
      <c r="H20" s="206"/>
      <c r="I20" s="1563"/>
      <c r="J20" s="1563"/>
      <c r="K20" s="1565"/>
    </row>
    <row r="21" spans="1:11" s="23" customFormat="1" ht="15.95" customHeight="1">
      <c r="A21" s="1573"/>
      <c r="B21" s="1574"/>
      <c r="C21" s="199" t="s">
        <v>459</v>
      </c>
      <c r="D21" s="200" t="s">
        <v>459</v>
      </c>
      <c r="E21" s="200" t="s">
        <v>459</v>
      </c>
      <c r="F21" s="201" t="s">
        <v>459</v>
      </c>
      <c r="G21" s="1575"/>
      <c r="H21" s="202"/>
      <c r="I21" s="1576"/>
      <c r="J21" s="1576"/>
      <c r="K21" s="1577"/>
    </row>
    <row r="22" spans="1:11" s="23" customFormat="1" ht="15.95" customHeight="1">
      <c r="A22" s="1567"/>
      <c r="B22" s="1569"/>
      <c r="C22" s="203" t="s">
        <v>458</v>
      </c>
      <c r="D22" s="204" t="s">
        <v>458</v>
      </c>
      <c r="E22" s="204" t="s">
        <v>458</v>
      </c>
      <c r="F22" s="205" t="s">
        <v>458</v>
      </c>
      <c r="G22" s="1571"/>
      <c r="H22" s="206"/>
      <c r="I22" s="1563"/>
      <c r="J22" s="1563"/>
      <c r="K22" s="1565"/>
    </row>
    <row r="23" spans="1:11" s="23" customFormat="1" ht="15.95" customHeight="1">
      <c r="A23" s="1573"/>
      <c r="B23" s="1574"/>
      <c r="C23" s="199" t="s">
        <v>459</v>
      </c>
      <c r="D23" s="200" t="s">
        <v>459</v>
      </c>
      <c r="E23" s="200" t="s">
        <v>459</v>
      </c>
      <c r="F23" s="201" t="s">
        <v>459</v>
      </c>
      <c r="G23" s="1575"/>
      <c r="H23" s="202"/>
      <c r="I23" s="1576"/>
      <c r="J23" s="1576"/>
      <c r="K23" s="1577"/>
    </row>
    <row r="24" spans="1:11" s="23" customFormat="1" ht="15.95" customHeight="1">
      <c r="A24" s="1567"/>
      <c r="B24" s="1569"/>
      <c r="C24" s="203" t="s">
        <v>458</v>
      </c>
      <c r="D24" s="204" t="s">
        <v>458</v>
      </c>
      <c r="E24" s="204" t="s">
        <v>458</v>
      </c>
      <c r="F24" s="205" t="s">
        <v>458</v>
      </c>
      <c r="G24" s="1571"/>
      <c r="H24" s="206"/>
      <c r="I24" s="1563"/>
      <c r="J24" s="1563"/>
      <c r="K24" s="1565"/>
    </row>
    <row r="25" spans="1:11" s="23" customFormat="1" ht="15.95" customHeight="1">
      <c r="A25" s="1573"/>
      <c r="B25" s="1574"/>
      <c r="C25" s="199" t="s">
        <v>459</v>
      </c>
      <c r="D25" s="200" t="s">
        <v>459</v>
      </c>
      <c r="E25" s="200" t="s">
        <v>459</v>
      </c>
      <c r="F25" s="201" t="s">
        <v>459</v>
      </c>
      <c r="G25" s="1575"/>
      <c r="H25" s="202"/>
      <c r="I25" s="1576"/>
      <c r="J25" s="1576"/>
      <c r="K25" s="1577"/>
    </row>
    <row r="26" spans="1:11" s="23" customFormat="1" ht="15.95" customHeight="1">
      <c r="A26" s="1567"/>
      <c r="B26" s="1569"/>
      <c r="C26" s="203" t="s">
        <v>458</v>
      </c>
      <c r="D26" s="204" t="s">
        <v>458</v>
      </c>
      <c r="E26" s="204" t="s">
        <v>458</v>
      </c>
      <c r="F26" s="205" t="s">
        <v>458</v>
      </c>
      <c r="G26" s="1571"/>
      <c r="H26" s="206"/>
      <c r="I26" s="1563"/>
      <c r="J26" s="1563"/>
      <c r="K26" s="1565"/>
    </row>
    <row r="27" spans="1:11" s="23" customFormat="1" ht="15.95" customHeight="1">
      <c r="A27" s="1573"/>
      <c r="B27" s="1574"/>
      <c r="C27" s="199" t="s">
        <v>459</v>
      </c>
      <c r="D27" s="200" t="s">
        <v>459</v>
      </c>
      <c r="E27" s="200" t="s">
        <v>459</v>
      </c>
      <c r="F27" s="201" t="s">
        <v>459</v>
      </c>
      <c r="G27" s="1575"/>
      <c r="H27" s="202"/>
      <c r="I27" s="1576"/>
      <c r="J27" s="1576"/>
      <c r="K27" s="1577"/>
    </row>
    <row r="28" spans="1:11" s="23" customFormat="1" ht="15.95" customHeight="1">
      <c r="A28" s="1567"/>
      <c r="B28" s="1569"/>
      <c r="C28" s="203" t="s">
        <v>458</v>
      </c>
      <c r="D28" s="204" t="s">
        <v>458</v>
      </c>
      <c r="E28" s="204" t="s">
        <v>458</v>
      </c>
      <c r="F28" s="205" t="s">
        <v>458</v>
      </c>
      <c r="G28" s="1571"/>
      <c r="H28" s="206"/>
      <c r="I28" s="1563"/>
      <c r="J28" s="1563"/>
      <c r="K28" s="1565"/>
    </row>
    <row r="29" spans="1:11" s="23" customFormat="1" ht="15.95" customHeight="1">
      <c r="A29" s="1573"/>
      <c r="B29" s="1574"/>
      <c r="C29" s="199" t="s">
        <v>459</v>
      </c>
      <c r="D29" s="200" t="s">
        <v>459</v>
      </c>
      <c r="E29" s="200" t="s">
        <v>459</v>
      </c>
      <c r="F29" s="201" t="s">
        <v>459</v>
      </c>
      <c r="G29" s="1575"/>
      <c r="H29" s="202"/>
      <c r="I29" s="1576"/>
      <c r="J29" s="1576"/>
      <c r="K29" s="1577"/>
    </row>
    <row r="30" spans="1:11" s="23" customFormat="1" ht="15.95" customHeight="1">
      <c r="A30" s="1567"/>
      <c r="B30" s="1569"/>
      <c r="C30" s="203" t="s">
        <v>458</v>
      </c>
      <c r="D30" s="204" t="s">
        <v>458</v>
      </c>
      <c r="E30" s="204" t="s">
        <v>458</v>
      </c>
      <c r="F30" s="205" t="s">
        <v>458</v>
      </c>
      <c r="G30" s="1571"/>
      <c r="H30" s="206"/>
      <c r="I30" s="1563"/>
      <c r="J30" s="1563"/>
      <c r="K30" s="1565"/>
    </row>
    <row r="31" spans="1:11" s="23" customFormat="1" ht="15.95" customHeight="1">
      <c r="A31" s="1573"/>
      <c r="B31" s="1574"/>
      <c r="C31" s="199" t="s">
        <v>459</v>
      </c>
      <c r="D31" s="200" t="s">
        <v>459</v>
      </c>
      <c r="E31" s="200" t="s">
        <v>459</v>
      </c>
      <c r="F31" s="201" t="s">
        <v>459</v>
      </c>
      <c r="G31" s="1575"/>
      <c r="H31" s="202"/>
      <c r="I31" s="1576"/>
      <c r="J31" s="1576"/>
      <c r="K31" s="1577"/>
    </row>
    <row r="32" spans="1:11" s="23" customFormat="1" ht="15.95" customHeight="1">
      <c r="A32" s="1567"/>
      <c r="B32" s="1569"/>
      <c r="C32" s="203" t="s">
        <v>458</v>
      </c>
      <c r="D32" s="204" t="s">
        <v>458</v>
      </c>
      <c r="E32" s="204" t="s">
        <v>458</v>
      </c>
      <c r="F32" s="205" t="s">
        <v>458</v>
      </c>
      <c r="G32" s="1571"/>
      <c r="H32" s="206"/>
      <c r="I32" s="1563"/>
      <c r="J32" s="1563"/>
      <c r="K32" s="1565"/>
    </row>
    <row r="33" spans="1:11" s="23" customFormat="1" ht="15.95" customHeight="1">
      <c r="A33" s="1573"/>
      <c r="B33" s="1574"/>
      <c r="C33" s="199" t="s">
        <v>459</v>
      </c>
      <c r="D33" s="200" t="s">
        <v>459</v>
      </c>
      <c r="E33" s="200" t="s">
        <v>459</v>
      </c>
      <c r="F33" s="201" t="s">
        <v>459</v>
      </c>
      <c r="G33" s="1575"/>
      <c r="H33" s="202"/>
      <c r="I33" s="1576"/>
      <c r="J33" s="1576"/>
      <c r="K33" s="1577"/>
    </row>
    <row r="34" spans="1:11" s="23" customFormat="1" ht="15.95" customHeight="1">
      <c r="A34" s="1567"/>
      <c r="B34" s="1569"/>
      <c r="C34" s="203" t="s">
        <v>458</v>
      </c>
      <c r="D34" s="204" t="s">
        <v>458</v>
      </c>
      <c r="E34" s="204" t="s">
        <v>458</v>
      </c>
      <c r="F34" s="205" t="s">
        <v>458</v>
      </c>
      <c r="G34" s="1571"/>
      <c r="H34" s="206"/>
      <c r="I34" s="1563"/>
      <c r="J34" s="1563"/>
      <c r="K34" s="1565"/>
    </row>
    <row r="35" spans="1:11" s="23" customFormat="1" ht="15.95" customHeight="1">
      <c r="A35" s="1573"/>
      <c r="B35" s="1574"/>
      <c r="C35" s="199" t="s">
        <v>459</v>
      </c>
      <c r="D35" s="200" t="s">
        <v>459</v>
      </c>
      <c r="E35" s="200" t="s">
        <v>459</v>
      </c>
      <c r="F35" s="201" t="s">
        <v>459</v>
      </c>
      <c r="G35" s="1575"/>
      <c r="H35" s="202"/>
      <c r="I35" s="1576"/>
      <c r="J35" s="1576"/>
      <c r="K35" s="1577"/>
    </row>
    <row r="36" spans="1:11" s="23" customFormat="1" ht="15.95" customHeight="1">
      <c r="A36" s="1567"/>
      <c r="B36" s="1569"/>
      <c r="C36" s="203" t="s">
        <v>458</v>
      </c>
      <c r="D36" s="204" t="s">
        <v>458</v>
      </c>
      <c r="E36" s="204" t="s">
        <v>458</v>
      </c>
      <c r="F36" s="205" t="s">
        <v>458</v>
      </c>
      <c r="G36" s="1571"/>
      <c r="H36" s="206"/>
      <c r="I36" s="1563"/>
      <c r="J36" s="1563"/>
      <c r="K36" s="1565"/>
    </row>
    <row r="37" spans="1:11" s="23" customFormat="1" ht="15.95" customHeight="1">
      <c r="A37" s="1573"/>
      <c r="B37" s="1574"/>
      <c r="C37" s="199" t="s">
        <v>459</v>
      </c>
      <c r="D37" s="200" t="s">
        <v>459</v>
      </c>
      <c r="E37" s="200" t="s">
        <v>459</v>
      </c>
      <c r="F37" s="201" t="s">
        <v>459</v>
      </c>
      <c r="G37" s="1575"/>
      <c r="H37" s="202"/>
      <c r="I37" s="1576"/>
      <c r="J37" s="1576"/>
      <c r="K37" s="1577"/>
    </row>
    <row r="38" spans="1:11" s="23" customFormat="1" ht="15.95" customHeight="1">
      <c r="A38" s="1567"/>
      <c r="B38" s="1569"/>
      <c r="C38" s="203" t="s">
        <v>458</v>
      </c>
      <c r="D38" s="204" t="s">
        <v>458</v>
      </c>
      <c r="E38" s="204" t="s">
        <v>458</v>
      </c>
      <c r="F38" s="205" t="s">
        <v>458</v>
      </c>
      <c r="G38" s="1571"/>
      <c r="H38" s="206"/>
      <c r="I38" s="1563"/>
      <c r="J38" s="1563"/>
      <c r="K38" s="1565"/>
    </row>
    <row r="39" spans="1:11" s="23" customFormat="1" ht="15.95" customHeight="1" thickBot="1">
      <c r="A39" s="1568"/>
      <c r="B39" s="1570"/>
      <c r="C39" s="207" t="s">
        <v>459</v>
      </c>
      <c r="D39" s="208" t="s">
        <v>459</v>
      </c>
      <c r="E39" s="208" t="s">
        <v>459</v>
      </c>
      <c r="F39" s="209" t="s">
        <v>459</v>
      </c>
      <c r="G39" s="1572"/>
      <c r="H39" s="210"/>
      <c r="I39" s="1564"/>
      <c r="J39" s="1564"/>
      <c r="K39" s="1566"/>
    </row>
    <row r="40" spans="1:11" s="214" customFormat="1" ht="24.95" customHeight="1">
      <c r="A40" s="118" t="s">
        <v>365</v>
      </c>
      <c r="B40" s="211"/>
      <c r="C40" s="212"/>
      <c r="D40" s="212"/>
      <c r="E40" s="212"/>
      <c r="F40" s="212"/>
      <c r="G40" s="213"/>
      <c r="H40" s="213"/>
      <c r="I40" s="213"/>
      <c r="J40" s="213"/>
      <c r="K40" s="213"/>
    </row>
    <row r="41" spans="1:11" ht="18.75" customHeight="1">
      <c r="A41" s="118" t="s">
        <v>366</v>
      </c>
      <c r="B41" s="20"/>
      <c r="C41" s="215"/>
      <c r="D41" s="215"/>
      <c r="E41" s="215"/>
      <c r="F41" s="215"/>
      <c r="G41" s="216"/>
      <c r="H41" s="216"/>
      <c r="I41" s="216"/>
      <c r="J41" s="216"/>
      <c r="K41" s="216"/>
    </row>
    <row r="42" spans="1:11" s="9" customFormat="1" ht="15" hidden="1">
      <c r="F42" s="217"/>
      <c r="G42" s="119"/>
      <c r="H42" s="119"/>
      <c r="I42" s="119"/>
      <c r="J42" s="119"/>
      <c r="K42" s="119"/>
    </row>
    <row r="43" spans="1:11" ht="15">
      <c r="A43" s="218" t="s">
        <v>367</v>
      </c>
    </row>
    <row r="44" spans="1:11" ht="13.5" customHeight="1">
      <c r="A44" s="117"/>
      <c r="B44" s="117"/>
      <c r="C44" s="117"/>
      <c r="D44" s="117"/>
      <c r="E44" s="117"/>
      <c r="F44" s="117"/>
      <c r="G44" s="141"/>
      <c r="H44" s="141"/>
      <c r="I44" s="219" t="s">
        <v>368</v>
      </c>
    </row>
    <row r="45" spans="1:11">
      <c r="A45" s="117"/>
      <c r="B45" s="117"/>
      <c r="C45" s="117"/>
      <c r="D45" s="117"/>
      <c r="E45" s="117"/>
      <c r="F45" s="117"/>
      <c r="G45" s="141"/>
      <c r="H45" s="141"/>
      <c r="I45" s="956" t="s">
        <v>1055</v>
      </c>
    </row>
    <row r="46" spans="1:11" ht="35.25" customHeight="1">
      <c r="A46" s="117"/>
      <c r="B46" s="117"/>
      <c r="C46" s="117"/>
      <c r="D46" s="117"/>
      <c r="E46" s="117"/>
      <c r="F46" s="190"/>
      <c r="G46" s="141"/>
      <c r="H46" s="141"/>
    </row>
    <row r="47" spans="1:11" ht="23.25" customHeight="1"/>
  </sheetData>
  <mergeCells count="86">
    <mergeCell ref="B1:J2"/>
    <mergeCell ref="K1:K2"/>
    <mergeCell ref="A12:A13"/>
    <mergeCell ref="B12:B13"/>
    <mergeCell ref="G12:G13"/>
    <mergeCell ref="I12:I13"/>
    <mergeCell ref="J12:J13"/>
    <mergeCell ref="K12:K13"/>
    <mergeCell ref="A14:A15"/>
    <mergeCell ref="B14:B15"/>
    <mergeCell ref="G14:G15"/>
    <mergeCell ref="I14:I15"/>
    <mergeCell ref="J18:J19"/>
    <mergeCell ref="J14:J15"/>
    <mergeCell ref="A16:A17"/>
    <mergeCell ref="B16:B17"/>
    <mergeCell ref="G16:G17"/>
    <mergeCell ref="I16:I17"/>
    <mergeCell ref="A18:A19"/>
    <mergeCell ref="B18:B19"/>
    <mergeCell ref="K14:K15"/>
    <mergeCell ref="J16:J17"/>
    <mergeCell ref="K16:K17"/>
    <mergeCell ref="J20:J21"/>
    <mergeCell ref="K20:K21"/>
    <mergeCell ref="K18:K19"/>
    <mergeCell ref="A20:A21"/>
    <mergeCell ref="B20:B21"/>
    <mergeCell ref="G20:G21"/>
    <mergeCell ref="I20:I21"/>
    <mergeCell ref="G18:G19"/>
    <mergeCell ref="I18:I19"/>
    <mergeCell ref="A22:A23"/>
    <mergeCell ref="B22:B23"/>
    <mergeCell ref="G22:G23"/>
    <mergeCell ref="I22:I23"/>
    <mergeCell ref="J26:J27"/>
    <mergeCell ref="J22:J23"/>
    <mergeCell ref="A24:A25"/>
    <mergeCell ref="B24:B25"/>
    <mergeCell ref="G24:G25"/>
    <mergeCell ref="I24:I25"/>
    <mergeCell ref="A26:A27"/>
    <mergeCell ref="B26:B27"/>
    <mergeCell ref="K22:K23"/>
    <mergeCell ref="J24:J25"/>
    <mergeCell ref="K24:K25"/>
    <mergeCell ref="J28:J29"/>
    <mergeCell ref="K28:K29"/>
    <mergeCell ref="K26:K27"/>
    <mergeCell ref="A28:A29"/>
    <mergeCell ref="B28:B29"/>
    <mergeCell ref="G28:G29"/>
    <mergeCell ref="I28:I29"/>
    <mergeCell ref="G26:G27"/>
    <mergeCell ref="I26:I27"/>
    <mergeCell ref="A30:A31"/>
    <mergeCell ref="B30:B31"/>
    <mergeCell ref="G30:G31"/>
    <mergeCell ref="I30:I31"/>
    <mergeCell ref="J34:J35"/>
    <mergeCell ref="J30:J31"/>
    <mergeCell ref="A32:A33"/>
    <mergeCell ref="B32:B33"/>
    <mergeCell ref="G32:G33"/>
    <mergeCell ref="I32:I33"/>
    <mergeCell ref="A34:A35"/>
    <mergeCell ref="B34:B35"/>
    <mergeCell ref="K30:K31"/>
    <mergeCell ref="J32:J33"/>
    <mergeCell ref="K32:K33"/>
    <mergeCell ref="J36:J37"/>
    <mergeCell ref="K36:K37"/>
    <mergeCell ref="K34:K35"/>
    <mergeCell ref="A36:A37"/>
    <mergeCell ref="B36:B37"/>
    <mergeCell ref="G36:G37"/>
    <mergeCell ref="I36:I37"/>
    <mergeCell ref="G34:G35"/>
    <mergeCell ref="I34:I35"/>
    <mergeCell ref="J38:J39"/>
    <mergeCell ref="K38:K39"/>
    <mergeCell ref="A38:A39"/>
    <mergeCell ref="B38:B39"/>
    <mergeCell ref="G38:G39"/>
    <mergeCell ref="I38:I39"/>
  </mergeCells>
  <phoneticPr fontId="12" type="noConversion"/>
  <printOptions horizontalCentered="1" verticalCentered="1"/>
  <pageMargins left="0" right="0" top="0" bottom="0.39370078740157483" header="0" footer="0"/>
  <pageSetup paperSize="9" scale="71" orientation="landscape" blackAndWhite="1" r:id="rId1"/>
  <headerFooter alignWithMargins="0">
    <oddFooter>&amp;LEdité le &amp;D&amp;C&amp;P/&amp;N</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Feuil18">
    <tabColor indexed="42"/>
    <pageSetUpPr fitToPage="1"/>
  </sheetPr>
  <dimension ref="A1:W46"/>
  <sheetViews>
    <sheetView showGridLines="0" view="pageBreakPreview" zoomScaleNormal="90" zoomScaleSheetLayoutView="100" workbookViewId="0">
      <selection activeCell="A29" sqref="A29"/>
    </sheetView>
  </sheetViews>
  <sheetFormatPr baseColWidth="10" defaultColWidth="11.42578125" defaultRowHeight="15"/>
  <cols>
    <col min="1" max="1" width="14.28515625" style="5" customWidth="1"/>
    <col min="2" max="2" width="5.5703125" style="5" customWidth="1"/>
    <col min="3" max="3" width="5.42578125" style="5" customWidth="1"/>
    <col min="4" max="4" width="62.5703125" style="5" customWidth="1"/>
    <col min="5" max="5" width="8.7109375" style="222" customWidth="1"/>
    <col min="6" max="6" width="8.42578125" style="222" customWidth="1"/>
    <col min="7" max="7" width="8.7109375" style="222" customWidth="1"/>
    <col min="8" max="8" width="13" style="5" customWidth="1"/>
    <col min="9" max="9" width="4.85546875" style="5" customWidth="1"/>
    <col min="10" max="10" width="13.7109375" style="5" customWidth="1"/>
    <col min="11" max="11" width="21.7109375" style="5" customWidth="1"/>
    <col min="12" max="16384" width="11.42578125" style="5"/>
  </cols>
  <sheetData>
    <row r="1" spans="1:23" ht="15" customHeight="1">
      <c r="A1" s="1585"/>
      <c r="B1" s="1585"/>
      <c r="C1" s="1196" t="s">
        <v>1060</v>
      </c>
      <c r="D1" s="1196"/>
      <c r="E1" s="1196"/>
      <c r="F1" s="1196"/>
      <c r="G1" s="1196"/>
      <c r="H1" s="1196"/>
      <c r="I1" s="1196"/>
      <c r="J1" s="1196"/>
      <c r="K1" s="1599" t="s">
        <v>369</v>
      </c>
    </row>
    <row r="2" spans="1:23" ht="28.5" customHeight="1">
      <c r="A2" s="1585"/>
      <c r="B2" s="1585"/>
      <c r="C2" s="1196"/>
      <c r="D2" s="1196"/>
      <c r="E2" s="1196"/>
      <c r="F2" s="1196"/>
      <c r="G2" s="1196"/>
      <c r="H2" s="1196"/>
      <c r="I2" s="1196"/>
      <c r="J2" s="1196"/>
      <c r="K2" s="1599"/>
    </row>
    <row r="3" spans="1:23">
      <c r="D3" s="222"/>
    </row>
    <row r="4" spans="1:23" s="9" customFormat="1" ht="12.75">
      <c r="E4" s="119"/>
      <c r="F4" s="119"/>
      <c r="G4" s="119"/>
    </row>
    <row r="5" spans="1:23" s="9" customFormat="1" ht="20.100000000000001" customHeight="1">
      <c r="A5" s="14" t="s">
        <v>261</v>
      </c>
      <c r="B5" s="768" t="str">
        <f>IF(ISBLANK(oMOE),"",oMOE)</f>
        <v/>
      </c>
      <c r="C5" s="511"/>
      <c r="D5" s="5"/>
      <c r="E5" s="126" t="s">
        <v>370</v>
      </c>
      <c r="F5" s="768" t="str">
        <f>IF(ISBLANK(oN°MARCHE),"",oN°MARCHE)</f>
        <v/>
      </c>
      <c r="G5" s="5"/>
      <c r="H5" s="5"/>
      <c r="I5" s="5"/>
      <c r="J5" s="126" t="s">
        <v>542</v>
      </c>
      <c r="K5" s="530" t="str">
        <f>IF(ISBLANK(oeOTP),"",oeOTP)</f>
        <v/>
      </c>
    </row>
    <row r="6" spans="1:23" s="119" customFormat="1" ht="43.5" customHeight="1">
      <c r="A6" s="14" t="s">
        <v>546</v>
      </c>
      <c r="B6" s="1475" t="str">
        <f>IF(ISBLANK(oLibelleOTP),"",oLibelleOTP)</f>
        <v/>
      </c>
      <c r="C6" s="1475"/>
      <c r="D6" s="1475"/>
      <c r="E6" s="1475"/>
      <c r="F6" s="1475"/>
      <c r="G6" s="1475"/>
      <c r="H6" s="1475"/>
      <c r="I6" s="1475"/>
      <c r="J6" s="1475"/>
      <c r="K6" s="1475"/>
      <c r="N6" s="222"/>
    </row>
    <row r="7" spans="1:23" s="119" customFormat="1" ht="21.95" customHeight="1">
      <c r="A7" s="28" t="s">
        <v>371</v>
      </c>
      <c r="B7" s="28"/>
      <c r="C7" s="530" t="str">
        <f>IF(ISBLANK(oRespAffaire),"",oRespAffaire)</f>
        <v/>
      </c>
      <c r="D7" s="222"/>
      <c r="E7" s="126" t="s">
        <v>1192</v>
      </c>
      <c r="F7" s="530" t="str">
        <f>IF(ISBLANK(oRespChantier),"",oRespChantier)</f>
        <v/>
      </c>
      <c r="G7" s="530"/>
      <c r="H7" s="222"/>
      <c r="J7" s="126" t="s">
        <v>545</v>
      </c>
      <c r="K7" s="530" t="str">
        <f>IF(ISBLANK(oVille),"",oVille)</f>
        <v/>
      </c>
      <c r="L7" s="424"/>
      <c r="N7" s="222"/>
      <c r="P7" s="330"/>
      <c r="Q7" s="330"/>
      <c r="R7" s="330"/>
      <c r="S7" s="330"/>
      <c r="T7" s="330"/>
      <c r="U7" s="330"/>
      <c r="V7" s="330"/>
      <c r="W7" s="330"/>
    </row>
    <row r="8" spans="1:23" s="119" customFormat="1" ht="21.95" customHeight="1">
      <c r="A8" s="222"/>
      <c r="B8" s="222"/>
      <c r="C8" s="14"/>
      <c r="D8" s="12"/>
      <c r="E8" s="222"/>
      <c r="F8" s="222"/>
      <c r="G8" s="222"/>
      <c r="H8" s="222"/>
      <c r="I8" s="222"/>
      <c r="J8" s="222"/>
      <c r="K8" s="124"/>
      <c r="N8" s="222"/>
    </row>
    <row r="9" spans="1:23" ht="15" customHeight="1">
      <c r="A9" s="1585"/>
      <c r="B9" s="1585"/>
      <c r="C9" s="1585"/>
      <c r="D9" s="224" t="s">
        <v>372</v>
      </c>
      <c r="E9" s="224" t="s">
        <v>361</v>
      </c>
      <c r="F9" s="224" t="s">
        <v>440</v>
      </c>
      <c r="G9" s="224" t="s">
        <v>419</v>
      </c>
      <c r="H9" s="1600" t="s">
        <v>373</v>
      </c>
      <c r="I9" s="1600"/>
      <c r="J9" s="1600"/>
      <c r="K9" s="224" t="s">
        <v>374</v>
      </c>
    </row>
    <row r="10" spans="1:23" ht="30" customHeight="1">
      <c r="A10" s="1591" t="s">
        <v>375</v>
      </c>
      <c r="B10" s="1591"/>
      <c r="C10" s="1591"/>
      <c r="D10" s="225"/>
      <c r="E10" s="226"/>
      <c r="F10" s="226"/>
      <c r="G10" s="226"/>
      <c r="H10" s="1590"/>
      <c r="I10" s="1590"/>
      <c r="J10" s="1590"/>
      <c r="K10" s="227"/>
    </row>
    <row r="11" spans="1:23" s="17" customFormat="1" ht="30" customHeight="1">
      <c r="A11" s="1598" t="s">
        <v>376</v>
      </c>
      <c r="B11" s="1598"/>
      <c r="C11" s="1598"/>
      <c r="D11" s="225"/>
      <c r="E11" s="226"/>
      <c r="F11" s="226"/>
      <c r="G11" s="226"/>
      <c r="H11" s="1590"/>
      <c r="I11" s="1590"/>
      <c r="J11" s="1590"/>
      <c r="K11" s="227"/>
    </row>
    <row r="12" spans="1:23" ht="30" customHeight="1">
      <c r="A12" s="1591" t="s">
        <v>377</v>
      </c>
      <c r="B12" s="1591"/>
      <c r="C12" s="1591"/>
      <c r="D12" s="225"/>
      <c r="E12" s="226"/>
      <c r="F12" s="226"/>
      <c r="G12" s="226"/>
      <c r="H12" s="1590"/>
      <c r="I12" s="1590"/>
      <c r="J12" s="1590"/>
      <c r="K12" s="227"/>
    </row>
    <row r="13" spans="1:23" ht="30" customHeight="1">
      <c r="A13" s="1592" t="s">
        <v>378</v>
      </c>
      <c r="B13" s="1593"/>
      <c r="C13" s="1594"/>
      <c r="D13" s="225"/>
      <c r="E13" s="226"/>
      <c r="F13" s="226"/>
      <c r="G13" s="226"/>
      <c r="H13" s="1595"/>
      <c r="I13" s="1596"/>
      <c r="J13" s="1597"/>
      <c r="K13" s="227"/>
    </row>
    <row r="14" spans="1:23" ht="30" customHeight="1">
      <c r="A14" s="1591" t="s">
        <v>379</v>
      </c>
      <c r="B14" s="1591"/>
      <c r="C14" s="1591"/>
      <c r="D14" s="225"/>
      <c r="E14" s="226"/>
      <c r="F14" s="226"/>
      <c r="G14" s="226"/>
      <c r="H14" s="1590"/>
      <c r="I14" s="1590"/>
      <c r="J14" s="1590"/>
      <c r="K14" s="227"/>
    </row>
    <row r="15" spans="1:23" ht="30" customHeight="1">
      <c r="A15" s="1591" t="s">
        <v>380</v>
      </c>
      <c r="B15" s="1591"/>
      <c r="C15" s="1591"/>
      <c r="D15" s="225"/>
      <c r="E15" s="226"/>
      <c r="F15" s="226"/>
      <c r="G15" s="226"/>
      <c r="H15" s="1590"/>
      <c r="I15" s="1590"/>
      <c r="J15" s="1590"/>
      <c r="K15" s="227"/>
    </row>
    <row r="16" spans="1:23" ht="30" customHeight="1">
      <c r="A16" s="1591" t="s">
        <v>321</v>
      </c>
      <c r="B16" s="1591"/>
      <c r="C16" s="1591"/>
      <c r="D16" s="225"/>
      <c r="E16" s="226"/>
      <c r="F16" s="226"/>
      <c r="G16" s="226"/>
      <c r="H16" s="1590"/>
      <c r="I16" s="1590"/>
      <c r="J16" s="1590"/>
      <c r="K16" s="227"/>
    </row>
    <row r="17" spans="1:12" ht="30" customHeight="1">
      <c r="A17" s="1592" t="s">
        <v>381</v>
      </c>
      <c r="B17" s="1593"/>
      <c r="C17" s="1594"/>
      <c r="D17" s="225"/>
      <c r="E17" s="226"/>
      <c r="F17" s="226"/>
      <c r="G17" s="226"/>
      <c r="H17" s="1595"/>
      <c r="I17" s="1596"/>
      <c r="J17" s="1597"/>
      <c r="K17" s="227"/>
    </row>
    <row r="18" spans="1:12" ht="30" customHeight="1">
      <c r="A18" s="1587" t="s">
        <v>382</v>
      </c>
      <c r="B18" s="1588"/>
      <c r="C18" s="1589"/>
      <c r="D18" s="228"/>
      <c r="E18" s="229"/>
      <c r="F18" s="229"/>
      <c r="G18" s="229"/>
      <c r="H18" s="1590"/>
      <c r="I18" s="1590"/>
      <c r="J18" s="1590"/>
      <c r="K18" s="230"/>
    </row>
    <row r="19" spans="1:12" ht="30" customHeight="1">
      <c r="A19" s="1587" t="s">
        <v>382</v>
      </c>
      <c r="B19" s="1588"/>
      <c r="C19" s="1589"/>
      <c r="D19" s="228"/>
      <c r="E19" s="229"/>
      <c r="F19" s="229"/>
      <c r="G19" s="229"/>
      <c r="H19" s="1590"/>
      <c r="I19" s="1590"/>
      <c r="J19" s="1590"/>
      <c r="K19" s="230"/>
    </row>
    <row r="20" spans="1:12" ht="30" customHeight="1">
      <c r="A20" s="1587" t="s">
        <v>382</v>
      </c>
      <c r="B20" s="1588"/>
      <c r="C20" s="1589"/>
      <c r="D20" s="228"/>
      <c r="E20" s="229"/>
      <c r="F20" s="229"/>
      <c r="G20" s="229"/>
      <c r="H20" s="1590"/>
      <c r="I20" s="1590"/>
      <c r="J20" s="1590"/>
      <c r="K20" s="230"/>
    </row>
    <row r="21" spans="1:12" s="222" customFormat="1" ht="21.75" customHeight="1">
      <c r="A21" s="1585" t="s">
        <v>383</v>
      </c>
      <c r="B21" s="1585"/>
      <c r="C21" s="1585"/>
      <c r="D21" s="1585"/>
      <c r="E21" s="1585"/>
      <c r="F21" s="1585"/>
      <c r="G21" s="1585"/>
      <c r="H21" s="1585"/>
      <c r="I21" s="1585"/>
      <c r="J21" s="1585"/>
      <c r="K21" s="1585"/>
    </row>
    <row r="22" spans="1:12" s="222" customFormat="1"/>
    <row r="23" spans="1:12" s="9" customFormat="1" ht="21.95" customHeight="1">
      <c r="A23" s="28" t="s">
        <v>384</v>
      </c>
      <c r="C23" s="29"/>
      <c r="D23" s="23"/>
      <c r="E23" s="138"/>
      <c r="F23" s="138"/>
      <c r="G23" s="138"/>
      <c r="H23" s="22"/>
      <c r="I23" s="22"/>
      <c r="J23" s="22"/>
      <c r="K23" s="22"/>
    </row>
    <row r="24" spans="1:12" s="9" customFormat="1" ht="21.95" customHeight="1">
      <c r="A24" s="28"/>
      <c r="D24" s="22"/>
      <c r="E24" s="138"/>
      <c r="F24" s="138"/>
      <c r="G24" s="138"/>
      <c r="H24" s="22"/>
      <c r="I24" s="22"/>
      <c r="J24" s="22"/>
      <c r="K24" s="22"/>
    </row>
    <row r="25" spans="1:12" ht="17.100000000000001" customHeight="1">
      <c r="A25" s="1586" t="s">
        <v>385</v>
      </c>
      <c r="B25" s="1586"/>
      <c r="C25" s="1586"/>
      <c r="D25" s="1586"/>
      <c r="E25" s="1586" t="s">
        <v>386</v>
      </c>
      <c r="F25" s="1586"/>
      <c r="G25" s="1586"/>
      <c r="H25" s="1586"/>
      <c r="I25" s="1586"/>
      <c r="J25" s="1586"/>
      <c r="K25" s="1586"/>
      <c r="L25" s="28"/>
    </row>
    <row r="26" spans="1:12" ht="17.100000000000001" customHeight="1">
      <c r="A26" s="1584" t="s">
        <v>1054</v>
      </c>
      <c r="B26" s="1584"/>
      <c r="C26" s="1584"/>
      <c r="D26" s="1584"/>
      <c r="E26" s="1584" t="s">
        <v>387</v>
      </c>
      <c r="F26" s="1584"/>
      <c r="G26" s="1584"/>
      <c r="H26" s="1584"/>
      <c r="I26" s="1584"/>
      <c r="J26" s="1584"/>
      <c r="K26" s="1584"/>
    </row>
    <row r="27" spans="1:12" ht="17.100000000000001" customHeight="1">
      <c r="A27" s="231"/>
      <c r="B27" s="231"/>
      <c r="C27" s="231"/>
      <c r="D27" s="231"/>
      <c r="E27" s="1584"/>
      <c r="F27" s="1584"/>
      <c r="G27" s="1584"/>
      <c r="H27" s="1584"/>
      <c r="I27" s="1584"/>
      <c r="J27" s="1584"/>
      <c r="K27" s="1584"/>
    </row>
    <row r="28" spans="1:12" ht="17.100000000000001" customHeight="1">
      <c r="A28" s="1584" t="s">
        <v>388</v>
      </c>
      <c r="B28" s="1584"/>
      <c r="C28" s="1584"/>
      <c r="D28" s="1584"/>
      <c r="E28" s="1584" t="s">
        <v>388</v>
      </c>
      <c r="F28" s="1584"/>
      <c r="G28" s="1584"/>
      <c r="H28" s="1584"/>
      <c r="I28" s="1584"/>
      <c r="J28" s="1584"/>
      <c r="K28" s="1584"/>
    </row>
    <row r="29" spans="1:12" s="9" customFormat="1" ht="12.75">
      <c r="A29" s="29"/>
      <c r="B29" s="29"/>
      <c r="C29" s="29"/>
      <c r="D29" s="188"/>
      <c r="E29" s="232"/>
      <c r="F29" s="232"/>
      <c r="G29" s="232"/>
      <c r="H29" s="188"/>
      <c r="I29" s="188"/>
      <c r="J29" s="188"/>
      <c r="K29" s="188"/>
    </row>
    <row r="30" spans="1:12" ht="6.75" customHeight="1">
      <c r="D30" s="12"/>
      <c r="H30" s="12"/>
      <c r="I30" s="12"/>
      <c r="J30" s="12"/>
      <c r="K30" s="12"/>
    </row>
    <row r="31" spans="1:12" ht="21.95" customHeight="1">
      <c r="D31" s="12"/>
      <c r="F31" s="124"/>
      <c r="H31" s="12"/>
      <c r="I31" s="12"/>
      <c r="J31" s="12"/>
      <c r="K31" s="12"/>
    </row>
    <row r="32" spans="1:12">
      <c r="D32" s="12"/>
      <c r="H32" s="12"/>
      <c r="I32" s="12"/>
      <c r="J32" s="12"/>
      <c r="K32" s="12"/>
    </row>
    <row r="33" spans="4:11" ht="6.75" customHeight="1">
      <c r="D33" s="12"/>
      <c r="H33" s="12"/>
      <c r="I33" s="12"/>
      <c r="J33" s="12"/>
      <c r="K33" s="12"/>
    </row>
    <row r="34" spans="4:11">
      <c r="D34" s="12"/>
      <c r="H34" s="12"/>
      <c r="I34" s="12"/>
      <c r="J34" s="12"/>
      <c r="K34" s="12"/>
    </row>
    <row r="35" spans="4:11">
      <c r="D35" s="12"/>
      <c r="H35" s="12"/>
      <c r="I35" s="12"/>
      <c r="J35" s="12"/>
      <c r="K35" s="12"/>
    </row>
    <row r="36" spans="4:11" ht="6.75" customHeight="1">
      <c r="D36" s="12"/>
      <c r="H36" s="12"/>
      <c r="I36" s="12"/>
      <c r="J36" s="12"/>
      <c r="K36" s="12"/>
    </row>
    <row r="37" spans="4:11" ht="15.75" customHeight="1">
      <c r="D37" s="12"/>
      <c r="H37" s="12"/>
      <c r="I37" s="12"/>
      <c r="J37" s="12"/>
      <c r="K37" s="12"/>
    </row>
    <row r="38" spans="4:11">
      <c r="D38" s="12"/>
      <c r="H38" s="12"/>
      <c r="I38" s="12"/>
      <c r="J38" s="12"/>
      <c r="K38" s="12"/>
    </row>
    <row r="39" spans="4:11" ht="6.75" customHeight="1">
      <c r="D39" s="12"/>
      <c r="H39" s="12"/>
      <c r="I39" s="12"/>
      <c r="J39" s="12"/>
      <c r="K39" s="12"/>
    </row>
    <row r="40" spans="4:11">
      <c r="D40" s="12"/>
      <c r="H40" s="12"/>
      <c r="I40" s="12"/>
      <c r="J40" s="12"/>
      <c r="K40" s="12"/>
    </row>
    <row r="41" spans="4:11">
      <c r="D41" s="12"/>
      <c r="H41" s="12"/>
      <c r="I41" s="12"/>
      <c r="J41" s="12"/>
      <c r="K41" s="12"/>
    </row>
    <row r="42" spans="4:11" ht="6.75" customHeight="1">
      <c r="D42" s="12"/>
      <c r="H42" s="12"/>
      <c r="I42" s="12"/>
      <c r="J42" s="12"/>
      <c r="K42" s="12"/>
    </row>
    <row r="43" spans="4:11">
      <c r="D43" s="12"/>
      <c r="H43" s="12"/>
      <c r="I43" s="12"/>
      <c r="J43" s="12"/>
      <c r="K43" s="12"/>
    </row>
    <row r="44" spans="4:11">
      <c r="D44" s="12"/>
      <c r="H44" s="12"/>
      <c r="I44" s="12"/>
      <c r="J44" s="12"/>
      <c r="K44" s="12"/>
    </row>
    <row r="45" spans="4:11" ht="6.75" customHeight="1">
      <c r="D45" s="12"/>
      <c r="H45" s="12"/>
      <c r="I45" s="12"/>
      <c r="J45" s="12"/>
      <c r="K45" s="12"/>
    </row>
    <row r="46" spans="4:11">
      <c r="D46" s="12"/>
      <c r="H46" s="12"/>
      <c r="I46" s="12"/>
      <c r="J46" s="12"/>
      <c r="K46" s="12"/>
    </row>
  </sheetData>
  <mergeCells count="36">
    <mergeCell ref="A10:C10"/>
    <mergeCell ref="H10:J10"/>
    <mergeCell ref="A1:B2"/>
    <mergeCell ref="C1:J2"/>
    <mergeCell ref="K1:K2"/>
    <mergeCell ref="A9:C9"/>
    <mergeCell ref="H9:J9"/>
    <mergeCell ref="B6:K6"/>
    <mergeCell ref="A11:C11"/>
    <mergeCell ref="H11:J11"/>
    <mergeCell ref="A12:C12"/>
    <mergeCell ref="H12:J12"/>
    <mergeCell ref="A14:C14"/>
    <mergeCell ref="H14:J14"/>
    <mergeCell ref="A13:C13"/>
    <mergeCell ref="H13:J13"/>
    <mergeCell ref="A15:C15"/>
    <mergeCell ref="H15:J15"/>
    <mergeCell ref="A17:C17"/>
    <mergeCell ref="H17:J17"/>
    <mergeCell ref="A16:C16"/>
    <mergeCell ref="H16:J16"/>
    <mergeCell ref="A18:C18"/>
    <mergeCell ref="H18:J18"/>
    <mergeCell ref="A20:C20"/>
    <mergeCell ref="H20:J20"/>
    <mergeCell ref="A19:C19"/>
    <mergeCell ref="H19:J19"/>
    <mergeCell ref="E27:K27"/>
    <mergeCell ref="A28:D28"/>
    <mergeCell ref="E28:K28"/>
    <mergeCell ref="A21:K21"/>
    <mergeCell ref="A25:D25"/>
    <mergeCell ref="E25:K25"/>
    <mergeCell ref="A26:D26"/>
    <mergeCell ref="E26:K26"/>
  </mergeCells>
  <phoneticPr fontId="12" type="noConversion"/>
  <printOptions horizontalCentered="1" verticalCentered="1"/>
  <pageMargins left="0" right="0" top="0" bottom="0.39370078740157483" header="0" footer="0"/>
  <pageSetup paperSize="9" scale="82" orientation="landscape" blackAndWhite="1" r:id="rId1"/>
  <headerFooter alignWithMargins="0">
    <oddFooter>&amp;LEdité le &amp;D&amp;C&amp;P/&amp;N</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Feuil22">
    <tabColor indexed="42"/>
    <pageSetUpPr fitToPage="1"/>
  </sheetPr>
  <dimension ref="A1:AG57"/>
  <sheetViews>
    <sheetView showGridLines="0" view="pageBreakPreview" zoomScale="90" zoomScaleNormal="100" zoomScaleSheetLayoutView="90" workbookViewId="0">
      <selection activeCell="AA2" sqref="AA2"/>
    </sheetView>
  </sheetViews>
  <sheetFormatPr baseColWidth="10" defaultColWidth="11.42578125" defaultRowHeight="12.75"/>
  <cols>
    <col min="1" max="2" width="1.140625" style="346" customWidth="1"/>
    <col min="3" max="3" width="3.28515625" style="374" customWidth="1"/>
    <col min="4" max="4" width="11.42578125" style="346"/>
    <col min="5" max="5" width="3.28515625" style="346" customWidth="1"/>
    <col min="6" max="6" width="1.7109375" style="346" customWidth="1"/>
    <col min="7" max="7" width="3.28515625" style="346" customWidth="1"/>
    <col min="8" max="8" width="1.7109375" style="346" customWidth="1"/>
    <col min="9" max="9" width="3.28515625" style="346" customWidth="1"/>
    <col min="10" max="10" width="8.5703125" style="346" customWidth="1"/>
    <col min="11" max="11" width="11.7109375" style="346" customWidth="1"/>
    <col min="12" max="12" width="3.28515625" style="346" customWidth="1"/>
    <col min="13" max="13" width="1.7109375" style="346" customWidth="1"/>
    <col min="14" max="14" width="3.28515625" style="346" customWidth="1"/>
    <col min="15" max="15" width="1.7109375" style="346" customWidth="1"/>
    <col min="16" max="16" width="3.28515625" style="346" customWidth="1"/>
    <col min="17" max="17" width="19.28515625" style="346" customWidth="1"/>
    <col min="18" max="18" width="0.85546875" style="346" customWidth="1"/>
    <col min="19" max="19" width="3.42578125" style="346" customWidth="1"/>
    <col min="20" max="20" width="1" style="346" customWidth="1"/>
    <col min="21" max="21" width="0.85546875" style="346" customWidth="1"/>
    <col min="22" max="22" width="7.28515625" style="346" customWidth="1"/>
    <col min="23" max="24" width="18.5703125" style="346" customWidth="1"/>
    <col min="25" max="26" width="11.42578125" style="346"/>
    <col min="27" max="27" width="16.85546875" style="346" bestFit="1" customWidth="1"/>
    <col min="28" max="28" width="1.7109375" style="346" customWidth="1"/>
    <col min="29" max="29" width="3.28515625" style="346" customWidth="1"/>
    <col min="30" max="30" width="1.7109375" style="346" customWidth="1"/>
    <col min="31" max="31" width="3.28515625" style="346" customWidth="1"/>
    <col min="32" max="32" width="11.42578125" style="346"/>
    <col min="33" max="33" width="0.7109375" style="346" customWidth="1"/>
    <col min="34" max="16384" width="11.42578125" style="346"/>
  </cols>
  <sheetData>
    <row r="1" spans="1:33" ht="43.5" customHeight="1">
      <c r="D1" s="375"/>
      <c r="E1" s="1601" t="s">
        <v>715</v>
      </c>
      <c r="F1" s="1601"/>
      <c r="G1" s="1601"/>
      <c r="H1" s="1601"/>
      <c r="I1" s="1601"/>
      <c r="J1" s="1601"/>
      <c r="K1" s="1601"/>
      <c r="L1" s="1601"/>
      <c r="M1" s="1601"/>
      <c r="N1" s="1601"/>
      <c r="O1" s="1601"/>
      <c r="P1" s="1601"/>
      <c r="Q1" s="1601"/>
      <c r="R1" s="1601"/>
      <c r="S1" s="1601"/>
      <c r="T1" s="1601"/>
      <c r="U1" s="1601"/>
      <c r="V1" s="1601"/>
      <c r="W1" s="1601"/>
      <c r="X1" s="1601"/>
      <c r="Y1" s="1601"/>
      <c r="Z1" s="1601"/>
      <c r="AA1" s="1601"/>
      <c r="AB1" s="1601"/>
      <c r="AC1" s="1602" t="s">
        <v>716</v>
      </c>
      <c r="AD1" s="1602"/>
      <c r="AE1" s="1602"/>
      <c r="AF1" s="1602"/>
    </row>
    <row r="2" spans="1:33" s="520" customFormat="1" ht="24.75" customHeight="1">
      <c r="B2" s="520" t="s">
        <v>546</v>
      </c>
      <c r="C2" s="521"/>
      <c r="E2" s="1441" t="str">
        <f>IF(ISBLANK(oLibelleOTP),"",oLibelleOTP)</f>
        <v/>
      </c>
      <c r="F2" s="1441"/>
      <c r="G2" s="1441"/>
      <c r="H2" s="1441"/>
      <c r="I2" s="1441"/>
      <c r="J2" s="1441"/>
      <c r="K2" s="1441"/>
      <c r="L2" s="1441"/>
      <c r="M2" s="1441"/>
      <c r="N2" s="1441"/>
      <c r="O2" s="1441"/>
      <c r="P2" s="1441"/>
      <c r="Q2" s="1441"/>
      <c r="R2" s="361"/>
      <c r="S2" s="522"/>
      <c r="V2" s="523" t="s">
        <v>545</v>
      </c>
      <c r="W2" s="362" t="str">
        <f>IF(ISBLANK(oVille),"",oVille)</f>
        <v/>
      </c>
      <c r="Z2" s="523" t="s">
        <v>443</v>
      </c>
      <c r="AA2" s="362" t="str">
        <f>IF(ISBLANK(oeOTP),"",oeOTP)</f>
        <v/>
      </c>
    </row>
    <row r="3" spans="1:33" ht="3.75" customHeight="1" thickBot="1"/>
    <row r="4" spans="1:33" ht="4.5" customHeight="1">
      <c r="A4" s="376"/>
      <c r="B4" s="377"/>
      <c r="C4" s="378"/>
      <c r="D4" s="377"/>
      <c r="E4" s="379"/>
      <c r="F4" s="377"/>
      <c r="G4" s="377"/>
      <c r="H4" s="377"/>
      <c r="I4" s="377"/>
      <c r="J4" s="377"/>
      <c r="K4" s="377"/>
      <c r="L4" s="377"/>
      <c r="M4" s="377"/>
      <c r="N4" s="377"/>
      <c r="O4" s="377"/>
      <c r="P4" s="377"/>
      <c r="Q4" s="377"/>
      <c r="R4" s="380"/>
      <c r="T4" s="376"/>
      <c r="U4" s="377"/>
      <c r="V4" s="377"/>
      <c r="W4" s="377"/>
      <c r="X4" s="377"/>
      <c r="Y4" s="377"/>
      <c r="Z4" s="377"/>
      <c r="AA4" s="377"/>
      <c r="AB4" s="377"/>
      <c r="AC4" s="377"/>
      <c r="AD4" s="377"/>
      <c r="AE4" s="377"/>
      <c r="AF4" s="377"/>
      <c r="AG4" s="380"/>
    </row>
    <row r="5" spans="1:33">
      <c r="A5" s="381"/>
      <c r="B5" s="1603" t="s">
        <v>517</v>
      </c>
      <c r="C5" s="1604"/>
      <c r="D5" s="1604"/>
      <c r="E5" s="1604"/>
      <c r="F5" s="1604"/>
      <c r="G5" s="1604"/>
      <c r="H5" s="1604"/>
      <c r="I5" s="1604"/>
      <c r="J5" s="1604"/>
      <c r="K5" s="1604"/>
      <c r="L5" s="1604"/>
      <c r="M5" s="1604"/>
      <c r="N5" s="1604"/>
      <c r="O5" s="1604"/>
      <c r="P5" s="1604"/>
      <c r="Q5" s="1605"/>
      <c r="R5" s="382"/>
      <c r="T5" s="381"/>
      <c r="U5" s="383"/>
      <c r="V5" s="1606" t="s">
        <v>717</v>
      </c>
      <c r="W5" s="1606"/>
      <c r="X5" s="1606"/>
      <c r="Y5" s="1606"/>
      <c r="Z5" s="1606"/>
      <c r="AA5" s="1606"/>
      <c r="AB5" s="1606"/>
      <c r="AC5" s="1606"/>
      <c r="AD5" s="1606"/>
      <c r="AE5" s="1606"/>
      <c r="AF5" s="1607"/>
      <c r="AG5" s="382"/>
    </row>
    <row r="6" spans="1:33">
      <c r="A6" s="381"/>
      <c r="B6" s="384"/>
      <c r="C6" s="385" t="s">
        <v>518</v>
      </c>
      <c r="Q6" s="386"/>
      <c r="R6" s="382"/>
      <c r="T6" s="381"/>
      <c r="U6" s="384"/>
      <c r="AF6" s="386"/>
      <c r="AG6" s="382"/>
    </row>
    <row r="7" spans="1:33" ht="4.5" customHeight="1">
      <c r="A7" s="381"/>
      <c r="B7" s="384"/>
      <c r="Q7" s="386"/>
      <c r="R7" s="382"/>
      <c r="T7" s="381"/>
      <c r="U7" s="384"/>
      <c r="AF7" s="386"/>
      <c r="AG7" s="382"/>
    </row>
    <row r="8" spans="1:33" ht="12.75" customHeight="1">
      <c r="A8" s="381"/>
      <c r="B8" s="384"/>
      <c r="C8" s="387" t="s">
        <v>361</v>
      </c>
      <c r="D8" s="346" t="s">
        <v>718</v>
      </c>
      <c r="Q8" s="386"/>
      <c r="R8" s="382"/>
      <c r="T8" s="381"/>
      <c r="U8" s="384"/>
      <c r="V8" s="388" t="s">
        <v>519</v>
      </c>
      <c r="AA8" s="389" t="s">
        <v>719</v>
      </c>
      <c r="AB8" s="390"/>
      <c r="AC8" s="390"/>
      <c r="AD8" s="390"/>
      <c r="AE8" s="390"/>
      <c r="AF8" s="391"/>
      <c r="AG8" s="382"/>
    </row>
    <row r="9" spans="1:33" ht="5.0999999999999996" customHeight="1">
      <c r="A9" s="381"/>
      <c r="B9" s="384"/>
      <c r="C9" s="392"/>
      <c r="Q9" s="386"/>
      <c r="R9" s="382"/>
      <c r="T9" s="381"/>
      <c r="U9" s="384"/>
      <c r="AB9" s="393"/>
      <c r="AC9" s="393"/>
      <c r="AD9" s="393"/>
      <c r="AE9" s="393"/>
      <c r="AF9" s="394"/>
      <c r="AG9" s="382"/>
    </row>
    <row r="10" spans="1:33">
      <c r="A10" s="381"/>
      <c r="B10" s="384"/>
      <c r="C10" s="387" t="s">
        <v>440</v>
      </c>
      <c r="D10" s="346" t="s">
        <v>720</v>
      </c>
      <c r="Q10" s="386"/>
      <c r="R10" s="382"/>
      <c r="T10" s="381"/>
      <c r="U10" s="384"/>
      <c r="V10" s="388" t="s">
        <v>721</v>
      </c>
      <c r="AA10" s="389" t="s">
        <v>719</v>
      </c>
      <c r="AB10" s="390"/>
      <c r="AC10" s="390"/>
      <c r="AD10" s="390"/>
      <c r="AE10" s="390"/>
      <c r="AF10" s="391"/>
      <c r="AG10" s="382"/>
    </row>
    <row r="11" spans="1:33" ht="5.0999999999999996" customHeight="1">
      <c r="A11" s="381"/>
      <c r="B11" s="384"/>
      <c r="C11" s="392"/>
      <c r="Q11" s="386"/>
      <c r="R11" s="382"/>
      <c r="T11" s="381"/>
      <c r="U11" s="384"/>
      <c r="AF11" s="386"/>
      <c r="AG11" s="382"/>
    </row>
    <row r="12" spans="1:33">
      <c r="A12" s="381"/>
      <c r="B12" s="384"/>
      <c r="C12" s="387" t="s">
        <v>419</v>
      </c>
      <c r="D12" s="346" t="s">
        <v>722</v>
      </c>
      <c r="Q12" s="386"/>
      <c r="R12" s="382"/>
      <c r="T12" s="381"/>
      <c r="U12" s="384"/>
      <c r="AF12" s="386"/>
      <c r="AG12" s="382"/>
    </row>
    <row r="13" spans="1:33">
      <c r="A13" s="381"/>
      <c r="B13" s="384"/>
      <c r="Q13" s="386"/>
      <c r="R13" s="382"/>
      <c r="T13" s="381"/>
      <c r="U13" s="384"/>
      <c r="V13" s="1608" t="s">
        <v>723</v>
      </c>
      <c r="W13" s="1608"/>
      <c r="X13" s="1608"/>
      <c r="Y13" s="1608"/>
      <c r="Z13" s="1608"/>
      <c r="AA13" s="1608"/>
      <c r="AB13" s="1608"/>
      <c r="AC13" s="1608"/>
      <c r="AD13" s="1608"/>
      <c r="AE13" s="1608"/>
      <c r="AF13" s="1609"/>
      <c r="AG13" s="382"/>
    </row>
    <row r="14" spans="1:33">
      <c r="A14" s="381"/>
      <c r="B14" s="384"/>
      <c r="E14" s="387" t="s">
        <v>361</v>
      </c>
      <c r="F14" s="392"/>
      <c r="G14" s="387" t="s">
        <v>440</v>
      </c>
      <c r="H14" s="392"/>
      <c r="I14" s="387" t="s">
        <v>419</v>
      </c>
      <c r="J14" s="397"/>
      <c r="K14" s="398" t="s">
        <v>724</v>
      </c>
      <c r="Q14" s="386"/>
      <c r="R14" s="382"/>
      <c r="T14" s="381"/>
      <c r="U14" s="384"/>
      <c r="AF14" s="386"/>
      <c r="AG14" s="382"/>
    </row>
    <row r="15" spans="1:33">
      <c r="A15" s="381"/>
      <c r="B15" s="384"/>
      <c r="Q15" s="386"/>
      <c r="R15" s="382"/>
      <c r="T15" s="381"/>
      <c r="U15" s="384"/>
      <c r="V15" s="399" t="s">
        <v>725</v>
      </c>
      <c r="Z15" s="346" t="s">
        <v>726</v>
      </c>
      <c r="AB15" s="390"/>
      <c r="AC15" s="390"/>
      <c r="AD15" s="390"/>
      <c r="AE15" s="390"/>
      <c r="AF15" s="391"/>
      <c r="AG15" s="382"/>
    </row>
    <row r="16" spans="1:33">
      <c r="A16" s="381"/>
      <c r="B16" s="384"/>
      <c r="C16" s="1610" t="s">
        <v>727</v>
      </c>
      <c r="D16" s="1610"/>
      <c r="E16" s="1610"/>
      <c r="F16" s="1610"/>
      <c r="G16" s="1610"/>
      <c r="H16" s="1610"/>
      <c r="I16" s="1610"/>
      <c r="J16" s="1610"/>
      <c r="K16" s="1610"/>
      <c r="L16" s="1610"/>
      <c r="M16" s="1610"/>
      <c r="N16" s="1610"/>
      <c r="O16" s="1610"/>
      <c r="P16" s="1610"/>
      <c r="Q16" s="1611"/>
      <c r="R16" s="382"/>
      <c r="T16" s="381"/>
      <c r="U16" s="384"/>
      <c r="V16" s="399"/>
      <c r="AF16" s="386"/>
      <c r="AG16" s="382"/>
    </row>
    <row r="17" spans="1:33">
      <c r="A17" s="381"/>
      <c r="B17" s="384"/>
      <c r="C17" s="1620" t="s">
        <v>728</v>
      </c>
      <c r="D17" s="1620"/>
      <c r="E17" s="1620"/>
      <c r="F17" s="1620"/>
      <c r="G17" s="1620"/>
      <c r="H17" s="1620"/>
      <c r="I17" s="1620"/>
      <c r="J17" s="1620"/>
      <c r="K17" s="1620"/>
      <c r="L17" s="1620"/>
      <c r="M17" s="1620"/>
      <c r="N17" s="1620"/>
      <c r="O17" s="1620"/>
      <c r="P17" s="1620"/>
      <c r="Q17" s="1621"/>
      <c r="R17" s="382"/>
      <c r="T17" s="381"/>
      <c r="U17" s="384"/>
      <c r="V17" s="385"/>
      <c r="W17" s="346" t="s">
        <v>729</v>
      </c>
      <c r="Z17" s="346" t="s">
        <v>730</v>
      </c>
      <c r="AA17" s="400" t="s">
        <v>361</v>
      </c>
      <c r="AB17" s="374"/>
      <c r="AC17" s="400" t="s">
        <v>440</v>
      </c>
      <c r="AD17" s="374"/>
      <c r="AE17" s="400" t="s">
        <v>419</v>
      </c>
      <c r="AF17" s="401"/>
      <c r="AG17" s="382"/>
    </row>
    <row r="18" spans="1:33">
      <c r="A18" s="381"/>
      <c r="B18" s="384"/>
      <c r="C18" s="1622" t="s">
        <v>731</v>
      </c>
      <c r="D18" s="1623"/>
      <c r="E18" s="1623"/>
      <c r="F18" s="1623"/>
      <c r="G18" s="1623"/>
      <c r="H18" s="1623"/>
      <c r="I18" s="1623"/>
      <c r="J18" s="1623"/>
      <c r="K18" s="1623"/>
      <c r="L18" s="1623"/>
      <c r="M18" s="1623"/>
      <c r="N18" s="1623"/>
      <c r="O18" s="1623"/>
      <c r="P18" s="1623"/>
      <c r="Q18" s="1624"/>
      <c r="R18" s="382"/>
      <c r="T18" s="381"/>
      <c r="U18" s="384"/>
      <c r="V18" s="385"/>
      <c r="W18" s="346" t="s">
        <v>732</v>
      </c>
      <c r="Z18" s="346" t="s">
        <v>730</v>
      </c>
      <c r="AA18" s="400" t="s">
        <v>361</v>
      </c>
      <c r="AB18" s="374"/>
      <c r="AC18" s="400" t="s">
        <v>440</v>
      </c>
      <c r="AD18" s="374"/>
      <c r="AE18" s="400" t="s">
        <v>419</v>
      </c>
      <c r="AF18" s="401"/>
      <c r="AG18" s="382"/>
    </row>
    <row r="19" spans="1:33">
      <c r="A19" s="381"/>
      <c r="B19" s="402"/>
      <c r="C19" s="1625" t="s">
        <v>733</v>
      </c>
      <c r="D19" s="1625"/>
      <c r="E19" s="1625"/>
      <c r="F19" s="1625"/>
      <c r="G19" s="1625"/>
      <c r="H19" s="1625"/>
      <c r="I19" s="1625"/>
      <c r="J19" s="1625"/>
      <c r="K19" s="1625"/>
      <c r="L19" s="1625"/>
      <c r="M19" s="1625"/>
      <c r="N19" s="1625"/>
      <c r="O19" s="1625"/>
      <c r="P19" s="1625"/>
      <c r="Q19" s="1626"/>
      <c r="R19" s="382"/>
      <c r="T19" s="381"/>
      <c r="U19" s="384"/>
      <c r="V19" s="385"/>
      <c r="W19" s="346" t="s">
        <v>520</v>
      </c>
      <c r="Z19" s="346" t="s">
        <v>730</v>
      </c>
      <c r="AA19" s="400" t="s">
        <v>361</v>
      </c>
      <c r="AB19" s="374"/>
      <c r="AC19" s="400" t="s">
        <v>440</v>
      </c>
      <c r="AD19" s="374"/>
      <c r="AE19" s="400" t="s">
        <v>419</v>
      </c>
      <c r="AF19" s="401"/>
      <c r="AG19" s="382"/>
    </row>
    <row r="20" spans="1:33">
      <c r="A20" s="381"/>
      <c r="R20" s="382"/>
      <c r="T20" s="381"/>
      <c r="U20" s="384"/>
      <c r="V20" s="385"/>
      <c r="W20" s="346" t="s">
        <v>734</v>
      </c>
      <c r="Z20" s="346" t="s">
        <v>730</v>
      </c>
      <c r="AA20" s="400" t="s">
        <v>361</v>
      </c>
      <c r="AB20" s="374"/>
      <c r="AC20" s="400" t="s">
        <v>440</v>
      </c>
      <c r="AD20" s="374"/>
      <c r="AE20" s="400" t="s">
        <v>419</v>
      </c>
      <c r="AF20" s="391"/>
      <c r="AG20" s="382"/>
    </row>
    <row r="21" spans="1:33">
      <c r="A21" s="381"/>
      <c r="B21" s="403" t="s">
        <v>406</v>
      </c>
      <c r="R21" s="382"/>
      <c r="T21" s="381"/>
      <c r="U21" s="384"/>
      <c r="V21" s="385"/>
      <c r="AA21" s="374"/>
      <c r="AB21" s="374"/>
      <c r="AC21" s="374"/>
      <c r="AD21" s="374"/>
      <c r="AE21" s="374"/>
      <c r="AF21" s="386"/>
      <c r="AG21" s="382"/>
    </row>
    <row r="22" spans="1:33" ht="6.75" customHeight="1">
      <c r="A22" s="381"/>
      <c r="B22" s="403"/>
      <c r="R22" s="382"/>
      <c r="T22" s="381"/>
      <c r="U22" s="384"/>
      <c r="V22" s="385"/>
      <c r="AF22" s="386"/>
      <c r="AG22" s="382"/>
    </row>
    <row r="23" spans="1:33">
      <c r="A23" s="381"/>
      <c r="D23" s="346" t="s">
        <v>735</v>
      </c>
      <c r="R23" s="382"/>
      <c r="T23" s="381"/>
      <c r="U23" s="384"/>
      <c r="AF23" s="386"/>
      <c r="AG23" s="382"/>
    </row>
    <row r="24" spans="1:33" ht="18.75" customHeight="1">
      <c r="A24" s="381"/>
      <c r="D24" s="346" t="s">
        <v>736</v>
      </c>
      <c r="R24" s="382"/>
      <c r="T24" s="381"/>
      <c r="U24" s="384"/>
      <c r="V24" s="1608" t="s">
        <v>737</v>
      </c>
      <c r="W24" s="1608"/>
      <c r="X24" s="1608"/>
      <c r="Y24" s="1608"/>
      <c r="Z24" s="1608"/>
      <c r="AA24" s="1608"/>
      <c r="AB24" s="1608"/>
      <c r="AC24" s="1608"/>
      <c r="AD24" s="1608"/>
      <c r="AE24" s="1608"/>
      <c r="AF24" s="1609"/>
      <c r="AG24" s="382"/>
    </row>
    <row r="25" spans="1:33" ht="7.5" customHeight="1">
      <c r="A25" s="381"/>
      <c r="R25" s="382"/>
      <c r="T25" s="381"/>
      <c r="U25" s="384"/>
      <c r="AF25" s="386"/>
      <c r="AG25" s="382"/>
    </row>
    <row r="26" spans="1:33">
      <c r="A26" s="381"/>
      <c r="R26" s="382"/>
      <c r="T26" s="381"/>
      <c r="U26" s="384"/>
      <c r="V26" s="399" t="s">
        <v>725</v>
      </c>
      <c r="AF26" s="386"/>
      <c r="AG26" s="382"/>
    </row>
    <row r="27" spans="1:33">
      <c r="A27" s="381"/>
      <c r="B27" s="1627" t="s">
        <v>738</v>
      </c>
      <c r="C27" s="1606"/>
      <c r="D27" s="1606"/>
      <c r="E27" s="1606"/>
      <c r="F27" s="1606"/>
      <c r="G27" s="1606"/>
      <c r="H27" s="1606"/>
      <c r="I27" s="1606"/>
      <c r="J27" s="1606"/>
      <c r="K27" s="1606"/>
      <c r="L27" s="1606"/>
      <c r="M27" s="1606"/>
      <c r="N27" s="1606"/>
      <c r="O27" s="1606"/>
      <c r="P27" s="1606"/>
      <c r="Q27" s="1607"/>
      <c r="R27" s="382"/>
      <c r="T27" s="381"/>
      <c r="U27" s="384"/>
      <c r="V27" s="385" t="s">
        <v>739</v>
      </c>
      <c r="AA27" s="374"/>
      <c r="AB27" s="374"/>
      <c r="AC27" s="374"/>
      <c r="AD27" s="374"/>
      <c r="AE27" s="374"/>
      <c r="AF27" s="386"/>
      <c r="AG27" s="382"/>
    </row>
    <row r="28" spans="1:33" ht="5.25" customHeight="1">
      <c r="A28" s="381"/>
      <c r="B28" s="384"/>
      <c r="C28" s="385"/>
      <c r="Q28" s="386"/>
      <c r="R28" s="382"/>
      <c r="T28" s="381"/>
      <c r="U28" s="384"/>
      <c r="AF28" s="386"/>
      <c r="AG28" s="382"/>
    </row>
    <row r="29" spans="1:33">
      <c r="A29" s="381"/>
      <c r="B29" s="384"/>
      <c r="C29" s="399" t="s">
        <v>725</v>
      </c>
      <c r="K29" s="346" t="s">
        <v>175</v>
      </c>
      <c r="M29" s="404"/>
      <c r="N29" s="404"/>
      <c r="O29" s="404"/>
      <c r="P29" s="404"/>
      <c r="Q29" s="391"/>
      <c r="R29" s="382"/>
      <c r="T29" s="381"/>
      <c r="U29" s="384"/>
      <c r="W29" s="388" t="s">
        <v>740</v>
      </c>
      <c r="AA29" s="400" t="s">
        <v>361</v>
      </c>
      <c r="AB29" s="374"/>
      <c r="AC29" s="400" t="s">
        <v>440</v>
      </c>
      <c r="AD29" s="374"/>
      <c r="AE29" s="400" t="s">
        <v>419</v>
      </c>
      <c r="AF29" s="401"/>
      <c r="AG29" s="382"/>
    </row>
    <row r="30" spans="1:33">
      <c r="A30" s="381"/>
      <c r="B30" s="384"/>
      <c r="C30" s="385"/>
      <c r="D30" s="346" t="s">
        <v>741</v>
      </c>
      <c r="L30" s="400" t="s">
        <v>361</v>
      </c>
      <c r="M30" s="374"/>
      <c r="N30" s="400" t="s">
        <v>440</v>
      </c>
      <c r="O30" s="374"/>
      <c r="P30" s="400" t="s">
        <v>419</v>
      </c>
      <c r="Q30" s="401"/>
      <c r="R30" s="382"/>
      <c r="T30" s="381"/>
      <c r="U30" s="384"/>
      <c r="W30" s="388" t="s">
        <v>742</v>
      </c>
      <c r="AA30" s="400" t="s">
        <v>361</v>
      </c>
      <c r="AB30" s="374"/>
      <c r="AC30" s="400" t="s">
        <v>440</v>
      </c>
      <c r="AD30" s="374"/>
      <c r="AE30" s="400" t="s">
        <v>419</v>
      </c>
      <c r="AF30" s="401"/>
      <c r="AG30" s="382"/>
    </row>
    <row r="31" spans="1:33">
      <c r="A31" s="381"/>
      <c r="B31" s="384"/>
      <c r="C31" s="385"/>
      <c r="D31" s="346" t="s">
        <v>743</v>
      </c>
      <c r="L31" s="400" t="s">
        <v>361</v>
      </c>
      <c r="M31" s="374"/>
      <c r="N31" s="400" t="s">
        <v>440</v>
      </c>
      <c r="O31" s="374"/>
      <c r="P31" s="400" t="s">
        <v>419</v>
      </c>
      <c r="Q31" s="401"/>
      <c r="R31" s="382"/>
      <c r="T31" s="381"/>
      <c r="U31" s="384"/>
      <c r="V31" s="346" t="s">
        <v>744</v>
      </c>
      <c r="AF31" s="394"/>
      <c r="AG31" s="382"/>
    </row>
    <row r="32" spans="1:33">
      <c r="A32" s="381"/>
      <c r="B32" s="384"/>
      <c r="C32" s="385"/>
      <c r="D32" s="346" t="s">
        <v>745</v>
      </c>
      <c r="L32" s="400" t="s">
        <v>361</v>
      </c>
      <c r="M32" s="374"/>
      <c r="N32" s="400" t="s">
        <v>440</v>
      </c>
      <c r="O32" s="374"/>
      <c r="P32" s="400" t="s">
        <v>419</v>
      </c>
      <c r="Q32" s="401"/>
      <c r="R32" s="382"/>
      <c r="T32" s="381"/>
      <c r="U32" s="384"/>
      <c r="W32" s="388" t="s">
        <v>740</v>
      </c>
      <c r="AA32" s="400" t="s">
        <v>361</v>
      </c>
      <c r="AB32" s="374"/>
      <c r="AC32" s="400" t="s">
        <v>440</v>
      </c>
      <c r="AD32" s="374"/>
      <c r="AE32" s="400" t="s">
        <v>419</v>
      </c>
      <c r="AF32" s="401"/>
      <c r="AG32" s="382"/>
    </row>
    <row r="33" spans="1:33">
      <c r="A33" s="381"/>
      <c r="B33" s="384"/>
      <c r="C33" s="385"/>
      <c r="D33" s="346" t="s">
        <v>746</v>
      </c>
      <c r="L33" s="400" t="s">
        <v>361</v>
      </c>
      <c r="M33" s="374"/>
      <c r="N33" s="400" t="s">
        <v>440</v>
      </c>
      <c r="O33" s="374"/>
      <c r="P33" s="400" t="s">
        <v>419</v>
      </c>
      <c r="Q33" s="401"/>
      <c r="R33" s="382"/>
      <c r="T33" s="381"/>
      <c r="U33" s="384"/>
      <c r="W33" s="388" t="s">
        <v>747</v>
      </c>
      <c r="AA33" s="400" t="s">
        <v>361</v>
      </c>
      <c r="AB33" s="374"/>
      <c r="AC33" s="400" t="s">
        <v>440</v>
      </c>
      <c r="AD33" s="374"/>
      <c r="AE33" s="400" t="s">
        <v>419</v>
      </c>
      <c r="AF33" s="401"/>
      <c r="AG33" s="382"/>
    </row>
    <row r="34" spans="1:33">
      <c r="A34" s="381"/>
      <c r="B34" s="384"/>
      <c r="C34" s="385"/>
      <c r="D34" s="346" t="s">
        <v>176</v>
      </c>
      <c r="L34" s="400" t="s">
        <v>361</v>
      </c>
      <c r="M34" s="374"/>
      <c r="N34" s="400" t="s">
        <v>440</v>
      </c>
      <c r="O34" s="374"/>
      <c r="P34" s="400" t="s">
        <v>419</v>
      </c>
      <c r="Q34" s="401"/>
      <c r="R34" s="382"/>
      <c r="T34" s="381"/>
      <c r="U34" s="384"/>
      <c r="W34" s="388" t="s">
        <v>177</v>
      </c>
      <c r="AA34" s="400" t="s">
        <v>361</v>
      </c>
      <c r="AB34" s="374"/>
      <c r="AC34" s="400" t="s">
        <v>440</v>
      </c>
      <c r="AD34" s="374"/>
      <c r="AE34" s="400" t="s">
        <v>419</v>
      </c>
      <c r="AF34" s="401"/>
      <c r="AG34" s="382"/>
    </row>
    <row r="35" spans="1:33">
      <c r="A35" s="381"/>
      <c r="B35" s="384"/>
      <c r="C35" s="385"/>
      <c r="D35" s="1615" t="s">
        <v>748</v>
      </c>
      <c r="E35" s="1615"/>
      <c r="F35" s="1615"/>
      <c r="G35" s="1615"/>
      <c r="H35" s="1615"/>
      <c r="I35" s="1615"/>
      <c r="J35" s="1615"/>
      <c r="K35" s="1615"/>
      <c r="L35" s="400" t="s">
        <v>361</v>
      </c>
      <c r="M35" s="374"/>
      <c r="N35" s="400" t="s">
        <v>440</v>
      </c>
      <c r="O35" s="374"/>
      <c r="P35" s="400" t="s">
        <v>419</v>
      </c>
      <c r="Q35" s="401"/>
      <c r="R35" s="382"/>
      <c r="T35" s="381"/>
      <c r="AF35" s="393"/>
      <c r="AG35" s="382"/>
    </row>
    <row r="36" spans="1:33">
      <c r="A36" s="381"/>
      <c r="B36" s="384"/>
      <c r="C36" s="385"/>
      <c r="D36" s="1615"/>
      <c r="E36" s="1615"/>
      <c r="F36" s="1615"/>
      <c r="G36" s="1615"/>
      <c r="H36" s="1615"/>
      <c r="I36" s="1615"/>
      <c r="J36" s="1615"/>
      <c r="K36" s="1615"/>
      <c r="L36" s="374"/>
      <c r="M36" s="374"/>
      <c r="N36" s="374"/>
      <c r="O36" s="374"/>
      <c r="P36" s="374"/>
      <c r="Q36" s="386"/>
      <c r="R36" s="382"/>
      <c r="T36" s="381"/>
      <c r="U36" s="383"/>
      <c r="V36" s="1606" t="s">
        <v>749</v>
      </c>
      <c r="W36" s="1606"/>
      <c r="X36" s="1606"/>
      <c r="Y36" s="1606"/>
      <c r="Z36" s="1606"/>
      <c r="AA36" s="1606"/>
      <c r="AB36" s="1606"/>
      <c r="AC36" s="1606"/>
      <c r="AD36" s="1606"/>
      <c r="AE36" s="1606"/>
      <c r="AF36" s="1607"/>
      <c r="AG36" s="382"/>
    </row>
    <row r="37" spans="1:33" ht="6.75" customHeight="1">
      <c r="A37" s="381"/>
      <c r="B37" s="384"/>
      <c r="Q37" s="386"/>
      <c r="R37" s="382"/>
      <c r="T37" s="381"/>
      <c r="U37" s="384"/>
      <c r="AF37" s="386"/>
      <c r="AG37" s="382"/>
    </row>
    <row r="38" spans="1:33">
      <c r="A38" s="381"/>
      <c r="B38" s="1612" t="s">
        <v>750</v>
      </c>
      <c r="C38" s="1608"/>
      <c r="D38" s="1608"/>
      <c r="E38" s="1608"/>
      <c r="F38" s="1608"/>
      <c r="G38" s="1608"/>
      <c r="H38" s="1608"/>
      <c r="I38" s="1608"/>
      <c r="J38" s="1608"/>
      <c r="K38" s="1608"/>
      <c r="L38" s="1608"/>
      <c r="M38" s="1608"/>
      <c r="N38" s="1608"/>
      <c r="O38" s="1608"/>
      <c r="P38" s="1608"/>
      <c r="Q38" s="1609"/>
      <c r="R38" s="382"/>
      <c r="T38" s="381"/>
      <c r="U38" s="384"/>
      <c r="V38" s="1613" t="s">
        <v>751</v>
      </c>
      <c r="W38" s="1613"/>
      <c r="X38" s="1613"/>
      <c r="Y38" s="1613"/>
      <c r="Z38" s="1613"/>
      <c r="AA38" s="1613"/>
      <c r="AB38" s="1613"/>
      <c r="AC38" s="1613"/>
      <c r="AD38" s="1613"/>
      <c r="AE38" s="1613"/>
      <c r="AF38" s="1614"/>
      <c r="AG38" s="382"/>
    </row>
    <row r="39" spans="1:33" ht="3.75" customHeight="1">
      <c r="A39" s="381"/>
      <c r="B39" s="405"/>
      <c r="C39" s="395"/>
      <c r="D39" s="395"/>
      <c r="E39" s="395"/>
      <c r="F39" s="395"/>
      <c r="G39" s="395"/>
      <c r="H39" s="395"/>
      <c r="I39" s="395"/>
      <c r="J39" s="395"/>
      <c r="K39" s="395"/>
      <c r="L39" s="395"/>
      <c r="M39" s="395"/>
      <c r="N39" s="395"/>
      <c r="O39" s="395"/>
      <c r="P39" s="395"/>
      <c r="Q39" s="396"/>
      <c r="R39" s="382"/>
      <c r="T39" s="381"/>
      <c r="U39" s="384"/>
      <c r="V39" s="392"/>
      <c r="W39" s="392"/>
      <c r="X39" s="392"/>
      <c r="Y39" s="392"/>
      <c r="Z39" s="392"/>
      <c r="AA39" s="392"/>
      <c r="AB39" s="392"/>
      <c r="AC39" s="392"/>
      <c r="AD39" s="392"/>
      <c r="AE39" s="392"/>
      <c r="AF39" s="406"/>
      <c r="AG39" s="382"/>
    </row>
    <row r="40" spans="1:33">
      <c r="A40" s="381"/>
      <c r="B40" s="384"/>
      <c r="Q40" s="386"/>
      <c r="R40" s="382"/>
      <c r="T40" s="381"/>
      <c r="U40" s="384"/>
      <c r="V40" s="407" t="s">
        <v>725</v>
      </c>
      <c r="Y40" s="346" t="s">
        <v>752</v>
      </c>
      <c r="AA40" s="390"/>
      <c r="AB40" s="390"/>
      <c r="AC40" s="390"/>
      <c r="AD40" s="390"/>
      <c r="AE40" s="390"/>
      <c r="AF40" s="391"/>
      <c r="AG40" s="382"/>
    </row>
    <row r="41" spans="1:33" ht="4.5" customHeight="1">
      <c r="A41" s="381"/>
      <c r="B41" s="384"/>
      <c r="Q41" s="386"/>
      <c r="R41" s="382"/>
      <c r="T41" s="381"/>
      <c r="U41" s="384"/>
      <c r="V41" s="407"/>
      <c r="AF41" s="394"/>
      <c r="AG41" s="382"/>
    </row>
    <row r="42" spans="1:33">
      <c r="A42" s="381"/>
      <c r="B42" s="384"/>
      <c r="C42" s="399" t="s">
        <v>725</v>
      </c>
      <c r="Q42" s="386"/>
      <c r="R42" s="382"/>
      <c r="T42" s="381"/>
      <c r="U42" s="384"/>
      <c r="W42" s="346" t="s">
        <v>753</v>
      </c>
      <c r="AA42" s="400" t="s">
        <v>361</v>
      </c>
      <c r="AB42" s="374"/>
      <c r="AC42" s="400" t="s">
        <v>440</v>
      </c>
      <c r="AD42" s="374"/>
      <c r="AE42" s="400" t="s">
        <v>419</v>
      </c>
      <c r="AF42" s="401"/>
      <c r="AG42" s="382"/>
    </row>
    <row r="43" spans="1:33">
      <c r="A43" s="381"/>
      <c r="B43" s="384"/>
      <c r="C43" s="385"/>
      <c r="D43" s="346" t="s">
        <v>754</v>
      </c>
      <c r="H43" s="393"/>
      <c r="I43" s="393"/>
      <c r="J43" s="393"/>
      <c r="L43" s="400" t="s">
        <v>361</v>
      </c>
      <c r="M43" s="374"/>
      <c r="N43" s="400" t="s">
        <v>440</v>
      </c>
      <c r="O43" s="374"/>
      <c r="P43" s="400" t="s">
        <v>419</v>
      </c>
      <c r="Q43" s="401"/>
      <c r="R43" s="382"/>
      <c r="T43" s="381"/>
      <c r="U43" s="384"/>
      <c r="W43" s="346" t="s">
        <v>755</v>
      </c>
      <c r="AA43" s="400" t="s">
        <v>361</v>
      </c>
      <c r="AB43" s="374"/>
      <c r="AC43" s="400" t="s">
        <v>440</v>
      </c>
      <c r="AD43" s="374"/>
      <c r="AE43" s="400" t="s">
        <v>419</v>
      </c>
      <c r="AF43" s="401"/>
      <c r="AG43" s="382"/>
    </row>
    <row r="44" spans="1:33">
      <c r="A44" s="381"/>
      <c r="B44" s="384"/>
      <c r="C44" s="385"/>
      <c r="D44" s="1615" t="s">
        <v>756</v>
      </c>
      <c r="E44" s="1615"/>
      <c r="F44" s="1615"/>
      <c r="G44" s="1615"/>
      <c r="H44" s="1615"/>
      <c r="I44" s="1615"/>
      <c r="J44" s="1615"/>
      <c r="K44" s="1615"/>
      <c r="L44" s="400" t="s">
        <v>361</v>
      </c>
      <c r="M44" s="374"/>
      <c r="N44" s="400" t="s">
        <v>440</v>
      </c>
      <c r="O44" s="374"/>
      <c r="P44" s="400" t="s">
        <v>419</v>
      </c>
      <c r="Q44" s="401"/>
      <c r="R44" s="382"/>
      <c r="T44" s="381"/>
      <c r="U44" s="384"/>
      <c r="W44" s="346" t="s">
        <v>757</v>
      </c>
      <c r="AA44" s="400" t="s">
        <v>361</v>
      </c>
      <c r="AB44" s="374"/>
      <c r="AC44" s="400" t="s">
        <v>440</v>
      </c>
      <c r="AD44" s="374"/>
      <c r="AE44" s="400" t="s">
        <v>419</v>
      </c>
      <c r="AF44" s="408"/>
      <c r="AG44" s="382"/>
    </row>
    <row r="45" spans="1:33">
      <c r="A45" s="381"/>
      <c r="B45" s="402"/>
      <c r="C45" s="409"/>
      <c r="D45" s="1616"/>
      <c r="E45" s="1616"/>
      <c r="F45" s="1616"/>
      <c r="G45" s="1616"/>
      <c r="H45" s="1616"/>
      <c r="I45" s="1616"/>
      <c r="J45" s="1616"/>
      <c r="K45" s="1616"/>
      <c r="L45" s="410"/>
      <c r="M45" s="410"/>
      <c r="N45" s="410"/>
      <c r="O45" s="410"/>
      <c r="P45" s="410"/>
      <c r="Q45" s="411"/>
      <c r="R45" s="382"/>
      <c r="T45" s="381"/>
      <c r="U45" s="402"/>
      <c r="V45" s="410"/>
      <c r="W45" s="410"/>
      <c r="X45" s="410"/>
      <c r="Y45" s="410"/>
      <c r="Z45" s="410"/>
      <c r="AA45" s="410"/>
      <c r="AB45" s="410"/>
      <c r="AC45" s="410"/>
      <c r="AD45" s="410"/>
      <c r="AE45" s="410"/>
      <c r="AF45" s="411"/>
      <c r="AG45" s="382"/>
    </row>
    <row r="46" spans="1:33" ht="6" customHeight="1">
      <c r="A46" s="381"/>
      <c r="R46" s="382"/>
      <c r="T46" s="381"/>
      <c r="AG46" s="382"/>
    </row>
    <row r="47" spans="1:33">
      <c r="A47" s="381"/>
      <c r="R47" s="382"/>
      <c r="T47" s="381"/>
      <c r="V47" s="388" t="s">
        <v>758</v>
      </c>
      <c r="Z47" s="389" t="s">
        <v>759</v>
      </c>
      <c r="AA47" s="390"/>
      <c r="AB47" s="390"/>
      <c r="AC47" s="390"/>
      <c r="AD47" s="390"/>
      <c r="AE47" s="390"/>
      <c r="AF47" s="390"/>
      <c r="AG47" s="382"/>
    </row>
    <row r="48" spans="1:33">
      <c r="A48" s="381"/>
      <c r="B48" s="1617" t="s">
        <v>0</v>
      </c>
      <c r="C48" s="1618"/>
      <c r="D48" s="1618"/>
      <c r="E48" s="1618"/>
      <c r="F48" s="1618"/>
      <c r="G48" s="1618"/>
      <c r="H48" s="1618"/>
      <c r="I48" s="1618"/>
      <c r="J48" s="1618"/>
      <c r="K48" s="1618"/>
      <c r="L48" s="1618"/>
      <c r="M48" s="1618"/>
      <c r="N48" s="1618"/>
      <c r="O48" s="1618"/>
      <c r="P48" s="1618"/>
      <c r="Q48" s="1619"/>
      <c r="R48" s="382"/>
      <c r="T48" s="381"/>
      <c r="AG48" s="382"/>
    </row>
    <row r="49" spans="1:33" ht="3.75" customHeight="1">
      <c r="A49" s="381"/>
      <c r="B49" s="412"/>
      <c r="C49" s="403"/>
      <c r="D49" s="403"/>
      <c r="E49" s="403"/>
      <c r="F49" s="403"/>
      <c r="G49" s="403"/>
      <c r="H49" s="403"/>
      <c r="I49" s="403"/>
      <c r="J49" s="403"/>
      <c r="K49" s="403"/>
      <c r="L49" s="403"/>
      <c r="M49" s="403"/>
      <c r="N49" s="403"/>
      <c r="O49" s="403"/>
      <c r="P49" s="403"/>
      <c r="Q49" s="413"/>
      <c r="R49" s="382"/>
      <c r="T49" s="381"/>
      <c r="U49" s="383"/>
      <c r="V49" s="414"/>
      <c r="W49" s="414"/>
      <c r="X49" s="414"/>
      <c r="Y49" s="414"/>
      <c r="Z49" s="414"/>
      <c r="AA49" s="414"/>
      <c r="AB49" s="414"/>
      <c r="AC49" s="414"/>
      <c r="AD49" s="414"/>
      <c r="AE49" s="414"/>
      <c r="AF49" s="415"/>
      <c r="AG49" s="382"/>
    </row>
    <row r="50" spans="1:33">
      <c r="A50" s="381"/>
      <c r="B50" s="384"/>
      <c r="C50" s="385"/>
      <c r="Q50" s="386"/>
      <c r="R50" s="382"/>
      <c r="T50" s="381"/>
      <c r="U50" s="384"/>
      <c r="V50" s="388" t="s">
        <v>1</v>
      </c>
      <c r="AF50" s="386"/>
      <c r="AG50" s="382"/>
    </row>
    <row r="51" spans="1:33">
      <c r="A51" s="381"/>
      <c r="B51" s="384"/>
      <c r="C51" s="385"/>
      <c r="D51" s="346" t="s">
        <v>2</v>
      </c>
      <c r="I51" s="390"/>
      <c r="J51" s="390"/>
      <c r="K51" s="390"/>
      <c r="M51" s="346" t="s">
        <v>516</v>
      </c>
      <c r="P51" s="416"/>
      <c r="Q51" s="386"/>
      <c r="R51" s="382"/>
      <c r="T51" s="381"/>
      <c r="U51" s="384"/>
      <c r="AF51" s="386"/>
      <c r="AG51" s="382"/>
    </row>
    <row r="52" spans="1:33">
      <c r="A52" s="381"/>
      <c r="B52" s="384"/>
      <c r="C52" s="385"/>
      <c r="I52" s="390"/>
      <c r="J52" s="390"/>
      <c r="K52" s="390"/>
      <c r="M52" s="346" t="s">
        <v>516</v>
      </c>
      <c r="P52" s="416"/>
      <c r="Q52" s="386"/>
      <c r="R52" s="382"/>
      <c r="T52" s="381"/>
      <c r="U52" s="384"/>
      <c r="V52" s="346" t="s">
        <v>3</v>
      </c>
      <c r="Y52" s="346" t="s">
        <v>4</v>
      </c>
      <c r="AC52" s="900" t="s">
        <v>814</v>
      </c>
      <c r="AF52" s="386"/>
      <c r="AG52" s="382"/>
    </row>
    <row r="53" spans="1:33">
      <c r="A53" s="381"/>
      <c r="B53" s="384"/>
      <c r="C53" s="385"/>
      <c r="I53" s="390"/>
      <c r="J53" s="390"/>
      <c r="K53" s="390"/>
      <c r="M53" s="346" t="s">
        <v>516</v>
      </c>
      <c r="P53" s="416"/>
      <c r="Q53" s="386"/>
      <c r="R53" s="382"/>
      <c r="T53" s="381"/>
      <c r="U53" s="384"/>
      <c r="AF53" s="386"/>
      <c r="AG53" s="382"/>
    </row>
    <row r="54" spans="1:33">
      <c r="A54" s="381"/>
      <c r="B54" s="384"/>
      <c r="C54" s="385"/>
      <c r="I54" s="390"/>
      <c r="J54" s="390"/>
      <c r="K54" s="390"/>
      <c r="M54" s="346" t="s">
        <v>516</v>
      </c>
      <c r="P54" s="416"/>
      <c r="Q54" s="386"/>
      <c r="R54" s="382"/>
      <c r="T54" s="381"/>
      <c r="U54" s="384"/>
      <c r="Y54" s="346" t="s">
        <v>4</v>
      </c>
      <c r="AC54" s="900" t="s">
        <v>1043</v>
      </c>
      <c r="AF54" s="386"/>
      <c r="AG54" s="382"/>
    </row>
    <row r="55" spans="1:33">
      <c r="A55" s="381"/>
      <c r="B55" s="384"/>
      <c r="C55" s="385"/>
      <c r="I55" s="390"/>
      <c r="J55" s="390"/>
      <c r="K55" s="390"/>
      <c r="M55" s="346" t="s">
        <v>516</v>
      </c>
      <c r="P55" s="416"/>
      <c r="Q55" s="386"/>
      <c r="R55" s="382"/>
      <c r="T55" s="381"/>
      <c r="U55" s="384"/>
      <c r="AF55" s="386"/>
      <c r="AG55" s="382"/>
    </row>
    <row r="56" spans="1:33" ht="6" customHeight="1">
      <c r="A56" s="381"/>
      <c r="B56" s="402"/>
      <c r="C56" s="417"/>
      <c r="D56" s="410"/>
      <c r="E56" s="410"/>
      <c r="F56" s="410"/>
      <c r="G56" s="410"/>
      <c r="H56" s="410"/>
      <c r="I56" s="410"/>
      <c r="J56" s="410"/>
      <c r="K56" s="410"/>
      <c r="L56" s="410"/>
      <c r="M56" s="410"/>
      <c r="N56" s="410"/>
      <c r="O56" s="410"/>
      <c r="P56" s="410"/>
      <c r="Q56" s="411"/>
      <c r="R56" s="382"/>
      <c r="T56" s="381"/>
      <c r="U56" s="402"/>
      <c r="V56" s="410"/>
      <c r="W56" s="410"/>
      <c r="X56" s="410"/>
      <c r="Y56" s="410"/>
      <c r="Z56" s="410"/>
      <c r="AA56" s="410"/>
      <c r="AB56" s="410"/>
      <c r="AC56" s="410"/>
      <c r="AD56" s="410"/>
      <c r="AE56" s="410"/>
      <c r="AF56" s="411"/>
      <c r="AG56" s="382"/>
    </row>
    <row r="57" spans="1:33" ht="5.25" customHeight="1" thickBot="1">
      <c r="A57" s="418"/>
      <c r="B57" s="419"/>
      <c r="C57" s="420"/>
      <c r="D57" s="419"/>
      <c r="E57" s="419"/>
      <c r="F57" s="419"/>
      <c r="G57" s="419"/>
      <c r="H57" s="419"/>
      <c r="I57" s="419"/>
      <c r="J57" s="419"/>
      <c r="K57" s="419"/>
      <c r="L57" s="419"/>
      <c r="M57" s="419"/>
      <c r="N57" s="419"/>
      <c r="O57" s="419"/>
      <c r="P57" s="419"/>
      <c r="Q57" s="419"/>
      <c r="R57" s="421"/>
      <c r="T57" s="418"/>
      <c r="U57" s="419"/>
      <c r="V57" s="419"/>
      <c r="W57" s="419"/>
      <c r="X57" s="419"/>
      <c r="Y57" s="419"/>
      <c r="Z57" s="419"/>
      <c r="AA57" s="419"/>
      <c r="AB57" s="419"/>
      <c r="AC57" s="419"/>
      <c r="AD57" s="419"/>
      <c r="AE57" s="419"/>
      <c r="AF57" s="419"/>
      <c r="AG57" s="421"/>
    </row>
  </sheetData>
  <mergeCells count="18">
    <mergeCell ref="B38:Q38"/>
    <mergeCell ref="V38:AF38"/>
    <mergeCell ref="D44:K45"/>
    <mergeCell ref="B48:Q48"/>
    <mergeCell ref="C17:Q17"/>
    <mergeCell ref="C18:Q18"/>
    <mergeCell ref="C19:Q19"/>
    <mergeCell ref="V24:AF24"/>
    <mergeCell ref="B27:Q27"/>
    <mergeCell ref="D35:K36"/>
    <mergeCell ref="E1:AB1"/>
    <mergeCell ref="AC1:AF1"/>
    <mergeCell ref="B5:Q5"/>
    <mergeCell ref="V5:AF5"/>
    <mergeCell ref="V36:AF36"/>
    <mergeCell ref="V13:AF13"/>
    <mergeCell ref="C16:Q16"/>
    <mergeCell ref="E2:Q2"/>
  </mergeCells>
  <printOptions horizontalCentered="1" verticalCentered="1"/>
  <pageMargins left="0" right="0" top="0" bottom="0.39370078740157483" header="0" footer="0"/>
  <pageSetup paperSize="9" scale="75" orientation="landscape" blackAndWhite="1" r:id="rId1"/>
  <headerFooter alignWithMargins="0">
    <oddFooter>&amp;LEdité le &amp;D&amp;C&amp;P/&amp;N</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Feuil23">
    <tabColor indexed="42"/>
    <pageSetUpPr fitToPage="1"/>
  </sheetPr>
  <dimension ref="A1:H37"/>
  <sheetViews>
    <sheetView showGridLines="0" view="pageBreakPreview" topLeftCell="A25" zoomScaleNormal="100" zoomScaleSheetLayoutView="100" workbookViewId="0">
      <selection activeCell="C36" sqref="C36"/>
    </sheetView>
  </sheetViews>
  <sheetFormatPr baseColWidth="10" defaultColWidth="11.42578125" defaultRowHeight="12.75"/>
  <cols>
    <col min="1" max="1" width="6.7109375" style="31" customWidth="1"/>
    <col min="2" max="2" width="13.85546875" style="31" customWidth="1"/>
    <col min="3" max="3" width="23.7109375" style="31" customWidth="1"/>
    <col min="4" max="4" width="9.28515625" style="31" customWidth="1"/>
    <col min="5" max="5" width="5.28515625" style="31" customWidth="1"/>
    <col min="6" max="7" width="4.7109375" style="31" customWidth="1"/>
    <col min="8" max="8" width="30" style="31" customWidth="1"/>
    <col min="9" max="16384" width="11.42578125" style="31"/>
  </cols>
  <sheetData>
    <row r="1" spans="1:8">
      <c r="C1" s="1636" t="s">
        <v>521</v>
      </c>
      <c r="D1" s="1636"/>
      <c r="E1" s="1636"/>
      <c r="F1" s="1637"/>
      <c r="G1" s="1637"/>
      <c r="H1" s="1633" t="s">
        <v>8</v>
      </c>
    </row>
    <row r="2" spans="1:8">
      <c r="C2" s="1636"/>
      <c r="D2" s="1636"/>
      <c r="E2" s="1636"/>
      <c r="F2" s="1637"/>
      <c r="G2" s="1637"/>
      <c r="H2" s="1633"/>
    </row>
    <row r="3" spans="1:8">
      <c r="C3" s="1637"/>
      <c r="D3" s="1637"/>
      <c r="E3" s="1637"/>
      <c r="F3" s="1637"/>
      <c r="G3" s="1637"/>
      <c r="H3" s="345"/>
    </row>
    <row r="4" spans="1:8" ht="43.5" customHeight="1"/>
    <row r="5" spans="1:8" s="524" customFormat="1">
      <c r="A5" s="273" t="s">
        <v>526</v>
      </c>
      <c r="B5" s="21"/>
      <c r="C5" s="362" t="str">
        <f>IF(ISBLANK(oeOTP),"",oeOTP)</f>
        <v/>
      </c>
      <c r="D5" s="21"/>
      <c r="E5" s="21"/>
      <c r="F5" s="125" t="s">
        <v>545</v>
      </c>
      <c r="G5" s="21"/>
      <c r="H5" s="362" t="str">
        <f>IF(ISBLANK(oVille),"",oVille)</f>
        <v/>
      </c>
    </row>
    <row r="6" spans="1:8" s="524" customFormat="1" ht="12.75" customHeight="1">
      <c r="A6" s="273" t="s">
        <v>546</v>
      </c>
      <c r="B6" s="119"/>
      <c r="C6" s="533" t="str">
        <f>IF(ISBLANK(oLibelleOTP),"",oLibelleOTP)</f>
        <v/>
      </c>
      <c r="D6" s="512"/>
      <c r="E6" s="519"/>
      <c r="F6" s="519"/>
      <c r="G6" s="519"/>
      <c r="H6" s="519"/>
    </row>
    <row r="7" spans="1:8" ht="15.75">
      <c r="A7" s="274" t="s">
        <v>9</v>
      </c>
      <c r="B7" s="275"/>
      <c r="C7" s="275"/>
      <c r="D7" s="275"/>
      <c r="E7" s="275"/>
      <c r="F7" s="275"/>
      <c r="G7" s="275"/>
      <c r="H7" s="275"/>
    </row>
    <row r="9" spans="1:8" ht="68.25">
      <c r="D9" s="1634" t="s">
        <v>10</v>
      </c>
      <c r="E9" s="1635"/>
      <c r="F9" s="276" t="s">
        <v>11</v>
      </c>
      <c r="G9" s="276" t="s">
        <v>12</v>
      </c>
      <c r="H9" s="277" t="s">
        <v>13</v>
      </c>
    </row>
    <row r="10" spans="1:8" ht="15" customHeight="1">
      <c r="A10" s="278" t="s">
        <v>14</v>
      </c>
      <c r="B10" s="279"/>
      <c r="C10" s="280"/>
      <c r="D10" s="1631"/>
      <c r="E10" s="1632"/>
      <c r="F10" s="281"/>
      <c r="G10" s="281"/>
      <c r="H10" s="281"/>
    </row>
    <row r="11" spans="1:8" ht="15" customHeight="1">
      <c r="A11" s="282" t="s">
        <v>15</v>
      </c>
      <c r="B11" s="283"/>
      <c r="C11" s="284"/>
      <c r="D11" s="1631"/>
      <c r="E11" s="1632"/>
      <c r="F11" s="281"/>
      <c r="G11" s="281"/>
      <c r="H11" s="281"/>
    </row>
    <row r="12" spans="1:8" ht="15" customHeight="1">
      <c r="A12" s="285" t="s">
        <v>16</v>
      </c>
      <c r="B12" s="275"/>
      <c r="C12" s="286"/>
      <c r="D12" s="1631"/>
      <c r="E12" s="1632"/>
      <c r="F12" s="281"/>
      <c r="G12" s="281"/>
      <c r="H12" s="281"/>
    </row>
    <row r="13" spans="1:8" ht="15" customHeight="1">
      <c r="A13" s="282" t="s">
        <v>17</v>
      </c>
      <c r="B13" s="283"/>
      <c r="C13" s="284"/>
      <c r="D13" s="1631"/>
      <c r="E13" s="1632"/>
      <c r="F13" s="281"/>
      <c r="G13" s="281"/>
      <c r="H13" s="281"/>
    </row>
    <row r="14" spans="1:8" ht="15" customHeight="1">
      <c r="A14" s="285" t="s">
        <v>18</v>
      </c>
      <c r="B14" s="275"/>
      <c r="C14" s="286"/>
      <c r="D14" s="1631"/>
      <c r="E14" s="1632"/>
      <c r="F14" s="281"/>
      <c r="G14" s="281"/>
      <c r="H14" s="281"/>
    </row>
    <row r="15" spans="1:8" ht="15" customHeight="1">
      <c r="A15" s="282" t="s">
        <v>19</v>
      </c>
      <c r="B15" s="283"/>
      <c r="C15" s="284"/>
      <c r="D15" s="1631"/>
      <c r="E15" s="1632"/>
      <c r="F15" s="281"/>
      <c r="G15" s="281"/>
      <c r="H15" s="281"/>
    </row>
    <row r="17" spans="1:8" ht="15.75">
      <c r="A17" s="274" t="s">
        <v>20</v>
      </c>
      <c r="B17" s="275"/>
      <c r="C17" s="275"/>
      <c r="D17" s="275"/>
      <c r="E17" s="275"/>
      <c r="F17" s="275"/>
      <c r="G17" s="275"/>
      <c r="H17" s="275"/>
    </row>
    <row r="19" spans="1:8" ht="68.25">
      <c r="E19" s="287" t="s">
        <v>21</v>
      </c>
      <c r="F19" s="288" t="s">
        <v>11</v>
      </c>
      <c r="G19" s="288" t="s">
        <v>12</v>
      </c>
      <c r="H19" s="287" t="s">
        <v>13</v>
      </c>
    </row>
    <row r="20" spans="1:8" ht="30" customHeight="1">
      <c r="A20" s="1325" t="s">
        <v>22</v>
      </c>
      <c r="B20" s="1325"/>
      <c r="C20" s="1325"/>
      <c r="D20" s="1325"/>
      <c r="E20" s="281"/>
      <c r="F20" s="281"/>
      <c r="G20" s="281"/>
      <c r="H20" s="281"/>
    </row>
    <row r="21" spans="1:8" ht="30" customHeight="1">
      <c r="A21" s="1325" t="s">
        <v>23</v>
      </c>
      <c r="B21" s="1325"/>
      <c r="C21" s="1325"/>
      <c r="D21" s="1325"/>
      <c r="E21" s="281"/>
      <c r="F21" s="281"/>
      <c r="G21" s="281"/>
      <c r="H21" s="281"/>
    </row>
    <row r="22" spans="1:8" ht="15" customHeight="1">
      <c r="A22" s="1325" t="s">
        <v>24</v>
      </c>
      <c r="B22" s="1325"/>
      <c r="C22" s="1325"/>
      <c r="D22" s="1325"/>
      <c r="E22" s="281"/>
      <c r="F22" s="281"/>
      <c r="G22" s="281"/>
      <c r="H22" s="281"/>
    </row>
    <row r="23" spans="1:8" ht="15" customHeight="1">
      <c r="A23" s="1325" t="s">
        <v>25</v>
      </c>
      <c r="B23" s="1325"/>
      <c r="C23" s="1325"/>
      <c r="D23" s="1325"/>
      <c r="E23" s="281"/>
      <c r="F23" s="281"/>
      <c r="G23" s="281"/>
      <c r="H23" s="281"/>
    </row>
    <row r="24" spans="1:8" ht="15" customHeight="1">
      <c r="A24" s="1628" t="s">
        <v>26</v>
      </c>
      <c r="B24" s="1629"/>
      <c r="C24" s="1629"/>
      <c r="D24" s="1630"/>
      <c r="E24" s="281"/>
      <c r="F24" s="281"/>
      <c r="G24" s="281"/>
      <c r="H24" s="281"/>
    </row>
    <row r="25" spans="1:8" ht="45" customHeight="1">
      <c r="A25" s="1325" t="s">
        <v>27</v>
      </c>
      <c r="B25" s="1325"/>
      <c r="C25" s="1325"/>
      <c r="D25" s="1325"/>
      <c r="E25" s="281"/>
      <c r="F25" s="281"/>
      <c r="G25" s="281"/>
      <c r="H25" s="281"/>
    </row>
    <row r="26" spans="1:8">
      <c r="A26" s="275"/>
      <c r="B26" s="275"/>
      <c r="C26" s="275"/>
      <c r="D26" s="275"/>
      <c r="E26" s="275"/>
      <c r="F26" s="275"/>
      <c r="G26" s="275"/>
      <c r="H26" s="275"/>
    </row>
    <row r="27" spans="1:8" ht="15.75">
      <c r="A27" s="274" t="s">
        <v>28</v>
      </c>
      <c r="B27" s="275"/>
      <c r="C27" s="275"/>
      <c r="D27" s="275"/>
      <c r="E27" s="275"/>
      <c r="F27" s="275"/>
      <c r="G27" s="275"/>
      <c r="H27" s="275"/>
    </row>
    <row r="29" spans="1:8" ht="68.25">
      <c r="E29" s="287" t="s">
        <v>21</v>
      </c>
      <c r="F29" s="288" t="s">
        <v>11</v>
      </c>
      <c r="G29" s="288" t="s">
        <v>12</v>
      </c>
      <c r="H29" s="287" t="s">
        <v>13</v>
      </c>
    </row>
    <row r="30" spans="1:8" ht="15" customHeight="1">
      <c r="A30" s="1325" t="s">
        <v>29</v>
      </c>
      <c r="B30" s="1325"/>
      <c r="C30" s="1325"/>
      <c r="D30" s="1325"/>
      <c r="E30" s="281"/>
      <c r="F30" s="281"/>
      <c r="G30" s="281"/>
      <c r="H30" s="281"/>
    </row>
    <row r="31" spans="1:8" ht="15" customHeight="1">
      <c r="A31" s="1325" t="s">
        <v>30</v>
      </c>
      <c r="B31" s="1325"/>
      <c r="C31" s="1325"/>
      <c r="D31" s="1325"/>
      <c r="E31" s="281"/>
      <c r="F31" s="281"/>
      <c r="G31" s="281"/>
      <c r="H31" s="281"/>
    </row>
    <row r="32" spans="1:8" ht="15" customHeight="1">
      <c r="A32" s="1325" t="s">
        <v>31</v>
      </c>
      <c r="B32" s="1325"/>
      <c r="C32" s="1325"/>
      <c r="D32" s="1325"/>
      <c r="E32" s="281"/>
      <c r="F32" s="281"/>
      <c r="G32" s="281"/>
      <c r="H32" s="281"/>
    </row>
    <row r="33" spans="1:8" ht="15" customHeight="1">
      <c r="A33" s="1325" t="s">
        <v>32</v>
      </c>
      <c r="B33" s="1325"/>
      <c r="C33" s="1325"/>
      <c r="D33" s="1325"/>
      <c r="E33" s="281"/>
      <c r="F33" s="281"/>
      <c r="G33" s="281"/>
      <c r="H33" s="281"/>
    </row>
    <row r="35" spans="1:8" ht="20.100000000000001" customHeight="1">
      <c r="A35" s="31" t="s">
        <v>418</v>
      </c>
      <c r="B35" s="289"/>
      <c r="E35" s="31" t="s">
        <v>34</v>
      </c>
    </row>
    <row r="36" spans="1:8" ht="20.100000000000001" customHeight="1">
      <c r="A36" s="31" t="s">
        <v>33</v>
      </c>
      <c r="C36" s="289"/>
      <c r="E36" s="31" t="s">
        <v>35</v>
      </c>
      <c r="G36" s="290"/>
      <c r="H36" s="290"/>
    </row>
    <row r="37" spans="1:8" ht="20.100000000000001" customHeight="1">
      <c r="G37" s="290"/>
      <c r="H37" s="290"/>
    </row>
  </sheetData>
  <mergeCells count="19">
    <mergeCell ref="H1:H2"/>
    <mergeCell ref="D9:E9"/>
    <mergeCell ref="D10:E10"/>
    <mergeCell ref="D11:E11"/>
    <mergeCell ref="C1:G3"/>
    <mergeCell ref="D12:E12"/>
    <mergeCell ref="D13:E13"/>
    <mergeCell ref="D14:E14"/>
    <mergeCell ref="D15:E15"/>
    <mergeCell ref="A20:D20"/>
    <mergeCell ref="A21:D21"/>
    <mergeCell ref="A22:D22"/>
    <mergeCell ref="A23:D23"/>
    <mergeCell ref="A32:D32"/>
    <mergeCell ref="A33:D33"/>
    <mergeCell ref="A24:D24"/>
    <mergeCell ref="A25:D25"/>
    <mergeCell ref="A30:D30"/>
    <mergeCell ref="A31:D31"/>
  </mergeCells>
  <phoneticPr fontId="12" type="noConversion"/>
  <printOptions horizontalCentered="1" verticalCentered="1"/>
  <pageMargins left="0" right="0" top="0" bottom="0.39370078740157483" header="0" footer="0"/>
  <pageSetup paperSize="9" orientation="portrait" blackAndWhite="1" r:id="rId1"/>
  <headerFooter alignWithMargins="0">
    <oddFooter>&amp;LEdité le &amp;D&amp;C&amp;P/&amp;N</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Feuil83">
    <tabColor rgb="FFCCFFCC"/>
    <pageSetUpPr fitToPage="1"/>
  </sheetPr>
  <dimension ref="A1:U63"/>
  <sheetViews>
    <sheetView view="pageBreakPreview" zoomScaleNormal="100" zoomScaleSheetLayoutView="100" workbookViewId="0">
      <selection activeCell="I9" sqref="I9"/>
    </sheetView>
  </sheetViews>
  <sheetFormatPr baseColWidth="10" defaultColWidth="11.42578125" defaultRowHeight="12.75"/>
  <cols>
    <col min="1" max="1" width="3" style="460" customWidth="1"/>
    <col min="2" max="2" width="5.5703125" style="460" customWidth="1"/>
    <col min="3" max="3" width="5.7109375" style="460" customWidth="1"/>
    <col min="4" max="4" width="5" style="460" customWidth="1"/>
    <col min="5" max="5" width="13.85546875" style="460" customWidth="1"/>
    <col min="6" max="6" width="7.5703125" style="460" customWidth="1"/>
    <col min="7" max="7" width="3.5703125" style="460" customWidth="1"/>
    <col min="8" max="8" width="13.28515625" style="460" customWidth="1"/>
    <col min="9" max="9" width="6.28515625" style="460" customWidth="1"/>
    <col min="10" max="10" width="5.7109375" style="460" customWidth="1"/>
    <col min="11" max="11" width="6" style="460" customWidth="1"/>
    <col min="12" max="12" width="10.28515625" style="460" customWidth="1"/>
    <col min="13" max="13" width="10.7109375" style="460" customWidth="1"/>
    <col min="14" max="14" width="11.28515625" style="460" customWidth="1"/>
    <col min="15" max="15" width="2.5703125" style="460" customWidth="1"/>
    <col min="16" max="16" width="8.28515625" style="460" customWidth="1"/>
    <col min="17" max="16384" width="11.42578125" style="460"/>
  </cols>
  <sheetData>
    <row r="1" spans="1:21" ht="12.75" customHeight="1">
      <c r="B1" s="350"/>
      <c r="D1" s="1638" t="s">
        <v>36</v>
      </c>
      <c r="E1" s="1638"/>
      <c r="F1" s="1638"/>
      <c r="G1" s="1638"/>
      <c r="H1" s="1638"/>
      <c r="I1" s="1638"/>
      <c r="J1" s="1638"/>
      <c r="K1" s="1638"/>
      <c r="L1" s="1638"/>
      <c r="M1" s="1638"/>
      <c r="N1" s="1639" t="s">
        <v>781</v>
      </c>
      <c r="O1" s="1639"/>
      <c r="P1" s="461"/>
    </row>
    <row r="2" spans="1:21" ht="18" customHeight="1">
      <c r="B2" s="350"/>
      <c r="D2" s="1638"/>
      <c r="E2" s="1638"/>
      <c r="F2" s="1638"/>
      <c r="G2" s="1638"/>
      <c r="H2" s="1638"/>
      <c r="I2" s="1638"/>
      <c r="J2" s="1638"/>
      <c r="K2" s="1638"/>
      <c r="L2" s="1638"/>
      <c r="M2" s="1638"/>
      <c r="N2" s="1639"/>
      <c r="O2" s="1639"/>
      <c r="P2" s="461"/>
      <c r="Q2" s="348"/>
      <c r="R2" s="348"/>
      <c r="S2" s="348"/>
      <c r="T2" s="348"/>
      <c r="U2" s="348"/>
    </row>
    <row r="3" spans="1:21" ht="18" customHeight="1">
      <c r="B3" s="350"/>
      <c r="G3" s="350"/>
      <c r="H3" s="350"/>
      <c r="L3" s="350"/>
      <c r="N3" s="461"/>
      <c r="O3" s="461"/>
      <c r="P3" s="461"/>
      <c r="Q3" s="348"/>
      <c r="R3" s="348"/>
      <c r="S3" s="348"/>
      <c r="T3" s="348"/>
      <c r="U3" s="348"/>
    </row>
    <row r="4" spans="1:21" s="341" customFormat="1" ht="27.75" customHeight="1">
      <c r="B4" s="348" t="s">
        <v>526</v>
      </c>
      <c r="C4" s="338"/>
      <c r="E4" s="479" t="str">
        <f>IF(ISBLANK(oeOTP),"",oeOTP)</f>
        <v/>
      </c>
      <c r="K4" s="462" t="s">
        <v>545</v>
      </c>
      <c r="L4" s="531" t="str">
        <f>IF(ISBLANK(oVille),"",oVille)</f>
        <v/>
      </c>
      <c r="M4" s="525"/>
      <c r="N4" s="525"/>
      <c r="O4" s="338"/>
      <c r="P4" s="338"/>
      <c r="Q4" s="348"/>
      <c r="R4" s="348"/>
      <c r="S4" s="348"/>
      <c r="T4" s="348"/>
      <c r="U4" s="348"/>
    </row>
    <row r="5" spans="1:21" s="338" customFormat="1">
      <c r="A5" s="348"/>
      <c r="E5" s="434"/>
      <c r="F5" s="434"/>
      <c r="G5" s="434"/>
      <c r="L5" s="347"/>
    </row>
    <row r="6" spans="1:21" s="338" customFormat="1" ht="26.25" customHeight="1">
      <c r="B6" s="348" t="s">
        <v>546</v>
      </c>
      <c r="E6" s="1643" t="str">
        <f>IF(ISBLANK(oLibelleOTP),"",oLibelleOTP)</f>
        <v/>
      </c>
      <c r="F6" s="1643"/>
      <c r="G6" s="1643"/>
      <c r="H6" s="1643"/>
      <c r="I6" s="1643"/>
      <c r="J6" s="1643"/>
      <c r="K6" s="1643"/>
      <c r="L6" s="1643"/>
      <c r="M6" s="1643"/>
      <c r="N6" s="1643"/>
    </row>
    <row r="7" spans="1:21" ht="20.100000000000001" customHeight="1">
      <c r="B7" s="460" t="s">
        <v>418</v>
      </c>
      <c r="C7" s="1640"/>
      <c r="D7" s="1640"/>
      <c r="E7" s="480"/>
      <c r="H7" s="428" t="s">
        <v>37</v>
      </c>
      <c r="I7" s="481"/>
      <c r="J7" s="482"/>
      <c r="K7" s="482"/>
      <c r="L7" s="483"/>
      <c r="M7" s="480"/>
      <c r="N7" s="428"/>
      <c r="O7" s="428"/>
      <c r="P7" s="428"/>
      <c r="Q7" s="428"/>
      <c r="R7" s="428"/>
      <c r="S7" s="428"/>
      <c r="T7" s="428"/>
      <c r="U7" s="428"/>
    </row>
    <row r="8" spans="1:21" ht="20.100000000000001" customHeight="1">
      <c r="B8" s="460" t="s">
        <v>38</v>
      </c>
      <c r="C8" s="481"/>
      <c r="D8" s="460" t="s">
        <v>39</v>
      </c>
      <c r="E8" s="481"/>
      <c r="F8" s="481"/>
      <c r="G8" s="481"/>
      <c r="H8" s="481"/>
      <c r="I8" s="481"/>
      <c r="J8" s="482"/>
      <c r="K8" s="481"/>
      <c r="L8" s="460" t="s">
        <v>545</v>
      </c>
      <c r="M8" s="481"/>
      <c r="N8" s="482"/>
      <c r="O8" s="428"/>
      <c r="P8" s="428"/>
      <c r="Q8" s="428"/>
      <c r="R8" s="428"/>
      <c r="S8" s="428"/>
      <c r="T8" s="428"/>
      <c r="U8" s="428"/>
    </row>
    <row r="9" spans="1:21" ht="15.95" customHeight="1">
      <c r="E9" s="428"/>
    </row>
    <row r="10" spans="1:21" ht="15.95" customHeight="1">
      <c r="A10" s="428" t="s">
        <v>40</v>
      </c>
      <c r="B10" s="428"/>
      <c r="E10" s="428"/>
    </row>
    <row r="11" spans="1:21">
      <c r="B11" s="480"/>
      <c r="C11" s="480"/>
      <c r="D11" s="480"/>
      <c r="E11" s="484"/>
      <c r="F11" s="480"/>
      <c r="G11" s="480"/>
      <c r="H11" s="480"/>
      <c r="I11" s="480"/>
      <c r="J11" s="480"/>
      <c r="K11" s="480"/>
      <c r="L11" s="480"/>
      <c r="M11" s="485" t="s">
        <v>462</v>
      </c>
    </row>
    <row r="12" spans="1:21" ht="15.95" customHeight="1">
      <c r="B12" s="480"/>
      <c r="C12" s="480" t="s">
        <v>41</v>
      </c>
      <c r="D12" s="480"/>
      <c r="E12" s="480"/>
      <c r="F12" s="480"/>
      <c r="G12" s="480"/>
      <c r="H12" s="480" t="s">
        <v>42</v>
      </c>
      <c r="I12" s="480"/>
      <c r="J12" s="480"/>
      <c r="K12" s="480"/>
      <c r="L12" s="480"/>
      <c r="M12" s="485" t="s">
        <v>43</v>
      </c>
    </row>
    <row r="13" spans="1:21" ht="15.95" customHeight="1">
      <c r="B13" s="486"/>
      <c r="C13" s="480" t="s">
        <v>44</v>
      </c>
      <c r="D13" s="480"/>
      <c r="E13" s="480"/>
      <c r="F13" s="480"/>
      <c r="G13" s="480"/>
      <c r="H13" s="480" t="s">
        <v>45</v>
      </c>
      <c r="I13" s="480"/>
      <c r="J13" s="480"/>
      <c r="K13" s="480"/>
      <c r="L13" s="480"/>
      <c r="M13" s="485" t="s">
        <v>46</v>
      </c>
    </row>
    <row r="14" spans="1:21" ht="15.95" customHeight="1">
      <c r="B14" s="480"/>
      <c r="C14" s="480"/>
      <c r="D14" s="480"/>
      <c r="E14" s="480"/>
      <c r="F14" s="480"/>
      <c r="G14" s="480"/>
      <c r="H14" s="480"/>
      <c r="I14" s="480"/>
      <c r="J14" s="480"/>
      <c r="K14" s="480"/>
      <c r="L14" s="480"/>
      <c r="M14" s="480" t="s">
        <v>47</v>
      </c>
    </row>
    <row r="15" spans="1:21" ht="15.95" customHeight="1">
      <c r="B15" s="480"/>
      <c r="C15" s="480"/>
      <c r="D15" s="480"/>
      <c r="E15" s="480"/>
      <c r="F15" s="480"/>
      <c r="G15" s="480"/>
      <c r="H15" s="480"/>
      <c r="I15" s="480"/>
      <c r="J15" s="480"/>
      <c r="K15" s="480"/>
      <c r="L15" s="480"/>
      <c r="M15" s="480" t="s">
        <v>48</v>
      </c>
    </row>
    <row r="16" spans="1:21" ht="15.95" customHeight="1">
      <c r="A16" s="428" t="s">
        <v>49</v>
      </c>
      <c r="E16" s="428"/>
    </row>
    <row r="17" spans="1:16" ht="7.5" customHeight="1">
      <c r="E17" s="428"/>
    </row>
    <row r="18" spans="1:16" ht="15.95" customHeight="1">
      <c r="B18" s="480"/>
      <c r="C18" s="480" t="s">
        <v>50</v>
      </c>
      <c r="D18" s="480"/>
      <c r="E18" s="480"/>
      <c r="F18" s="480"/>
      <c r="G18" s="480"/>
      <c r="H18" s="480"/>
      <c r="I18" s="480"/>
      <c r="J18" s="480" t="s">
        <v>51</v>
      </c>
      <c r="K18" s="480"/>
      <c r="L18" s="480"/>
      <c r="M18" s="480"/>
      <c r="N18" s="480"/>
    </row>
    <row r="19" spans="1:16" ht="15.95" customHeight="1">
      <c r="B19" s="486"/>
      <c r="C19" s="480" t="s">
        <v>52</v>
      </c>
      <c r="D19" s="480"/>
      <c r="E19" s="480"/>
      <c r="F19" s="480"/>
      <c r="G19" s="480"/>
      <c r="H19" s="480"/>
      <c r="I19" s="486"/>
      <c r="J19" s="480" t="s">
        <v>53</v>
      </c>
      <c r="K19" s="480"/>
      <c r="L19" s="480"/>
      <c r="M19" s="480"/>
      <c r="N19" s="480"/>
    </row>
    <row r="20" spans="1:16" ht="15.95" customHeight="1"/>
    <row r="21" spans="1:16" ht="15.95" customHeight="1">
      <c r="B21" s="460" t="s">
        <v>54</v>
      </c>
      <c r="E21" s="480"/>
      <c r="F21" s="480" t="s">
        <v>515</v>
      </c>
      <c r="G21" s="480"/>
      <c r="H21" s="480" t="s">
        <v>514</v>
      </c>
      <c r="I21" s="480"/>
      <c r="J21" s="480" t="s">
        <v>55</v>
      </c>
      <c r="K21" s="480"/>
      <c r="L21" s="480"/>
      <c r="M21" s="480" t="s">
        <v>515</v>
      </c>
      <c r="N21" s="480" t="s">
        <v>514</v>
      </c>
    </row>
    <row r="22" spans="1:16" ht="15.95" customHeight="1"/>
    <row r="23" spans="1:16" ht="15.95" customHeight="1">
      <c r="A23" s="428" t="s">
        <v>56</v>
      </c>
      <c r="E23" s="428"/>
    </row>
    <row r="24" spans="1:16" ht="7.5" customHeight="1">
      <c r="E24" s="428"/>
    </row>
    <row r="25" spans="1:16" ht="15.95" customHeight="1">
      <c r="A25" s="480"/>
      <c r="B25" s="480"/>
      <c r="C25" s="480" t="s">
        <v>57</v>
      </c>
      <c r="D25" s="480"/>
      <c r="E25" s="480"/>
      <c r="F25" s="480"/>
      <c r="G25" s="480" t="s">
        <v>58</v>
      </c>
      <c r="H25" s="480"/>
      <c r="I25" s="480"/>
      <c r="J25" s="480"/>
      <c r="K25" s="485" t="s">
        <v>59</v>
      </c>
      <c r="L25" s="480"/>
      <c r="M25" s="480"/>
      <c r="N25" s="480"/>
    </row>
    <row r="26" spans="1:16" ht="15.95" customHeight="1">
      <c r="A26" s="480"/>
      <c r="B26" s="486"/>
      <c r="C26" s="480" t="s">
        <v>60</v>
      </c>
      <c r="D26" s="480"/>
      <c r="E26" s="480"/>
      <c r="F26" s="480"/>
      <c r="G26" s="480" t="s">
        <v>61</v>
      </c>
      <c r="H26" s="486"/>
      <c r="I26" s="480"/>
      <c r="J26" s="480"/>
      <c r="K26" s="485" t="s">
        <v>62</v>
      </c>
      <c r="L26" s="480"/>
      <c r="M26" s="480"/>
      <c r="N26" s="480"/>
    </row>
    <row r="27" spans="1:16" ht="15.95" customHeight="1">
      <c r="A27" s="480"/>
      <c r="B27" s="480"/>
      <c r="C27" s="480"/>
      <c r="D27" s="480"/>
      <c r="E27" s="480"/>
      <c r="F27" s="480"/>
      <c r="G27" s="480"/>
      <c r="H27" s="480"/>
      <c r="I27" s="480"/>
      <c r="J27" s="480"/>
      <c r="K27" s="480"/>
      <c r="L27" s="485"/>
      <c r="M27" s="480"/>
      <c r="N27" s="480"/>
    </row>
    <row r="28" spans="1:16" ht="15.95" customHeight="1">
      <c r="A28" s="465"/>
      <c r="B28" s="1641" t="s">
        <v>63</v>
      </c>
      <c r="C28" s="1641"/>
      <c r="D28" s="1641"/>
      <c r="E28" s="1641"/>
      <c r="F28" s="1641"/>
      <c r="G28" s="1641"/>
      <c r="H28" s="1641"/>
      <c r="I28" s="1641"/>
      <c r="J28" s="1641"/>
      <c r="K28" s="1641"/>
      <c r="L28" s="1641"/>
      <c r="M28" s="1641"/>
      <c r="N28" s="1641"/>
      <c r="O28" s="466"/>
    </row>
    <row r="29" spans="1:16" s="461" customFormat="1" ht="15.95" customHeight="1">
      <c r="A29" s="467"/>
      <c r="E29" s="348"/>
      <c r="F29" s="460"/>
      <c r="G29" s="460"/>
      <c r="H29" s="460"/>
      <c r="I29" s="460"/>
      <c r="J29" s="460"/>
      <c r="K29" s="460"/>
      <c r="L29" s="463"/>
      <c r="M29" s="460"/>
      <c r="N29" s="460"/>
      <c r="O29" s="468"/>
      <c r="P29" s="460"/>
    </row>
    <row r="30" spans="1:16" s="461" customFormat="1" ht="15.95" customHeight="1">
      <c r="A30" s="467"/>
      <c r="B30" s="349" t="s">
        <v>64</v>
      </c>
      <c r="I30" s="347"/>
      <c r="J30" s="460"/>
      <c r="K30" s="460"/>
      <c r="L30" s="460"/>
      <c r="M30" s="347"/>
      <c r="N30" s="347"/>
      <c r="O30" s="469"/>
    </row>
    <row r="31" spans="1:16" s="461" customFormat="1" ht="5.25" customHeight="1">
      <c r="A31" s="467"/>
      <c r="B31" s="349"/>
      <c r="I31" s="347"/>
      <c r="J31" s="460"/>
      <c r="K31" s="460"/>
      <c r="L31" s="460"/>
      <c r="M31" s="347"/>
      <c r="N31" s="347"/>
      <c r="O31" s="469"/>
    </row>
    <row r="32" spans="1:16" s="461" customFormat="1">
      <c r="A32" s="467"/>
      <c r="B32" s="1642" t="s">
        <v>65</v>
      </c>
      <c r="C32" s="1642"/>
      <c r="D32" s="1642"/>
      <c r="E32" s="1642"/>
      <c r="G32" s="1642" t="s">
        <v>66</v>
      </c>
      <c r="H32" s="1642"/>
      <c r="I32" s="1642"/>
      <c r="J32" s="1642"/>
      <c r="K32" s="1642"/>
      <c r="L32" s="1642"/>
      <c r="M32" s="1642"/>
      <c r="N32" s="1642"/>
      <c r="O32" s="470"/>
    </row>
    <row r="33" spans="1:15" s="461" customFormat="1" ht="6" customHeight="1">
      <c r="A33" s="467"/>
      <c r="O33" s="470"/>
    </row>
    <row r="34" spans="1:15" s="461" customFormat="1" ht="30" customHeight="1">
      <c r="A34" s="467"/>
      <c r="B34" s="1644" t="s">
        <v>67</v>
      </c>
      <c r="C34" s="1645"/>
      <c r="D34" s="1645"/>
      <c r="E34" s="1646"/>
      <c r="G34" s="1647" t="s">
        <v>68</v>
      </c>
      <c r="H34" s="1648"/>
      <c r="I34" s="1649"/>
      <c r="J34" s="1647" t="s">
        <v>69</v>
      </c>
      <c r="K34" s="1648"/>
      <c r="L34" s="1648"/>
      <c r="M34" s="1647" t="s">
        <v>70</v>
      </c>
      <c r="N34" s="1649"/>
      <c r="O34" s="470"/>
    </row>
    <row r="35" spans="1:15" s="461" customFormat="1">
      <c r="A35" s="467"/>
      <c r="G35" s="487"/>
      <c r="H35" s="487"/>
      <c r="I35" s="487"/>
      <c r="J35" s="487"/>
      <c r="K35" s="487"/>
      <c r="L35" s="487"/>
      <c r="M35" s="487"/>
      <c r="N35" s="487"/>
      <c r="O35" s="470"/>
    </row>
    <row r="36" spans="1:15" s="461" customFormat="1" ht="30" customHeight="1">
      <c r="A36" s="467"/>
      <c r="G36" s="1647" t="s">
        <v>71</v>
      </c>
      <c r="H36" s="1648"/>
      <c r="I36" s="1649"/>
      <c r="J36" s="1647" t="s">
        <v>72</v>
      </c>
      <c r="K36" s="1648"/>
      <c r="L36" s="1648"/>
      <c r="M36" s="1647" t="s">
        <v>73</v>
      </c>
      <c r="N36" s="1649"/>
      <c r="O36" s="470"/>
    </row>
    <row r="37" spans="1:15" s="461" customFormat="1">
      <c r="A37" s="467"/>
      <c r="O37" s="470"/>
    </row>
    <row r="38" spans="1:15" s="461" customFormat="1" ht="30" customHeight="1">
      <c r="A38" s="467"/>
      <c r="B38" s="461" t="s">
        <v>74</v>
      </c>
      <c r="F38" s="1650"/>
      <c r="G38" s="1651"/>
      <c r="H38" s="1651"/>
      <c r="I38" s="1651"/>
      <c r="J38" s="1651"/>
      <c r="K38" s="1651"/>
      <c r="L38" s="1652"/>
      <c r="O38" s="470"/>
    </row>
    <row r="39" spans="1:15" s="461" customFormat="1">
      <c r="A39" s="467"/>
      <c r="O39" s="470"/>
    </row>
    <row r="40" spans="1:15" s="461" customFormat="1">
      <c r="A40" s="467"/>
      <c r="O40" s="470"/>
    </row>
    <row r="41" spans="1:15" s="461" customFormat="1" ht="15">
      <c r="A41" s="467"/>
      <c r="B41" s="349" t="s">
        <v>75</v>
      </c>
      <c r="O41" s="470"/>
    </row>
    <row r="42" spans="1:15" s="461" customFormat="1" ht="5.25" customHeight="1">
      <c r="A42" s="467"/>
      <c r="B42" s="349"/>
      <c r="O42" s="470"/>
    </row>
    <row r="43" spans="1:15" s="461" customFormat="1">
      <c r="A43" s="467"/>
      <c r="B43" s="1642" t="s">
        <v>65</v>
      </c>
      <c r="C43" s="1642"/>
      <c r="D43" s="1642"/>
      <c r="E43" s="1642"/>
      <c r="G43" s="1642" t="s">
        <v>66</v>
      </c>
      <c r="H43" s="1642"/>
      <c r="I43" s="1642"/>
      <c r="J43" s="1642"/>
      <c r="K43" s="1642"/>
      <c r="L43" s="1642"/>
      <c r="M43" s="1642"/>
      <c r="N43" s="1642"/>
      <c r="O43" s="470"/>
    </row>
    <row r="44" spans="1:15" s="461" customFormat="1" ht="6" customHeight="1">
      <c r="A44" s="467"/>
      <c r="O44" s="470"/>
    </row>
    <row r="45" spans="1:15" s="461" customFormat="1" ht="30" customHeight="1">
      <c r="A45" s="467"/>
      <c r="B45" s="1644" t="s">
        <v>67</v>
      </c>
      <c r="C45" s="1645"/>
      <c r="D45" s="1645"/>
      <c r="E45" s="1646"/>
      <c r="G45" s="1647" t="s">
        <v>68</v>
      </c>
      <c r="H45" s="1648"/>
      <c r="I45" s="1649"/>
      <c r="J45" s="1647" t="s">
        <v>69</v>
      </c>
      <c r="K45" s="1648"/>
      <c r="L45" s="1648"/>
      <c r="M45" s="1647" t="s">
        <v>70</v>
      </c>
      <c r="N45" s="1649"/>
      <c r="O45" s="470"/>
    </row>
    <row r="46" spans="1:15" s="461" customFormat="1">
      <c r="A46" s="467"/>
      <c r="G46" s="487"/>
      <c r="H46" s="487"/>
      <c r="I46" s="487"/>
      <c r="J46" s="487"/>
      <c r="K46" s="487"/>
      <c r="L46" s="487"/>
      <c r="M46" s="487"/>
      <c r="N46" s="487"/>
      <c r="O46" s="470"/>
    </row>
    <row r="47" spans="1:15" s="461" customFormat="1" ht="30" customHeight="1">
      <c r="A47" s="467"/>
      <c r="G47" s="1647" t="s">
        <v>71</v>
      </c>
      <c r="H47" s="1648"/>
      <c r="I47" s="1649"/>
      <c r="J47" s="1647" t="s">
        <v>72</v>
      </c>
      <c r="K47" s="1648"/>
      <c r="L47" s="1648"/>
      <c r="M47" s="1647" t="s">
        <v>73</v>
      </c>
      <c r="N47" s="1649"/>
      <c r="O47" s="470"/>
    </row>
    <row r="48" spans="1:15" s="461" customFormat="1">
      <c r="A48" s="467"/>
      <c r="O48" s="470"/>
    </row>
    <row r="49" spans="1:20" s="461" customFormat="1" ht="30" customHeight="1">
      <c r="A49" s="467"/>
      <c r="B49" s="461" t="s">
        <v>74</v>
      </c>
      <c r="F49" s="1650"/>
      <c r="G49" s="1651"/>
      <c r="H49" s="1651"/>
      <c r="I49" s="1651"/>
      <c r="J49" s="1651"/>
      <c r="K49" s="1651"/>
      <c r="L49" s="1652"/>
      <c r="O49" s="470"/>
    </row>
    <row r="50" spans="1:20" s="461" customFormat="1">
      <c r="A50" s="471"/>
      <c r="B50" s="472"/>
      <c r="C50" s="472"/>
      <c r="D50" s="472"/>
      <c r="E50" s="472"/>
      <c r="F50" s="472"/>
      <c r="G50" s="472"/>
      <c r="H50" s="472"/>
      <c r="I50" s="472"/>
      <c r="J50" s="472"/>
      <c r="K50" s="472"/>
      <c r="L50" s="472"/>
      <c r="M50" s="472"/>
      <c r="N50" s="472"/>
      <c r="O50" s="473"/>
    </row>
    <row r="51" spans="1:20" s="461" customFormat="1"/>
    <row r="52" spans="1:20" s="461" customFormat="1"/>
    <row r="53" spans="1:20">
      <c r="A53" s="1654" t="s">
        <v>76</v>
      </c>
      <c r="B53" s="1654"/>
      <c r="C53" s="1654"/>
      <c r="D53" s="1654"/>
      <c r="E53" s="1654"/>
      <c r="F53" s="1654"/>
      <c r="G53" s="1654"/>
      <c r="H53" s="464"/>
      <c r="I53" s="464"/>
      <c r="J53" s="464"/>
      <c r="K53" s="464"/>
      <c r="L53" s="464"/>
      <c r="M53" s="464"/>
      <c r="N53" s="464"/>
      <c r="O53" s="464"/>
      <c r="P53" s="464"/>
    </row>
    <row r="54" spans="1:20" ht="20.100000000000001" customHeight="1">
      <c r="A54" s="1653"/>
      <c r="B54" s="1653"/>
      <c r="C54" s="1653"/>
      <c r="D54" s="1653"/>
      <c r="E54" s="1653"/>
      <c r="F54" s="1653"/>
      <c r="G54" s="1653"/>
      <c r="H54" s="1653"/>
      <c r="I54" s="1653"/>
      <c r="J54" s="1653"/>
      <c r="K54" s="1653"/>
      <c r="L54" s="1653"/>
      <c r="M54" s="1653"/>
      <c r="N54" s="1653"/>
      <c r="O54" s="1653"/>
    </row>
    <row r="55" spans="1:20" ht="20.100000000000001" customHeight="1">
      <c r="A55" s="1653"/>
      <c r="B55" s="1653"/>
      <c r="C55" s="1653"/>
      <c r="D55" s="1653"/>
      <c r="E55" s="1653"/>
      <c r="F55" s="1653"/>
      <c r="G55" s="1653"/>
      <c r="H55" s="1653"/>
      <c r="I55" s="1653"/>
      <c r="J55" s="1653"/>
      <c r="K55" s="1653"/>
      <c r="L55" s="1653"/>
      <c r="M55" s="1653"/>
      <c r="N55" s="1653"/>
      <c r="O55" s="1653"/>
    </row>
    <row r="56" spans="1:20" ht="13.5" thickBot="1">
      <c r="A56" s="488"/>
      <c r="B56" s="488"/>
      <c r="C56" s="488"/>
      <c r="D56" s="488"/>
      <c r="E56" s="488"/>
      <c r="F56" s="488"/>
      <c r="G56" s="488"/>
      <c r="H56" s="488"/>
      <c r="I56" s="488"/>
      <c r="J56" s="480"/>
      <c r="K56" s="480"/>
      <c r="L56" s="489"/>
      <c r="M56" s="489"/>
      <c r="N56" s="489"/>
      <c r="O56" s="489"/>
      <c r="P56" s="474"/>
      <c r="Q56" s="474"/>
      <c r="R56" s="474"/>
      <c r="S56" s="474"/>
      <c r="T56" s="474"/>
    </row>
    <row r="57" spans="1:20" ht="18" customHeight="1">
      <c r="A57" s="475" t="s">
        <v>782</v>
      </c>
      <c r="B57" s="476"/>
      <c r="C57" s="476"/>
      <c r="D57" s="477"/>
      <c r="E57" s="476"/>
      <c r="F57" s="476"/>
      <c r="G57" s="476"/>
      <c r="H57" s="476"/>
      <c r="I57" s="476"/>
      <c r="J57" s="476"/>
      <c r="K57" s="476"/>
      <c r="L57" s="478"/>
      <c r="M57" s="476"/>
      <c r="N57" s="476"/>
      <c r="O57" s="477"/>
    </row>
    <row r="58" spans="1:20">
      <c r="A58" s="490"/>
      <c r="B58" s="480"/>
      <c r="C58" s="480"/>
      <c r="D58" s="480"/>
      <c r="E58" s="480"/>
      <c r="F58" s="480"/>
      <c r="G58" s="480"/>
      <c r="H58" s="480"/>
      <c r="I58" s="480"/>
      <c r="J58" s="480"/>
      <c r="K58" s="480"/>
      <c r="L58" s="480"/>
      <c r="M58" s="480"/>
      <c r="N58" s="480"/>
      <c r="O58" s="491"/>
    </row>
    <row r="59" spans="1:20">
      <c r="A59" s="490"/>
      <c r="B59" s="480"/>
      <c r="C59" s="480"/>
      <c r="D59" s="480"/>
      <c r="E59" s="480"/>
      <c r="F59" s="480"/>
      <c r="G59" s="480"/>
      <c r="H59" s="480"/>
      <c r="I59" s="480"/>
      <c r="J59" s="480"/>
      <c r="K59" s="480"/>
      <c r="L59" s="480"/>
      <c r="M59" s="480"/>
      <c r="N59" s="480"/>
      <c r="O59" s="491"/>
    </row>
    <row r="60" spans="1:20">
      <c r="A60" s="490"/>
      <c r="B60" s="480"/>
      <c r="C60" s="480"/>
      <c r="D60" s="480"/>
      <c r="E60" s="480"/>
      <c r="F60" s="480"/>
      <c r="G60" s="480"/>
      <c r="H60" s="480"/>
      <c r="I60" s="480"/>
      <c r="J60" s="480"/>
      <c r="K60" s="480"/>
      <c r="L60" s="480"/>
      <c r="M60" s="480"/>
      <c r="N60" s="480"/>
      <c r="O60" s="491"/>
    </row>
    <row r="61" spans="1:20">
      <c r="A61" s="490"/>
      <c r="B61" s="480"/>
      <c r="C61" s="480"/>
      <c r="D61" s="480"/>
      <c r="E61" s="480"/>
      <c r="F61" s="480"/>
      <c r="G61" s="480"/>
      <c r="H61" s="480"/>
      <c r="I61" s="480"/>
      <c r="J61" s="480"/>
      <c r="K61" s="480"/>
      <c r="L61" s="480"/>
      <c r="M61" s="480"/>
      <c r="N61" s="480"/>
      <c r="O61" s="491"/>
    </row>
    <row r="62" spans="1:20">
      <c r="A62" s="490"/>
      <c r="B62" s="480"/>
      <c r="C62" s="480"/>
      <c r="D62" s="480"/>
      <c r="E62" s="480"/>
      <c r="F62" s="480"/>
      <c r="G62" s="480"/>
      <c r="H62" s="480"/>
      <c r="I62" s="480"/>
      <c r="J62" s="480"/>
      <c r="K62" s="480"/>
      <c r="L62" s="480"/>
      <c r="M62" s="480"/>
      <c r="N62" s="480"/>
      <c r="O62" s="491"/>
    </row>
    <row r="63" spans="1:20" ht="13.5" thickBot="1">
      <c r="A63" s="492"/>
      <c r="B63" s="493"/>
      <c r="C63" s="493"/>
      <c r="D63" s="493"/>
      <c r="E63" s="493"/>
      <c r="F63" s="493"/>
      <c r="G63" s="493"/>
      <c r="H63" s="493"/>
      <c r="I63" s="493"/>
      <c r="J63" s="493"/>
      <c r="K63" s="493"/>
      <c r="L63" s="493"/>
      <c r="M63" s="493"/>
      <c r="N63" s="493"/>
      <c r="O63" s="494"/>
    </row>
  </sheetData>
  <mergeCells count="28">
    <mergeCell ref="A55:O55"/>
    <mergeCell ref="G47:I47"/>
    <mergeCell ref="J47:L47"/>
    <mergeCell ref="M47:N47"/>
    <mergeCell ref="F49:L49"/>
    <mergeCell ref="A53:G53"/>
    <mergeCell ref="A54:O54"/>
    <mergeCell ref="F38:L38"/>
    <mergeCell ref="B43:E43"/>
    <mergeCell ref="G43:N43"/>
    <mergeCell ref="B45:E45"/>
    <mergeCell ref="G45:I45"/>
    <mergeCell ref="J45:L45"/>
    <mergeCell ref="M45:N45"/>
    <mergeCell ref="B34:E34"/>
    <mergeCell ref="G34:I34"/>
    <mergeCell ref="J34:L34"/>
    <mergeCell ref="M34:N34"/>
    <mergeCell ref="G36:I36"/>
    <mergeCell ref="J36:L36"/>
    <mergeCell ref="M36:N36"/>
    <mergeCell ref="D1:M2"/>
    <mergeCell ref="N1:O2"/>
    <mergeCell ref="C7:D7"/>
    <mergeCell ref="B28:N28"/>
    <mergeCell ref="B32:E32"/>
    <mergeCell ref="G32:N32"/>
    <mergeCell ref="E6:N6"/>
  </mergeCells>
  <pageMargins left="0.70866141732283472" right="0.70866141732283472" top="0.74803149606299213" bottom="0.74803149606299213" header="0.31496062992125984" footer="0.31496062992125984"/>
  <pageSetup paperSize="9" scale="75" orientation="portrait" blackAndWhite="1" verticalDpi="4294967292" r:id="rId1"/>
  <headerFooter>
    <oddFooter>&amp;LEdité le &amp;D&amp;C&amp;P/&amp;N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969" r:id="rId4" name="Check Box 1">
              <controlPr defaultSize="0" autoFill="0" autoLine="0" autoPict="0">
                <anchor moveWithCells="1">
                  <from>
                    <xdr:col>5</xdr:col>
                    <xdr:colOff>495300</xdr:colOff>
                    <xdr:row>11</xdr:row>
                    <xdr:rowOff>0</xdr:rowOff>
                  </from>
                  <to>
                    <xdr:col>7</xdr:col>
                    <xdr:colOff>19050</xdr:colOff>
                    <xdr:row>12</xdr:row>
                    <xdr:rowOff>19050</xdr:rowOff>
                  </to>
                </anchor>
              </controlPr>
            </control>
          </mc:Choice>
        </mc:AlternateContent>
        <mc:AlternateContent xmlns:mc="http://schemas.openxmlformats.org/markup-compatibility/2006">
          <mc:Choice Requires="x14">
            <control shapeId="83970" r:id="rId5" name="Check Box 2">
              <controlPr defaultSize="0" autoFill="0" autoLine="0" autoPict="0">
                <anchor moveWithCells="1">
                  <from>
                    <xdr:col>1</xdr:col>
                    <xdr:colOff>104775</xdr:colOff>
                    <xdr:row>11</xdr:row>
                    <xdr:rowOff>9525</xdr:rowOff>
                  </from>
                  <to>
                    <xdr:col>2</xdr:col>
                    <xdr:colOff>266700</xdr:colOff>
                    <xdr:row>12</xdr:row>
                    <xdr:rowOff>28575</xdr:rowOff>
                  </to>
                </anchor>
              </controlPr>
            </control>
          </mc:Choice>
        </mc:AlternateContent>
        <mc:AlternateContent xmlns:mc="http://schemas.openxmlformats.org/markup-compatibility/2006">
          <mc:Choice Requires="x14">
            <control shapeId="83971" r:id="rId6" name="Check Box 3">
              <controlPr defaultSize="0" autoFill="0" autoLine="0" autoPict="0">
                <anchor moveWithCells="1">
                  <from>
                    <xdr:col>6</xdr:col>
                    <xdr:colOff>19050</xdr:colOff>
                    <xdr:row>20</xdr:row>
                    <xdr:rowOff>19050</xdr:rowOff>
                  </from>
                  <to>
                    <xdr:col>7</xdr:col>
                    <xdr:colOff>9525</xdr:colOff>
                    <xdr:row>21</xdr:row>
                    <xdr:rowOff>9525</xdr:rowOff>
                  </to>
                </anchor>
              </controlPr>
            </control>
          </mc:Choice>
        </mc:AlternateContent>
        <mc:AlternateContent xmlns:mc="http://schemas.openxmlformats.org/markup-compatibility/2006">
          <mc:Choice Requires="x14">
            <control shapeId="83973" r:id="rId7" name="Check Box 5">
              <controlPr defaultSize="0" autoFill="0" autoLine="0" autoPict="0">
                <anchor moveWithCells="1">
                  <from>
                    <xdr:col>5</xdr:col>
                    <xdr:colOff>495300</xdr:colOff>
                    <xdr:row>12</xdr:row>
                    <xdr:rowOff>19050</xdr:rowOff>
                  </from>
                  <to>
                    <xdr:col>7</xdr:col>
                    <xdr:colOff>9525</xdr:colOff>
                    <xdr:row>13</xdr:row>
                    <xdr:rowOff>0</xdr:rowOff>
                  </to>
                </anchor>
              </controlPr>
            </control>
          </mc:Choice>
        </mc:AlternateContent>
        <mc:AlternateContent xmlns:mc="http://schemas.openxmlformats.org/markup-compatibility/2006">
          <mc:Choice Requires="x14">
            <control shapeId="83974" r:id="rId8" name="Check Box 6">
              <controlPr defaultSize="0" autoFill="0" autoLine="0" autoPict="0">
                <anchor moveWithCells="1">
                  <from>
                    <xdr:col>1</xdr:col>
                    <xdr:colOff>104775</xdr:colOff>
                    <xdr:row>12</xdr:row>
                    <xdr:rowOff>28575</xdr:rowOff>
                  </from>
                  <to>
                    <xdr:col>2</xdr:col>
                    <xdr:colOff>266700</xdr:colOff>
                    <xdr:row>12</xdr:row>
                    <xdr:rowOff>190500</xdr:rowOff>
                  </to>
                </anchor>
              </controlPr>
            </control>
          </mc:Choice>
        </mc:AlternateContent>
        <mc:AlternateContent xmlns:mc="http://schemas.openxmlformats.org/markup-compatibility/2006">
          <mc:Choice Requires="x14">
            <control shapeId="83975" r:id="rId9" name="Check Box 7">
              <controlPr defaultSize="0" autoFill="0" autoLine="0" autoPict="0">
                <anchor moveWithCells="1">
                  <from>
                    <xdr:col>11</xdr:col>
                    <xdr:colOff>342900</xdr:colOff>
                    <xdr:row>12</xdr:row>
                    <xdr:rowOff>19050</xdr:rowOff>
                  </from>
                  <to>
                    <xdr:col>11</xdr:col>
                    <xdr:colOff>628650</xdr:colOff>
                    <xdr:row>13</xdr:row>
                    <xdr:rowOff>47625</xdr:rowOff>
                  </to>
                </anchor>
              </controlPr>
            </control>
          </mc:Choice>
        </mc:AlternateContent>
        <mc:AlternateContent xmlns:mc="http://schemas.openxmlformats.org/markup-compatibility/2006">
          <mc:Choice Requires="x14">
            <control shapeId="83976" r:id="rId10" name="Check Box 8">
              <controlPr defaultSize="0" autoFill="0" autoLine="0" autoPict="0">
                <anchor moveWithCells="1">
                  <from>
                    <xdr:col>11</xdr:col>
                    <xdr:colOff>342900</xdr:colOff>
                    <xdr:row>10</xdr:row>
                    <xdr:rowOff>0</xdr:rowOff>
                  </from>
                  <to>
                    <xdr:col>11</xdr:col>
                    <xdr:colOff>628650</xdr:colOff>
                    <xdr:row>11</xdr:row>
                    <xdr:rowOff>57150</xdr:rowOff>
                  </to>
                </anchor>
              </controlPr>
            </control>
          </mc:Choice>
        </mc:AlternateContent>
        <mc:AlternateContent xmlns:mc="http://schemas.openxmlformats.org/markup-compatibility/2006">
          <mc:Choice Requires="x14">
            <control shapeId="83977" r:id="rId11" name="Check Box 9">
              <controlPr defaultSize="0" autoFill="0" autoLine="0" autoPict="0">
                <anchor moveWithCells="1">
                  <from>
                    <xdr:col>11</xdr:col>
                    <xdr:colOff>342900</xdr:colOff>
                    <xdr:row>11</xdr:row>
                    <xdr:rowOff>47625</xdr:rowOff>
                  </from>
                  <to>
                    <xdr:col>11</xdr:col>
                    <xdr:colOff>628650</xdr:colOff>
                    <xdr:row>12</xdr:row>
                    <xdr:rowOff>9525</xdr:rowOff>
                  </to>
                </anchor>
              </controlPr>
            </control>
          </mc:Choice>
        </mc:AlternateContent>
        <mc:AlternateContent xmlns:mc="http://schemas.openxmlformats.org/markup-compatibility/2006">
          <mc:Choice Requires="x14">
            <control shapeId="83978" r:id="rId12" name="Check Box 10">
              <controlPr defaultSize="0" autoFill="0" autoLine="0" autoPict="0">
                <anchor moveWithCells="1">
                  <from>
                    <xdr:col>11</xdr:col>
                    <xdr:colOff>342900</xdr:colOff>
                    <xdr:row>13</xdr:row>
                    <xdr:rowOff>9525</xdr:rowOff>
                  </from>
                  <to>
                    <xdr:col>11</xdr:col>
                    <xdr:colOff>628650</xdr:colOff>
                    <xdr:row>14</xdr:row>
                    <xdr:rowOff>28575</xdr:rowOff>
                  </to>
                </anchor>
              </controlPr>
            </control>
          </mc:Choice>
        </mc:AlternateContent>
        <mc:AlternateContent xmlns:mc="http://schemas.openxmlformats.org/markup-compatibility/2006">
          <mc:Choice Requires="x14">
            <control shapeId="83979" r:id="rId13" name="Check Box 11">
              <controlPr defaultSize="0" autoFill="0" autoLine="0" autoPict="0">
                <anchor moveWithCells="1">
                  <from>
                    <xdr:col>1</xdr:col>
                    <xdr:colOff>133350</xdr:colOff>
                    <xdr:row>17</xdr:row>
                    <xdr:rowOff>19050</xdr:rowOff>
                  </from>
                  <to>
                    <xdr:col>2</xdr:col>
                    <xdr:colOff>295275</xdr:colOff>
                    <xdr:row>18</xdr:row>
                    <xdr:rowOff>38100</xdr:rowOff>
                  </to>
                </anchor>
              </controlPr>
            </control>
          </mc:Choice>
        </mc:AlternateContent>
        <mc:AlternateContent xmlns:mc="http://schemas.openxmlformats.org/markup-compatibility/2006">
          <mc:Choice Requires="x14">
            <control shapeId="83980" r:id="rId14" name="Check Box 12">
              <controlPr defaultSize="0" autoFill="0" autoLine="0" autoPict="0">
                <anchor moveWithCells="1">
                  <from>
                    <xdr:col>1</xdr:col>
                    <xdr:colOff>133350</xdr:colOff>
                    <xdr:row>17</xdr:row>
                    <xdr:rowOff>190500</xdr:rowOff>
                  </from>
                  <to>
                    <xdr:col>2</xdr:col>
                    <xdr:colOff>295275</xdr:colOff>
                    <xdr:row>18</xdr:row>
                    <xdr:rowOff>152400</xdr:rowOff>
                  </to>
                </anchor>
              </controlPr>
            </control>
          </mc:Choice>
        </mc:AlternateContent>
        <mc:AlternateContent xmlns:mc="http://schemas.openxmlformats.org/markup-compatibility/2006">
          <mc:Choice Requires="x14">
            <control shapeId="83981" r:id="rId15" name="Check Box 13">
              <controlPr defaultSize="0" autoFill="0" autoLine="0" autoPict="0">
                <anchor moveWithCells="1">
                  <from>
                    <xdr:col>11</xdr:col>
                    <xdr:colOff>476250</xdr:colOff>
                    <xdr:row>20</xdr:row>
                    <xdr:rowOff>9525</xdr:rowOff>
                  </from>
                  <to>
                    <xdr:col>12</xdr:col>
                    <xdr:colOff>9525</xdr:colOff>
                    <xdr:row>21</xdr:row>
                    <xdr:rowOff>19050</xdr:rowOff>
                  </to>
                </anchor>
              </controlPr>
            </control>
          </mc:Choice>
        </mc:AlternateContent>
        <mc:AlternateContent xmlns:mc="http://schemas.openxmlformats.org/markup-compatibility/2006">
          <mc:Choice Requires="x14">
            <control shapeId="83982" r:id="rId16" name="Check Box 14">
              <controlPr defaultSize="0" autoFill="0" autoLine="0" autoPict="0">
                <anchor moveWithCells="1">
                  <from>
                    <xdr:col>12</xdr:col>
                    <xdr:colOff>457200</xdr:colOff>
                    <xdr:row>20</xdr:row>
                    <xdr:rowOff>38100</xdr:rowOff>
                  </from>
                  <to>
                    <xdr:col>13</xdr:col>
                    <xdr:colOff>9525</xdr:colOff>
                    <xdr:row>21</xdr:row>
                    <xdr:rowOff>0</xdr:rowOff>
                  </to>
                </anchor>
              </controlPr>
            </control>
          </mc:Choice>
        </mc:AlternateContent>
        <mc:AlternateContent xmlns:mc="http://schemas.openxmlformats.org/markup-compatibility/2006">
          <mc:Choice Requires="x14">
            <control shapeId="83983" r:id="rId17" name="Check Box 15">
              <controlPr defaultSize="0" autoFill="0" autoLine="0" autoPict="0">
                <anchor moveWithCells="1">
                  <from>
                    <xdr:col>8</xdr:col>
                    <xdr:colOff>152400</xdr:colOff>
                    <xdr:row>17</xdr:row>
                    <xdr:rowOff>0</xdr:rowOff>
                  </from>
                  <to>
                    <xdr:col>8</xdr:col>
                    <xdr:colOff>400050</xdr:colOff>
                    <xdr:row>18</xdr:row>
                    <xdr:rowOff>38100</xdr:rowOff>
                  </to>
                </anchor>
              </controlPr>
            </control>
          </mc:Choice>
        </mc:AlternateContent>
        <mc:AlternateContent xmlns:mc="http://schemas.openxmlformats.org/markup-compatibility/2006">
          <mc:Choice Requires="x14">
            <control shapeId="83985" r:id="rId18" name="Check Box 17">
              <controlPr defaultSize="0" autoFill="0" autoLine="0" autoPict="0">
                <anchor moveWithCells="1">
                  <from>
                    <xdr:col>8</xdr:col>
                    <xdr:colOff>152400</xdr:colOff>
                    <xdr:row>18</xdr:row>
                    <xdr:rowOff>0</xdr:rowOff>
                  </from>
                  <to>
                    <xdr:col>8</xdr:col>
                    <xdr:colOff>400050</xdr:colOff>
                    <xdr:row>19</xdr:row>
                    <xdr:rowOff>38100</xdr:rowOff>
                  </to>
                </anchor>
              </controlPr>
            </control>
          </mc:Choice>
        </mc:AlternateContent>
        <mc:AlternateContent xmlns:mc="http://schemas.openxmlformats.org/markup-compatibility/2006">
          <mc:Choice Requires="x14">
            <control shapeId="83986" r:id="rId19" name="Check Box 18">
              <controlPr defaultSize="0" autoFill="0" autoLine="0" autoPict="0">
                <anchor moveWithCells="1">
                  <from>
                    <xdr:col>1</xdr:col>
                    <xdr:colOff>161925</xdr:colOff>
                    <xdr:row>24</xdr:row>
                    <xdr:rowOff>9525</xdr:rowOff>
                  </from>
                  <to>
                    <xdr:col>2</xdr:col>
                    <xdr:colOff>76200</xdr:colOff>
                    <xdr:row>25</xdr:row>
                    <xdr:rowOff>9525</xdr:rowOff>
                  </to>
                </anchor>
              </controlPr>
            </control>
          </mc:Choice>
        </mc:AlternateContent>
        <mc:AlternateContent xmlns:mc="http://schemas.openxmlformats.org/markup-compatibility/2006">
          <mc:Choice Requires="x14">
            <control shapeId="83987" r:id="rId20" name="Check Box 19">
              <controlPr defaultSize="0" autoFill="0" autoLine="0" autoPict="0">
                <anchor moveWithCells="1">
                  <from>
                    <xdr:col>5</xdr:col>
                    <xdr:colOff>247650</xdr:colOff>
                    <xdr:row>24</xdr:row>
                    <xdr:rowOff>9525</xdr:rowOff>
                  </from>
                  <to>
                    <xdr:col>5</xdr:col>
                    <xdr:colOff>495300</xdr:colOff>
                    <xdr:row>25</xdr:row>
                    <xdr:rowOff>38100</xdr:rowOff>
                  </to>
                </anchor>
              </controlPr>
            </control>
          </mc:Choice>
        </mc:AlternateContent>
        <mc:AlternateContent xmlns:mc="http://schemas.openxmlformats.org/markup-compatibility/2006">
          <mc:Choice Requires="x14">
            <control shapeId="83988" r:id="rId21" name="Check Box 20">
              <controlPr defaultSize="0" autoFill="0" autoLine="0" autoPict="0">
                <anchor moveWithCells="1">
                  <from>
                    <xdr:col>1</xdr:col>
                    <xdr:colOff>161925</xdr:colOff>
                    <xdr:row>25</xdr:row>
                    <xdr:rowOff>38100</xdr:rowOff>
                  </from>
                  <to>
                    <xdr:col>2</xdr:col>
                    <xdr:colOff>76200</xdr:colOff>
                    <xdr:row>25</xdr:row>
                    <xdr:rowOff>180975</xdr:rowOff>
                  </to>
                </anchor>
              </controlPr>
            </control>
          </mc:Choice>
        </mc:AlternateContent>
        <mc:AlternateContent xmlns:mc="http://schemas.openxmlformats.org/markup-compatibility/2006">
          <mc:Choice Requires="x14">
            <control shapeId="83989" r:id="rId22" name="Check Box 21">
              <controlPr defaultSize="0" autoFill="0" autoLine="0" autoPict="0">
                <anchor moveWithCells="1">
                  <from>
                    <xdr:col>9</xdr:col>
                    <xdr:colOff>133350</xdr:colOff>
                    <xdr:row>24</xdr:row>
                    <xdr:rowOff>0</xdr:rowOff>
                  </from>
                  <to>
                    <xdr:col>10</xdr:col>
                    <xdr:colOff>28575</xdr:colOff>
                    <xdr:row>25</xdr:row>
                    <xdr:rowOff>28575</xdr:rowOff>
                  </to>
                </anchor>
              </controlPr>
            </control>
          </mc:Choice>
        </mc:AlternateContent>
        <mc:AlternateContent xmlns:mc="http://schemas.openxmlformats.org/markup-compatibility/2006">
          <mc:Choice Requires="x14">
            <control shapeId="83990" r:id="rId23" name="Check Box 22">
              <controlPr defaultSize="0" autoFill="0" autoLine="0" autoPict="0">
                <anchor moveWithCells="1">
                  <from>
                    <xdr:col>9</xdr:col>
                    <xdr:colOff>133350</xdr:colOff>
                    <xdr:row>25</xdr:row>
                    <xdr:rowOff>47625</xdr:rowOff>
                  </from>
                  <to>
                    <xdr:col>10</xdr:col>
                    <xdr:colOff>28575</xdr:colOff>
                    <xdr:row>26</xdr:row>
                    <xdr:rowOff>9525</xdr:rowOff>
                  </to>
                </anchor>
              </controlPr>
            </control>
          </mc:Choice>
        </mc:AlternateContent>
        <mc:AlternateContent xmlns:mc="http://schemas.openxmlformats.org/markup-compatibility/2006">
          <mc:Choice Requires="x14">
            <control shapeId="83991" r:id="rId24" name="Check Box 23">
              <controlPr defaultSize="0" autoFill="0" autoLine="0" autoPict="0">
                <anchor moveWithCells="1">
                  <from>
                    <xdr:col>4</xdr:col>
                    <xdr:colOff>704850</xdr:colOff>
                    <xdr:row>20</xdr:row>
                    <xdr:rowOff>0</xdr:rowOff>
                  </from>
                  <to>
                    <xdr:col>5</xdr:col>
                    <xdr:colOff>0</xdr:colOff>
                    <xdr:row>21</xdr:row>
                    <xdr:rowOff>28575</xdr:rowOff>
                  </to>
                </anchor>
              </controlPr>
            </control>
          </mc:Choice>
        </mc:AlternateContent>
        <mc:AlternateContent xmlns:mc="http://schemas.openxmlformats.org/markup-compatibility/2006">
          <mc:Choice Requires="x14">
            <control shapeId="83992" r:id="rId25" name="Check Box 24">
              <controlPr defaultSize="0" autoFill="0" autoLine="0" autoPict="0">
                <anchor moveWithCells="1">
                  <from>
                    <xdr:col>11</xdr:col>
                    <xdr:colOff>342900</xdr:colOff>
                    <xdr:row>14</xdr:row>
                    <xdr:rowOff>19050</xdr:rowOff>
                  </from>
                  <to>
                    <xdr:col>11</xdr:col>
                    <xdr:colOff>628650</xdr:colOff>
                    <xdr:row>15</xdr:row>
                    <xdr:rowOff>47625</xdr:rowOff>
                  </to>
                </anchor>
              </controlPr>
            </control>
          </mc:Choice>
        </mc:AlternateContent>
        <mc:AlternateContent xmlns:mc="http://schemas.openxmlformats.org/markup-compatibility/2006">
          <mc:Choice Requires="x14">
            <control shapeId="83993" r:id="rId26" name="Check Box 25">
              <controlPr defaultSize="0" autoFill="0" autoLine="0" autoPict="0">
                <anchor moveWithCells="1">
                  <from>
                    <xdr:col>5</xdr:col>
                    <xdr:colOff>247650</xdr:colOff>
                    <xdr:row>25</xdr:row>
                    <xdr:rowOff>0</xdr:rowOff>
                  </from>
                  <to>
                    <xdr:col>5</xdr:col>
                    <xdr:colOff>495300</xdr:colOff>
                    <xdr:row>26</xdr:row>
                    <xdr:rowOff>28575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Feuil25">
    <tabColor indexed="42"/>
  </sheetPr>
  <dimension ref="A1:G51"/>
  <sheetViews>
    <sheetView showGridLines="0" view="pageBreakPreview" zoomScaleNormal="100" zoomScaleSheetLayoutView="100" workbookViewId="0">
      <selection activeCell="G18" sqref="G18"/>
    </sheetView>
  </sheetViews>
  <sheetFormatPr baseColWidth="10" defaultColWidth="11.42578125" defaultRowHeight="12.75"/>
  <cols>
    <col min="1" max="1" width="6.7109375" style="31" customWidth="1"/>
    <col min="2" max="2" width="13.85546875" style="31" customWidth="1"/>
    <col min="3" max="3" width="21.28515625" style="31" customWidth="1"/>
    <col min="4" max="4" width="5.28515625" style="31" customWidth="1"/>
    <col min="5" max="6" width="4.7109375" style="31" customWidth="1"/>
    <col min="7" max="7" width="41" style="31" customWidth="1"/>
    <col min="8" max="16384" width="11.42578125" style="31"/>
  </cols>
  <sheetData>
    <row r="1" spans="1:7">
      <c r="C1" s="1336" t="s">
        <v>522</v>
      </c>
      <c r="D1" s="1336"/>
      <c r="E1" s="1336"/>
      <c r="F1" s="1336"/>
      <c r="G1" s="1633" t="s">
        <v>77</v>
      </c>
    </row>
    <row r="2" spans="1:7">
      <c r="C2" s="1336"/>
      <c r="D2" s="1336"/>
      <c r="E2" s="1336"/>
      <c r="F2" s="1336"/>
      <c r="G2" s="1633"/>
    </row>
    <row r="3" spans="1:7">
      <c r="C3" s="1337"/>
      <c r="D3" s="1337"/>
      <c r="E3" s="1337"/>
      <c r="F3" s="1337"/>
      <c r="G3" s="345"/>
    </row>
    <row r="4" spans="1:7" ht="39.75" customHeight="1"/>
    <row r="5" spans="1:7">
      <c r="A5" s="273" t="s">
        <v>526</v>
      </c>
      <c r="B5" s="21"/>
      <c r="C5" s="362" t="str">
        <f>IF(ISBLANK(oeOTP),"",oeOTP)</f>
        <v/>
      </c>
      <c r="D5" s="21"/>
      <c r="E5" s="21"/>
      <c r="F5" s="291" t="s">
        <v>545</v>
      </c>
      <c r="G5" s="362" t="str">
        <f>IF(ISBLANK(oVille),"",oVille)</f>
        <v/>
      </c>
    </row>
    <row r="6" spans="1:7" ht="24" customHeight="1">
      <c r="A6" s="273" t="s">
        <v>546</v>
      </c>
      <c r="B6" s="9"/>
      <c r="C6" s="1441" t="str">
        <f>IF(ISBLANK(oLibelleOTP),"",oLibelleOTP)</f>
        <v/>
      </c>
      <c r="D6" s="1441"/>
      <c r="E6" s="1441"/>
      <c r="F6" s="1441"/>
      <c r="G6" s="1441"/>
    </row>
    <row r="7" spans="1:7" ht="18">
      <c r="A7" s="273"/>
      <c r="B7" s="275"/>
      <c r="C7" s="275"/>
      <c r="D7" s="292"/>
    </row>
    <row r="8" spans="1:7" ht="33.75" customHeight="1">
      <c r="A8" s="1655" t="s">
        <v>78</v>
      </c>
      <c r="B8" s="1655"/>
      <c r="C8" s="1655"/>
      <c r="D8" s="1655"/>
      <c r="E8" s="1655"/>
      <c r="F8" s="1655"/>
      <c r="G8" s="1655"/>
    </row>
    <row r="10" spans="1:7" ht="68.25">
      <c r="D10" s="287" t="s">
        <v>21</v>
      </c>
      <c r="E10" s="288" t="s">
        <v>11</v>
      </c>
      <c r="F10" s="288" t="s">
        <v>12</v>
      </c>
      <c r="G10" s="287" t="s">
        <v>13</v>
      </c>
    </row>
    <row r="11" spans="1:7">
      <c r="A11" s="293" t="s">
        <v>79</v>
      </c>
      <c r="B11" s="294"/>
      <c r="C11" s="295"/>
      <c r="D11" s="287"/>
      <c r="E11" s="288"/>
      <c r="F11" s="288"/>
      <c r="G11" s="287"/>
    </row>
    <row r="12" spans="1:7">
      <c r="A12" s="1325" t="s">
        <v>80</v>
      </c>
      <c r="B12" s="1325"/>
      <c r="C12" s="1325"/>
      <c r="D12" s="281"/>
      <c r="E12" s="281"/>
      <c r="F12" s="281"/>
      <c r="G12" s="281"/>
    </row>
    <row r="13" spans="1:7" ht="25.5" customHeight="1">
      <c r="A13" s="1325" t="s">
        <v>81</v>
      </c>
      <c r="B13" s="1325"/>
      <c r="C13" s="1325"/>
      <c r="D13" s="281"/>
      <c r="E13" s="281"/>
      <c r="F13" s="281"/>
      <c r="G13" s="281"/>
    </row>
    <row r="14" spans="1:7" ht="25.5" customHeight="1">
      <c r="A14" s="1325" t="s">
        <v>82</v>
      </c>
      <c r="B14" s="1325"/>
      <c r="C14" s="1325"/>
      <c r="D14" s="281"/>
      <c r="E14" s="281"/>
      <c r="F14" s="281"/>
      <c r="G14" s="281"/>
    </row>
    <row r="15" spans="1:7" ht="39" customHeight="1">
      <c r="A15" s="1325" t="s">
        <v>83</v>
      </c>
      <c r="B15" s="1325"/>
      <c r="C15" s="1325"/>
      <c r="D15" s="281"/>
      <c r="E15" s="281"/>
      <c r="F15" s="281"/>
      <c r="G15" s="281"/>
    </row>
    <row r="16" spans="1:7" ht="38.25" customHeight="1">
      <c r="A16" s="1325" t="s">
        <v>84</v>
      </c>
      <c r="B16" s="1325"/>
      <c r="C16" s="1325"/>
      <c r="D16" s="281"/>
      <c r="E16" s="281"/>
      <c r="F16" s="281"/>
      <c r="G16" s="281"/>
    </row>
    <row r="17" spans="1:7" ht="63.75" customHeight="1">
      <c r="A17" s="1325" t="s">
        <v>85</v>
      </c>
      <c r="B17" s="1325"/>
      <c r="C17" s="1325"/>
      <c r="D17" s="281"/>
      <c r="E17" s="281"/>
      <c r="F17" s="281"/>
      <c r="G17" s="281"/>
    </row>
    <row r="18" spans="1:7" ht="38.25" customHeight="1">
      <c r="A18" s="1325" t="s">
        <v>86</v>
      </c>
      <c r="B18" s="1325"/>
      <c r="C18" s="1325"/>
      <c r="D18" s="281"/>
      <c r="E18" s="281"/>
      <c r="F18" s="281"/>
      <c r="G18" s="281"/>
    </row>
    <row r="19" spans="1:7" ht="31.5" customHeight="1">
      <c r="A19" s="1325" t="s">
        <v>87</v>
      </c>
      <c r="B19" s="1325"/>
      <c r="C19" s="1325"/>
      <c r="D19" s="281"/>
      <c r="E19" s="281"/>
      <c r="F19" s="281"/>
      <c r="G19" s="281"/>
    </row>
    <row r="20" spans="1:7" ht="25.5" customHeight="1">
      <c r="A20" s="1325" t="s">
        <v>88</v>
      </c>
      <c r="B20" s="1325"/>
      <c r="C20" s="1325"/>
      <c r="D20" s="281"/>
      <c r="E20" s="281"/>
      <c r="F20" s="281"/>
      <c r="G20" s="281"/>
    </row>
    <row r="21" spans="1:7">
      <c r="A21" s="1628" t="s">
        <v>89</v>
      </c>
      <c r="B21" s="1629"/>
      <c r="C21" s="1630"/>
      <c r="D21" s="281"/>
      <c r="E21" s="281"/>
      <c r="F21" s="281"/>
      <c r="G21" s="281"/>
    </row>
    <row r="22" spans="1:7">
      <c r="A22" s="1325" t="s">
        <v>90</v>
      </c>
      <c r="B22" s="1325"/>
      <c r="C22" s="1325"/>
      <c r="D22" s="281"/>
      <c r="E22" s="281"/>
      <c r="F22" s="281"/>
      <c r="G22" s="281"/>
    </row>
    <row r="23" spans="1:7" ht="39" customHeight="1">
      <c r="A23" s="1325" t="s">
        <v>91</v>
      </c>
      <c r="B23" s="1325"/>
      <c r="C23" s="1325"/>
      <c r="D23" s="281"/>
      <c r="E23" s="281"/>
      <c r="F23" s="281"/>
      <c r="G23" s="281"/>
    </row>
    <row r="24" spans="1:7" ht="27" customHeight="1">
      <c r="A24" s="1628" t="s">
        <v>92</v>
      </c>
      <c r="B24" s="1629"/>
      <c r="C24" s="1630"/>
      <c r="D24" s="281"/>
      <c r="E24" s="281"/>
      <c r="F24" s="281"/>
      <c r="G24" s="281"/>
    </row>
    <row r="25" spans="1:7" ht="24.75" customHeight="1">
      <c r="A25" s="1628" t="s">
        <v>93</v>
      </c>
      <c r="B25" s="1629"/>
      <c r="C25" s="1630"/>
      <c r="D25" s="281"/>
      <c r="E25" s="281"/>
      <c r="F25" s="281"/>
      <c r="G25" s="281"/>
    </row>
    <row r="26" spans="1:7">
      <c r="A26" s="1628" t="s">
        <v>94</v>
      </c>
      <c r="B26" s="1629"/>
      <c r="C26" s="1630"/>
      <c r="D26" s="281"/>
      <c r="E26" s="281"/>
      <c r="F26" s="281"/>
      <c r="G26" s="281"/>
    </row>
    <row r="27" spans="1:7">
      <c r="A27" s="1628" t="s">
        <v>95</v>
      </c>
      <c r="B27" s="1629"/>
      <c r="C27" s="1630"/>
      <c r="D27" s="281"/>
      <c r="E27" s="281"/>
      <c r="F27" s="281"/>
      <c r="G27" s="281"/>
    </row>
    <row r="28" spans="1:7">
      <c r="A28" s="1628" t="s">
        <v>96</v>
      </c>
      <c r="B28" s="1629"/>
      <c r="C28" s="1630"/>
      <c r="D28" s="281"/>
      <c r="E28" s="281"/>
      <c r="F28" s="281"/>
      <c r="G28" s="281"/>
    </row>
    <row r="29" spans="1:7">
      <c r="A29" s="1325" t="s">
        <v>97</v>
      </c>
      <c r="B29" s="1325"/>
      <c r="C29" s="1325"/>
      <c r="D29" s="281"/>
      <c r="E29" s="281"/>
      <c r="F29" s="281"/>
      <c r="G29" s="281"/>
    </row>
    <row r="30" spans="1:7">
      <c r="A30" s="296"/>
      <c r="B30" s="296"/>
      <c r="C30" s="296"/>
      <c r="D30" s="297"/>
      <c r="E30" s="297"/>
      <c r="F30" s="297"/>
      <c r="G30" s="297"/>
    </row>
    <row r="31" spans="1:7">
      <c r="A31" s="275"/>
      <c r="B31" s="275"/>
      <c r="C31" s="275"/>
      <c r="D31" s="275"/>
      <c r="E31" s="275"/>
      <c r="F31" s="275"/>
      <c r="G31" s="275"/>
    </row>
    <row r="32" spans="1:7" ht="40.5" customHeight="1">
      <c r="A32" s="275"/>
      <c r="B32" s="275"/>
      <c r="C32" s="275"/>
      <c r="D32" s="275"/>
      <c r="E32" s="275"/>
      <c r="F32" s="275"/>
      <c r="G32" s="275"/>
    </row>
    <row r="33" spans="1:7">
      <c r="A33" s="275"/>
      <c r="B33" s="275"/>
      <c r="C33" s="275"/>
      <c r="D33" s="275"/>
      <c r="E33" s="275"/>
      <c r="F33" s="275"/>
      <c r="G33" s="275"/>
    </row>
    <row r="34" spans="1:7" ht="15.75">
      <c r="A34" s="274" t="s">
        <v>98</v>
      </c>
      <c r="B34" s="275"/>
      <c r="C34" s="275"/>
      <c r="D34" s="275"/>
      <c r="E34" s="275"/>
      <c r="F34" s="275"/>
      <c r="G34" s="275"/>
    </row>
    <row r="36" spans="1:7" ht="68.25">
      <c r="D36" s="277" t="s">
        <v>21</v>
      </c>
      <c r="E36" s="276" t="s">
        <v>11</v>
      </c>
      <c r="F36" s="276" t="s">
        <v>12</v>
      </c>
      <c r="G36" s="277" t="s">
        <v>13</v>
      </c>
    </row>
    <row r="37" spans="1:7">
      <c r="A37" s="282" t="s">
        <v>99</v>
      </c>
      <c r="B37" s="283"/>
      <c r="C37" s="284"/>
      <c r="D37" s="298"/>
      <c r="E37" s="298"/>
      <c r="F37" s="298"/>
      <c r="G37" s="298"/>
    </row>
    <row r="38" spans="1:7">
      <c r="A38" s="282" t="s">
        <v>100</v>
      </c>
      <c r="B38" s="283"/>
      <c r="C38" s="284"/>
      <c r="D38" s="298"/>
      <c r="E38" s="298"/>
      <c r="F38" s="298"/>
      <c r="G38" s="298"/>
    </row>
    <row r="39" spans="1:7">
      <c r="A39" s="282" t="s">
        <v>101</v>
      </c>
      <c r="B39" s="283"/>
      <c r="C39" s="284"/>
      <c r="D39" s="298"/>
      <c r="E39" s="298"/>
      <c r="F39" s="298"/>
      <c r="G39" s="298"/>
    </row>
    <row r="40" spans="1:7">
      <c r="A40" s="275"/>
      <c r="B40" s="275"/>
      <c r="C40" s="275"/>
      <c r="D40" s="275"/>
      <c r="E40" s="275"/>
      <c r="F40" s="275"/>
      <c r="G40" s="275"/>
    </row>
    <row r="41" spans="1:7">
      <c r="A41" s="275"/>
      <c r="B41" s="275"/>
      <c r="C41" s="275"/>
      <c r="D41" s="275"/>
      <c r="E41" s="275"/>
      <c r="F41" s="275"/>
      <c r="G41" s="275"/>
    </row>
    <row r="42" spans="1:7" ht="15.75">
      <c r="A42" s="274" t="s">
        <v>102</v>
      </c>
      <c r="B42" s="275"/>
      <c r="C42" s="275"/>
      <c r="D42" s="275"/>
      <c r="E42" s="275"/>
      <c r="F42" s="275"/>
      <c r="G42" s="275"/>
    </row>
    <row r="44" spans="1:7" ht="68.25">
      <c r="D44" s="287" t="s">
        <v>21</v>
      </c>
      <c r="E44" s="288" t="s">
        <v>11</v>
      </c>
      <c r="F44" s="288" t="s">
        <v>12</v>
      </c>
      <c r="G44" s="287" t="s">
        <v>13</v>
      </c>
    </row>
    <row r="45" spans="1:7" ht="51" customHeight="1">
      <c r="A45" s="1325" t="s">
        <v>549</v>
      </c>
      <c r="B45" s="1325"/>
      <c r="C45" s="1325"/>
      <c r="D45" s="281"/>
      <c r="E45" s="281"/>
      <c r="F45" s="281"/>
      <c r="G45" s="281"/>
    </row>
    <row r="46" spans="1:7">
      <c r="A46" s="1325" t="s">
        <v>550</v>
      </c>
      <c r="B46" s="1325"/>
      <c r="C46" s="1325"/>
      <c r="D46" s="281"/>
      <c r="E46" s="281"/>
      <c r="F46" s="281"/>
      <c r="G46" s="281"/>
    </row>
    <row r="47" spans="1:7" ht="26.25" customHeight="1">
      <c r="A47" s="1325" t="s">
        <v>551</v>
      </c>
      <c r="B47" s="1325"/>
      <c r="C47" s="1325"/>
      <c r="D47" s="281"/>
      <c r="E47" s="281"/>
      <c r="F47" s="281"/>
      <c r="G47" s="281"/>
    </row>
    <row r="48" spans="1:7" ht="39.75" customHeight="1">
      <c r="A48" s="1628" t="s">
        <v>552</v>
      </c>
      <c r="B48" s="1629"/>
      <c r="C48" s="1630"/>
      <c r="D48" s="281"/>
      <c r="E48" s="281"/>
      <c r="F48" s="281"/>
      <c r="G48" s="281"/>
    </row>
    <row r="49" spans="1:7">
      <c r="A49" s="1628" t="s">
        <v>553</v>
      </c>
      <c r="B49" s="1629"/>
      <c r="C49" s="1630"/>
      <c r="D49" s="281"/>
      <c r="E49" s="281"/>
      <c r="F49" s="281"/>
      <c r="G49" s="281"/>
    </row>
    <row r="50" spans="1:7" ht="30.75" customHeight="1">
      <c r="A50" s="1628" t="s">
        <v>554</v>
      </c>
      <c r="B50" s="1629"/>
      <c r="C50" s="1630"/>
      <c r="D50" s="281"/>
      <c r="E50" s="281"/>
      <c r="F50" s="281"/>
      <c r="G50" s="281"/>
    </row>
    <row r="51" spans="1:7">
      <c r="A51" s="1325" t="s">
        <v>555</v>
      </c>
      <c r="B51" s="1325"/>
      <c r="C51" s="1325"/>
      <c r="D51" s="281"/>
      <c r="E51" s="281"/>
      <c r="F51" s="281"/>
      <c r="G51" s="281"/>
    </row>
  </sheetData>
  <mergeCells count="29">
    <mergeCell ref="A14:C14"/>
    <mergeCell ref="A50:C50"/>
    <mergeCell ref="A20:C20"/>
    <mergeCell ref="A21:C21"/>
    <mergeCell ref="A22:C22"/>
    <mergeCell ref="A23:C23"/>
    <mergeCell ref="A28:C28"/>
    <mergeCell ref="A19:C19"/>
    <mergeCell ref="A29:C29"/>
    <mergeCell ref="A49:C49"/>
    <mergeCell ref="A27:C27"/>
    <mergeCell ref="A15:C15"/>
    <mergeCell ref="A16:C16"/>
    <mergeCell ref="A17:C17"/>
    <mergeCell ref="A18:C18"/>
    <mergeCell ref="A24:C24"/>
    <mergeCell ref="G1:G2"/>
    <mergeCell ref="A8:G8"/>
    <mergeCell ref="A12:C12"/>
    <mergeCell ref="A13:C13"/>
    <mergeCell ref="C1:F3"/>
    <mergeCell ref="C6:G6"/>
    <mergeCell ref="A25:C25"/>
    <mergeCell ref="A51:C51"/>
    <mergeCell ref="A45:C45"/>
    <mergeCell ref="A46:C46"/>
    <mergeCell ref="A47:C47"/>
    <mergeCell ref="A48:C48"/>
    <mergeCell ref="A26:C26"/>
  </mergeCells>
  <phoneticPr fontId="12" type="noConversion"/>
  <printOptions horizontalCentered="1" verticalCentered="1"/>
  <pageMargins left="0" right="0" top="0" bottom="0.39370078740157483" header="0" footer="0"/>
  <pageSetup paperSize="9" scale="92" fitToHeight="2" orientation="portrait" blackAndWhite="1" r:id="rId1"/>
  <headerFooter alignWithMargins="0">
    <oddFooter>&amp;LEdité le &amp;D&amp;C&amp;P/&amp;N</oddFooter>
  </headerFooter>
  <rowBreaks count="1" manualBreakCount="1">
    <brk id="33" max="7" man="1"/>
  </rowBreaks>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Feuil27">
    <tabColor indexed="42"/>
    <pageSetUpPr fitToPage="1"/>
  </sheetPr>
  <dimension ref="A1:AN89"/>
  <sheetViews>
    <sheetView showGridLines="0" view="pageBreakPreview" zoomScale="115" zoomScaleNormal="100" zoomScaleSheetLayoutView="115" workbookViewId="0">
      <selection activeCell="D43" sqref="D43"/>
    </sheetView>
  </sheetViews>
  <sheetFormatPr baseColWidth="10" defaultRowHeight="12.75"/>
  <cols>
    <col min="1" max="2" width="1.140625" customWidth="1"/>
    <col min="3" max="3" width="3.28515625" style="234" customWidth="1"/>
    <col min="5" max="5" width="25.140625" bestFit="1" customWidth="1"/>
    <col min="6" max="6" width="1.7109375" customWidth="1"/>
    <col min="7" max="7" width="3.28515625" customWidth="1"/>
    <col min="8" max="8" width="3.5703125" customWidth="1"/>
    <col min="9" max="9" width="4.28515625" customWidth="1"/>
    <col min="10" max="10" width="3.42578125" customWidth="1"/>
    <col min="11" max="11" width="1.7109375" customWidth="1"/>
    <col min="12" max="12" width="3.28515625" customWidth="1"/>
    <col min="13" max="13" width="1.7109375" customWidth="1"/>
    <col min="14" max="14" width="3.28515625" customWidth="1"/>
    <col min="15" max="15" width="1.7109375" customWidth="1"/>
    <col min="16" max="16" width="3.28515625" customWidth="1"/>
    <col min="17" max="17" width="14" customWidth="1"/>
    <col min="18" max="18" width="0.85546875" customWidth="1"/>
    <col min="19" max="20" width="1.140625" customWidth="1"/>
    <col min="21" max="21" width="3.28515625" style="234" customWidth="1"/>
    <col min="22" max="22" width="6.7109375" customWidth="1"/>
    <col min="23" max="23" width="5.140625" customWidth="1"/>
    <col min="24" max="24" width="2.7109375" customWidth="1"/>
    <col min="25" max="25" width="6.5703125" customWidth="1"/>
    <col min="26" max="26" width="6.140625" customWidth="1"/>
    <col min="27" max="27" width="3.28515625" customWidth="1"/>
    <col min="28" max="28" width="1.7109375" customWidth="1"/>
    <col min="29" max="29" width="3.28515625" customWidth="1"/>
    <col min="30" max="30" width="1.7109375" customWidth="1"/>
    <col min="31" max="31" width="3.28515625" customWidth="1"/>
    <col min="32" max="32" width="1.7109375" customWidth="1"/>
    <col min="33" max="33" width="3.28515625" customWidth="1"/>
    <col min="34" max="34" width="1.7109375" customWidth="1"/>
    <col min="35" max="35" width="3.28515625" customWidth="1"/>
    <col min="36" max="36" width="1.7109375" customWidth="1"/>
    <col min="37" max="37" width="3.28515625" customWidth="1"/>
    <col min="38" max="38" width="7.42578125" customWidth="1"/>
    <col min="39" max="39" width="4.28515625" customWidth="1"/>
    <col min="40" max="40" width="0.85546875" customWidth="1"/>
  </cols>
  <sheetData>
    <row r="1" spans="1:40" ht="43.5" customHeight="1">
      <c r="A1" s="1662" t="s">
        <v>556</v>
      </c>
      <c r="B1" s="1662"/>
      <c r="C1" s="1662"/>
      <c r="D1" s="1662"/>
      <c r="E1" s="1662"/>
      <c r="F1" s="1662"/>
      <c r="G1" s="1662"/>
      <c r="H1" s="1662"/>
      <c r="I1" s="1662"/>
      <c r="J1" s="1662"/>
      <c r="K1" s="1662"/>
      <c r="L1" s="1662"/>
      <c r="M1" s="1662"/>
      <c r="N1" s="1662"/>
      <c r="O1" s="1662"/>
      <c r="P1" s="1662"/>
      <c r="Q1" s="1662"/>
      <c r="R1" s="1662"/>
      <c r="S1" s="1662"/>
      <c r="T1" s="1662"/>
      <c r="U1" s="1662"/>
      <c r="V1" s="1662"/>
      <c r="W1" s="1662"/>
      <c r="X1" s="1662"/>
      <c r="Y1" s="1662"/>
      <c r="Z1" s="1662"/>
      <c r="AA1" s="1662"/>
      <c r="AB1" s="1662"/>
      <c r="AC1" s="1662"/>
      <c r="AD1" s="1662"/>
      <c r="AE1" s="1662"/>
      <c r="AF1" s="1662"/>
      <c r="AG1" s="1662"/>
      <c r="AH1" s="1662"/>
      <c r="AI1" s="1662"/>
      <c r="AJ1" s="1662"/>
      <c r="AK1" s="1662"/>
      <c r="AL1" s="1578" t="s">
        <v>557</v>
      </c>
      <c r="AM1" s="1578"/>
      <c r="AN1" s="1578"/>
    </row>
    <row r="2" spans="1:40" ht="20.100000000000001" customHeight="1">
      <c r="A2" s="299"/>
      <c r="B2" s="299"/>
      <c r="C2" s="299"/>
      <c r="D2" s="299"/>
      <c r="E2" s="299"/>
      <c r="F2" s="299"/>
      <c r="G2" s="299"/>
      <c r="H2" s="299"/>
      <c r="I2" s="299"/>
      <c r="J2" s="299"/>
      <c r="K2" s="299"/>
      <c r="L2" s="299"/>
      <c r="M2" s="299"/>
      <c r="N2" s="299"/>
      <c r="O2" s="299"/>
      <c r="P2" s="299"/>
      <c r="Q2" s="299"/>
      <c r="R2" s="299"/>
      <c r="S2" s="299"/>
      <c r="T2" s="299"/>
      <c r="U2" s="299"/>
      <c r="V2" s="299"/>
      <c r="W2" s="299"/>
      <c r="X2" s="299"/>
      <c r="Y2" s="299"/>
      <c r="Z2" s="299"/>
      <c r="AA2" s="299"/>
      <c r="AB2" s="299"/>
      <c r="AC2" s="299"/>
      <c r="AD2" s="299"/>
      <c r="AE2" s="299"/>
      <c r="AF2" s="299"/>
      <c r="AG2" s="299"/>
      <c r="AH2" s="299"/>
      <c r="AI2" s="299"/>
      <c r="AJ2" s="299"/>
      <c r="AK2" s="299"/>
      <c r="AL2" s="299"/>
      <c r="AM2" s="300"/>
      <c r="AN2" s="22"/>
    </row>
    <row r="3" spans="1:40" s="13" customFormat="1" ht="18" customHeight="1">
      <c r="A3" s="351" t="s">
        <v>443</v>
      </c>
      <c r="B3" s="18"/>
      <c r="C3" s="351"/>
      <c r="D3" s="18"/>
      <c r="E3" s="533" t="str">
        <f>IF(ISBLANK(oeOTP),"",oeOTP)</f>
        <v/>
      </c>
      <c r="F3" s="526"/>
      <c r="G3" s="526"/>
      <c r="H3" s="526"/>
      <c r="I3" s="526"/>
      <c r="J3" s="526"/>
      <c r="K3" s="18"/>
      <c r="L3" s="18"/>
      <c r="M3" s="18"/>
      <c r="N3" s="18"/>
      <c r="O3" s="18"/>
      <c r="P3" s="18"/>
      <c r="Q3" s="18"/>
      <c r="R3" s="18"/>
      <c r="S3" s="18"/>
      <c r="T3" s="18"/>
      <c r="U3" s="18"/>
      <c r="V3" s="291" t="s">
        <v>546</v>
      </c>
      <c r="W3" s="1441" t="str">
        <f>IF(ISBLANK(oLibelleOTP),"",oLibelleOTP)</f>
        <v/>
      </c>
      <c r="X3" s="1441"/>
      <c r="Y3" s="1441"/>
      <c r="Z3" s="1441"/>
      <c r="AA3" s="1441"/>
      <c r="AB3" s="1441"/>
      <c r="AC3" s="1441"/>
      <c r="AD3" s="1441"/>
      <c r="AE3" s="1441"/>
      <c r="AF3" s="1441"/>
      <c r="AG3" s="1441"/>
      <c r="AH3" s="1441"/>
      <c r="AI3" s="1441"/>
      <c r="AJ3" s="1441"/>
      <c r="AK3" s="1441"/>
      <c r="AL3" s="1441"/>
      <c r="AM3" s="1441"/>
    </row>
    <row r="4" spans="1:40" s="13" customFormat="1" ht="20.100000000000001" customHeight="1" thickBot="1">
      <c r="A4" s="351" t="s">
        <v>545</v>
      </c>
      <c r="B4" s="18"/>
      <c r="C4" s="18"/>
      <c r="D4" s="18"/>
      <c r="E4" s="533" t="str">
        <f>IF(ISBLANK(oVille),"",oVille)</f>
        <v/>
      </c>
      <c r="F4" s="527"/>
      <c r="G4" s="527"/>
      <c r="H4" s="527"/>
      <c r="I4" s="527"/>
      <c r="J4" s="527"/>
      <c r="K4" s="18"/>
      <c r="L4" s="18"/>
      <c r="M4" s="18"/>
      <c r="N4" s="18"/>
      <c r="O4" s="18"/>
      <c r="P4" s="18"/>
      <c r="Q4" s="18"/>
      <c r="R4" s="18"/>
      <c r="S4" s="18"/>
      <c r="T4" s="18"/>
      <c r="U4" s="18"/>
      <c r="V4" s="18"/>
      <c r="W4" s="1670"/>
      <c r="X4" s="1670"/>
      <c r="Y4" s="1670"/>
      <c r="Z4" s="1670"/>
      <c r="AA4" s="1670"/>
      <c r="AB4" s="1670"/>
      <c r="AC4" s="1670"/>
      <c r="AD4" s="1670"/>
      <c r="AE4" s="1670"/>
      <c r="AF4" s="1670"/>
      <c r="AG4" s="1670"/>
      <c r="AH4" s="1670"/>
      <c r="AI4" s="1670"/>
      <c r="AJ4" s="1670"/>
      <c r="AK4" s="1670"/>
      <c r="AL4" s="1670"/>
      <c r="AM4" s="1670"/>
    </row>
    <row r="5" spans="1:40" ht="8.1" customHeight="1">
      <c r="A5" s="244"/>
      <c r="B5" s="245"/>
      <c r="C5" s="246"/>
      <c r="D5" s="245"/>
      <c r="E5" s="247"/>
      <c r="F5" s="245"/>
      <c r="G5" s="245"/>
      <c r="H5" s="245"/>
      <c r="I5" s="245"/>
      <c r="J5" s="245"/>
      <c r="K5" s="245"/>
      <c r="L5" s="245"/>
      <c r="M5" s="245"/>
      <c r="N5" s="245"/>
      <c r="O5" s="245"/>
      <c r="P5" s="245"/>
      <c r="Q5" s="245"/>
      <c r="R5" s="245"/>
      <c r="S5" s="244"/>
      <c r="T5" s="245"/>
      <c r="U5" s="246"/>
      <c r="V5" s="245"/>
      <c r="W5" s="247"/>
      <c r="X5" s="245"/>
      <c r="Y5" s="245"/>
      <c r="Z5" s="245"/>
      <c r="AA5" s="245"/>
      <c r="AB5" s="245"/>
      <c r="AC5" s="245"/>
      <c r="AD5" s="245"/>
      <c r="AE5" s="245"/>
      <c r="AF5" s="245"/>
      <c r="AG5" s="245"/>
      <c r="AH5" s="245"/>
      <c r="AI5" s="245"/>
      <c r="AJ5" s="245"/>
      <c r="AK5" s="245"/>
      <c r="AL5" s="245"/>
      <c r="AM5" s="245"/>
      <c r="AN5" s="248"/>
    </row>
    <row r="6" spans="1:40">
      <c r="A6" s="249"/>
      <c r="B6" s="1663" t="s">
        <v>517</v>
      </c>
      <c r="C6" s="1664"/>
      <c r="D6" s="1664"/>
      <c r="E6" s="1664"/>
      <c r="F6" s="1664"/>
      <c r="G6" s="1664"/>
      <c r="H6" s="1664"/>
      <c r="I6" s="1664"/>
      <c r="J6" s="1664"/>
      <c r="K6" s="1664"/>
      <c r="L6" s="1664"/>
      <c r="M6" s="1664"/>
      <c r="N6" s="1664"/>
      <c r="O6" s="1664"/>
      <c r="P6" s="1664"/>
      <c r="Q6" s="1665"/>
      <c r="S6" s="249"/>
      <c r="T6" s="220"/>
      <c r="U6" s="301"/>
      <c r="V6" s="266"/>
      <c r="W6" s="266"/>
      <c r="X6" s="266"/>
      <c r="Y6" s="266"/>
      <c r="Z6" s="266"/>
      <c r="AA6" s="266"/>
      <c r="AB6" s="266"/>
      <c r="AC6" s="266"/>
      <c r="AD6" s="266"/>
      <c r="AE6" s="266"/>
      <c r="AF6" s="266"/>
      <c r="AG6" s="266"/>
      <c r="AH6" s="266"/>
      <c r="AI6" s="266"/>
      <c r="AJ6" s="266"/>
      <c r="AK6" s="266"/>
      <c r="AL6" s="266"/>
      <c r="AM6" s="267"/>
      <c r="AN6" s="250"/>
    </row>
    <row r="7" spans="1:40">
      <c r="A7" s="249"/>
      <c r="B7" s="108"/>
      <c r="C7" s="39" t="s">
        <v>518</v>
      </c>
      <c r="Q7" s="235"/>
      <c r="S7" s="249"/>
      <c r="T7" s="108"/>
      <c r="U7" s="41" t="s">
        <v>558</v>
      </c>
      <c r="W7" s="302"/>
      <c r="X7" s="302"/>
      <c r="Y7" s="302"/>
      <c r="Z7" s="302"/>
      <c r="AA7" s="302"/>
      <c r="AB7" s="302"/>
      <c r="AC7" s="302"/>
      <c r="AD7" s="302"/>
      <c r="AE7" s="302"/>
      <c r="AF7" s="302"/>
      <c r="AG7" s="302"/>
      <c r="AH7" s="302"/>
      <c r="AI7" s="302"/>
      <c r="AJ7" s="302"/>
      <c r="AK7" s="302"/>
      <c r="AL7" s="302"/>
      <c r="AM7" s="303"/>
      <c r="AN7" s="250"/>
    </row>
    <row r="8" spans="1:40" ht="8.1" customHeight="1">
      <c r="A8" s="249"/>
      <c r="B8" s="108"/>
      <c r="Q8" s="235"/>
      <c r="S8" s="249"/>
      <c r="T8" s="108"/>
      <c r="U8" s="302"/>
      <c r="W8" s="302"/>
      <c r="X8" s="302"/>
      <c r="Y8" s="302"/>
      <c r="Z8" s="302"/>
      <c r="AA8" s="302"/>
      <c r="AB8" s="302"/>
      <c r="AC8" s="302"/>
      <c r="AD8" s="302"/>
      <c r="AE8" s="302"/>
      <c r="AF8" s="302"/>
      <c r="AG8" s="302"/>
      <c r="AH8" s="302"/>
      <c r="AI8" s="302"/>
      <c r="AJ8" s="302"/>
      <c r="AK8" s="302"/>
      <c r="AL8" s="302"/>
      <c r="AM8" s="303"/>
      <c r="AN8" s="250"/>
    </row>
    <row r="9" spans="1:40">
      <c r="A9" s="249"/>
      <c r="B9" s="108"/>
      <c r="C9" s="251" t="s">
        <v>361</v>
      </c>
      <c r="D9" t="s">
        <v>5</v>
      </c>
      <c r="Q9" s="235"/>
      <c r="S9" s="249"/>
      <c r="T9" s="108"/>
      <c r="U9" s="21" t="s">
        <v>559</v>
      </c>
      <c r="W9" s="302"/>
      <c r="X9" s="302"/>
      <c r="Y9" s="302"/>
      <c r="Z9" s="302"/>
      <c r="AA9" s="302"/>
      <c r="AB9" s="302"/>
      <c r="AC9" s="302"/>
      <c r="AD9" s="302"/>
      <c r="AE9" s="302"/>
      <c r="AF9" s="302"/>
      <c r="AG9" s="302"/>
      <c r="AH9" s="302"/>
      <c r="AI9" s="302"/>
      <c r="AJ9" s="302"/>
      <c r="AK9" s="302"/>
      <c r="AL9" s="302"/>
      <c r="AM9" s="303"/>
      <c r="AN9" s="250"/>
    </row>
    <row r="10" spans="1:40" ht="8.1" customHeight="1">
      <c r="A10" s="249"/>
      <c r="B10" s="108"/>
      <c r="C10" s="38"/>
      <c r="Q10" s="235"/>
      <c r="S10" s="249"/>
      <c r="T10" s="108"/>
      <c r="U10" s="302"/>
      <c r="W10" s="302"/>
      <c r="X10" s="302"/>
      <c r="Y10" s="302"/>
      <c r="Z10" s="302"/>
      <c r="AA10" s="302"/>
      <c r="AB10" s="302"/>
      <c r="AC10" s="302"/>
      <c r="AD10" s="302"/>
      <c r="AE10" s="302"/>
      <c r="AF10" s="302"/>
      <c r="AG10" s="302"/>
      <c r="AH10" s="302"/>
      <c r="AI10" s="302"/>
      <c r="AJ10" s="302"/>
      <c r="AK10" s="302"/>
      <c r="AL10" s="302"/>
      <c r="AM10" s="303"/>
      <c r="AN10" s="250"/>
    </row>
    <row r="11" spans="1:40">
      <c r="A11" s="249"/>
      <c r="B11" s="108"/>
      <c r="C11" s="251" t="s">
        <v>440</v>
      </c>
      <c r="D11" t="s">
        <v>6</v>
      </c>
      <c r="Q11" s="235"/>
      <c r="S11" s="249"/>
      <c r="T11" s="108"/>
      <c r="U11" s="21" t="s">
        <v>560</v>
      </c>
      <c r="W11" s="302"/>
      <c r="X11" s="302"/>
      <c r="Y11" s="302"/>
      <c r="Z11" s="302"/>
      <c r="AA11" s="302"/>
      <c r="AB11" s="302"/>
      <c r="AC11" s="302"/>
      <c r="AD11" s="302"/>
      <c r="AE11" s="141"/>
      <c r="AF11" s="141"/>
      <c r="AG11" s="257" t="s">
        <v>361</v>
      </c>
      <c r="AH11" s="141"/>
      <c r="AI11" s="257" t="s">
        <v>440</v>
      </c>
      <c r="AJ11" s="141"/>
      <c r="AK11" s="257" t="s">
        <v>419</v>
      </c>
      <c r="AL11" s="304"/>
      <c r="AM11" s="305"/>
      <c r="AN11" s="250"/>
    </row>
    <row r="12" spans="1:40" ht="8.1" customHeight="1">
      <c r="A12" s="249"/>
      <c r="B12" s="108"/>
      <c r="C12" s="38"/>
      <c r="Q12" s="235"/>
      <c r="S12" s="249"/>
      <c r="T12" s="108"/>
      <c r="U12" s="302"/>
      <c r="W12" s="302"/>
      <c r="X12" s="302"/>
      <c r="Y12" s="302"/>
      <c r="Z12" s="302"/>
      <c r="AA12" s="302"/>
      <c r="AB12" s="302"/>
      <c r="AC12" s="302"/>
      <c r="AD12" s="302"/>
      <c r="AE12" s="302"/>
      <c r="AF12" s="302"/>
      <c r="AG12" s="302"/>
      <c r="AH12" s="302"/>
      <c r="AI12" s="302"/>
      <c r="AJ12" s="302"/>
      <c r="AK12" s="302"/>
      <c r="AL12" s="302"/>
      <c r="AM12" s="303"/>
      <c r="AN12" s="250"/>
    </row>
    <row r="13" spans="1:40">
      <c r="A13" s="249"/>
      <c r="B13" s="108"/>
      <c r="C13" s="251" t="s">
        <v>419</v>
      </c>
      <c r="D13" t="s">
        <v>7</v>
      </c>
      <c r="Q13" s="235"/>
      <c r="S13" s="249"/>
      <c r="T13" s="108"/>
      <c r="U13" s="21" t="s">
        <v>561</v>
      </c>
      <c r="W13" s="302"/>
      <c r="X13" s="302"/>
      <c r="Y13" s="302"/>
      <c r="Z13" s="302"/>
      <c r="AA13" s="302"/>
      <c r="AB13" s="302"/>
      <c r="AC13" s="302"/>
      <c r="AD13" s="302"/>
      <c r="AE13" s="302"/>
      <c r="AF13" s="302"/>
      <c r="AG13" s="302"/>
      <c r="AH13" s="302"/>
      <c r="AI13" s="302"/>
      <c r="AJ13" s="302"/>
      <c r="AK13" s="302"/>
      <c r="AL13" s="302"/>
      <c r="AM13" s="303"/>
      <c r="AN13" s="250"/>
    </row>
    <row r="14" spans="1:40" ht="8.1" customHeight="1">
      <c r="A14" s="249"/>
      <c r="B14" s="108"/>
      <c r="C14" s="38"/>
      <c r="Q14" s="235"/>
      <c r="S14" s="249"/>
      <c r="T14" s="221"/>
      <c r="U14" s="306"/>
      <c r="V14" s="262"/>
      <c r="W14" s="306"/>
      <c r="X14" s="306"/>
      <c r="Y14" s="306"/>
      <c r="Z14" s="306"/>
      <c r="AA14" s="306"/>
      <c r="AB14" s="306"/>
      <c r="AC14" s="306"/>
      <c r="AD14" s="306"/>
      <c r="AE14" s="306"/>
      <c r="AF14" s="306"/>
      <c r="AG14" s="306"/>
      <c r="AH14" s="306"/>
      <c r="AI14" s="306"/>
      <c r="AJ14" s="306"/>
      <c r="AK14" s="306"/>
      <c r="AL14" s="306"/>
      <c r="AM14" s="307"/>
      <c r="AN14" s="250"/>
    </row>
    <row r="15" spans="1:40" ht="8.1" customHeight="1">
      <c r="A15" s="249"/>
      <c r="B15" s="108"/>
      <c r="Q15" s="235"/>
      <c r="S15" s="249"/>
      <c r="W15" s="302"/>
      <c r="X15" s="302"/>
      <c r="Y15" s="302"/>
      <c r="Z15" s="302"/>
      <c r="AA15" s="302"/>
      <c r="AB15" s="302"/>
      <c r="AC15" s="302"/>
      <c r="AD15" s="302"/>
      <c r="AE15" s="302"/>
      <c r="AF15" s="302"/>
      <c r="AG15" s="302"/>
      <c r="AH15" s="302"/>
      <c r="AI15" s="302"/>
      <c r="AJ15" s="302"/>
      <c r="AK15" s="302"/>
      <c r="AL15" s="302"/>
      <c r="AM15" s="302"/>
      <c r="AN15" s="250"/>
    </row>
    <row r="16" spans="1:40" ht="12.75" customHeight="1">
      <c r="A16" s="249"/>
      <c r="B16" s="108"/>
      <c r="C16" s="1666" t="s">
        <v>562</v>
      </c>
      <c r="D16" s="1666"/>
      <c r="E16" s="1666"/>
      <c r="F16" s="1666"/>
      <c r="G16" s="1666"/>
      <c r="H16" s="1666"/>
      <c r="I16" s="1666"/>
      <c r="J16" s="1666"/>
      <c r="K16" s="1666"/>
      <c r="L16" s="1666"/>
      <c r="M16" s="1666"/>
      <c r="N16" s="1666"/>
      <c r="O16" s="1666"/>
      <c r="P16" s="1666"/>
      <c r="Q16" s="1667"/>
      <c r="S16" s="249"/>
      <c r="AN16" s="250"/>
    </row>
    <row r="17" spans="1:40" ht="8.1" customHeight="1">
      <c r="A17" s="249"/>
      <c r="B17" s="108"/>
      <c r="C17" s="38"/>
      <c r="Q17" s="235"/>
      <c r="S17" s="249"/>
      <c r="AN17" s="250"/>
    </row>
    <row r="18" spans="1:40">
      <c r="A18" s="249"/>
      <c r="B18" s="108"/>
      <c r="C18" s="255" t="s">
        <v>563</v>
      </c>
      <c r="D18" s="255"/>
      <c r="E18" s="255"/>
      <c r="F18" s="255"/>
      <c r="G18" s="255"/>
      <c r="H18" s="255"/>
      <c r="I18" s="255"/>
      <c r="J18" s="255"/>
      <c r="K18" s="255"/>
      <c r="L18" s="255"/>
      <c r="M18" s="255"/>
      <c r="N18" s="255"/>
      <c r="O18" s="255"/>
      <c r="P18" s="255"/>
      <c r="Q18" s="256"/>
      <c r="S18" s="249"/>
      <c r="W18" s="36" t="s">
        <v>564</v>
      </c>
      <c r="AN18" s="250"/>
    </row>
    <row r="19" spans="1:40" ht="8.1" customHeight="1">
      <c r="A19" s="249"/>
      <c r="B19" s="108"/>
      <c r="C19" s="38"/>
      <c r="Q19" s="235"/>
      <c r="S19" s="249"/>
      <c r="AN19" s="250"/>
    </row>
    <row r="20" spans="1:40">
      <c r="A20" s="249"/>
      <c r="B20" s="108"/>
      <c r="C20" s="1668" t="s">
        <v>523</v>
      </c>
      <c r="D20" s="1668"/>
      <c r="E20" s="1668"/>
      <c r="F20" s="1668"/>
      <c r="G20" s="1668"/>
      <c r="H20" s="1668"/>
      <c r="I20" s="1668"/>
      <c r="J20" s="1668"/>
      <c r="K20" s="1668"/>
      <c r="L20" s="1668"/>
      <c r="M20" s="1668"/>
      <c r="N20" s="1668"/>
      <c r="O20" s="1668"/>
      <c r="P20" s="1668"/>
      <c r="Q20" s="1669"/>
      <c r="S20" s="249"/>
      <c r="T20" s="220"/>
      <c r="U20" s="308" t="s">
        <v>565</v>
      </c>
      <c r="V20" s="266"/>
      <c r="W20" s="266"/>
      <c r="X20" s="266"/>
      <c r="Y20" s="266"/>
      <c r="Z20" s="266"/>
      <c r="AA20" s="266"/>
      <c r="AB20" s="266"/>
      <c r="AC20" s="266"/>
      <c r="AD20" s="266"/>
      <c r="AE20" s="266"/>
      <c r="AF20" s="266"/>
      <c r="AG20" s="266"/>
      <c r="AH20" s="266"/>
      <c r="AI20" s="266"/>
      <c r="AJ20" s="266"/>
      <c r="AK20" s="266"/>
      <c r="AL20" s="266"/>
      <c r="AM20" s="267"/>
      <c r="AN20" s="250"/>
    </row>
    <row r="21" spans="1:40" ht="8.1" customHeight="1">
      <c r="A21" s="249"/>
      <c r="B21" s="108"/>
      <c r="C21" s="39"/>
      <c r="D21" s="39"/>
      <c r="E21" s="39"/>
      <c r="F21" s="39"/>
      <c r="G21" s="39"/>
      <c r="H21" s="39"/>
      <c r="I21" s="39"/>
      <c r="J21" s="39"/>
      <c r="K21" s="39"/>
      <c r="L21" s="39"/>
      <c r="M21" s="39"/>
      <c r="N21" s="39"/>
      <c r="O21" s="39"/>
      <c r="P21" s="39"/>
      <c r="Q21" s="239"/>
      <c r="S21" s="249"/>
      <c r="T21" s="108"/>
      <c r="W21" s="302"/>
      <c r="X21" s="302"/>
      <c r="Y21" s="302"/>
      <c r="AA21" s="302"/>
      <c r="AC21" s="302"/>
      <c r="AD21" s="302"/>
      <c r="AE21" s="302"/>
      <c r="AF21" s="302"/>
      <c r="AG21" s="302"/>
      <c r="AH21" s="21"/>
      <c r="AI21" s="302"/>
      <c r="AJ21" s="302"/>
      <c r="AK21" s="302"/>
      <c r="AL21" s="302"/>
      <c r="AM21" s="303"/>
      <c r="AN21" s="250"/>
    </row>
    <row r="22" spans="1:40">
      <c r="A22" s="249"/>
      <c r="B22" s="108"/>
      <c r="C22" s="309" t="s">
        <v>566</v>
      </c>
      <c r="Q22" s="235"/>
      <c r="S22" s="249"/>
      <c r="T22" s="108"/>
      <c r="U22" s="302"/>
      <c r="W22" s="302"/>
      <c r="X22" s="302"/>
      <c r="Y22" s="302"/>
      <c r="Z22" s="302"/>
      <c r="AA22" s="302"/>
      <c r="AB22" s="21" t="s">
        <v>567</v>
      </c>
      <c r="AC22" s="302"/>
      <c r="AD22" s="302"/>
      <c r="AE22" s="302"/>
      <c r="AF22" s="302"/>
      <c r="AG22" s="310"/>
      <c r="AH22" s="310"/>
      <c r="AI22" s="310"/>
      <c r="AJ22" s="310"/>
      <c r="AK22" s="310"/>
      <c r="AL22" s="304"/>
      <c r="AM22" s="303"/>
      <c r="AN22" s="250"/>
    </row>
    <row r="23" spans="1:40" ht="8.1" customHeight="1">
      <c r="A23" s="249"/>
      <c r="B23" s="108"/>
      <c r="C23" s="258"/>
      <c r="D23" s="258"/>
      <c r="E23" s="258"/>
      <c r="F23" s="258"/>
      <c r="G23" s="258"/>
      <c r="H23" s="258"/>
      <c r="I23" s="258"/>
      <c r="J23" s="258"/>
      <c r="K23" s="258"/>
      <c r="L23" s="258"/>
      <c r="M23" s="258"/>
      <c r="N23" s="258"/>
      <c r="O23" s="258"/>
      <c r="P23" s="258"/>
      <c r="Q23" s="259"/>
      <c r="S23" s="249"/>
      <c r="T23" s="108"/>
      <c r="U23"/>
      <c r="V23" s="302"/>
      <c r="W23" s="302"/>
      <c r="X23" s="302"/>
      <c r="Y23" s="302"/>
      <c r="Z23" s="302"/>
      <c r="AA23" s="302"/>
      <c r="AB23" s="302"/>
      <c r="AC23" s="302"/>
      <c r="AD23" s="302"/>
      <c r="AE23" s="302"/>
      <c r="AF23" s="302"/>
      <c r="AG23" s="302"/>
      <c r="AH23" s="302"/>
      <c r="AI23" s="302"/>
      <c r="AJ23" s="302"/>
      <c r="AK23" s="302"/>
      <c r="AL23" s="302"/>
      <c r="AM23" s="303"/>
      <c r="AN23" s="250"/>
    </row>
    <row r="24" spans="1:40" ht="12.75" customHeight="1">
      <c r="A24" s="249"/>
      <c r="B24" s="221"/>
      <c r="C24" s="311" t="s">
        <v>568</v>
      </c>
      <c r="D24" s="312"/>
      <c r="E24" s="312"/>
      <c r="F24" s="312"/>
      <c r="G24" s="312"/>
      <c r="H24" s="312"/>
      <c r="I24" s="312"/>
      <c r="J24" s="312"/>
      <c r="K24" s="312"/>
      <c r="L24" s="312"/>
      <c r="M24" s="312"/>
      <c r="N24" s="312"/>
      <c r="O24" s="312"/>
      <c r="P24" s="312"/>
      <c r="Q24" s="313"/>
      <c r="S24" s="249"/>
      <c r="T24" s="108"/>
      <c r="V24" s="21" t="s">
        <v>569</v>
      </c>
      <c r="W24" s="302"/>
      <c r="X24" s="302"/>
      <c r="Y24" s="302"/>
      <c r="Z24" s="302"/>
      <c r="AA24" s="257" t="s">
        <v>361</v>
      </c>
      <c r="AB24" s="141"/>
      <c r="AC24" s="257" t="s">
        <v>440</v>
      </c>
      <c r="AD24" s="141"/>
      <c r="AE24" s="257" t="s">
        <v>419</v>
      </c>
      <c r="AF24" s="141"/>
      <c r="AG24" s="252"/>
      <c r="AH24" s="304"/>
      <c r="AI24" s="304"/>
      <c r="AJ24" s="304"/>
      <c r="AK24" s="304"/>
      <c r="AL24" s="304"/>
      <c r="AM24" s="241"/>
      <c r="AN24" s="250"/>
    </row>
    <row r="25" spans="1:40" ht="8.1" customHeight="1">
      <c r="A25" s="249"/>
      <c r="C25" s="260"/>
      <c r="D25" s="260"/>
      <c r="E25" s="260"/>
      <c r="F25" s="260"/>
      <c r="G25" s="260"/>
      <c r="H25" s="260"/>
      <c r="I25" s="260"/>
      <c r="J25" s="260"/>
      <c r="K25" s="260"/>
      <c r="L25" s="260"/>
      <c r="M25" s="260"/>
      <c r="N25" s="260"/>
      <c r="O25" s="260"/>
      <c r="P25" s="260"/>
      <c r="Q25" s="260"/>
      <c r="S25" s="249"/>
      <c r="T25" s="108"/>
      <c r="U25"/>
      <c r="V25" s="302"/>
      <c r="W25" s="302"/>
      <c r="X25" s="302"/>
      <c r="Y25" s="302"/>
      <c r="Z25" s="302"/>
      <c r="AA25" s="302"/>
      <c r="AB25" s="302"/>
      <c r="AC25" s="302"/>
      <c r="AD25" s="302"/>
      <c r="AE25" s="302"/>
      <c r="AF25" s="302"/>
      <c r="AG25" s="302"/>
      <c r="AH25" s="302"/>
      <c r="AI25" s="302"/>
      <c r="AJ25" s="302"/>
      <c r="AK25" s="302"/>
      <c r="AL25" s="302"/>
      <c r="AM25" s="303"/>
      <c r="AN25" s="250"/>
    </row>
    <row r="26" spans="1:40">
      <c r="A26" s="249"/>
      <c r="S26" s="249"/>
      <c r="T26" s="108"/>
      <c r="V26" s="21" t="s">
        <v>570</v>
      </c>
      <c r="W26" s="302"/>
      <c r="X26" s="302"/>
      <c r="Y26" s="302"/>
      <c r="Z26" s="302"/>
      <c r="AA26" s="257" t="s">
        <v>361</v>
      </c>
      <c r="AB26" s="141"/>
      <c r="AC26" s="257" t="s">
        <v>440</v>
      </c>
      <c r="AD26" s="141"/>
      <c r="AE26" s="257" t="s">
        <v>419</v>
      </c>
      <c r="AF26" s="141"/>
      <c r="AG26" s="252"/>
      <c r="AH26" s="304"/>
      <c r="AI26" s="304"/>
      <c r="AJ26" s="304"/>
      <c r="AK26" s="304"/>
      <c r="AL26" s="304"/>
      <c r="AM26" s="241"/>
      <c r="AN26" s="250"/>
    </row>
    <row r="27" spans="1:40">
      <c r="A27" s="249"/>
      <c r="B27" s="261" t="s">
        <v>406</v>
      </c>
      <c r="S27" s="249"/>
      <c r="T27" s="108"/>
      <c r="U27"/>
      <c r="V27" s="302"/>
      <c r="W27" s="302"/>
      <c r="X27" s="302"/>
      <c r="Y27" s="302"/>
      <c r="Z27" s="302"/>
      <c r="AA27" s="302"/>
      <c r="AB27" s="302"/>
      <c r="AC27" s="302"/>
      <c r="AD27" s="302"/>
      <c r="AE27" s="302"/>
      <c r="AF27" s="302"/>
      <c r="AG27" s="302"/>
      <c r="AH27" s="302"/>
      <c r="AI27" s="302"/>
      <c r="AJ27" s="302"/>
      <c r="AK27" s="302"/>
      <c r="AL27" s="302"/>
      <c r="AM27" s="303"/>
      <c r="AN27" s="250"/>
    </row>
    <row r="28" spans="1:40" ht="8.1" customHeight="1">
      <c r="A28" s="249"/>
      <c r="B28" s="261"/>
      <c r="S28" s="249"/>
      <c r="T28" s="108"/>
      <c r="AM28" s="235"/>
      <c r="AN28" s="250"/>
    </row>
    <row r="29" spans="1:40" ht="12.75" customHeight="1">
      <c r="A29" s="249"/>
      <c r="D29" t="s">
        <v>571</v>
      </c>
      <c r="S29" s="249"/>
      <c r="T29" s="108"/>
      <c r="U29" s="21"/>
      <c r="V29" s="21" t="s">
        <v>572</v>
      </c>
      <c r="W29" s="314"/>
      <c r="X29" s="314"/>
      <c r="Y29" s="314"/>
      <c r="Z29" s="314"/>
      <c r="AA29" s="314"/>
      <c r="AB29" s="314"/>
      <c r="AC29" s="315"/>
      <c r="AD29" s="315"/>
      <c r="AE29" s="315"/>
      <c r="AF29" s="315"/>
      <c r="AG29" s="315"/>
      <c r="AH29" s="315"/>
      <c r="AI29" s="315"/>
      <c r="AJ29" s="315"/>
      <c r="AK29" s="315"/>
      <c r="AL29" s="304"/>
      <c r="AM29" s="316"/>
      <c r="AN29" s="250"/>
    </row>
    <row r="30" spans="1:40" ht="8.1" customHeight="1">
      <c r="A30" s="249"/>
      <c r="B30" s="261"/>
      <c r="S30" s="249"/>
      <c r="T30" s="221"/>
      <c r="U30" s="233"/>
      <c r="V30" s="306"/>
      <c r="W30" s="306"/>
      <c r="X30" s="306"/>
      <c r="Y30" s="306"/>
      <c r="Z30" s="306"/>
      <c r="AA30" s="120"/>
      <c r="AB30" s="120"/>
      <c r="AC30" s="120"/>
      <c r="AD30" s="120"/>
      <c r="AE30" s="120"/>
      <c r="AF30" s="120"/>
      <c r="AG30" s="120"/>
      <c r="AH30" s="120"/>
      <c r="AI30" s="120"/>
      <c r="AJ30" s="120"/>
      <c r="AK30" s="120"/>
      <c r="AL30" s="120"/>
      <c r="AM30" s="265"/>
      <c r="AN30" s="250"/>
    </row>
    <row r="31" spans="1:40">
      <c r="A31" s="249"/>
      <c r="D31" t="s">
        <v>573</v>
      </c>
      <c r="S31" s="249"/>
      <c r="AM31" s="314"/>
      <c r="AN31" s="250"/>
    </row>
    <row r="32" spans="1:40" ht="8.1" customHeight="1">
      <c r="A32" s="249"/>
      <c r="B32" s="261"/>
      <c r="S32" s="249"/>
      <c r="AN32" s="250"/>
    </row>
    <row r="33" spans="1:40" ht="12.75" customHeight="1">
      <c r="A33" s="249"/>
      <c r="D33" t="s">
        <v>574</v>
      </c>
      <c r="S33" s="249"/>
      <c r="T33" s="39" t="s">
        <v>575</v>
      </c>
      <c r="U33" s="21"/>
      <c r="V33" s="314"/>
      <c r="W33" s="314"/>
      <c r="X33" s="314"/>
      <c r="Y33" s="314"/>
      <c r="Z33" s="141"/>
      <c r="AA33" s="257" t="s">
        <v>361</v>
      </c>
      <c r="AB33" s="141"/>
      <c r="AC33" s="257" t="s">
        <v>440</v>
      </c>
      <c r="AD33" s="141"/>
      <c r="AE33" s="257" t="s">
        <v>419</v>
      </c>
      <c r="AF33" s="141"/>
      <c r="AG33" s="252"/>
      <c r="AH33" s="304"/>
      <c r="AI33" s="304"/>
      <c r="AJ33" s="304"/>
      <c r="AK33" s="304"/>
      <c r="AL33" s="304"/>
      <c r="AM33" s="302"/>
      <c r="AN33" s="250"/>
    </row>
    <row r="34" spans="1:40" ht="8.1" customHeight="1">
      <c r="A34" s="249"/>
      <c r="B34" s="261"/>
      <c r="S34" s="249"/>
      <c r="T34" s="234"/>
      <c r="U34"/>
      <c r="AM34" s="240"/>
      <c r="AN34" s="250"/>
    </row>
    <row r="35" spans="1:40" ht="8.1" customHeight="1">
      <c r="A35" s="249"/>
      <c r="B35" s="261"/>
      <c r="S35" s="249"/>
      <c r="U35"/>
      <c r="V35" s="302"/>
      <c r="W35" s="302"/>
      <c r="X35" s="302"/>
      <c r="Y35" s="302"/>
      <c r="Z35" s="302"/>
      <c r="AA35" s="302"/>
      <c r="AB35" s="302"/>
      <c r="AC35" s="302"/>
      <c r="AD35" s="302"/>
      <c r="AE35" s="302"/>
      <c r="AF35" s="302"/>
      <c r="AG35" s="302"/>
      <c r="AH35" s="302"/>
      <c r="AI35" s="302"/>
      <c r="AJ35" s="302"/>
      <c r="AK35" s="302"/>
      <c r="AL35" s="302"/>
      <c r="AM35" s="240"/>
      <c r="AN35" s="250"/>
    </row>
    <row r="36" spans="1:40">
      <c r="A36" s="249"/>
      <c r="E36" s="35" t="s">
        <v>576</v>
      </c>
      <c r="S36" s="249"/>
      <c r="T36" s="21" t="s">
        <v>577</v>
      </c>
      <c r="U36" s="21"/>
      <c r="V36" s="302"/>
      <c r="W36" s="302"/>
      <c r="X36" s="302"/>
      <c r="Y36" s="302"/>
      <c r="Z36" s="141"/>
      <c r="AA36" s="141"/>
      <c r="AB36" s="141"/>
      <c r="AC36" s="141"/>
      <c r="AD36" s="141"/>
      <c r="AE36" s="141"/>
      <c r="AF36" s="141"/>
      <c r="AG36" s="141"/>
      <c r="AH36" s="141"/>
      <c r="AI36" s="141"/>
      <c r="AJ36" s="141"/>
      <c r="AM36" s="302"/>
      <c r="AN36" s="250"/>
    </row>
    <row r="37" spans="1:40" ht="8.1" customHeight="1">
      <c r="A37" s="249"/>
      <c r="C37" s="39"/>
      <c r="S37" s="249"/>
      <c r="T37" s="21"/>
      <c r="U37" s="302"/>
      <c r="V37" s="302"/>
      <c r="W37" s="302"/>
      <c r="X37" s="302"/>
      <c r="Y37" s="302"/>
      <c r="AM37" s="302"/>
      <c r="AN37" s="250"/>
    </row>
    <row r="38" spans="1:40">
      <c r="A38" s="249"/>
      <c r="B38" s="1656" t="s">
        <v>578</v>
      </c>
      <c r="C38" s="1657"/>
      <c r="D38" s="1657"/>
      <c r="E38" s="1657"/>
      <c r="F38" s="1657"/>
      <c r="G38" s="1657"/>
      <c r="H38" s="1657"/>
      <c r="I38" s="1657"/>
      <c r="J38" s="1657"/>
      <c r="K38" s="1657"/>
      <c r="L38" s="1657"/>
      <c r="M38" s="1657"/>
      <c r="N38" s="1657"/>
      <c r="O38" s="1657"/>
      <c r="P38" s="1657"/>
      <c r="Q38" s="1658"/>
      <c r="S38" s="249"/>
      <c r="Z38" s="21" t="s">
        <v>579</v>
      </c>
      <c r="AA38" s="302"/>
      <c r="AB38" s="302"/>
      <c r="AC38" s="310"/>
      <c r="AD38" s="310"/>
      <c r="AE38" s="310"/>
      <c r="AF38" s="310"/>
      <c r="AG38" s="310"/>
      <c r="AH38" s="304"/>
      <c r="AI38" s="304"/>
      <c r="AJ38" s="304"/>
      <c r="AK38" s="304"/>
      <c r="AL38" s="304"/>
      <c r="AM38" s="302"/>
      <c r="AN38" s="250"/>
    </row>
    <row r="39" spans="1:40" ht="12.75" customHeight="1">
      <c r="A39" s="249"/>
      <c r="B39" s="108"/>
      <c r="C39" s="39"/>
      <c r="F39" t="s">
        <v>175</v>
      </c>
      <c r="H39" s="240"/>
      <c r="I39" s="240"/>
      <c r="K39" s="252"/>
      <c r="L39" s="317"/>
      <c r="M39" s="252"/>
      <c r="N39" s="252"/>
      <c r="O39" s="252"/>
      <c r="P39" s="252"/>
      <c r="Q39" s="253"/>
      <c r="S39" s="249"/>
      <c r="AM39" s="240"/>
      <c r="AN39" s="250"/>
    </row>
    <row r="40" spans="1:40" ht="8.1" customHeight="1">
      <c r="A40" s="249"/>
      <c r="B40" s="108"/>
      <c r="C40" s="254"/>
      <c r="Q40" s="235"/>
      <c r="S40" s="249"/>
      <c r="AM40" s="240"/>
      <c r="AN40" s="250"/>
    </row>
    <row r="41" spans="1:40">
      <c r="A41" s="249"/>
      <c r="B41" s="108"/>
      <c r="C41" s="39"/>
      <c r="D41" t="s">
        <v>580</v>
      </c>
      <c r="J41" s="141"/>
      <c r="K41" s="141"/>
      <c r="L41" s="141"/>
      <c r="M41" s="141"/>
      <c r="N41" s="141"/>
      <c r="O41" s="141"/>
      <c r="P41" s="141"/>
      <c r="Q41" s="241"/>
      <c r="S41" s="249"/>
      <c r="AM41" s="240"/>
      <c r="AN41" s="250"/>
    </row>
    <row r="42" spans="1:40" ht="8.1" customHeight="1">
      <c r="A42" s="249"/>
      <c r="B42" s="108"/>
      <c r="C42" s="39"/>
      <c r="J42" s="141"/>
      <c r="K42" s="141"/>
      <c r="L42" s="141"/>
      <c r="M42" s="141"/>
      <c r="N42" s="141"/>
      <c r="O42" s="141"/>
      <c r="P42" s="141"/>
      <c r="Q42" s="241"/>
      <c r="S42" s="249"/>
      <c r="U42"/>
      <c r="AN42" s="250"/>
    </row>
    <row r="43" spans="1:40">
      <c r="A43" s="249"/>
      <c r="B43" s="108"/>
      <c r="C43" s="39"/>
      <c r="D43" t="s">
        <v>581</v>
      </c>
      <c r="J43" s="141"/>
      <c r="K43" s="141"/>
      <c r="L43" s="141"/>
      <c r="M43" s="141"/>
      <c r="N43" s="141"/>
      <c r="O43" s="141"/>
      <c r="P43" s="141"/>
      <c r="Q43" s="241"/>
      <c r="S43" s="249"/>
      <c r="U43" s="35" t="s">
        <v>582</v>
      </c>
      <c r="AA43" s="141"/>
      <c r="AB43" s="141"/>
      <c r="AC43" s="257" t="s">
        <v>361</v>
      </c>
      <c r="AD43" s="141"/>
      <c r="AE43" s="257" t="s">
        <v>440</v>
      </c>
      <c r="AF43" s="141"/>
      <c r="AG43" s="257" t="s">
        <v>419</v>
      </c>
      <c r="AH43" s="141"/>
      <c r="AI43" s="252"/>
      <c r="AJ43" s="304"/>
      <c r="AK43" s="304"/>
      <c r="AL43" s="304"/>
      <c r="AM43" s="141"/>
      <c r="AN43" s="318"/>
    </row>
    <row r="44" spans="1:40" ht="8.1" customHeight="1">
      <c r="A44" s="249"/>
      <c r="B44" s="108"/>
      <c r="C44" s="39"/>
      <c r="J44" s="141"/>
      <c r="K44" s="141"/>
      <c r="L44" s="141"/>
      <c r="M44" s="141"/>
      <c r="N44" s="141"/>
      <c r="O44" s="141"/>
      <c r="P44" s="141"/>
      <c r="Q44" s="241"/>
      <c r="S44" s="249"/>
      <c r="U44"/>
      <c r="AN44" s="250"/>
    </row>
    <row r="45" spans="1:40">
      <c r="A45" s="249"/>
      <c r="B45" s="108"/>
      <c r="C45" s="39"/>
      <c r="D45" t="s">
        <v>583</v>
      </c>
      <c r="J45" s="141"/>
      <c r="K45" s="141"/>
      <c r="L45" s="141"/>
      <c r="M45" s="141"/>
      <c r="N45" s="141"/>
      <c r="O45" s="141"/>
      <c r="P45" s="141"/>
      <c r="Q45" s="241"/>
      <c r="S45" s="249"/>
      <c r="U45" s="39"/>
      <c r="Z45" s="21" t="s">
        <v>584</v>
      </c>
      <c r="AA45" s="302"/>
      <c r="AB45" s="302"/>
      <c r="AC45" s="310"/>
      <c r="AD45" s="310"/>
      <c r="AE45" s="310"/>
      <c r="AF45" s="310"/>
      <c r="AG45" s="310"/>
      <c r="AH45" s="304"/>
      <c r="AI45" s="304"/>
      <c r="AJ45" s="304"/>
      <c r="AK45" s="304"/>
      <c r="AL45" s="304"/>
      <c r="AM45" s="240"/>
      <c r="AN45" s="250"/>
    </row>
    <row r="46" spans="1:40" ht="8.1" customHeight="1">
      <c r="A46" s="249"/>
      <c r="B46" s="108"/>
      <c r="C46" s="39"/>
      <c r="J46" s="141"/>
      <c r="K46" s="141"/>
      <c r="L46" s="141"/>
      <c r="M46" s="141"/>
      <c r="N46" s="141"/>
      <c r="O46" s="141"/>
      <c r="P46" s="141"/>
      <c r="Q46" s="241"/>
      <c r="S46" s="249"/>
      <c r="AN46" s="250"/>
    </row>
    <row r="47" spans="1:40">
      <c r="A47" s="249"/>
      <c r="B47" s="108"/>
      <c r="C47" s="39"/>
      <c r="D47" t="s">
        <v>585</v>
      </c>
      <c r="J47" s="141"/>
      <c r="K47" s="141"/>
      <c r="L47" s="141"/>
      <c r="M47" s="141"/>
      <c r="N47" s="141"/>
      <c r="O47" s="141"/>
      <c r="P47" s="141"/>
      <c r="Q47" s="241"/>
      <c r="S47" s="249"/>
      <c r="AN47" s="250"/>
    </row>
    <row r="48" spans="1:40" ht="8.1" customHeight="1">
      <c r="A48" s="249"/>
      <c r="B48" s="108"/>
      <c r="C48" s="39"/>
      <c r="J48" s="141"/>
      <c r="K48" s="141"/>
      <c r="L48" s="141"/>
      <c r="M48" s="141"/>
      <c r="N48" s="141"/>
      <c r="O48" s="141"/>
      <c r="P48" s="141"/>
      <c r="Q48" s="241"/>
      <c r="S48" s="249"/>
      <c r="U48"/>
      <c r="AN48" s="250"/>
    </row>
    <row r="49" spans="1:40">
      <c r="A49" s="249"/>
      <c r="B49" s="108"/>
      <c r="C49" s="39"/>
      <c r="D49" t="s">
        <v>586</v>
      </c>
      <c r="J49" s="141"/>
      <c r="K49" s="141"/>
      <c r="L49" s="141"/>
      <c r="M49" s="141"/>
      <c r="N49" s="141"/>
      <c r="O49" s="141"/>
      <c r="P49" s="141"/>
      <c r="Q49" s="241"/>
      <c r="S49" s="249"/>
      <c r="T49" s="220"/>
      <c r="U49" s="308" t="s">
        <v>587</v>
      </c>
      <c r="V49" s="266"/>
      <c r="W49" s="266"/>
      <c r="X49" s="266"/>
      <c r="Y49" s="266"/>
      <c r="Z49" s="266"/>
      <c r="AA49" s="266"/>
      <c r="AB49" s="266"/>
      <c r="AC49" s="266"/>
      <c r="AD49" s="266"/>
      <c r="AE49" s="266"/>
      <c r="AF49" s="266"/>
      <c r="AG49" s="266"/>
      <c r="AH49" s="266"/>
      <c r="AI49" s="266"/>
      <c r="AJ49" s="266"/>
      <c r="AK49" s="266"/>
      <c r="AL49" s="266"/>
      <c r="AM49" s="267"/>
      <c r="AN49" s="250"/>
    </row>
    <row r="50" spans="1:40" ht="8.1" customHeight="1">
      <c r="A50" s="249"/>
      <c r="B50" s="221"/>
      <c r="C50" s="268"/>
      <c r="D50" s="262"/>
      <c r="E50" s="262"/>
      <c r="F50" s="262"/>
      <c r="G50" s="262"/>
      <c r="H50" s="262"/>
      <c r="I50" s="262"/>
      <c r="J50" s="319"/>
      <c r="K50" s="319"/>
      <c r="L50" s="319"/>
      <c r="M50" s="319"/>
      <c r="N50" s="319"/>
      <c r="O50" s="319"/>
      <c r="P50" s="319"/>
      <c r="Q50" s="263"/>
      <c r="S50" s="249"/>
      <c r="T50" s="108"/>
      <c r="W50" s="302"/>
      <c r="X50" s="302"/>
      <c r="Y50" s="302"/>
      <c r="AA50" s="302"/>
      <c r="AC50" s="302"/>
      <c r="AD50" s="302"/>
      <c r="AE50" s="302"/>
      <c r="AF50" s="302"/>
      <c r="AG50" s="302"/>
      <c r="AH50" s="21"/>
      <c r="AI50" s="302"/>
      <c r="AJ50" s="302"/>
      <c r="AK50" s="302"/>
      <c r="AL50" s="302"/>
      <c r="AM50" s="303"/>
      <c r="AN50" s="250"/>
    </row>
    <row r="51" spans="1:40" ht="15" customHeight="1">
      <c r="A51" s="249"/>
      <c r="S51" s="249"/>
      <c r="T51" s="108"/>
      <c r="U51" s="302"/>
      <c r="V51" s="21" t="s">
        <v>588</v>
      </c>
      <c r="W51" s="302"/>
      <c r="X51" s="302"/>
      <c r="Y51" s="302"/>
      <c r="Z51" s="302"/>
      <c r="AA51" s="257" t="s">
        <v>361</v>
      </c>
      <c r="AB51" s="141"/>
      <c r="AC51" s="257" t="s">
        <v>440</v>
      </c>
      <c r="AD51" s="141"/>
      <c r="AE51" s="257" t="s">
        <v>419</v>
      </c>
      <c r="AF51" s="141"/>
      <c r="AG51" s="252"/>
      <c r="AH51" s="304"/>
      <c r="AI51" s="304"/>
      <c r="AJ51" s="304"/>
      <c r="AK51" s="304"/>
      <c r="AL51" s="304"/>
      <c r="AM51" s="303"/>
      <c r="AN51" s="250"/>
    </row>
    <row r="52" spans="1:40" ht="12.75" customHeight="1">
      <c r="A52" s="249"/>
      <c r="C52" s="36"/>
      <c r="D52" s="36"/>
      <c r="E52" s="36" t="s">
        <v>589</v>
      </c>
      <c r="F52" s="36"/>
      <c r="G52" s="36"/>
      <c r="H52" s="36"/>
      <c r="I52" s="36"/>
      <c r="J52" s="36"/>
      <c r="K52" s="36"/>
      <c r="L52" s="36"/>
      <c r="M52" s="36"/>
      <c r="N52" s="36"/>
      <c r="O52" s="36"/>
      <c r="P52" s="36"/>
      <c r="Q52" s="36"/>
      <c r="R52" s="36"/>
      <c r="S52" s="249"/>
      <c r="T52" s="108"/>
      <c r="U52"/>
      <c r="V52" s="302"/>
      <c r="W52" s="302"/>
      <c r="X52" s="302"/>
      <c r="Y52" s="302"/>
      <c r="Z52" s="302"/>
      <c r="AA52" s="302"/>
      <c r="AB52" s="302"/>
      <c r="AC52" s="302"/>
      <c r="AD52" s="302"/>
      <c r="AE52" s="302"/>
      <c r="AF52" s="302"/>
      <c r="AG52" s="302"/>
      <c r="AH52" s="302"/>
      <c r="AI52" s="302"/>
      <c r="AJ52" s="302"/>
      <c r="AK52" s="302"/>
      <c r="AL52" s="302"/>
      <c r="AM52" s="303"/>
      <c r="AN52" s="250"/>
    </row>
    <row r="53" spans="1:40" ht="8.1" customHeight="1">
      <c r="A53" s="249"/>
      <c r="C53" s="39"/>
      <c r="S53" s="249"/>
      <c r="T53" s="108"/>
      <c r="AM53" s="241"/>
      <c r="AN53" s="250"/>
    </row>
    <row r="54" spans="1:40" ht="8.1" customHeight="1">
      <c r="A54" s="249"/>
      <c r="B54" s="220"/>
      <c r="C54" s="301"/>
      <c r="D54" s="266"/>
      <c r="E54" s="266"/>
      <c r="F54" s="266"/>
      <c r="G54" s="266"/>
      <c r="H54" s="266"/>
      <c r="I54" s="266"/>
      <c r="J54" s="266"/>
      <c r="K54" s="266"/>
      <c r="L54" s="266"/>
      <c r="M54" s="266"/>
      <c r="N54" s="266"/>
      <c r="O54" s="266"/>
      <c r="P54" s="266"/>
      <c r="Q54" s="267"/>
      <c r="S54" s="249"/>
      <c r="T54" s="108"/>
      <c r="U54"/>
      <c r="AM54" s="303"/>
      <c r="AN54" s="250"/>
    </row>
    <row r="55" spans="1:40">
      <c r="A55" s="249"/>
      <c r="B55" s="108"/>
      <c r="C55" s="41" t="s">
        <v>590</v>
      </c>
      <c r="E55" s="302"/>
      <c r="F55" s="302"/>
      <c r="G55" s="302"/>
      <c r="H55" s="302"/>
      <c r="I55" s="302"/>
      <c r="J55" s="302"/>
      <c r="K55" s="302"/>
      <c r="L55" s="302"/>
      <c r="M55" s="302"/>
      <c r="N55" s="302"/>
      <c r="O55" s="302"/>
      <c r="P55" s="302"/>
      <c r="Q55" s="303"/>
      <c r="R55" s="302"/>
      <c r="S55" s="249"/>
      <c r="T55" s="108"/>
      <c r="V55" s="21" t="s">
        <v>177</v>
      </c>
      <c r="W55" s="302"/>
      <c r="X55" s="302"/>
      <c r="Y55" s="302"/>
      <c r="Z55" s="21" t="s">
        <v>591</v>
      </c>
      <c r="AA55" s="252"/>
      <c r="AB55" s="304"/>
      <c r="AC55" s="304"/>
      <c r="AD55" s="304"/>
      <c r="AE55" s="304"/>
      <c r="AF55" s="304"/>
      <c r="AG55" s="252"/>
      <c r="AH55" s="304"/>
      <c r="AI55" s="304"/>
      <c r="AJ55" s="304"/>
      <c r="AK55" s="304"/>
      <c r="AL55" s="304"/>
      <c r="AM55" s="241"/>
      <c r="AN55" s="250"/>
    </row>
    <row r="56" spans="1:40" ht="8.1" customHeight="1">
      <c r="A56" s="249"/>
      <c r="B56" s="108"/>
      <c r="Q56" s="235"/>
      <c r="S56" s="249"/>
      <c r="T56" s="221"/>
      <c r="U56" s="242"/>
      <c r="V56" s="262"/>
      <c r="W56" s="262"/>
      <c r="X56" s="306"/>
      <c r="Y56" s="306"/>
      <c r="Z56" s="306"/>
      <c r="AA56" s="306"/>
      <c r="AB56" s="306"/>
      <c r="AC56" s="120"/>
      <c r="AD56" s="120"/>
      <c r="AE56" s="120"/>
      <c r="AF56" s="120"/>
      <c r="AG56" s="306"/>
      <c r="AH56" s="306"/>
      <c r="AI56" s="120"/>
      <c r="AJ56" s="120"/>
      <c r="AK56" s="120"/>
      <c r="AL56" s="120"/>
      <c r="AM56" s="307"/>
      <c r="AN56" s="250"/>
    </row>
    <row r="57" spans="1:40">
      <c r="A57" s="249"/>
      <c r="B57" s="108"/>
      <c r="C57" s="21" t="s">
        <v>592</v>
      </c>
      <c r="E57" s="302"/>
      <c r="F57" s="302"/>
      <c r="G57" s="302"/>
      <c r="H57" s="302"/>
      <c r="I57" s="302"/>
      <c r="J57" s="302"/>
      <c r="K57" s="302"/>
      <c r="L57" s="302"/>
      <c r="M57" s="302"/>
      <c r="N57" s="302"/>
      <c r="O57" s="302"/>
      <c r="P57" s="302"/>
      <c r="Q57" s="303"/>
      <c r="R57" s="302"/>
      <c r="S57" s="249"/>
      <c r="U57"/>
      <c r="V57" s="21"/>
      <c r="W57" s="302"/>
      <c r="X57" s="302"/>
      <c r="Y57" s="302"/>
      <c r="Z57" s="302"/>
      <c r="AA57" s="302"/>
      <c r="AC57" s="302"/>
      <c r="AD57" s="302"/>
      <c r="AE57" s="302"/>
      <c r="AG57" s="302"/>
      <c r="AI57" s="302"/>
      <c r="AJ57" s="302"/>
      <c r="AK57" s="302"/>
      <c r="AL57" s="302"/>
      <c r="AN57" s="250"/>
    </row>
    <row r="58" spans="1:40" ht="8.1" customHeight="1">
      <c r="A58" s="249"/>
      <c r="B58" s="108"/>
      <c r="C58" s="302"/>
      <c r="E58" s="302"/>
      <c r="F58" s="302"/>
      <c r="G58" s="302"/>
      <c r="H58" s="302"/>
      <c r="I58" s="302"/>
      <c r="J58" s="302"/>
      <c r="K58" s="302"/>
      <c r="L58" s="302"/>
      <c r="M58" s="302"/>
      <c r="N58" s="302"/>
      <c r="O58" s="302"/>
      <c r="P58" s="302"/>
      <c r="Q58" s="303"/>
      <c r="R58" s="302"/>
      <c r="S58" s="249"/>
      <c r="V58" s="302"/>
      <c r="W58" s="302"/>
      <c r="X58" s="302"/>
      <c r="Y58" s="302"/>
      <c r="Z58" s="302"/>
      <c r="AA58" s="302"/>
      <c r="AB58" s="302"/>
      <c r="AC58" s="302"/>
      <c r="AD58" s="302"/>
      <c r="AE58" s="302"/>
      <c r="AF58" s="302"/>
      <c r="AG58" s="302"/>
      <c r="AH58" s="302"/>
      <c r="AI58" s="302"/>
      <c r="AJ58" s="302"/>
      <c r="AK58" s="302"/>
      <c r="AL58" s="302"/>
      <c r="AM58" s="302"/>
      <c r="AN58" s="250"/>
    </row>
    <row r="59" spans="1:40">
      <c r="A59" s="249"/>
      <c r="B59" s="108"/>
      <c r="E59" s="21" t="s">
        <v>593</v>
      </c>
      <c r="G59" s="302"/>
      <c r="H59" s="302"/>
      <c r="I59" s="302"/>
      <c r="J59" s="302"/>
      <c r="K59" s="141"/>
      <c r="L59" s="141"/>
      <c r="M59" s="304"/>
      <c r="N59" s="304"/>
      <c r="O59" s="304"/>
      <c r="P59" s="304"/>
      <c r="Q59" s="320"/>
      <c r="S59" s="321"/>
      <c r="V59" s="21"/>
      <c r="W59" s="302"/>
      <c r="AB59" s="21"/>
      <c r="AF59" s="302"/>
      <c r="AH59" s="21"/>
      <c r="AM59" s="302"/>
      <c r="AN59" s="250"/>
    </row>
    <row r="60" spans="1:40" ht="8.1" customHeight="1">
      <c r="A60" s="249"/>
      <c r="B60" s="108"/>
      <c r="C60" s="302"/>
      <c r="E60" s="302"/>
      <c r="F60" s="302"/>
      <c r="G60" s="302"/>
      <c r="H60" s="302"/>
      <c r="I60" s="302"/>
      <c r="J60" s="302"/>
      <c r="K60" s="302"/>
      <c r="L60" s="302"/>
      <c r="M60" s="302"/>
      <c r="N60" s="302"/>
      <c r="O60" s="302"/>
      <c r="P60" s="302"/>
      <c r="Q60" s="303"/>
      <c r="R60" s="302"/>
      <c r="S60" s="249"/>
      <c r="AN60" s="250"/>
    </row>
    <row r="61" spans="1:40">
      <c r="A61" s="249"/>
      <c r="B61" s="108"/>
      <c r="C61" s="21" t="s">
        <v>594</v>
      </c>
      <c r="E61" s="302"/>
      <c r="F61" s="302"/>
      <c r="G61" s="302"/>
      <c r="H61" s="302"/>
      <c r="I61" s="302"/>
      <c r="J61" s="302"/>
      <c r="K61" s="302"/>
      <c r="L61" s="302"/>
      <c r="M61" s="302"/>
      <c r="N61" s="302"/>
      <c r="O61" s="302"/>
      <c r="P61" s="302"/>
      <c r="Q61" s="303"/>
      <c r="R61" s="302"/>
      <c r="S61" s="249"/>
      <c r="U61" s="35" t="s">
        <v>519</v>
      </c>
      <c r="AN61" s="250"/>
    </row>
    <row r="62" spans="1:40" ht="8.1" customHeight="1">
      <c r="A62" s="249"/>
      <c r="B62" s="108"/>
      <c r="C62" s="302"/>
      <c r="D62" s="21"/>
      <c r="E62" s="302"/>
      <c r="F62" s="302"/>
      <c r="G62" s="302"/>
      <c r="H62" s="302"/>
      <c r="I62" s="302"/>
      <c r="J62" s="302"/>
      <c r="K62" s="302"/>
      <c r="L62" s="302"/>
      <c r="M62" s="302"/>
      <c r="N62" s="302"/>
      <c r="O62" s="302"/>
      <c r="P62" s="302"/>
      <c r="Q62" s="303"/>
      <c r="R62" s="302"/>
      <c r="S62" s="249"/>
      <c r="AN62" s="250"/>
    </row>
    <row r="63" spans="1:40">
      <c r="A63" s="249"/>
      <c r="B63" s="108"/>
      <c r="C63" s="21" t="s">
        <v>595</v>
      </c>
      <c r="D63" s="21"/>
      <c r="E63" s="302"/>
      <c r="F63" s="302"/>
      <c r="J63" s="257" t="s">
        <v>361</v>
      </c>
      <c r="K63" s="141"/>
      <c r="L63" s="257" t="s">
        <v>440</v>
      </c>
      <c r="M63" s="141"/>
      <c r="N63" s="257" t="s">
        <v>419</v>
      </c>
      <c r="P63" s="317"/>
      <c r="Q63" s="322"/>
      <c r="R63" s="240"/>
      <c r="S63" s="249"/>
      <c r="Z63" s="21" t="s">
        <v>591</v>
      </c>
      <c r="AA63" s="252"/>
      <c r="AB63" s="304"/>
      <c r="AC63" s="304"/>
      <c r="AD63" s="304"/>
      <c r="AE63" s="304"/>
      <c r="AF63" s="304"/>
      <c r="AG63" s="252"/>
      <c r="AH63" s="304"/>
      <c r="AI63" s="304"/>
      <c r="AJ63" s="304"/>
      <c r="AK63" s="304"/>
      <c r="AL63" s="304"/>
      <c r="AN63" s="250"/>
    </row>
    <row r="64" spans="1:40" ht="8.1" customHeight="1">
      <c r="A64" s="249"/>
      <c r="B64" s="108"/>
      <c r="C64" s="118"/>
      <c r="D64" s="118"/>
      <c r="E64" s="323"/>
      <c r="F64" s="323"/>
      <c r="J64" s="323"/>
      <c r="K64" s="323"/>
      <c r="L64" s="323"/>
      <c r="M64" s="323"/>
      <c r="N64" s="323"/>
      <c r="Q64" s="324"/>
      <c r="R64" s="323"/>
      <c r="S64" s="249"/>
      <c r="AN64" s="250"/>
    </row>
    <row r="65" spans="1:40">
      <c r="A65" s="249"/>
      <c r="B65" s="108"/>
      <c r="C65" s="41" t="s">
        <v>596</v>
      </c>
      <c r="E65" s="302"/>
      <c r="F65" s="302"/>
      <c r="G65" s="302"/>
      <c r="H65" s="302"/>
      <c r="I65" s="302"/>
      <c r="J65" s="302"/>
      <c r="K65" s="302"/>
      <c r="L65" s="302"/>
      <c r="M65" s="302"/>
      <c r="N65" s="302"/>
      <c r="O65" s="302"/>
      <c r="P65" s="302"/>
      <c r="Q65" s="303"/>
      <c r="R65" s="302"/>
      <c r="S65" s="249"/>
      <c r="AN65" s="250"/>
    </row>
    <row r="66" spans="1:40" ht="8.1" customHeight="1">
      <c r="A66" s="249"/>
      <c r="B66" s="108"/>
      <c r="Q66" s="235"/>
      <c r="S66" s="249"/>
      <c r="AM66" s="302"/>
      <c r="AN66" s="250"/>
    </row>
    <row r="67" spans="1:40">
      <c r="A67" s="249"/>
      <c r="B67" s="108"/>
      <c r="C67" s="21" t="s">
        <v>592</v>
      </c>
      <c r="E67" s="302"/>
      <c r="F67" s="302"/>
      <c r="G67" s="302"/>
      <c r="H67" s="302"/>
      <c r="I67" s="302"/>
      <c r="J67" s="302"/>
      <c r="K67" s="302"/>
      <c r="L67" s="302"/>
      <c r="M67" s="302"/>
      <c r="N67" s="302"/>
      <c r="O67" s="302"/>
      <c r="P67" s="302"/>
      <c r="Q67" s="303"/>
      <c r="R67" s="302"/>
      <c r="S67" s="249"/>
      <c r="AN67" s="250"/>
    </row>
    <row r="68" spans="1:40" ht="8.1" customHeight="1">
      <c r="A68" s="249"/>
      <c r="B68" s="108"/>
      <c r="C68" s="302"/>
      <c r="E68" s="302"/>
      <c r="F68" s="302"/>
      <c r="G68" s="302"/>
      <c r="H68" s="302"/>
      <c r="I68" s="302"/>
      <c r="J68" s="302"/>
      <c r="K68" s="302"/>
      <c r="L68" s="302"/>
      <c r="M68" s="302"/>
      <c r="N68" s="302"/>
      <c r="O68" s="302"/>
      <c r="P68" s="302"/>
      <c r="Q68" s="303"/>
      <c r="R68" s="302"/>
      <c r="S68" s="249"/>
      <c r="V68" s="302"/>
      <c r="W68" s="302"/>
      <c r="X68" s="302"/>
      <c r="Y68" s="302"/>
      <c r="Z68" s="302"/>
      <c r="AA68" s="302"/>
      <c r="AB68" s="302"/>
      <c r="AC68" s="302"/>
      <c r="AD68" s="302"/>
      <c r="AE68" s="302"/>
      <c r="AF68" s="302"/>
      <c r="AG68" s="302"/>
      <c r="AH68" s="302"/>
      <c r="AI68" s="302"/>
      <c r="AJ68" s="302"/>
      <c r="AK68" s="302"/>
      <c r="AL68" s="302"/>
      <c r="AM68" s="302"/>
      <c r="AN68" s="250"/>
    </row>
    <row r="69" spans="1:40">
      <c r="A69" s="249"/>
      <c r="B69" s="108"/>
      <c r="E69" s="21" t="s">
        <v>597</v>
      </c>
      <c r="G69" s="302"/>
      <c r="H69" s="302"/>
      <c r="I69" s="302"/>
      <c r="J69" s="302"/>
      <c r="K69" s="141"/>
      <c r="L69" s="141"/>
      <c r="M69" s="304"/>
      <c r="N69" s="304"/>
      <c r="O69" s="304"/>
      <c r="P69" s="304"/>
      <c r="Q69" s="320"/>
      <c r="S69" s="321"/>
      <c r="U69" s="35" t="s">
        <v>598</v>
      </c>
      <c r="AM69" s="302"/>
      <c r="AN69" s="250"/>
    </row>
    <row r="70" spans="1:40" ht="8.1" customHeight="1">
      <c r="A70" s="249"/>
      <c r="B70" s="108"/>
      <c r="C70" s="302"/>
      <c r="E70" s="302"/>
      <c r="F70" s="302"/>
      <c r="G70" s="302"/>
      <c r="H70" s="302"/>
      <c r="I70" s="302"/>
      <c r="J70" s="302"/>
      <c r="K70" s="302"/>
      <c r="L70" s="302"/>
      <c r="M70" s="302"/>
      <c r="N70" s="302"/>
      <c r="O70" s="302"/>
      <c r="P70" s="302"/>
      <c r="Q70" s="303"/>
      <c r="R70" s="302"/>
      <c r="S70" s="249"/>
      <c r="AN70" s="250"/>
    </row>
    <row r="71" spans="1:40">
      <c r="A71" s="249"/>
      <c r="B71" s="108"/>
      <c r="C71" s="21" t="s">
        <v>599</v>
      </c>
      <c r="E71" s="302"/>
      <c r="F71" s="302"/>
      <c r="G71" s="302"/>
      <c r="H71" s="302"/>
      <c r="I71" s="302"/>
      <c r="J71" s="302"/>
      <c r="K71" s="302"/>
      <c r="L71" s="302"/>
      <c r="M71" s="302"/>
      <c r="N71" s="302"/>
      <c r="O71" s="302"/>
      <c r="P71" s="302"/>
      <c r="Q71" s="303"/>
      <c r="R71" s="302"/>
      <c r="S71" s="249"/>
      <c r="Z71" s="21" t="s">
        <v>591</v>
      </c>
      <c r="AA71" s="252"/>
      <c r="AB71" s="304"/>
      <c r="AC71" s="304"/>
      <c r="AD71" s="304"/>
      <c r="AE71" s="304"/>
      <c r="AF71" s="304"/>
      <c r="AG71" s="252"/>
      <c r="AH71" s="304"/>
      <c r="AI71" s="304"/>
      <c r="AJ71" s="304"/>
      <c r="AK71" s="304"/>
      <c r="AL71" s="304"/>
      <c r="AN71" s="250"/>
    </row>
    <row r="72" spans="1:40" ht="8.1" customHeight="1">
      <c r="A72" s="249"/>
      <c r="B72" s="108"/>
      <c r="C72" s="302"/>
      <c r="D72" s="21"/>
      <c r="E72" s="302"/>
      <c r="F72" s="302"/>
      <c r="G72" s="302"/>
      <c r="H72" s="302"/>
      <c r="I72" s="302"/>
      <c r="J72" s="302"/>
      <c r="K72" s="302"/>
      <c r="L72" s="302"/>
      <c r="M72" s="302"/>
      <c r="N72" s="302"/>
      <c r="O72" s="302"/>
      <c r="P72" s="302"/>
      <c r="Q72" s="303"/>
      <c r="R72" s="302"/>
      <c r="S72" s="249"/>
      <c r="AN72" s="250"/>
    </row>
    <row r="73" spans="1:40">
      <c r="A73" s="249"/>
      <c r="B73" s="108"/>
      <c r="C73" s="21" t="s">
        <v>600</v>
      </c>
      <c r="D73" s="21"/>
      <c r="E73" s="302"/>
      <c r="F73" s="302"/>
      <c r="J73" s="141"/>
      <c r="K73" s="141"/>
      <c r="L73" s="141"/>
      <c r="M73" s="141"/>
      <c r="N73" s="141"/>
      <c r="Q73" s="325"/>
      <c r="R73" s="240"/>
      <c r="S73" s="249"/>
      <c r="AN73" s="250"/>
    </row>
    <row r="74" spans="1:40" ht="8.1" customHeight="1">
      <c r="A74" s="249"/>
      <c r="B74" s="221"/>
      <c r="C74" s="242"/>
      <c r="D74" s="262"/>
      <c r="E74" s="262"/>
      <c r="F74" s="262"/>
      <c r="G74" s="262"/>
      <c r="H74" s="262"/>
      <c r="I74" s="262"/>
      <c r="J74" s="262"/>
      <c r="K74" s="262"/>
      <c r="L74" s="262"/>
      <c r="M74" s="262"/>
      <c r="N74" s="262"/>
      <c r="O74" s="262"/>
      <c r="P74" s="262"/>
      <c r="Q74" s="263"/>
      <c r="S74" s="249"/>
      <c r="AN74" s="250"/>
    </row>
    <row r="75" spans="1:40" ht="20.100000000000001" customHeight="1">
      <c r="A75" s="249"/>
      <c r="S75" s="249"/>
      <c r="U75"/>
      <c r="AN75" s="250"/>
    </row>
    <row r="76" spans="1:40" ht="8.1" customHeight="1">
      <c r="A76" s="249"/>
      <c r="B76" s="220"/>
      <c r="C76" s="301"/>
      <c r="D76" s="266"/>
      <c r="E76" s="266"/>
      <c r="F76" s="266"/>
      <c r="G76" s="266"/>
      <c r="H76" s="266"/>
      <c r="I76" s="266"/>
      <c r="J76" s="266"/>
      <c r="K76" s="266"/>
      <c r="L76" s="266"/>
      <c r="M76" s="266"/>
      <c r="N76" s="266"/>
      <c r="O76" s="266"/>
      <c r="P76" s="266"/>
      <c r="Q76" s="267"/>
      <c r="S76" s="249"/>
      <c r="T76" s="220"/>
      <c r="U76" s="266"/>
      <c r="V76" s="266"/>
      <c r="W76" s="266"/>
      <c r="X76" s="266"/>
      <c r="Y76" s="266"/>
      <c r="Z76" s="266"/>
      <c r="AA76" s="266"/>
      <c r="AB76" s="266"/>
      <c r="AC76" s="266"/>
      <c r="AD76" s="266"/>
      <c r="AE76" s="266"/>
      <c r="AF76" s="266"/>
      <c r="AG76" s="266"/>
      <c r="AH76" s="266"/>
      <c r="AI76" s="266"/>
      <c r="AJ76" s="266"/>
      <c r="AK76" s="266"/>
      <c r="AL76" s="266"/>
      <c r="AM76" s="267"/>
      <c r="AN76" s="250"/>
    </row>
    <row r="77" spans="1:40">
      <c r="A77" s="249"/>
      <c r="B77" s="1659" t="s">
        <v>0</v>
      </c>
      <c r="C77" s="1660"/>
      <c r="D77" s="1660"/>
      <c r="E77" s="1660"/>
      <c r="F77" s="1660"/>
      <c r="G77" s="1660"/>
      <c r="H77" s="1660"/>
      <c r="I77" s="1660"/>
      <c r="J77" s="1660"/>
      <c r="K77" s="1660"/>
      <c r="L77" s="1660"/>
      <c r="M77" s="1660"/>
      <c r="N77" s="1660"/>
      <c r="O77" s="1660"/>
      <c r="P77" s="1660"/>
      <c r="Q77" s="1661"/>
      <c r="S77" s="249"/>
      <c r="T77" s="108"/>
      <c r="U77" s="36" t="s">
        <v>1</v>
      </c>
      <c r="AM77" s="235"/>
      <c r="AN77" s="250"/>
    </row>
    <row r="78" spans="1:40" ht="12.75" customHeight="1">
      <c r="A78" s="249"/>
      <c r="B78" s="237"/>
      <c r="C78" s="35"/>
      <c r="D78" s="35"/>
      <c r="E78" s="35"/>
      <c r="F78" s="35"/>
      <c r="G78" s="35"/>
      <c r="H78" s="35"/>
      <c r="I78" s="35"/>
      <c r="J78" s="35"/>
      <c r="K78" s="35"/>
      <c r="L78" s="35"/>
      <c r="M78" s="35"/>
      <c r="N78" s="35"/>
      <c r="O78" s="35"/>
      <c r="P78" s="35"/>
      <c r="Q78" s="238"/>
      <c r="S78" s="249"/>
      <c r="T78" s="108"/>
      <c r="U78"/>
      <c r="AM78" s="241"/>
      <c r="AN78" s="250"/>
    </row>
    <row r="79" spans="1:40">
      <c r="A79" s="249"/>
      <c r="B79" s="108"/>
      <c r="C79" t="s">
        <v>2</v>
      </c>
      <c r="G79" s="317"/>
      <c r="H79" s="317"/>
      <c r="I79" s="252"/>
      <c r="J79" s="252"/>
      <c r="K79" s="252"/>
      <c r="L79" s="252"/>
      <c r="M79" s="240" t="s">
        <v>516</v>
      </c>
      <c r="N79" s="240"/>
      <c r="O79" s="240"/>
      <c r="P79" s="236"/>
      <c r="Q79" s="235"/>
      <c r="S79" s="249"/>
      <c r="T79" s="108"/>
      <c r="U79" t="s">
        <v>3</v>
      </c>
      <c r="X79" s="240" t="s">
        <v>4</v>
      </c>
      <c r="AB79" s="290" t="s">
        <v>814</v>
      </c>
      <c r="AH79" s="240"/>
      <c r="AM79" s="326"/>
      <c r="AN79" s="250"/>
    </row>
    <row r="80" spans="1:40" ht="12.75" customHeight="1">
      <c r="A80" s="249"/>
      <c r="B80" s="108"/>
      <c r="I80" s="240"/>
      <c r="J80" s="240"/>
      <c r="K80" s="240"/>
      <c r="L80" s="240"/>
      <c r="M80" s="240"/>
      <c r="N80" s="240"/>
      <c r="O80" s="240"/>
      <c r="P80" s="240"/>
      <c r="Q80" s="235"/>
      <c r="S80" s="249"/>
      <c r="T80" s="108"/>
      <c r="V80" s="240"/>
      <c r="W80" s="240"/>
      <c r="Y80" s="240"/>
      <c r="Z80" s="240"/>
      <c r="AA80" s="240"/>
      <c r="AC80" s="240"/>
      <c r="AD80" s="240"/>
      <c r="AE80" s="240"/>
      <c r="AG80" s="240"/>
      <c r="AI80" s="240"/>
      <c r="AJ80" s="240"/>
      <c r="AK80" s="240"/>
      <c r="AL80" s="240"/>
      <c r="AM80" s="303"/>
      <c r="AN80" s="250"/>
    </row>
    <row r="81" spans="1:40">
      <c r="A81" s="249"/>
      <c r="B81" s="108"/>
      <c r="C81" s="254"/>
      <c r="G81" s="317"/>
      <c r="H81" s="317"/>
      <c r="I81" s="252"/>
      <c r="J81" s="252"/>
      <c r="K81" s="252"/>
      <c r="L81" s="252"/>
      <c r="M81" s="240" t="s">
        <v>516</v>
      </c>
      <c r="N81" s="240"/>
      <c r="O81" s="240"/>
      <c r="P81" s="236"/>
      <c r="Q81" s="241"/>
      <c r="S81" s="249"/>
      <c r="T81" s="108"/>
      <c r="U81"/>
      <c r="V81" s="240"/>
      <c r="W81" s="240"/>
      <c r="X81" s="240"/>
      <c r="Y81" s="240"/>
      <c r="Z81" s="240"/>
      <c r="AA81" s="240"/>
      <c r="AB81" s="240"/>
      <c r="AC81" s="240"/>
      <c r="AD81" s="240"/>
      <c r="AE81" s="240"/>
      <c r="AG81" s="240"/>
      <c r="AH81" s="240"/>
      <c r="AI81" s="240"/>
      <c r="AJ81" s="240"/>
      <c r="AK81" s="240"/>
      <c r="AL81" s="240"/>
      <c r="AM81" s="259"/>
      <c r="AN81" s="250"/>
    </row>
    <row r="82" spans="1:40" ht="12.75" customHeight="1">
      <c r="A82" s="249"/>
      <c r="B82" s="108"/>
      <c r="C82" s="254"/>
      <c r="I82" s="240"/>
      <c r="J82" s="240"/>
      <c r="K82" s="240"/>
      <c r="L82" s="240"/>
      <c r="M82" s="240"/>
      <c r="N82" s="240"/>
      <c r="O82" s="240"/>
      <c r="P82" s="240"/>
      <c r="Q82" s="235"/>
      <c r="S82" s="249"/>
      <c r="T82" s="108"/>
      <c r="U82"/>
      <c r="V82" s="240"/>
      <c r="W82" s="240"/>
      <c r="X82" s="240"/>
      <c r="Y82" s="240"/>
      <c r="Z82" s="240"/>
      <c r="AA82" s="240"/>
      <c r="AB82" s="240"/>
      <c r="AC82" s="240"/>
      <c r="AD82" s="240"/>
      <c r="AE82" s="240"/>
      <c r="AG82" s="240"/>
      <c r="AH82" s="240"/>
      <c r="AI82" s="240"/>
      <c r="AJ82" s="240"/>
      <c r="AK82" s="240"/>
      <c r="AL82" s="240"/>
      <c r="AM82" s="235"/>
      <c r="AN82" s="250"/>
    </row>
    <row r="83" spans="1:40">
      <c r="A83" s="249"/>
      <c r="B83" s="108"/>
      <c r="C83" s="254"/>
      <c r="G83" s="317"/>
      <c r="H83" s="317"/>
      <c r="I83" s="252"/>
      <c r="J83" s="252"/>
      <c r="K83" s="252"/>
      <c r="L83" s="252"/>
      <c r="M83" s="240" t="s">
        <v>516</v>
      </c>
      <c r="N83" s="240"/>
      <c r="O83" s="240"/>
      <c r="P83" s="236"/>
      <c r="Q83" s="241"/>
      <c r="S83" s="249"/>
      <c r="T83" s="108"/>
      <c r="U83"/>
      <c r="V83" s="240"/>
      <c r="W83" s="240"/>
      <c r="X83" s="240"/>
      <c r="Y83" s="240"/>
      <c r="Z83" s="240"/>
      <c r="AA83" s="240"/>
      <c r="AB83" s="240"/>
      <c r="AC83" s="240"/>
      <c r="AD83" s="240"/>
      <c r="AE83" s="240"/>
      <c r="AG83" s="240"/>
      <c r="AH83" s="240"/>
      <c r="AI83" s="240"/>
      <c r="AJ83" s="240"/>
      <c r="AK83" s="240"/>
      <c r="AL83" s="240"/>
      <c r="AM83" s="259"/>
      <c r="AN83" s="250"/>
    </row>
    <row r="84" spans="1:40" ht="12.75" customHeight="1">
      <c r="A84" s="249"/>
      <c r="B84" s="108"/>
      <c r="C84" s="254"/>
      <c r="I84" s="240"/>
      <c r="J84" s="240"/>
      <c r="K84" s="240"/>
      <c r="L84" s="240"/>
      <c r="M84" s="240"/>
      <c r="N84" s="240"/>
      <c r="O84" s="240"/>
      <c r="P84" s="240"/>
      <c r="Q84" s="235"/>
      <c r="S84" s="249"/>
      <c r="T84" s="108"/>
      <c r="U84"/>
      <c r="V84" s="240"/>
      <c r="W84" s="240"/>
      <c r="X84" s="240"/>
      <c r="Y84" s="240"/>
      <c r="Z84" s="240"/>
      <c r="AA84" s="240"/>
      <c r="AB84" s="240"/>
      <c r="AC84" s="240"/>
      <c r="AD84" s="240"/>
      <c r="AE84" s="240"/>
      <c r="AG84" s="240"/>
      <c r="AH84" s="240"/>
      <c r="AI84" s="240"/>
      <c r="AJ84" s="240"/>
      <c r="AK84" s="240"/>
      <c r="AL84" s="240"/>
      <c r="AM84" s="235"/>
      <c r="AN84" s="250"/>
    </row>
    <row r="85" spans="1:40">
      <c r="A85" s="249"/>
      <c r="B85" s="108"/>
      <c r="C85" s="39"/>
      <c r="G85" s="317"/>
      <c r="H85" s="317"/>
      <c r="I85" s="252"/>
      <c r="J85" s="252"/>
      <c r="K85" s="252"/>
      <c r="L85" s="252"/>
      <c r="M85" s="240" t="s">
        <v>516</v>
      </c>
      <c r="N85" s="240"/>
      <c r="O85" s="240"/>
      <c r="P85" s="236"/>
      <c r="Q85" s="241"/>
      <c r="S85" s="249"/>
      <c r="T85" s="108"/>
      <c r="U85"/>
      <c r="V85" s="240"/>
      <c r="W85" s="240"/>
      <c r="X85" s="240" t="s">
        <v>4</v>
      </c>
      <c r="Y85" s="240"/>
      <c r="Z85" s="240"/>
      <c r="AA85" s="240"/>
      <c r="AB85" s="290" t="s">
        <v>1043</v>
      </c>
      <c r="AC85" s="240"/>
      <c r="AD85" s="240"/>
      <c r="AE85" s="240"/>
      <c r="AG85" s="240"/>
      <c r="AH85" s="240"/>
      <c r="AI85" s="240"/>
      <c r="AJ85" s="240"/>
      <c r="AK85" s="240"/>
      <c r="AL85" s="240"/>
      <c r="AM85" s="235"/>
      <c r="AN85" s="250"/>
    </row>
    <row r="86" spans="1:40" ht="12.75" customHeight="1">
      <c r="A86" s="249"/>
      <c r="B86" s="108"/>
      <c r="C86" s="39"/>
      <c r="I86" s="240"/>
      <c r="J86" s="240"/>
      <c r="K86" s="240"/>
      <c r="L86" s="240"/>
      <c r="M86" s="240"/>
      <c r="N86" s="240"/>
      <c r="O86" s="240"/>
      <c r="P86" s="240"/>
      <c r="Q86" s="241"/>
      <c r="S86" s="249"/>
      <c r="T86" s="108"/>
      <c r="U86"/>
      <c r="V86" s="240"/>
      <c r="W86" s="240"/>
      <c r="Y86" s="240"/>
      <c r="Z86" s="240"/>
      <c r="AA86" s="240"/>
      <c r="AC86" s="240"/>
      <c r="AD86" s="240"/>
      <c r="AE86" s="240"/>
      <c r="AG86" s="240"/>
      <c r="AI86" s="240"/>
      <c r="AJ86" s="240"/>
      <c r="AK86" s="240"/>
      <c r="AL86" s="240"/>
      <c r="AM86" s="327"/>
      <c r="AN86" s="250"/>
    </row>
    <row r="87" spans="1:40">
      <c r="A87" s="249"/>
      <c r="B87" s="108"/>
      <c r="C87" s="39"/>
      <c r="G87" s="317"/>
      <c r="H87" s="317"/>
      <c r="I87" s="252"/>
      <c r="J87" s="252"/>
      <c r="K87" s="252"/>
      <c r="L87" s="252"/>
      <c r="M87" s="240" t="s">
        <v>516</v>
      </c>
      <c r="N87" s="240"/>
      <c r="O87" s="240"/>
      <c r="P87" s="236"/>
      <c r="Q87" s="241"/>
      <c r="S87" s="249"/>
      <c r="T87" s="108"/>
      <c r="U87"/>
      <c r="V87" s="240"/>
      <c r="W87" s="240"/>
      <c r="X87" s="240"/>
      <c r="Y87" s="240"/>
      <c r="Z87" s="240"/>
      <c r="AA87" s="240"/>
      <c r="AB87" s="240"/>
      <c r="AC87" s="240"/>
      <c r="AD87" s="240"/>
      <c r="AE87" s="240"/>
      <c r="AG87" s="240"/>
      <c r="AH87" s="240"/>
      <c r="AI87" s="240"/>
      <c r="AJ87" s="240"/>
      <c r="AK87" s="240"/>
      <c r="AL87" s="240"/>
      <c r="AM87" s="327"/>
      <c r="AN87" s="250"/>
    </row>
    <row r="88" spans="1:40" ht="34.5" customHeight="1">
      <c r="A88" s="249"/>
      <c r="B88" s="221"/>
      <c r="C88" s="242"/>
      <c r="D88" s="262"/>
      <c r="E88" s="262"/>
      <c r="F88" s="262"/>
      <c r="G88" s="262"/>
      <c r="H88" s="262"/>
      <c r="I88" s="264"/>
      <c r="J88" s="264"/>
      <c r="K88" s="264"/>
      <c r="L88" s="264"/>
      <c r="M88" s="264"/>
      <c r="N88" s="264"/>
      <c r="O88" s="264"/>
      <c r="P88" s="264"/>
      <c r="Q88" s="263"/>
      <c r="S88" s="249"/>
      <c r="T88" s="221"/>
      <c r="U88" s="262"/>
      <c r="V88" s="264"/>
      <c r="W88" s="264"/>
      <c r="X88" s="264"/>
      <c r="Y88" s="264"/>
      <c r="Z88" s="264"/>
      <c r="AA88" s="264"/>
      <c r="AB88" s="264"/>
      <c r="AC88" s="264"/>
      <c r="AD88" s="264"/>
      <c r="AE88" s="264"/>
      <c r="AF88" s="262"/>
      <c r="AG88" s="264"/>
      <c r="AH88" s="264"/>
      <c r="AI88" s="264"/>
      <c r="AJ88" s="264"/>
      <c r="AK88" s="264"/>
      <c r="AL88" s="264"/>
      <c r="AM88" s="328"/>
      <c r="AN88" s="250"/>
    </row>
    <row r="89" spans="1:40" ht="8.1" customHeight="1" thickBot="1">
      <c r="A89" s="269"/>
      <c r="B89" s="270"/>
      <c r="C89" s="271"/>
      <c r="D89" s="270"/>
      <c r="E89" s="270"/>
      <c r="F89" s="270"/>
      <c r="G89" s="270"/>
      <c r="H89" s="270"/>
      <c r="I89" s="270"/>
      <c r="J89" s="270"/>
      <c r="K89" s="270"/>
      <c r="L89" s="270"/>
      <c r="M89" s="270"/>
      <c r="N89" s="270"/>
      <c r="O89" s="270"/>
      <c r="P89" s="270"/>
      <c r="Q89" s="270"/>
      <c r="R89" s="270"/>
      <c r="S89" s="269"/>
      <c r="T89" s="270"/>
      <c r="U89" s="271"/>
      <c r="V89" s="270"/>
      <c r="W89" s="270"/>
      <c r="X89" s="270"/>
      <c r="Y89" s="270"/>
      <c r="Z89" s="270"/>
      <c r="AA89" s="270"/>
      <c r="AB89" s="270"/>
      <c r="AC89" s="270"/>
      <c r="AD89" s="270"/>
      <c r="AE89" s="270"/>
      <c r="AF89" s="270"/>
      <c r="AG89" s="270"/>
      <c r="AH89" s="270"/>
      <c r="AI89" s="270"/>
      <c r="AJ89" s="270"/>
      <c r="AK89" s="270"/>
      <c r="AL89" s="270"/>
      <c r="AM89" s="270"/>
      <c r="AN89" s="272"/>
    </row>
  </sheetData>
  <mergeCells count="8">
    <mergeCell ref="B38:Q38"/>
    <mergeCell ref="B77:Q77"/>
    <mergeCell ref="A1:AK1"/>
    <mergeCell ref="AL1:AN1"/>
    <mergeCell ref="B6:Q6"/>
    <mergeCell ref="C16:Q16"/>
    <mergeCell ref="C20:Q20"/>
    <mergeCell ref="W3:AM4"/>
  </mergeCells>
  <phoneticPr fontId="12" type="noConversion"/>
  <printOptions horizontalCentered="1" verticalCentered="1"/>
  <pageMargins left="0" right="0" top="0" bottom="0.39370078740157483" header="0" footer="0"/>
  <pageSetup paperSize="9" scale="63" orientation="portrait" blackAndWhite="1" r:id="rId1"/>
  <headerFooter alignWithMargins="0">
    <oddFooter>&amp;LEdité le &amp;D&amp;C&amp;P/&amp;N</oddFooter>
  </headerFooter>
  <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Feuil84">
    <pageSetUpPr fitToPage="1"/>
  </sheetPr>
  <dimension ref="A1:P59"/>
  <sheetViews>
    <sheetView showGridLines="0" view="pageBreakPreview" zoomScale="85" zoomScaleNormal="100" zoomScaleSheetLayoutView="85" workbookViewId="0">
      <selection activeCell="A53" sqref="A53"/>
    </sheetView>
  </sheetViews>
  <sheetFormatPr baseColWidth="10" defaultRowHeight="15"/>
  <cols>
    <col min="1" max="4" width="11.42578125" style="619"/>
    <col min="5" max="5" width="12.42578125" style="619" customWidth="1"/>
    <col min="6" max="260" width="11.42578125" style="619"/>
    <col min="261" max="261" width="12.42578125" style="619" customWidth="1"/>
    <col min="262" max="516" width="11.42578125" style="619"/>
    <col min="517" max="517" width="12.42578125" style="619" customWidth="1"/>
    <col min="518" max="772" width="11.42578125" style="619"/>
    <col min="773" max="773" width="12.42578125" style="619" customWidth="1"/>
    <col min="774" max="1028" width="11.42578125" style="619"/>
    <col min="1029" max="1029" width="12.42578125" style="619" customWidth="1"/>
    <col min="1030" max="1284" width="11.42578125" style="619"/>
    <col min="1285" max="1285" width="12.42578125" style="619" customWidth="1"/>
    <col min="1286" max="1540" width="11.42578125" style="619"/>
    <col min="1541" max="1541" width="12.42578125" style="619" customWidth="1"/>
    <col min="1542" max="1796" width="11.42578125" style="619"/>
    <col min="1797" max="1797" width="12.42578125" style="619" customWidth="1"/>
    <col min="1798" max="2052" width="11.42578125" style="619"/>
    <col min="2053" max="2053" width="12.42578125" style="619" customWidth="1"/>
    <col min="2054" max="2308" width="11.42578125" style="619"/>
    <col min="2309" max="2309" width="12.42578125" style="619" customWidth="1"/>
    <col min="2310" max="2564" width="11.42578125" style="619"/>
    <col min="2565" max="2565" width="12.42578125" style="619" customWidth="1"/>
    <col min="2566" max="2820" width="11.42578125" style="619"/>
    <col min="2821" max="2821" width="12.42578125" style="619" customWidth="1"/>
    <col min="2822" max="3076" width="11.42578125" style="619"/>
    <col min="3077" max="3077" width="12.42578125" style="619" customWidth="1"/>
    <col min="3078" max="3332" width="11.42578125" style="619"/>
    <col min="3333" max="3333" width="12.42578125" style="619" customWidth="1"/>
    <col min="3334" max="3588" width="11.42578125" style="619"/>
    <col min="3589" max="3589" width="12.42578125" style="619" customWidth="1"/>
    <col min="3590" max="3844" width="11.42578125" style="619"/>
    <col min="3845" max="3845" width="12.42578125" style="619" customWidth="1"/>
    <col min="3846" max="4100" width="11.42578125" style="619"/>
    <col min="4101" max="4101" width="12.42578125" style="619" customWidth="1"/>
    <col min="4102" max="4356" width="11.42578125" style="619"/>
    <col min="4357" max="4357" width="12.42578125" style="619" customWidth="1"/>
    <col min="4358" max="4612" width="11.42578125" style="619"/>
    <col min="4613" max="4613" width="12.42578125" style="619" customWidth="1"/>
    <col min="4614" max="4868" width="11.42578125" style="619"/>
    <col min="4869" max="4869" width="12.42578125" style="619" customWidth="1"/>
    <col min="4870" max="5124" width="11.42578125" style="619"/>
    <col min="5125" max="5125" width="12.42578125" style="619" customWidth="1"/>
    <col min="5126" max="5380" width="11.42578125" style="619"/>
    <col min="5381" max="5381" width="12.42578125" style="619" customWidth="1"/>
    <col min="5382" max="5636" width="11.42578125" style="619"/>
    <col min="5637" max="5637" width="12.42578125" style="619" customWidth="1"/>
    <col min="5638" max="5892" width="11.42578125" style="619"/>
    <col min="5893" max="5893" width="12.42578125" style="619" customWidth="1"/>
    <col min="5894" max="6148" width="11.42578125" style="619"/>
    <col min="6149" max="6149" width="12.42578125" style="619" customWidth="1"/>
    <col min="6150" max="6404" width="11.42578125" style="619"/>
    <col min="6405" max="6405" width="12.42578125" style="619" customWidth="1"/>
    <col min="6406" max="6660" width="11.42578125" style="619"/>
    <col min="6661" max="6661" width="12.42578125" style="619" customWidth="1"/>
    <col min="6662" max="6916" width="11.42578125" style="619"/>
    <col min="6917" max="6917" width="12.42578125" style="619" customWidth="1"/>
    <col min="6918" max="7172" width="11.42578125" style="619"/>
    <col min="7173" max="7173" width="12.42578125" style="619" customWidth="1"/>
    <col min="7174" max="7428" width="11.42578125" style="619"/>
    <col min="7429" max="7429" width="12.42578125" style="619" customWidth="1"/>
    <col min="7430" max="7684" width="11.42578125" style="619"/>
    <col min="7685" max="7685" width="12.42578125" style="619" customWidth="1"/>
    <col min="7686" max="7940" width="11.42578125" style="619"/>
    <col min="7941" max="7941" width="12.42578125" style="619" customWidth="1"/>
    <col min="7942" max="8196" width="11.42578125" style="619"/>
    <col min="8197" max="8197" width="12.42578125" style="619" customWidth="1"/>
    <col min="8198" max="8452" width="11.42578125" style="619"/>
    <col min="8453" max="8453" width="12.42578125" style="619" customWidth="1"/>
    <col min="8454" max="8708" width="11.42578125" style="619"/>
    <col min="8709" max="8709" width="12.42578125" style="619" customWidth="1"/>
    <col min="8710" max="8964" width="11.42578125" style="619"/>
    <col min="8965" max="8965" width="12.42578125" style="619" customWidth="1"/>
    <col min="8966" max="9220" width="11.42578125" style="619"/>
    <col min="9221" max="9221" width="12.42578125" style="619" customWidth="1"/>
    <col min="9222" max="9476" width="11.42578125" style="619"/>
    <col min="9477" max="9477" width="12.42578125" style="619" customWidth="1"/>
    <col min="9478" max="9732" width="11.42578125" style="619"/>
    <col min="9733" max="9733" width="12.42578125" style="619" customWidth="1"/>
    <col min="9734" max="9988" width="11.42578125" style="619"/>
    <col min="9989" max="9989" width="12.42578125" style="619" customWidth="1"/>
    <col min="9990" max="10244" width="11.42578125" style="619"/>
    <col min="10245" max="10245" width="12.42578125" style="619" customWidth="1"/>
    <col min="10246" max="10500" width="11.42578125" style="619"/>
    <col min="10501" max="10501" width="12.42578125" style="619" customWidth="1"/>
    <col min="10502" max="10756" width="11.42578125" style="619"/>
    <col min="10757" max="10757" width="12.42578125" style="619" customWidth="1"/>
    <col min="10758" max="11012" width="11.42578125" style="619"/>
    <col min="11013" max="11013" width="12.42578125" style="619" customWidth="1"/>
    <col min="11014" max="11268" width="11.42578125" style="619"/>
    <col min="11269" max="11269" width="12.42578125" style="619" customWidth="1"/>
    <col min="11270" max="11524" width="11.42578125" style="619"/>
    <col min="11525" max="11525" width="12.42578125" style="619" customWidth="1"/>
    <col min="11526" max="11780" width="11.42578125" style="619"/>
    <col min="11781" max="11781" width="12.42578125" style="619" customWidth="1"/>
    <col min="11782" max="12036" width="11.42578125" style="619"/>
    <col min="12037" max="12037" width="12.42578125" style="619" customWidth="1"/>
    <col min="12038" max="12292" width="11.42578125" style="619"/>
    <col min="12293" max="12293" width="12.42578125" style="619" customWidth="1"/>
    <col min="12294" max="12548" width="11.42578125" style="619"/>
    <col min="12549" max="12549" width="12.42578125" style="619" customWidth="1"/>
    <col min="12550" max="12804" width="11.42578125" style="619"/>
    <col min="12805" max="12805" width="12.42578125" style="619" customWidth="1"/>
    <col min="12806" max="13060" width="11.42578125" style="619"/>
    <col min="13061" max="13061" width="12.42578125" style="619" customWidth="1"/>
    <col min="13062" max="13316" width="11.42578125" style="619"/>
    <col min="13317" max="13317" width="12.42578125" style="619" customWidth="1"/>
    <col min="13318" max="13572" width="11.42578125" style="619"/>
    <col min="13573" max="13573" width="12.42578125" style="619" customWidth="1"/>
    <col min="13574" max="13828" width="11.42578125" style="619"/>
    <col min="13829" max="13829" width="12.42578125" style="619" customWidth="1"/>
    <col min="13830" max="14084" width="11.42578125" style="619"/>
    <col min="14085" max="14085" width="12.42578125" style="619" customWidth="1"/>
    <col min="14086" max="14340" width="11.42578125" style="619"/>
    <col min="14341" max="14341" width="12.42578125" style="619" customWidth="1"/>
    <col min="14342" max="14596" width="11.42578125" style="619"/>
    <col min="14597" max="14597" width="12.42578125" style="619" customWidth="1"/>
    <col min="14598" max="14852" width="11.42578125" style="619"/>
    <col min="14853" max="14853" width="12.42578125" style="619" customWidth="1"/>
    <col min="14854" max="15108" width="11.42578125" style="619"/>
    <col min="15109" max="15109" width="12.42578125" style="619" customWidth="1"/>
    <col min="15110" max="15364" width="11.42578125" style="619"/>
    <col min="15365" max="15365" width="12.42578125" style="619" customWidth="1"/>
    <col min="15366" max="15620" width="11.42578125" style="619"/>
    <col min="15621" max="15621" width="12.42578125" style="619" customWidth="1"/>
    <col min="15622" max="15876" width="11.42578125" style="619"/>
    <col min="15877" max="15877" width="12.42578125" style="619" customWidth="1"/>
    <col min="15878" max="16132" width="11.42578125" style="619"/>
    <col min="16133" max="16133" width="12.42578125" style="619" customWidth="1"/>
    <col min="16134" max="16384" width="11.42578125" style="619"/>
  </cols>
  <sheetData>
    <row r="1" spans="1:16" ht="27" customHeight="1" thickTop="1">
      <c r="A1" s="1689" t="s">
        <v>1046</v>
      </c>
      <c r="B1" s="1690"/>
      <c r="C1" s="1690"/>
      <c r="D1" s="1690"/>
      <c r="E1" s="1690"/>
      <c r="F1" s="1690"/>
      <c r="G1" s="1690"/>
      <c r="H1" s="1690"/>
      <c r="I1" s="1690"/>
      <c r="J1" s="1690"/>
      <c r="K1" s="1691"/>
      <c r="L1" s="618"/>
      <c r="M1" s="618"/>
      <c r="N1" s="618"/>
      <c r="O1" s="618"/>
      <c r="P1" s="618"/>
    </row>
    <row r="2" spans="1:16" ht="27" thickBot="1">
      <c r="A2" s="1692"/>
      <c r="B2" s="1693"/>
      <c r="C2" s="1693"/>
      <c r="D2" s="1693"/>
      <c r="E2" s="1693"/>
      <c r="F2" s="1693"/>
      <c r="G2" s="1693"/>
      <c r="H2" s="1693"/>
      <c r="I2" s="1693"/>
      <c r="J2" s="1693"/>
      <c r="K2" s="1694"/>
      <c r="L2" s="618"/>
      <c r="M2" s="618"/>
      <c r="N2" s="618"/>
      <c r="O2" s="618"/>
      <c r="P2" s="618"/>
    </row>
    <row r="3" spans="1:16" ht="15.75" thickTop="1">
      <c r="A3" s="620"/>
      <c r="B3" s="620"/>
      <c r="C3" s="620"/>
      <c r="D3" s="620"/>
      <c r="E3" s="620"/>
      <c r="F3" s="620"/>
      <c r="G3" s="620"/>
      <c r="H3" s="620"/>
      <c r="I3" s="620"/>
      <c r="J3" s="620"/>
      <c r="K3" s="621"/>
      <c r="L3" s="621"/>
      <c r="M3" s="621"/>
      <c r="N3" s="621"/>
      <c r="O3" s="621"/>
      <c r="P3" s="621"/>
    </row>
    <row r="4" spans="1:16">
      <c r="A4" s="620"/>
      <c r="B4" s="620"/>
      <c r="C4" s="620"/>
      <c r="D4" s="620"/>
      <c r="E4" s="620"/>
      <c r="F4" s="620"/>
      <c r="G4" s="620"/>
      <c r="H4" s="620"/>
      <c r="I4" s="620"/>
      <c r="J4" s="620"/>
      <c r="K4" s="621"/>
      <c r="L4" s="621"/>
      <c r="M4" s="621"/>
      <c r="N4" s="621"/>
      <c r="O4" s="621"/>
      <c r="P4" s="621"/>
    </row>
    <row r="5" spans="1:16">
      <c r="A5" s="620"/>
      <c r="B5" s="620"/>
      <c r="C5" s="620"/>
      <c r="D5" s="620"/>
      <c r="E5" s="620"/>
      <c r="F5" s="620"/>
      <c r="G5" s="620"/>
      <c r="H5" s="620"/>
      <c r="I5" s="620"/>
      <c r="J5" s="620"/>
      <c r="K5" s="621"/>
      <c r="L5" s="621"/>
      <c r="M5" s="621"/>
      <c r="N5" s="621"/>
      <c r="O5" s="621"/>
      <c r="P5" s="621"/>
    </row>
    <row r="6" spans="1:16" ht="21.75" customHeight="1">
      <c r="A6" s="622" t="s">
        <v>861</v>
      </c>
      <c r="B6" s="623" t="str">
        <f>IF(ISBLANK(oMOE),"",oMOE)</f>
        <v/>
      </c>
      <c r="C6" s="622"/>
      <c r="E6" s="624"/>
      <c r="F6" s="624"/>
      <c r="G6" s="624"/>
      <c r="H6" s="622" t="s">
        <v>860</v>
      </c>
      <c r="I6" s="625"/>
      <c r="J6" s="625"/>
      <c r="K6" s="625"/>
      <c r="L6" s="625"/>
      <c r="M6" s="625"/>
      <c r="N6" s="625"/>
      <c r="O6" s="625"/>
      <c r="P6" s="625"/>
    </row>
    <row r="7" spans="1:16" ht="21.75" customHeight="1">
      <c r="A7" s="1678" t="s">
        <v>845</v>
      </c>
      <c r="B7" s="1678"/>
      <c r="C7" s="1678"/>
      <c r="D7" s="626" t="str">
        <f>IF(ISBLANK(oeOTP),"",oeOTP)</f>
        <v/>
      </c>
      <c r="I7" s="627"/>
      <c r="J7" s="627"/>
      <c r="K7" s="627"/>
      <c r="L7" s="625"/>
      <c r="M7" s="625"/>
      <c r="N7" s="625"/>
      <c r="O7" s="625"/>
      <c r="P7" s="625"/>
    </row>
    <row r="8" spans="1:16" ht="21.75" customHeight="1">
      <c r="A8" s="1678" t="s">
        <v>846</v>
      </c>
      <c r="B8" s="1678"/>
      <c r="C8" s="1678"/>
      <c r="D8" s="628"/>
      <c r="E8" s="629"/>
      <c r="F8" s="630"/>
      <c r="G8" s="627"/>
      <c r="H8" s="627"/>
      <c r="I8" s="627"/>
      <c r="J8" s="627"/>
      <c r="K8" s="627"/>
      <c r="L8" s="625"/>
      <c r="M8" s="625"/>
      <c r="N8" s="625"/>
      <c r="O8" s="625"/>
      <c r="P8" s="625"/>
    </row>
    <row r="9" spans="1:16" ht="21.75" customHeight="1">
      <c r="A9" s="1678" t="s">
        <v>847</v>
      </c>
      <c r="B9" s="1678"/>
      <c r="C9" s="1678"/>
      <c r="D9" s="1695" t="str">
        <f>IF(ISBLANK(oAdresseChantier),"",oAdresseChantier)</f>
        <v/>
      </c>
      <c r="E9" s="1695"/>
      <c r="F9" s="1695"/>
      <c r="G9" s="1695"/>
      <c r="H9" s="821"/>
      <c r="I9" s="807" t="str">
        <f>IF(ISBLANK(oVille),"",oVille)</f>
        <v/>
      </c>
      <c r="J9" s="807"/>
      <c r="K9" s="807"/>
      <c r="L9" s="631"/>
      <c r="M9" s="631"/>
      <c r="N9" s="631"/>
      <c r="O9" s="631"/>
      <c r="P9" s="625"/>
    </row>
    <row r="10" spans="1:16" ht="33.75" customHeight="1">
      <c r="A10" s="1678" t="s">
        <v>848</v>
      </c>
      <c r="B10" s="1678"/>
      <c r="C10" s="1678"/>
      <c r="D10" s="1679" t="str">
        <f>IF(ISBLANK(oLibelleOTP),"",oLibelleOTP)</f>
        <v/>
      </c>
      <c r="E10" s="1679"/>
      <c r="F10" s="1679"/>
      <c r="G10" s="1679"/>
      <c r="H10" s="1679"/>
      <c r="I10" s="1679"/>
      <c r="J10" s="1679"/>
      <c r="K10" s="1679"/>
      <c r="L10" s="625"/>
      <c r="M10" s="625"/>
      <c r="N10" s="625"/>
      <c r="O10" s="625"/>
      <c r="P10" s="625"/>
    </row>
    <row r="11" spans="1:16" ht="21.75" customHeight="1">
      <c r="A11" s="1678" t="s">
        <v>859</v>
      </c>
      <c r="B11" s="1678"/>
      <c r="C11" s="1678"/>
      <c r="D11" s="625"/>
      <c r="E11" s="632" t="s">
        <v>607</v>
      </c>
      <c r="F11" s="624"/>
      <c r="G11" s="624"/>
      <c r="H11" s="624"/>
      <c r="I11" s="624"/>
      <c r="J11" s="624"/>
      <c r="K11" s="624"/>
      <c r="L11" s="625"/>
      <c r="M11" s="625"/>
      <c r="N11" s="625"/>
      <c r="O11" s="625"/>
      <c r="P11" s="625"/>
    </row>
    <row r="12" spans="1:16" ht="21.75" customHeight="1">
      <c r="A12" s="633"/>
      <c r="B12" s="633"/>
      <c r="C12" s="633"/>
      <c r="D12" s="633"/>
      <c r="E12" s="633"/>
      <c r="F12" s="634"/>
      <c r="G12" s="635"/>
      <c r="H12" s="636"/>
      <c r="I12" s="637"/>
      <c r="J12" s="637"/>
      <c r="K12" s="625"/>
      <c r="L12" s="625"/>
      <c r="M12" s="625"/>
      <c r="N12" s="625"/>
      <c r="O12" s="625"/>
      <c r="P12" s="625"/>
    </row>
    <row r="13" spans="1:16" ht="24.75" customHeight="1">
      <c r="A13" s="638" t="s">
        <v>858</v>
      </c>
      <c r="B13" s="633"/>
      <c r="C13" s="633"/>
      <c r="D13" s="639" t="s">
        <v>857</v>
      </c>
      <c r="E13" s="639"/>
      <c r="F13" s="639" t="s">
        <v>856</v>
      </c>
      <c r="G13" s="633"/>
      <c r="L13" s="624"/>
      <c r="M13" s="625"/>
      <c r="N13" s="625"/>
      <c r="O13" s="625"/>
      <c r="P13" s="625"/>
    </row>
    <row r="14" spans="1:16" ht="24.75" customHeight="1">
      <c r="A14" s="640"/>
      <c r="B14" s="633"/>
      <c r="C14" s="633"/>
      <c r="D14" s="639"/>
      <c r="E14" s="639"/>
      <c r="F14" s="639"/>
      <c r="G14" s="633"/>
      <c r="L14" s="624"/>
      <c r="M14" s="625"/>
      <c r="N14" s="625"/>
      <c r="O14" s="625"/>
      <c r="P14" s="625"/>
    </row>
    <row r="15" spans="1:16" ht="15.75" thickBot="1"/>
    <row r="16" spans="1:16" ht="27" customHeight="1" thickBot="1">
      <c r="A16" s="1680" t="s">
        <v>855</v>
      </c>
      <c r="B16" s="1681"/>
      <c r="C16" s="1681"/>
      <c r="D16" s="1681"/>
      <c r="E16" s="1681"/>
      <c r="F16" s="1681"/>
      <c r="G16" s="1681"/>
      <c r="H16" s="1681"/>
      <c r="I16" s="1681"/>
      <c r="J16" s="1681"/>
      <c r="K16" s="1682"/>
      <c r="L16" s="621"/>
      <c r="M16" s="621"/>
      <c r="N16" s="621"/>
      <c r="O16" s="621"/>
      <c r="P16" s="621"/>
    </row>
    <row r="17" spans="1:16">
      <c r="A17" s="641" t="s">
        <v>854</v>
      </c>
    </row>
    <row r="18" spans="1:16">
      <c r="A18" s="633"/>
      <c r="B18" s="642"/>
      <c r="C18" s="642"/>
      <c r="D18" s="642"/>
      <c r="E18" s="642"/>
      <c r="F18" s="642"/>
      <c r="G18" s="642"/>
      <c r="H18" s="642"/>
      <c r="I18" s="642"/>
      <c r="J18" s="642"/>
      <c r="K18" s="642"/>
      <c r="L18" s="643"/>
      <c r="M18" s="643"/>
      <c r="N18" s="643"/>
      <c r="O18" s="643"/>
      <c r="P18" s="643"/>
    </row>
    <row r="19" spans="1:16">
      <c r="A19" s="633"/>
      <c r="B19" s="633"/>
      <c r="C19" s="633"/>
      <c r="D19" s="633"/>
      <c r="E19" s="633"/>
      <c r="F19" s="633"/>
      <c r="G19" s="633"/>
      <c r="H19" s="633"/>
      <c r="I19" s="633"/>
      <c r="J19" s="633"/>
      <c r="K19" s="633"/>
      <c r="L19" s="644"/>
      <c r="M19" s="644"/>
      <c r="N19" s="644"/>
      <c r="O19" s="644"/>
      <c r="P19" s="644"/>
    </row>
    <row r="20" spans="1:16">
      <c r="A20" s="633"/>
      <c r="B20" s="633"/>
      <c r="C20" s="633"/>
      <c r="D20" s="633"/>
      <c r="E20" s="633"/>
      <c r="F20" s="633"/>
      <c r="G20" s="633"/>
      <c r="H20" s="633"/>
      <c r="I20" s="633"/>
      <c r="J20" s="633"/>
      <c r="K20" s="633"/>
      <c r="L20" s="644"/>
      <c r="M20" s="644"/>
      <c r="N20" s="644"/>
      <c r="O20" s="644"/>
      <c r="P20" s="644"/>
    </row>
    <row r="21" spans="1:16">
      <c r="A21" s="645"/>
      <c r="B21" s="646"/>
      <c r="C21" s="646"/>
      <c r="D21" s="646"/>
      <c r="E21" s="646"/>
      <c r="F21" s="645"/>
      <c r="G21" s="645"/>
      <c r="H21" s="645"/>
      <c r="I21" s="647"/>
      <c r="J21" s="647"/>
      <c r="K21" s="647"/>
      <c r="L21" s="644"/>
    </row>
    <row r="22" spans="1:16">
      <c r="A22" s="645"/>
      <c r="B22" s="648"/>
      <c r="C22" s="648"/>
      <c r="D22" s="648"/>
      <c r="E22" s="648"/>
      <c r="F22" s="645"/>
      <c r="G22" s="645"/>
      <c r="H22" s="645"/>
      <c r="I22" s="649"/>
      <c r="J22" s="649"/>
      <c r="K22" s="649"/>
      <c r="L22" s="644"/>
    </row>
    <row r="23" spans="1:16">
      <c r="A23" s="645"/>
      <c r="B23" s="648"/>
      <c r="C23" s="648"/>
      <c r="D23" s="648"/>
      <c r="E23" s="648"/>
      <c r="F23" s="645"/>
      <c r="G23" s="645"/>
      <c r="H23" s="645"/>
      <c r="I23" s="649"/>
      <c r="J23" s="649"/>
      <c r="K23" s="649"/>
      <c r="L23" s="644"/>
    </row>
    <row r="24" spans="1:16">
      <c r="A24" s="645"/>
      <c r="B24" s="648"/>
      <c r="C24" s="648"/>
      <c r="D24" s="648"/>
      <c r="E24" s="648"/>
      <c r="F24" s="645"/>
      <c r="G24" s="645"/>
      <c r="H24" s="645"/>
      <c r="I24" s="649"/>
      <c r="J24" s="649"/>
      <c r="K24" s="649"/>
      <c r="L24" s="644"/>
    </row>
    <row r="25" spans="1:16">
      <c r="A25" s="645"/>
      <c r="B25" s="648"/>
      <c r="C25" s="648"/>
      <c r="D25" s="648"/>
      <c r="E25" s="648"/>
      <c r="F25" s="645"/>
      <c r="G25" s="645"/>
      <c r="H25" s="645"/>
      <c r="I25" s="649"/>
      <c r="J25" s="649"/>
      <c r="K25" s="649"/>
      <c r="L25" s="644"/>
    </row>
    <row r="26" spans="1:16">
      <c r="A26" s="645"/>
      <c r="B26" s="648"/>
      <c r="C26" s="648"/>
      <c r="D26" s="648"/>
      <c r="E26" s="648"/>
      <c r="F26" s="645"/>
      <c r="G26" s="645"/>
      <c r="H26" s="645"/>
      <c r="I26" s="649"/>
      <c r="J26" s="649"/>
      <c r="K26" s="649"/>
      <c r="L26" s="644"/>
    </row>
    <row r="27" spans="1:16">
      <c r="A27" s="645"/>
      <c r="B27" s="648"/>
      <c r="C27" s="648"/>
      <c r="D27" s="648"/>
      <c r="E27" s="648"/>
      <c r="F27" s="645"/>
      <c r="G27" s="645"/>
      <c r="H27" s="645"/>
      <c r="I27" s="649"/>
      <c r="J27" s="649"/>
      <c r="K27" s="649"/>
      <c r="L27" s="644"/>
    </row>
    <row r="28" spans="1:16">
      <c r="A28" s="633"/>
      <c r="B28" s="633"/>
      <c r="C28" s="633"/>
      <c r="D28" s="633"/>
      <c r="E28" s="633"/>
      <c r="F28" s="633"/>
      <c r="G28" s="633"/>
      <c r="H28" s="633"/>
      <c r="I28" s="633"/>
      <c r="J28" s="633"/>
      <c r="K28" s="633"/>
      <c r="L28" s="644"/>
    </row>
    <row r="29" spans="1:16">
      <c r="A29" s="650" t="s">
        <v>853</v>
      </c>
      <c r="B29" s="651"/>
      <c r="C29" s="651"/>
      <c r="D29" s="651"/>
      <c r="E29" s="651"/>
      <c r="F29" s="652"/>
      <c r="G29" s="652"/>
      <c r="H29" s="652"/>
      <c r="I29" s="653"/>
      <c r="J29" s="653"/>
      <c r="K29" s="653"/>
      <c r="L29" s="644"/>
    </row>
    <row r="30" spans="1:16">
      <c r="A30" s="654"/>
      <c r="B30" s="651"/>
      <c r="C30" s="651"/>
      <c r="D30" s="651"/>
      <c r="E30" s="651"/>
      <c r="F30" s="652"/>
      <c r="G30" s="652"/>
      <c r="H30" s="652"/>
      <c r="I30" s="653"/>
      <c r="J30" s="653"/>
      <c r="K30" s="653"/>
      <c r="L30" s="644"/>
    </row>
    <row r="31" spans="1:16">
      <c r="A31" s="654"/>
      <c r="B31" s="651"/>
      <c r="C31" s="651"/>
      <c r="D31" s="651"/>
      <c r="E31" s="651"/>
      <c r="F31" s="652"/>
      <c r="G31" s="652"/>
      <c r="H31" s="652"/>
      <c r="I31" s="653"/>
      <c r="J31" s="653"/>
      <c r="K31" s="653"/>
      <c r="L31" s="644"/>
    </row>
    <row r="32" spans="1:16">
      <c r="A32" s="652"/>
      <c r="B32" s="651"/>
      <c r="C32" s="651"/>
      <c r="D32" s="651"/>
      <c r="E32" s="651"/>
      <c r="F32" s="652"/>
      <c r="G32" s="652"/>
      <c r="H32" s="652"/>
      <c r="I32" s="653"/>
      <c r="J32" s="653"/>
      <c r="K32" s="653"/>
      <c r="L32" s="644"/>
    </row>
    <row r="33" spans="1:12">
      <c r="A33" s="654"/>
      <c r="B33" s="654"/>
      <c r="C33" s="654"/>
      <c r="D33" s="654"/>
      <c r="E33" s="654"/>
      <c r="F33" s="654"/>
      <c r="G33" s="654"/>
      <c r="H33" s="654"/>
      <c r="I33" s="654"/>
      <c r="J33" s="654"/>
      <c r="K33" s="654"/>
      <c r="L33" s="644"/>
    </row>
    <row r="34" spans="1:12">
      <c r="A34" s="652"/>
      <c r="B34" s="651"/>
      <c r="C34" s="651"/>
      <c r="D34" s="651"/>
      <c r="E34" s="651"/>
      <c r="F34" s="652"/>
      <c r="G34" s="652"/>
      <c r="H34" s="652"/>
      <c r="I34" s="653"/>
      <c r="J34" s="653"/>
      <c r="K34" s="655"/>
      <c r="L34" s="644"/>
    </row>
    <row r="35" spans="1:12" ht="15.75" thickBot="1">
      <c r="L35" s="644"/>
    </row>
    <row r="36" spans="1:12" ht="27" customHeight="1" thickBot="1">
      <c r="A36" s="1680" t="s">
        <v>852</v>
      </c>
      <c r="B36" s="1681"/>
      <c r="C36" s="1681"/>
      <c r="D36" s="1681"/>
      <c r="E36" s="1681"/>
      <c r="F36" s="1681"/>
      <c r="G36" s="1681"/>
      <c r="H36" s="1681"/>
      <c r="I36" s="1681"/>
      <c r="J36" s="1681"/>
      <c r="K36" s="1682"/>
      <c r="L36" s="644"/>
    </row>
    <row r="37" spans="1:12">
      <c r="A37" s="645"/>
      <c r="B37" s="646"/>
      <c r="C37" s="646"/>
      <c r="D37" s="646"/>
      <c r="E37" s="646"/>
      <c r="F37" s="645"/>
      <c r="G37" s="645"/>
      <c r="H37" s="645"/>
      <c r="I37" s="647"/>
      <c r="J37" s="647"/>
      <c r="K37" s="647"/>
      <c r="L37" s="644"/>
    </row>
    <row r="38" spans="1:12">
      <c r="A38" s="633"/>
      <c r="B38" s="633"/>
      <c r="C38" s="633"/>
      <c r="D38" s="633"/>
      <c r="E38" s="633"/>
      <c r="F38" s="633"/>
      <c r="G38" s="633"/>
      <c r="H38" s="633"/>
      <c r="I38" s="633"/>
      <c r="J38" s="633"/>
      <c r="K38" s="633"/>
      <c r="L38" s="644"/>
    </row>
    <row r="39" spans="1:12">
      <c r="A39" s="633"/>
      <c r="B39" s="633"/>
      <c r="C39" s="633"/>
      <c r="D39" s="633"/>
      <c r="E39" s="633"/>
      <c r="F39" s="633"/>
      <c r="G39" s="633"/>
      <c r="H39" s="633"/>
      <c r="I39" s="633"/>
      <c r="J39" s="633"/>
      <c r="K39" s="633"/>
      <c r="L39" s="644"/>
    </row>
    <row r="40" spans="1:12">
      <c r="A40" s="633"/>
      <c r="B40" s="633"/>
      <c r="C40" s="633"/>
      <c r="D40" s="633"/>
      <c r="E40" s="633"/>
      <c r="F40" s="633"/>
      <c r="G40" s="633"/>
      <c r="H40" s="633"/>
      <c r="I40" s="633"/>
      <c r="J40" s="633"/>
      <c r="K40" s="633"/>
      <c r="L40" s="644"/>
    </row>
    <row r="41" spans="1:12">
      <c r="A41" s="633"/>
      <c r="B41" s="633"/>
      <c r="C41" s="633"/>
      <c r="D41" s="633"/>
      <c r="E41" s="633"/>
      <c r="F41" s="633"/>
      <c r="G41" s="633"/>
      <c r="H41" s="633"/>
      <c r="I41" s="633"/>
      <c r="J41" s="633"/>
      <c r="K41" s="633"/>
      <c r="L41" s="644"/>
    </row>
    <row r="42" spans="1:12">
      <c r="A42" s="645"/>
      <c r="B42" s="648"/>
      <c r="C42" s="648"/>
      <c r="D42" s="648"/>
      <c r="E42" s="648"/>
      <c r="F42" s="645"/>
      <c r="G42" s="645"/>
      <c r="H42" s="645"/>
      <c r="I42" s="649"/>
      <c r="J42" s="649"/>
      <c r="K42" s="649"/>
      <c r="L42" s="644"/>
    </row>
    <row r="43" spans="1:12">
      <c r="A43" s="645"/>
      <c r="B43" s="646"/>
      <c r="C43" s="646"/>
      <c r="D43" s="646"/>
      <c r="E43" s="646"/>
      <c r="F43" s="645"/>
      <c r="G43" s="645"/>
      <c r="H43" s="645"/>
      <c r="I43" s="647"/>
      <c r="J43" s="647"/>
      <c r="K43" s="647"/>
      <c r="L43" s="644"/>
    </row>
    <row r="44" spans="1:12">
      <c r="A44" s="645"/>
      <c r="B44" s="648"/>
      <c r="C44" s="648"/>
      <c r="D44" s="648"/>
      <c r="E44" s="648"/>
      <c r="F44" s="645"/>
      <c r="G44" s="645"/>
      <c r="H44" s="645"/>
      <c r="I44" s="649"/>
      <c r="J44" s="649"/>
      <c r="K44" s="649"/>
      <c r="L44" s="644"/>
    </row>
    <row r="45" spans="1:12">
      <c r="A45" s="645"/>
      <c r="B45" s="648"/>
      <c r="C45" s="648"/>
      <c r="D45" s="648"/>
      <c r="E45" s="648"/>
      <c r="F45" s="645"/>
      <c r="G45" s="645"/>
      <c r="H45" s="645"/>
      <c r="I45" s="649"/>
      <c r="J45" s="649"/>
      <c r="K45" s="649"/>
      <c r="L45" s="644"/>
    </row>
    <row r="46" spans="1:12">
      <c r="A46" s="650" t="s">
        <v>853</v>
      </c>
      <c r="B46" s="651"/>
      <c r="C46" s="651"/>
      <c r="D46" s="651"/>
      <c r="E46" s="651"/>
      <c r="F46" s="652"/>
      <c r="G46" s="652"/>
      <c r="H46" s="652"/>
      <c r="I46" s="653"/>
      <c r="J46" s="653"/>
      <c r="K46" s="653"/>
      <c r="L46" s="644"/>
    </row>
    <row r="47" spans="1:12">
      <c r="A47" s="656"/>
      <c r="B47" s="657"/>
      <c r="C47" s="657"/>
      <c r="D47" s="657"/>
      <c r="E47" s="657"/>
      <c r="F47" s="656"/>
      <c r="G47" s="656"/>
      <c r="H47" s="656"/>
      <c r="I47" s="655"/>
      <c r="J47" s="655"/>
      <c r="K47" s="655"/>
      <c r="L47" s="644"/>
    </row>
    <row r="48" spans="1:12">
      <c r="A48" s="656"/>
      <c r="B48" s="657"/>
      <c r="C48" s="657"/>
      <c r="D48" s="657"/>
      <c r="E48" s="657"/>
      <c r="F48" s="656"/>
      <c r="G48" s="656"/>
      <c r="H48" s="656"/>
      <c r="I48" s="655"/>
      <c r="J48" s="655"/>
      <c r="K48" s="655"/>
      <c r="L48" s="644"/>
    </row>
    <row r="49" spans="1:12">
      <c r="A49" s="656"/>
      <c r="B49" s="658"/>
      <c r="C49" s="658"/>
      <c r="D49" s="658"/>
      <c r="E49" s="658"/>
      <c r="F49" s="656"/>
      <c r="G49" s="656"/>
      <c r="H49" s="656"/>
      <c r="I49" s="659"/>
      <c r="J49" s="659"/>
      <c r="K49" s="659"/>
      <c r="L49" s="644"/>
    </row>
    <row r="50" spans="1:12">
      <c r="A50" s="656"/>
      <c r="B50" s="657"/>
      <c r="C50" s="657"/>
      <c r="D50" s="657"/>
      <c r="E50" s="657"/>
      <c r="F50" s="656"/>
      <c r="G50" s="656"/>
      <c r="H50" s="656"/>
      <c r="I50" s="655"/>
      <c r="J50" s="655"/>
      <c r="K50" s="655"/>
      <c r="L50" s="644"/>
    </row>
    <row r="51" spans="1:12">
      <c r="A51" s="656"/>
      <c r="B51" s="657"/>
      <c r="C51" s="657"/>
      <c r="D51" s="657"/>
      <c r="E51" s="657"/>
      <c r="F51" s="656"/>
      <c r="G51" s="656"/>
      <c r="H51" s="656"/>
      <c r="I51" s="655"/>
      <c r="J51" s="655"/>
      <c r="K51" s="655"/>
      <c r="L51" s="644"/>
    </row>
    <row r="52" spans="1:12" ht="15.75" thickBot="1">
      <c r="L52" s="644"/>
    </row>
    <row r="53" spans="1:12" ht="15" customHeight="1">
      <c r="A53" s="660" t="s">
        <v>1193</v>
      </c>
      <c r="B53" s="661"/>
      <c r="C53" s="661"/>
      <c r="D53" s="661"/>
      <c r="E53" s="662"/>
      <c r="F53" s="660" t="s">
        <v>851</v>
      </c>
      <c r="G53" s="661"/>
      <c r="H53" s="661"/>
      <c r="I53" s="661"/>
      <c r="J53" s="663"/>
      <c r="K53" s="664"/>
      <c r="L53" s="644"/>
    </row>
    <row r="54" spans="1:12" ht="18" customHeight="1">
      <c r="A54" s="1683"/>
      <c r="B54" s="1684"/>
      <c r="C54" s="1684"/>
      <c r="D54" s="1684"/>
      <c r="E54" s="1685"/>
      <c r="F54" s="1686"/>
      <c r="G54" s="1687"/>
      <c r="H54" s="1687"/>
      <c r="I54" s="1687"/>
      <c r="J54" s="1687"/>
      <c r="K54" s="1688"/>
      <c r="L54" s="644"/>
    </row>
    <row r="55" spans="1:12" ht="63.75" customHeight="1">
      <c r="A55" s="1671" t="s">
        <v>103</v>
      </c>
      <c r="B55" s="1672"/>
      <c r="C55" s="1672"/>
      <c r="D55" s="1672"/>
      <c r="E55" s="1673"/>
      <c r="F55" s="1671" t="s">
        <v>103</v>
      </c>
      <c r="G55" s="1672"/>
      <c r="H55" s="1672"/>
      <c r="I55" s="1672"/>
      <c r="J55" s="1672"/>
      <c r="K55" s="1673"/>
      <c r="L55" s="644"/>
    </row>
    <row r="56" spans="1:12">
      <c r="A56" s="1671"/>
      <c r="B56" s="1672"/>
      <c r="C56" s="1672"/>
      <c r="D56" s="1672"/>
      <c r="E56" s="1673"/>
      <c r="F56" s="1671"/>
      <c r="G56" s="1672"/>
      <c r="H56" s="1672"/>
      <c r="I56" s="1672"/>
      <c r="J56" s="1672"/>
      <c r="K56" s="1673"/>
      <c r="L56" s="644"/>
    </row>
    <row r="57" spans="1:12">
      <c r="A57" s="1671"/>
      <c r="B57" s="1672"/>
      <c r="C57" s="1672"/>
      <c r="D57" s="1672"/>
      <c r="E57" s="1673"/>
      <c r="F57" s="1671"/>
      <c r="G57" s="1672"/>
      <c r="H57" s="1672"/>
      <c r="I57" s="1672"/>
      <c r="J57" s="1672"/>
      <c r="K57" s="1673"/>
      <c r="L57" s="644"/>
    </row>
    <row r="58" spans="1:12" ht="15.75" thickBot="1">
      <c r="A58" s="1674"/>
      <c r="B58" s="1675"/>
      <c r="C58" s="1675"/>
      <c r="D58" s="1675"/>
      <c r="E58" s="1676"/>
      <c r="F58" s="1674"/>
      <c r="G58" s="1675"/>
      <c r="H58" s="1675"/>
      <c r="I58" s="1675"/>
      <c r="J58" s="1675"/>
      <c r="K58" s="1676"/>
      <c r="L58" s="621"/>
    </row>
    <row r="59" spans="1:12">
      <c r="A59" s="1677"/>
      <c r="B59" s="1677"/>
      <c r="C59" s="1677"/>
      <c r="D59" s="1677"/>
      <c r="E59" s="1677"/>
      <c r="F59" s="1677"/>
      <c r="G59" s="1677"/>
      <c r="H59" s="1677"/>
      <c r="I59" s="1677"/>
      <c r="J59" s="1677"/>
      <c r="K59" s="1677"/>
      <c r="L59" s="621"/>
    </row>
  </sheetData>
  <mergeCells count="15">
    <mergeCell ref="A1:K2"/>
    <mergeCell ref="A7:C7"/>
    <mergeCell ref="A8:C8"/>
    <mergeCell ref="A9:C9"/>
    <mergeCell ref="D9:G9"/>
    <mergeCell ref="A55:E58"/>
    <mergeCell ref="F55:K58"/>
    <mergeCell ref="A59:K59"/>
    <mergeCell ref="A10:C10"/>
    <mergeCell ref="D10:K10"/>
    <mergeCell ref="A11:C11"/>
    <mergeCell ref="A16:K16"/>
    <mergeCell ref="A36:K36"/>
    <mergeCell ref="A54:E54"/>
    <mergeCell ref="F54:K54"/>
  </mergeCells>
  <printOptions horizontalCentered="1" verticalCentered="1"/>
  <pageMargins left="0" right="0" top="0.39370078740157483" bottom="0.39370078740157483" header="0" footer="0"/>
  <pageSetup paperSize="9" scale="75" orientation="portrait" blackAndWhite="1" r:id="rId1"/>
  <headerFooter>
    <oddFooter>&amp;LEdité le &amp;D&amp;C&amp;P/&amp;N</oddFooter>
  </headerFooter>
  <colBreaks count="1" manualBreakCount="1">
    <brk id="1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9665" r:id="rId4" name="Check Box 1">
              <controlPr defaultSize="0" autoFill="0" autoLine="0" autoPict="0">
                <anchor moveWithCells="1">
                  <from>
                    <xdr:col>2</xdr:col>
                    <xdr:colOff>714375</xdr:colOff>
                    <xdr:row>12</xdr:row>
                    <xdr:rowOff>57150</xdr:rowOff>
                  </from>
                  <to>
                    <xdr:col>3</xdr:col>
                    <xdr:colOff>219075</xdr:colOff>
                    <xdr:row>12</xdr:row>
                    <xdr:rowOff>276225</xdr:rowOff>
                  </to>
                </anchor>
              </controlPr>
            </control>
          </mc:Choice>
        </mc:AlternateContent>
        <mc:AlternateContent xmlns:mc="http://schemas.openxmlformats.org/markup-compatibility/2006">
          <mc:Choice Requires="x14">
            <control shapeId="369666" r:id="rId5" name="Check Box 2">
              <controlPr defaultSize="0" autoFill="0" autoLine="0" autoPict="0">
                <anchor moveWithCells="1">
                  <from>
                    <xdr:col>4</xdr:col>
                    <xdr:colOff>800100</xdr:colOff>
                    <xdr:row>12</xdr:row>
                    <xdr:rowOff>57150</xdr:rowOff>
                  </from>
                  <to>
                    <xdr:col>5</xdr:col>
                    <xdr:colOff>238125</xdr:colOff>
                    <xdr:row>12</xdr:row>
                    <xdr:rowOff>276225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Feuil34">
    <tabColor indexed="42"/>
    <pageSetUpPr fitToPage="1"/>
  </sheetPr>
  <dimension ref="A1:F51"/>
  <sheetViews>
    <sheetView showGridLines="0" view="pageBreakPreview" zoomScale="115" zoomScaleNormal="100" zoomScaleSheetLayoutView="115" workbookViewId="0">
      <selection activeCell="D10" sqref="D10:E10"/>
    </sheetView>
  </sheetViews>
  <sheetFormatPr baseColWidth="10" defaultColWidth="11.42578125" defaultRowHeight="12.75"/>
  <cols>
    <col min="1" max="1" width="15" style="21" customWidth="1"/>
    <col min="2" max="2" width="15.42578125" style="21" bestFit="1" customWidth="1"/>
    <col min="3" max="3" width="36.7109375" style="21" customWidth="1"/>
    <col min="4" max="4" width="14.5703125" style="21" customWidth="1"/>
    <col min="5" max="5" width="18.140625" style="21" customWidth="1"/>
    <col min="6" max="6" width="3.85546875" style="21" customWidth="1"/>
    <col min="7" max="11" width="4.7109375" style="21" customWidth="1"/>
    <col min="12" max="12" width="9.5703125" style="21" customWidth="1"/>
    <col min="13" max="29" width="5.7109375" style="21" customWidth="1"/>
    <col min="30" max="16384" width="11.42578125" style="21"/>
  </cols>
  <sheetData>
    <row r="1" spans="1:6" ht="18" customHeight="1" thickTop="1">
      <c r="A1" s="1701"/>
      <c r="B1" s="1703" t="s">
        <v>152</v>
      </c>
      <c r="C1" s="1703"/>
      <c r="D1" s="1703"/>
      <c r="E1" s="1705" t="s">
        <v>153</v>
      </c>
      <c r="F1" s="22"/>
    </row>
    <row r="2" spans="1:6" ht="18" customHeight="1" thickBot="1">
      <c r="A2" s="1702"/>
      <c r="B2" s="1704"/>
      <c r="C2" s="1704"/>
      <c r="D2" s="1704"/>
      <c r="E2" s="1706"/>
      <c r="F2" s="22"/>
    </row>
    <row r="3" spans="1:6" ht="18" customHeight="1" thickTop="1">
      <c r="A3" s="30"/>
      <c r="B3" s="30"/>
      <c r="C3" s="140"/>
      <c r="D3" s="140"/>
      <c r="E3" s="140"/>
      <c r="F3" s="140"/>
    </row>
    <row r="4" spans="1:6" ht="10.5" customHeight="1">
      <c r="B4" s="118"/>
    </row>
    <row r="5" spans="1:6" s="9" customFormat="1">
      <c r="A5" s="125" t="s">
        <v>542</v>
      </c>
      <c r="B5" s="533" t="str">
        <f>IF(ISBLANK(oeOTP),"",oeOTP)</f>
        <v/>
      </c>
      <c r="C5" s="533"/>
      <c r="D5" s="125" t="s">
        <v>545</v>
      </c>
      <c r="E5" s="528" t="str">
        <f>IF(ISBLANK(oVille),"",oVille)</f>
        <v/>
      </c>
      <c r="F5" s="273"/>
    </row>
    <row r="6" spans="1:6" s="9" customFormat="1" ht="13.5" customHeight="1">
      <c r="A6" s="273"/>
      <c r="B6" s="532"/>
      <c r="C6" s="532"/>
      <c r="D6" s="532"/>
      <c r="E6" s="532"/>
      <c r="F6" s="351"/>
    </row>
    <row r="7" spans="1:6" s="9" customFormat="1" ht="12.75" customHeight="1">
      <c r="A7" s="125" t="s">
        <v>546</v>
      </c>
      <c r="B7" s="1441" t="str">
        <f>IF(ISBLANK(oLibelleOTP),"",oLibelleOTP)</f>
        <v/>
      </c>
      <c r="C7" s="1441"/>
      <c r="D7" s="1441"/>
      <c r="E7" s="1441"/>
      <c r="F7" s="351"/>
    </row>
    <row r="8" spans="1:6" s="9" customFormat="1"/>
    <row r="10" spans="1:6" s="138" customFormat="1" ht="20.100000000000001" customHeight="1">
      <c r="A10" s="1698" t="s">
        <v>192</v>
      </c>
      <c r="B10" s="1698"/>
      <c r="C10" s="1698" t="s">
        <v>154</v>
      </c>
      <c r="D10" s="1698" t="s">
        <v>155</v>
      </c>
      <c r="E10" s="1698"/>
    </row>
    <row r="11" spans="1:6" s="138" customFormat="1">
      <c r="A11" s="1698"/>
      <c r="B11" s="1698"/>
      <c r="C11" s="1698"/>
      <c r="D11" s="331" t="s">
        <v>417</v>
      </c>
      <c r="E11" s="331" t="s">
        <v>156</v>
      </c>
    </row>
    <row r="12" spans="1:6" s="138" customFormat="1" ht="23.1" customHeight="1">
      <c r="A12" s="1696"/>
      <c r="B12" s="1697"/>
      <c r="C12" s="332"/>
      <c r="D12" s="332"/>
      <c r="E12" s="332"/>
    </row>
    <row r="13" spans="1:6" s="138" customFormat="1" ht="23.1" customHeight="1">
      <c r="A13" s="1696"/>
      <c r="B13" s="1697"/>
      <c r="C13" s="332"/>
      <c r="D13" s="332"/>
      <c r="E13" s="332"/>
    </row>
    <row r="14" spans="1:6" s="138" customFormat="1" ht="23.1" customHeight="1">
      <c r="A14" s="1696"/>
      <c r="B14" s="1697"/>
      <c r="C14" s="332"/>
      <c r="D14" s="332"/>
      <c r="E14" s="332"/>
    </row>
    <row r="15" spans="1:6" s="138" customFormat="1" ht="23.1" customHeight="1">
      <c r="A15" s="1696"/>
      <c r="B15" s="1697"/>
      <c r="C15" s="332"/>
      <c r="D15" s="332"/>
      <c r="E15" s="332"/>
    </row>
    <row r="16" spans="1:6" s="138" customFormat="1" ht="23.1" customHeight="1">
      <c r="A16" s="1696"/>
      <c r="B16" s="1697"/>
      <c r="C16" s="332"/>
      <c r="D16" s="332"/>
      <c r="E16" s="332"/>
    </row>
    <row r="17" spans="1:5" s="138" customFormat="1" ht="23.1" customHeight="1">
      <c r="A17" s="1696"/>
      <c r="B17" s="1697"/>
      <c r="C17" s="332"/>
      <c r="D17" s="332"/>
      <c r="E17" s="332"/>
    </row>
    <row r="18" spans="1:5" s="138" customFormat="1" ht="23.1" customHeight="1">
      <c r="A18" s="1696"/>
      <c r="B18" s="1697"/>
      <c r="C18" s="332"/>
      <c r="D18" s="332"/>
      <c r="E18" s="332"/>
    </row>
    <row r="19" spans="1:5" s="138" customFormat="1" ht="23.1" customHeight="1">
      <c r="A19" s="1696"/>
      <c r="B19" s="1697"/>
      <c r="C19" s="332"/>
      <c r="D19" s="332"/>
      <c r="E19" s="332"/>
    </row>
    <row r="20" spans="1:5" s="138" customFormat="1" ht="23.1" customHeight="1">
      <c r="A20" s="1696"/>
      <c r="B20" s="1697"/>
      <c r="C20" s="332"/>
      <c r="D20" s="332"/>
      <c r="E20" s="332"/>
    </row>
    <row r="21" spans="1:5" s="138" customFormat="1" ht="23.1" customHeight="1">
      <c r="A21" s="1696"/>
      <c r="B21" s="1697"/>
      <c r="C21" s="332"/>
      <c r="D21" s="332"/>
      <c r="E21" s="332"/>
    </row>
    <row r="22" spans="1:5" s="138" customFormat="1" ht="23.1" customHeight="1">
      <c r="A22" s="1696"/>
      <c r="B22" s="1697"/>
      <c r="C22" s="332"/>
      <c r="D22" s="332"/>
      <c r="E22" s="332"/>
    </row>
    <row r="23" spans="1:5" s="138" customFormat="1" ht="23.1" customHeight="1">
      <c r="A23" s="1696"/>
      <c r="B23" s="1697"/>
      <c r="C23" s="332"/>
      <c r="D23" s="332"/>
      <c r="E23" s="332"/>
    </row>
    <row r="24" spans="1:5" s="138" customFormat="1" ht="23.1" customHeight="1">
      <c r="A24" s="1696"/>
      <c r="B24" s="1697"/>
      <c r="C24" s="332"/>
      <c r="D24" s="332"/>
      <c r="E24" s="332"/>
    </row>
    <row r="25" spans="1:5" s="138" customFormat="1" ht="23.1" customHeight="1">
      <c r="A25" s="1696"/>
      <c r="B25" s="1697"/>
      <c r="C25" s="332"/>
      <c r="D25" s="332"/>
      <c r="E25" s="332"/>
    </row>
    <row r="26" spans="1:5" s="138" customFormat="1" ht="23.1" customHeight="1">
      <c r="A26" s="1699"/>
      <c r="B26" s="1699"/>
      <c r="C26" s="332"/>
      <c r="D26" s="332"/>
      <c r="E26" s="332"/>
    </row>
    <row r="27" spans="1:5" s="22" customFormat="1">
      <c r="A27" s="1700"/>
      <c r="B27" s="1578"/>
    </row>
    <row r="28" spans="1:5" s="22" customFormat="1"/>
    <row r="29" spans="1:5" s="22" customFormat="1">
      <c r="A29" s="333" t="s">
        <v>157</v>
      </c>
      <c r="D29" s="333" t="s">
        <v>158</v>
      </c>
    </row>
    <row r="30" spans="1:5" s="22" customFormat="1"/>
    <row r="31" spans="1:5" s="138" customFormat="1">
      <c r="A31" s="1698" t="s">
        <v>192</v>
      </c>
      <c r="B31" s="1698"/>
      <c r="C31" s="1698" t="s">
        <v>154</v>
      </c>
      <c r="D31" s="1698" t="s">
        <v>159</v>
      </c>
      <c r="E31" s="1698"/>
    </row>
    <row r="32" spans="1:5" s="138" customFormat="1">
      <c r="A32" s="1698"/>
      <c r="B32" s="1698"/>
      <c r="C32" s="1698"/>
      <c r="D32" s="331" t="s">
        <v>160</v>
      </c>
      <c r="E32" s="331" t="s">
        <v>417</v>
      </c>
    </row>
    <row r="33" spans="1:5" s="138" customFormat="1" ht="23.1" customHeight="1">
      <c r="A33" s="332"/>
      <c r="B33" s="332"/>
      <c r="C33" s="332"/>
      <c r="D33" s="332"/>
      <c r="E33" s="332"/>
    </row>
    <row r="34" spans="1:5" s="138" customFormat="1" ht="23.1" customHeight="1">
      <c r="A34" s="332"/>
      <c r="B34" s="332"/>
      <c r="C34" s="332"/>
      <c r="D34" s="332"/>
      <c r="E34" s="332"/>
    </row>
    <row r="35" spans="1:5" s="138" customFormat="1" ht="23.1" customHeight="1">
      <c r="A35" s="332"/>
      <c r="B35" s="332"/>
      <c r="C35" s="332"/>
      <c r="D35" s="332"/>
      <c r="E35" s="332"/>
    </row>
    <row r="36" spans="1:5" s="138" customFormat="1" ht="23.1" customHeight="1">
      <c r="A36" s="332"/>
      <c r="B36" s="332"/>
      <c r="C36" s="332"/>
      <c r="D36" s="332"/>
      <c r="E36" s="332"/>
    </row>
    <row r="37" spans="1:5" s="138" customFormat="1" ht="23.1" customHeight="1">
      <c r="A37" s="332"/>
      <c r="B37" s="332"/>
      <c r="C37" s="332"/>
      <c r="D37" s="332"/>
      <c r="E37" s="332"/>
    </row>
    <row r="38" spans="1:5" s="22" customFormat="1"/>
    <row r="39" spans="1:5" s="22" customFormat="1"/>
    <row r="40" spans="1:5" s="22" customFormat="1" ht="25.5">
      <c r="A40" s="897" t="s">
        <v>803</v>
      </c>
      <c r="B40" s="23"/>
      <c r="C40" s="23"/>
      <c r="D40" s="291" t="s">
        <v>1047</v>
      </c>
      <c r="E40" s="23"/>
    </row>
    <row r="41" spans="1:5" s="22" customFormat="1"/>
    <row r="42" spans="1:5" s="22" customFormat="1">
      <c r="A42" s="22" t="s">
        <v>418</v>
      </c>
      <c r="B42" s="223" t="s">
        <v>388</v>
      </c>
      <c r="D42" s="22" t="s">
        <v>418</v>
      </c>
      <c r="E42" s="22" t="s">
        <v>388</v>
      </c>
    </row>
    <row r="43" spans="1:5" s="22" customFormat="1"/>
    <row r="44" spans="1:5" s="22" customFormat="1"/>
    <row r="45" spans="1:5" s="22" customFormat="1"/>
    <row r="46" spans="1:5" s="22" customFormat="1"/>
    <row r="47" spans="1:5" s="22" customFormat="1"/>
    <row r="48" spans="1:5" s="22" customFormat="1"/>
    <row r="49" s="22" customFormat="1"/>
    <row r="50" s="22" customFormat="1"/>
    <row r="51" s="22" customFormat="1"/>
  </sheetData>
  <mergeCells count="26">
    <mergeCell ref="A1:A2"/>
    <mergeCell ref="B1:D2"/>
    <mergeCell ref="E1:E2"/>
    <mergeCell ref="A10:B11"/>
    <mergeCell ref="C10:C11"/>
    <mergeCell ref="D10:E10"/>
    <mergeCell ref="B7:E7"/>
    <mergeCell ref="A12:B12"/>
    <mergeCell ref="A13:B13"/>
    <mergeCell ref="A14:B14"/>
    <mergeCell ref="A15:B15"/>
    <mergeCell ref="A16:B16"/>
    <mergeCell ref="A17:B17"/>
    <mergeCell ref="A18:B18"/>
    <mergeCell ref="A19:B19"/>
    <mergeCell ref="A20:B20"/>
    <mergeCell ref="A21:B21"/>
    <mergeCell ref="A22:B22"/>
    <mergeCell ref="A23:B23"/>
    <mergeCell ref="A31:B32"/>
    <mergeCell ref="C31:C32"/>
    <mergeCell ref="D31:E31"/>
    <mergeCell ref="A24:B24"/>
    <mergeCell ref="A25:B25"/>
    <mergeCell ref="A26:B26"/>
    <mergeCell ref="A27:B27"/>
  </mergeCells>
  <phoneticPr fontId="12" type="noConversion"/>
  <printOptions horizontalCentered="1"/>
  <pageMargins left="0" right="0" top="0" bottom="0.39370078740157483" header="0" footer="0"/>
  <pageSetup paperSize="9" orientation="portrait" r:id="rId1"/>
  <headerFooter alignWithMargins="0">
    <oddFooter>&amp;LEdité le &amp;D&amp;C&amp;P/&amp;N</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Feuil5">
    <tabColor indexed="42"/>
    <pageSetUpPr fitToPage="1"/>
  </sheetPr>
  <dimension ref="A1:N38"/>
  <sheetViews>
    <sheetView showGridLines="0" view="pageBreakPreview" zoomScale="70" zoomScaleNormal="100" zoomScaleSheetLayoutView="70" workbookViewId="0">
      <selection activeCell="E35" sqref="E35:F36"/>
    </sheetView>
  </sheetViews>
  <sheetFormatPr baseColWidth="10" defaultRowHeight="12.75"/>
  <cols>
    <col min="1" max="1" width="40.42578125" style="906" customWidth="1"/>
    <col min="2" max="3" width="7" style="906" customWidth="1"/>
    <col min="4" max="4" width="27.140625" style="906" customWidth="1"/>
    <col min="5" max="5" width="49.5703125" style="906" customWidth="1"/>
    <col min="6" max="6" width="23.7109375" style="906" customWidth="1"/>
    <col min="7" max="256" width="11.42578125" style="906"/>
    <col min="257" max="257" width="40.42578125" style="906" customWidth="1"/>
    <col min="258" max="259" width="7" style="906" customWidth="1"/>
    <col min="260" max="260" width="27.140625" style="906" customWidth="1"/>
    <col min="261" max="261" width="49.5703125" style="906" customWidth="1"/>
    <col min="262" max="262" width="23.7109375" style="906" customWidth="1"/>
    <col min="263" max="512" width="11.42578125" style="906"/>
    <col min="513" max="513" width="40.42578125" style="906" customWidth="1"/>
    <col min="514" max="515" width="7" style="906" customWidth="1"/>
    <col min="516" max="516" width="27.140625" style="906" customWidth="1"/>
    <col min="517" max="517" width="49.5703125" style="906" customWidth="1"/>
    <col min="518" max="518" width="23.7109375" style="906" customWidth="1"/>
    <col min="519" max="768" width="11.42578125" style="906"/>
    <col min="769" max="769" width="40.42578125" style="906" customWidth="1"/>
    <col min="770" max="771" width="7" style="906" customWidth="1"/>
    <col min="772" max="772" width="27.140625" style="906" customWidth="1"/>
    <col min="773" max="773" width="49.5703125" style="906" customWidth="1"/>
    <col min="774" max="774" width="23.7109375" style="906" customWidth="1"/>
    <col min="775" max="1024" width="11.42578125" style="906"/>
    <col min="1025" max="1025" width="40.42578125" style="906" customWidth="1"/>
    <col min="1026" max="1027" width="7" style="906" customWidth="1"/>
    <col min="1028" max="1028" width="27.140625" style="906" customWidth="1"/>
    <col min="1029" max="1029" width="49.5703125" style="906" customWidth="1"/>
    <col min="1030" max="1030" width="23.7109375" style="906" customWidth="1"/>
    <col min="1031" max="1280" width="11.42578125" style="906"/>
    <col min="1281" max="1281" width="40.42578125" style="906" customWidth="1"/>
    <col min="1282" max="1283" width="7" style="906" customWidth="1"/>
    <col min="1284" max="1284" width="27.140625" style="906" customWidth="1"/>
    <col min="1285" max="1285" width="49.5703125" style="906" customWidth="1"/>
    <col min="1286" max="1286" width="23.7109375" style="906" customWidth="1"/>
    <col min="1287" max="1536" width="11.42578125" style="906"/>
    <col min="1537" max="1537" width="40.42578125" style="906" customWidth="1"/>
    <col min="1538" max="1539" width="7" style="906" customWidth="1"/>
    <col min="1540" max="1540" width="27.140625" style="906" customWidth="1"/>
    <col min="1541" max="1541" width="49.5703125" style="906" customWidth="1"/>
    <col min="1542" max="1542" width="23.7109375" style="906" customWidth="1"/>
    <col min="1543" max="1792" width="11.42578125" style="906"/>
    <col min="1793" max="1793" width="40.42578125" style="906" customWidth="1"/>
    <col min="1794" max="1795" width="7" style="906" customWidth="1"/>
    <col min="1796" max="1796" width="27.140625" style="906" customWidth="1"/>
    <col min="1797" max="1797" width="49.5703125" style="906" customWidth="1"/>
    <col min="1798" max="1798" width="23.7109375" style="906" customWidth="1"/>
    <col min="1799" max="2048" width="11.42578125" style="906"/>
    <col min="2049" max="2049" width="40.42578125" style="906" customWidth="1"/>
    <col min="2050" max="2051" width="7" style="906" customWidth="1"/>
    <col min="2052" max="2052" width="27.140625" style="906" customWidth="1"/>
    <col min="2053" max="2053" width="49.5703125" style="906" customWidth="1"/>
    <col min="2054" max="2054" width="23.7109375" style="906" customWidth="1"/>
    <col min="2055" max="2304" width="11.42578125" style="906"/>
    <col min="2305" max="2305" width="40.42578125" style="906" customWidth="1"/>
    <col min="2306" max="2307" width="7" style="906" customWidth="1"/>
    <col min="2308" max="2308" width="27.140625" style="906" customWidth="1"/>
    <col min="2309" max="2309" width="49.5703125" style="906" customWidth="1"/>
    <col min="2310" max="2310" width="23.7109375" style="906" customWidth="1"/>
    <col min="2311" max="2560" width="11.42578125" style="906"/>
    <col min="2561" max="2561" width="40.42578125" style="906" customWidth="1"/>
    <col min="2562" max="2563" width="7" style="906" customWidth="1"/>
    <col min="2564" max="2564" width="27.140625" style="906" customWidth="1"/>
    <col min="2565" max="2565" width="49.5703125" style="906" customWidth="1"/>
    <col min="2566" max="2566" width="23.7109375" style="906" customWidth="1"/>
    <col min="2567" max="2816" width="11.42578125" style="906"/>
    <col min="2817" max="2817" width="40.42578125" style="906" customWidth="1"/>
    <col min="2818" max="2819" width="7" style="906" customWidth="1"/>
    <col min="2820" max="2820" width="27.140625" style="906" customWidth="1"/>
    <col min="2821" max="2821" width="49.5703125" style="906" customWidth="1"/>
    <col min="2822" max="2822" width="23.7109375" style="906" customWidth="1"/>
    <col min="2823" max="3072" width="11.42578125" style="906"/>
    <col min="3073" max="3073" width="40.42578125" style="906" customWidth="1"/>
    <col min="3074" max="3075" width="7" style="906" customWidth="1"/>
    <col min="3076" max="3076" width="27.140625" style="906" customWidth="1"/>
    <col min="3077" max="3077" width="49.5703125" style="906" customWidth="1"/>
    <col min="3078" max="3078" width="23.7109375" style="906" customWidth="1"/>
    <col min="3079" max="3328" width="11.42578125" style="906"/>
    <col min="3329" max="3329" width="40.42578125" style="906" customWidth="1"/>
    <col min="3330" max="3331" width="7" style="906" customWidth="1"/>
    <col min="3332" max="3332" width="27.140625" style="906" customWidth="1"/>
    <col min="3333" max="3333" width="49.5703125" style="906" customWidth="1"/>
    <col min="3334" max="3334" width="23.7109375" style="906" customWidth="1"/>
    <col min="3335" max="3584" width="11.42578125" style="906"/>
    <col min="3585" max="3585" width="40.42578125" style="906" customWidth="1"/>
    <col min="3586" max="3587" width="7" style="906" customWidth="1"/>
    <col min="3588" max="3588" width="27.140625" style="906" customWidth="1"/>
    <col min="3589" max="3589" width="49.5703125" style="906" customWidth="1"/>
    <col min="3590" max="3590" width="23.7109375" style="906" customWidth="1"/>
    <col min="3591" max="3840" width="11.42578125" style="906"/>
    <col min="3841" max="3841" width="40.42578125" style="906" customWidth="1"/>
    <col min="3842" max="3843" width="7" style="906" customWidth="1"/>
    <col min="3844" max="3844" width="27.140625" style="906" customWidth="1"/>
    <col min="3845" max="3845" width="49.5703125" style="906" customWidth="1"/>
    <col min="3846" max="3846" width="23.7109375" style="906" customWidth="1"/>
    <col min="3847" max="4096" width="11.42578125" style="906"/>
    <col min="4097" max="4097" width="40.42578125" style="906" customWidth="1"/>
    <col min="4098" max="4099" width="7" style="906" customWidth="1"/>
    <col min="4100" max="4100" width="27.140625" style="906" customWidth="1"/>
    <col min="4101" max="4101" width="49.5703125" style="906" customWidth="1"/>
    <col min="4102" max="4102" width="23.7109375" style="906" customWidth="1"/>
    <col min="4103" max="4352" width="11.42578125" style="906"/>
    <col min="4353" max="4353" width="40.42578125" style="906" customWidth="1"/>
    <col min="4354" max="4355" width="7" style="906" customWidth="1"/>
    <col min="4356" max="4356" width="27.140625" style="906" customWidth="1"/>
    <col min="4357" max="4357" width="49.5703125" style="906" customWidth="1"/>
    <col min="4358" max="4358" width="23.7109375" style="906" customWidth="1"/>
    <col min="4359" max="4608" width="11.42578125" style="906"/>
    <col min="4609" max="4609" width="40.42578125" style="906" customWidth="1"/>
    <col min="4610" max="4611" width="7" style="906" customWidth="1"/>
    <col min="4612" max="4612" width="27.140625" style="906" customWidth="1"/>
    <col min="4613" max="4613" width="49.5703125" style="906" customWidth="1"/>
    <col min="4614" max="4614" width="23.7109375" style="906" customWidth="1"/>
    <col min="4615" max="4864" width="11.42578125" style="906"/>
    <col min="4865" max="4865" width="40.42578125" style="906" customWidth="1"/>
    <col min="4866" max="4867" width="7" style="906" customWidth="1"/>
    <col min="4868" max="4868" width="27.140625" style="906" customWidth="1"/>
    <col min="4869" max="4869" width="49.5703125" style="906" customWidth="1"/>
    <col min="4870" max="4870" width="23.7109375" style="906" customWidth="1"/>
    <col min="4871" max="5120" width="11.42578125" style="906"/>
    <col min="5121" max="5121" width="40.42578125" style="906" customWidth="1"/>
    <col min="5122" max="5123" width="7" style="906" customWidth="1"/>
    <col min="5124" max="5124" width="27.140625" style="906" customWidth="1"/>
    <col min="5125" max="5125" width="49.5703125" style="906" customWidth="1"/>
    <col min="5126" max="5126" width="23.7109375" style="906" customWidth="1"/>
    <col min="5127" max="5376" width="11.42578125" style="906"/>
    <col min="5377" max="5377" width="40.42578125" style="906" customWidth="1"/>
    <col min="5378" max="5379" width="7" style="906" customWidth="1"/>
    <col min="5380" max="5380" width="27.140625" style="906" customWidth="1"/>
    <col min="5381" max="5381" width="49.5703125" style="906" customWidth="1"/>
    <col min="5382" max="5382" width="23.7109375" style="906" customWidth="1"/>
    <col min="5383" max="5632" width="11.42578125" style="906"/>
    <col min="5633" max="5633" width="40.42578125" style="906" customWidth="1"/>
    <col min="5634" max="5635" width="7" style="906" customWidth="1"/>
    <col min="5636" max="5636" width="27.140625" style="906" customWidth="1"/>
    <col min="5637" max="5637" width="49.5703125" style="906" customWidth="1"/>
    <col min="5638" max="5638" width="23.7109375" style="906" customWidth="1"/>
    <col min="5639" max="5888" width="11.42578125" style="906"/>
    <col min="5889" max="5889" width="40.42578125" style="906" customWidth="1"/>
    <col min="5890" max="5891" width="7" style="906" customWidth="1"/>
    <col min="5892" max="5892" width="27.140625" style="906" customWidth="1"/>
    <col min="5893" max="5893" width="49.5703125" style="906" customWidth="1"/>
    <col min="5894" max="5894" width="23.7109375" style="906" customWidth="1"/>
    <col min="5895" max="6144" width="11.42578125" style="906"/>
    <col min="6145" max="6145" width="40.42578125" style="906" customWidth="1"/>
    <col min="6146" max="6147" width="7" style="906" customWidth="1"/>
    <col min="6148" max="6148" width="27.140625" style="906" customWidth="1"/>
    <col min="6149" max="6149" width="49.5703125" style="906" customWidth="1"/>
    <col min="6150" max="6150" width="23.7109375" style="906" customWidth="1"/>
    <col min="6151" max="6400" width="11.42578125" style="906"/>
    <col min="6401" max="6401" width="40.42578125" style="906" customWidth="1"/>
    <col min="6402" max="6403" width="7" style="906" customWidth="1"/>
    <col min="6404" max="6404" width="27.140625" style="906" customWidth="1"/>
    <col min="6405" max="6405" width="49.5703125" style="906" customWidth="1"/>
    <col min="6406" max="6406" width="23.7109375" style="906" customWidth="1"/>
    <col min="6407" max="6656" width="11.42578125" style="906"/>
    <col min="6657" max="6657" width="40.42578125" style="906" customWidth="1"/>
    <col min="6658" max="6659" width="7" style="906" customWidth="1"/>
    <col min="6660" max="6660" width="27.140625" style="906" customWidth="1"/>
    <col min="6661" max="6661" width="49.5703125" style="906" customWidth="1"/>
    <col min="6662" max="6662" width="23.7109375" style="906" customWidth="1"/>
    <col min="6663" max="6912" width="11.42578125" style="906"/>
    <col min="6913" max="6913" width="40.42578125" style="906" customWidth="1"/>
    <col min="6914" max="6915" width="7" style="906" customWidth="1"/>
    <col min="6916" max="6916" width="27.140625" style="906" customWidth="1"/>
    <col min="6917" max="6917" width="49.5703125" style="906" customWidth="1"/>
    <col min="6918" max="6918" width="23.7109375" style="906" customWidth="1"/>
    <col min="6919" max="7168" width="11.42578125" style="906"/>
    <col min="7169" max="7169" width="40.42578125" style="906" customWidth="1"/>
    <col min="7170" max="7171" width="7" style="906" customWidth="1"/>
    <col min="7172" max="7172" width="27.140625" style="906" customWidth="1"/>
    <col min="7173" max="7173" width="49.5703125" style="906" customWidth="1"/>
    <col min="7174" max="7174" width="23.7109375" style="906" customWidth="1"/>
    <col min="7175" max="7424" width="11.42578125" style="906"/>
    <col min="7425" max="7425" width="40.42578125" style="906" customWidth="1"/>
    <col min="7426" max="7427" width="7" style="906" customWidth="1"/>
    <col min="7428" max="7428" width="27.140625" style="906" customWidth="1"/>
    <col min="7429" max="7429" width="49.5703125" style="906" customWidth="1"/>
    <col min="7430" max="7430" width="23.7109375" style="906" customWidth="1"/>
    <col min="7431" max="7680" width="11.42578125" style="906"/>
    <col min="7681" max="7681" width="40.42578125" style="906" customWidth="1"/>
    <col min="7682" max="7683" width="7" style="906" customWidth="1"/>
    <col min="7684" max="7684" width="27.140625" style="906" customWidth="1"/>
    <col min="7685" max="7685" width="49.5703125" style="906" customWidth="1"/>
    <col min="7686" max="7686" width="23.7109375" style="906" customWidth="1"/>
    <col min="7687" max="7936" width="11.42578125" style="906"/>
    <col min="7937" max="7937" width="40.42578125" style="906" customWidth="1"/>
    <col min="7938" max="7939" width="7" style="906" customWidth="1"/>
    <col min="7940" max="7940" width="27.140625" style="906" customWidth="1"/>
    <col min="7941" max="7941" width="49.5703125" style="906" customWidth="1"/>
    <col min="7942" max="7942" width="23.7109375" style="906" customWidth="1"/>
    <col min="7943" max="8192" width="11.42578125" style="906"/>
    <col min="8193" max="8193" width="40.42578125" style="906" customWidth="1"/>
    <col min="8194" max="8195" width="7" style="906" customWidth="1"/>
    <col min="8196" max="8196" width="27.140625" style="906" customWidth="1"/>
    <col min="8197" max="8197" width="49.5703125" style="906" customWidth="1"/>
    <col min="8198" max="8198" width="23.7109375" style="906" customWidth="1"/>
    <col min="8199" max="8448" width="11.42578125" style="906"/>
    <col min="8449" max="8449" width="40.42578125" style="906" customWidth="1"/>
    <col min="8450" max="8451" width="7" style="906" customWidth="1"/>
    <col min="8452" max="8452" width="27.140625" style="906" customWidth="1"/>
    <col min="8453" max="8453" width="49.5703125" style="906" customWidth="1"/>
    <col min="8454" max="8454" width="23.7109375" style="906" customWidth="1"/>
    <col min="8455" max="8704" width="11.42578125" style="906"/>
    <col min="8705" max="8705" width="40.42578125" style="906" customWidth="1"/>
    <col min="8706" max="8707" width="7" style="906" customWidth="1"/>
    <col min="8708" max="8708" width="27.140625" style="906" customWidth="1"/>
    <col min="8709" max="8709" width="49.5703125" style="906" customWidth="1"/>
    <col min="8710" max="8710" width="23.7109375" style="906" customWidth="1"/>
    <col min="8711" max="8960" width="11.42578125" style="906"/>
    <col min="8961" max="8961" width="40.42578125" style="906" customWidth="1"/>
    <col min="8962" max="8963" width="7" style="906" customWidth="1"/>
    <col min="8964" max="8964" width="27.140625" style="906" customWidth="1"/>
    <col min="8965" max="8965" width="49.5703125" style="906" customWidth="1"/>
    <col min="8966" max="8966" width="23.7109375" style="906" customWidth="1"/>
    <col min="8967" max="9216" width="11.42578125" style="906"/>
    <col min="9217" max="9217" width="40.42578125" style="906" customWidth="1"/>
    <col min="9218" max="9219" width="7" style="906" customWidth="1"/>
    <col min="9220" max="9220" width="27.140625" style="906" customWidth="1"/>
    <col min="9221" max="9221" width="49.5703125" style="906" customWidth="1"/>
    <col min="9222" max="9222" width="23.7109375" style="906" customWidth="1"/>
    <col min="9223" max="9472" width="11.42578125" style="906"/>
    <col min="9473" max="9473" width="40.42578125" style="906" customWidth="1"/>
    <col min="9474" max="9475" width="7" style="906" customWidth="1"/>
    <col min="9476" max="9476" width="27.140625" style="906" customWidth="1"/>
    <col min="9477" max="9477" width="49.5703125" style="906" customWidth="1"/>
    <col min="9478" max="9478" width="23.7109375" style="906" customWidth="1"/>
    <col min="9479" max="9728" width="11.42578125" style="906"/>
    <col min="9729" max="9729" width="40.42578125" style="906" customWidth="1"/>
    <col min="9730" max="9731" width="7" style="906" customWidth="1"/>
    <col min="9732" max="9732" width="27.140625" style="906" customWidth="1"/>
    <col min="9733" max="9733" width="49.5703125" style="906" customWidth="1"/>
    <col min="9734" max="9734" width="23.7109375" style="906" customWidth="1"/>
    <col min="9735" max="9984" width="11.42578125" style="906"/>
    <col min="9985" max="9985" width="40.42578125" style="906" customWidth="1"/>
    <col min="9986" max="9987" width="7" style="906" customWidth="1"/>
    <col min="9988" max="9988" width="27.140625" style="906" customWidth="1"/>
    <col min="9989" max="9989" width="49.5703125" style="906" customWidth="1"/>
    <col min="9990" max="9990" width="23.7109375" style="906" customWidth="1"/>
    <col min="9991" max="10240" width="11.42578125" style="906"/>
    <col min="10241" max="10241" width="40.42578125" style="906" customWidth="1"/>
    <col min="10242" max="10243" width="7" style="906" customWidth="1"/>
    <col min="10244" max="10244" width="27.140625" style="906" customWidth="1"/>
    <col min="10245" max="10245" width="49.5703125" style="906" customWidth="1"/>
    <col min="10246" max="10246" width="23.7109375" style="906" customWidth="1"/>
    <col min="10247" max="10496" width="11.42578125" style="906"/>
    <col min="10497" max="10497" width="40.42578125" style="906" customWidth="1"/>
    <col min="10498" max="10499" width="7" style="906" customWidth="1"/>
    <col min="10500" max="10500" width="27.140625" style="906" customWidth="1"/>
    <col min="10501" max="10501" width="49.5703125" style="906" customWidth="1"/>
    <col min="10502" max="10502" width="23.7109375" style="906" customWidth="1"/>
    <col min="10503" max="10752" width="11.42578125" style="906"/>
    <col min="10753" max="10753" width="40.42578125" style="906" customWidth="1"/>
    <col min="10754" max="10755" width="7" style="906" customWidth="1"/>
    <col min="10756" max="10756" width="27.140625" style="906" customWidth="1"/>
    <col min="10757" max="10757" width="49.5703125" style="906" customWidth="1"/>
    <col min="10758" max="10758" width="23.7109375" style="906" customWidth="1"/>
    <col min="10759" max="11008" width="11.42578125" style="906"/>
    <col min="11009" max="11009" width="40.42578125" style="906" customWidth="1"/>
    <col min="11010" max="11011" width="7" style="906" customWidth="1"/>
    <col min="11012" max="11012" width="27.140625" style="906" customWidth="1"/>
    <col min="11013" max="11013" width="49.5703125" style="906" customWidth="1"/>
    <col min="11014" max="11014" width="23.7109375" style="906" customWidth="1"/>
    <col min="11015" max="11264" width="11.42578125" style="906"/>
    <col min="11265" max="11265" width="40.42578125" style="906" customWidth="1"/>
    <col min="11266" max="11267" width="7" style="906" customWidth="1"/>
    <col min="11268" max="11268" width="27.140625" style="906" customWidth="1"/>
    <col min="11269" max="11269" width="49.5703125" style="906" customWidth="1"/>
    <col min="11270" max="11270" width="23.7109375" style="906" customWidth="1"/>
    <col min="11271" max="11520" width="11.42578125" style="906"/>
    <col min="11521" max="11521" width="40.42578125" style="906" customWidth="1"/>
    <col min="11522" max="11523" width="7" style="906" customWidth="1"/>
    <col min="11524" max="11524" width="27.140625" style="906" customWidth="1"/>
    <col min="11525" max="11525" width="49.5703125" style="906" customWidth="1"/>
    <col min="11526" max="11526" width="23.7109375" style="906" customWidth="1"/>
    <col min="11527" max="11776" width="11.42578125" style="906"/>
    <col min="11777" max="11777" width="40.42578125" style="906" customWidth="1"/>
    <col min="11778" max="11779" width="7" style="906" customWidth="1"/>
    <col min="11780" max="11780" width="27.140625" style="906" customWidth="1"/>
    <col min="11781" max="11781" width="49.5703125" style="906" customWidth="1"/>
    <col min="11782" max="11782" width="23.7109375" style="906" customWidth="1"/>
    <col min="11783" max="12032" width="11.42578125" style="906"/>
    <col min="12033" max="12033" width="40.42578125" style="906" customWidth="1"/>
    <col min="12034" max="12035" width="7" style="906" customWidth="1"/>
    <col min="12036" max="12036" width="27.140625" style="906" customWidth="1"/>
    <col min="12037" max="12037" width="49.5703125" style="906" customWidth="1"/>
    <col min="12038" max="12038" width="23.7109375" style="906" customWidth="1"/>
    <col min="12039" max="12288" width="11.42578125" style="906"/>
    <col min="12289" max="12289" width="40.42578125" style="906" customWidth="1"/>
    <col min="12290" max="12291" width="7" style="906" customWidth="1"/>
    <col min="12292" max="12292" width="27.140625" style="906" customWidth="1"/>
    <col min="12293" max="12293" width="49.5703125" style="906" customWidth="1"/>
    <col min="12294" max="12294" width="23.7109375" style="906" customWidth="1"/>
    <col min="12295" max="12544" width="11.42578125" style="906"/>
    <col min="12545" max="12545" width="40.42578125" style="906" customWidth="1"/>
    <col min="12546" max="12547" width="7" style="906" customWidth="1"/>
    <col min="12548" max="12548" width="27.140625" style="906" customWidth="1"/>
    <col min="12549" max="12549" width="49.5703125" style="906" customWidth="1"/>
    <col min="12550" max="12550" width="23.7109375" style="906" customWidth="1"/>
    <col min="12551" max="12800" width="11.42578125" style="906"/>
    <col min="12801" max="12801" width="40.42578125" style="906" customWidth="1"/>
    <col min="12802" max="12803" width="7" style="906" customWidth="1"/>
    <col min="12804" max="12804" width="27.140625" style="906" customWidth="1"/>
    <col min="12805" max="12805" width="49.5703125" style="906" customWidth="1"/>
    <col min="12806" max="12806" width="23.7109375" style="906" customWidth="1"/>
    <col min="12807" max="13056" width="11.42578125" style="906"/>
    <col min="13057" max="13057" width="40.42578125" style="906" customWidth="1"/>
    <col min="13058" max="13059" width="7" style="906" customWidth="1"/>
    <col min="13060" max="13060" width="27.140625" style="906" customWidth="1"/>
    <col min="13061" max="13061" width="49.5703125" style="906" customWidth="1"/>
    <col min="13062" max="13062" width="23.7109375" style="906" customWidth="1"/>
    <col min="13063" max="13312" width="11.42578125" style="906"/>
    <col min="13313" max="13313" width="40.42578125" style="906" customWidth="1"/>
    <col min="13314" max="13315" width="7" style="906" customWidth="1"/>
    <col min="13316" max="13316" width="27.140625" style="906" customWidth="1"/>
    <col min="13317" max="13317" width="49.5703125" style="906" customWidth="1"/>
    <col min="13318" max="13318" width="23.7109375" style="906" customWidth="1"/>
    <col min="13319" max="13568" width="11.42578125" style="906"/>
    <col min="13569" max="13569" width="40.42578125" style="906" customWidth="1"/>
    <col min="13570" max="13571" width="7" style="906" customWidth="1"/>
    <col min="13572" max="13572" width="27.140625" style="906" customWidth="1"/>
    <col min="13573" max="13573" width="49.5703125" style="906" customWidth="1"/>
    <col min="13574" max="13574" width="23.7109375" style="906" customWidth="1"/>
    <col min="13575" max="13824" width="11.42578125" style="906"/>
    <col min="13825" max="13825" width="40.42578125" style="906" customWidth="1"/>
    <col min="13826" max="13827" width="7" style="906" customWidth="1"/>
    <col min="13828" max="13828" width="27.140625" style="906" customWidth="1"/>
    <col min="13829" max="13829" width="49.5703125" style="906" customWidth="1"/>
    <col min="13830" max="13830" width="23.7109375" style="906" customWidth="1"/>
    <col min="13831" max="14080" width="11.42578125" style="906"/>
    <col min="14081" max="14081" width="40.42578125" style="906" customWidth="1"/>
    <col min="14082" max="14083" width="7" style="906" customWidth="1"/>
    <col min="14084" max="14084" width="27.140625" style="906" customWidth="1"/>
    <col min="14085" max="14085" width="49.5703125" style="906" customWidth="1"/>
    <col min="14086" max="14086" width="23.7109375" style="906" customWidth="1"/>
    <col min="14087" max="14336" width="11.42578125" style="906"/>
    <col min="14337" max="14337" width="40.42578125" style="906" customWidth="1"/>
    <col min="14338" max="14339" width="7" style="906" customWidth="1"/>
    <col min="14340" max="14340" width="27.140625" style="906" customWidth="1"/>
    <col min="14341" max="14341" width="49.5703125" style="906" customWidth="1"/>
    <col min="14342" max="14342" width="23.7109375" style="906" customWidth="1"/>
    <col min="14343" max="14592" width="11.42578125" style="906"/>
    <col min="14593" max="14593" width="40.42578125" style="906" customWidth="1"/>
    <col min="14594" max="14595" width="7" style="906" customWidth="1"/>
    <col min="14596" max="14596" width="27.140625" style="906" customWidth="1"/>
    <col min="14597" max="14597" width="49.5703125" style="906" customWidth="1"/>
    <col min="14598" max="14598" width="23.7109375" style="906" customWidth="1"/>
    <col min="14599" max="14848" width="11.42578125" style="906"/>
    <col min="14849" max="14849" width="40.42578125" style="906" customWidth="1"/>
    <col min="14850" max="14851" width="7" style="906" customWidth="1"/>
    <col min="14852" max="14852" width="27.140625" style="906" customWidth="1"/>
    <col min="14853" max="14853" width="49.5703125" style="906" customWidth="1"/>
    <col min="14854" max="14854" width="23.7109375" style="906" customWidth="1"/>
    <col min="14855" max="15104" width="11.42578125" style="906"/>
    <col min="15105" max="15105" width="40.42578125" style="906" customWidth="1"/>
    <col min="15106" max="15107" width="7" style="906" customWidth="1"/>
    <col min="15108" max="15108" width="27.140625" style="906" customWidth="1"/>
    <col min="15109" max="15109" width="49.5703125" style="906" customWidth="1"/>
    <col min="15110" max="15110" width="23.7109375" style="906" customWidth="1"/>
    <col min="15111" max="15360" width="11.42578125" style="906"/>
    <col min="15361" max="15361" width="40.42578125" style="906" customWidth="1"/>
    <col min="15362" max="15363" width="7" style="906" customWidth="1"/>
    <col min="15364" max="15364" width="27.140625" style="906" customWidth="1"/>
    <col min="15365" max="15365" width="49.5703125" style="906" customWidth="1"/>
    <col min="15366" max="15366" width="23.7109375" style="906" customWidth="1"/>
    <col min="15367" max="15616" width="11.42578125" style="906"/>
    <col min="15617" max="15617" width="40.42578125" style="906" customWidth="1"/>
    <col min="15618" max="15619" width="7" style="906" customWidth="1"/>
    <col min="15620" max="15620" width="27.140625" style="906" customWidth="1"/>
    <col min="15621" max="15621" width="49.5703125" style="906" customWidth="1"/>
    <col min="15622" max="15622" width="23.7109375" style="906" customWidth="1"/>
    <col min="15623" max="15872" width="11.42578125" style="906"/>
    <col min="15873" max="15873" width="40.42578125" style="906" customWidth="1"/>
    <col min="15874" max="15875" width="7" style="906" customWidth="1"/>
    <col min="15876" max="15876" width="27.140625" style="906" customWidth="1"/>
    <col min="15877" max="15877" width="49.5703125" style="906" customWidth="1"/>
    <col min="15878" max="15878" width="23.7109375" style="906" customWidth="1"/>
    <col min="15879" max="16128" width="11.42578125" style="906"/>
    <col min="16129" max="16129" width="40.42578125" style="906" customWidth="1"/>
    <col min="16130" max="16131" width="7" style="906" customWidth="1"/>
    <col min="16132" max="16132" width="27.140625" style="906" customWidth="1"/>
    <col min="16133" max="16133" width="49.5703125" style="906" customWidth="1"/>
    <col min="16134" max="16134" width="23.7109375" style="906" customWidth="1"/>
    <col min="16135" max="16384" width="11.42578125" style="906"/>
  </cols>
  <sheetData>
    <row r="1" spans="1:14" ht="50.25" customHeight="1">
      <c r="A1" s="1711"/>
      <c r="B1" s="1712" t="s">
        <v>1067</v>
      </c>
      <c r="C1" s="1713"/>
      <c r="D1" s="1713"/>
      <c r="E1" s="1714"/>
      <c r="F1" s="1718"/>
    </row>
    <row r="2" spans="1:14" ht="29.25" customHeight="1">
      <c r="A2" s="1711"/>
      <c r="B2" s="1715"/>
      <c r="C2" s="1716"/>
      <c r="D2" s="1716"/>
      <c r="E2" s="1717"/>
      <c r="F2" s="1718"/>
    </row>
    <row r="3" spans="1:14" ht="14.25" customHeight="1">
      <c r="A3" s="907"/>
      <c r="B3" s="908"/>
      <c r="C3" s="908"/>
      <c r="D3" s="909"/>
      <c r="E3" s="909"/>
      <c r="F3" s="910"/>
    </row>
    <row r="4" spans="1:14" s="908" customFormat="1" ht="33.75" customHeight="1">
      <c r="A4" s="911" t="s">
        <v>1205</v>
      </c>
      <c r="B4" s="912"/>
      <c r="C4" s="912"/>
      <c r="D4" s="1710" t="str">
        <f>IF(ISBLANK(oMOE),"",oMOE)</f>
        <v/>
      </c>
      <c r="E4" s="1710"/>
      <c r="F4" s="1710"/>
    </row>
    <row r="5" spans="1:14" s="908" customFormat="1" ht="18" customHeight="1">
      <c r="A5" s="1719"/>
      <c r="B5" s="1720"/>
      <c r="C5" s="1720"/>
      <c r="D5" s="1720"/>
      <c r="E5" s="1720"/>
      <c r="F5" s="1721"/>
    </row>
    <row r="6" spans="1:14" s="908" customFormat="1" ht="20.25">
      <c r="A6" s="913" t="s">
        <v>1062</v>
      </c>
      <c r="B6" s="914"/>
      <c r="C6" s="914"/>
      <c r="F6" s="915"/>
    </row>
    <row r="7" spans="1:14" s="908" customFormat="1" ht="9" customHeight="1">
      <c r="A7" s="913"/>
      <c r="B7" s="914"/>
      <c r="C7" s="914"/>
      <c r="F7" s="915"/>
    </row>
    <row r="8" spans="1:14" s="908" customFormat="1" ht="50.25" customHeight="1">
      <c r="A8" s="913" t="s">
        <v>1063</v>
      </c>
      <c r="B8" s="914"/>
      <c r="C8" s="914"/>
      <c r="D8" s="1710" t="str">
        <f>IF(ISBLANK(oLibelleOTP),"",oLibelleOTP)</f>
        <v/>
      </c>
      <c r="E8" s="1710"/>
      <c r="F8" s="920"/>
      <c r="G8" s="928"/>
      <c r="H8" s="928"/>
      <c r="I8" s="928"/>
      <c r="J8" s="916"/>
      <c r="K8" s="916"/>
      <c r="L8" s="916"/>
      <c r="M8" s="916"/>
      <c r="N8" s="916"/>
    </row>
    <row r="9" spans="1:14" s="908" customFormat="1" ht="10.5" customHeight="1">
      <c r="A9" s="1707"/>
      <c r="B9" s="1708"/>
      <c r="C9" s="1708"/>
      <c r="D9" s="1708"/>
      <c r="E9" s="1708"/>
      <c r="F9" s="1709"/>
    </row>
    <row r="10" spans="1:14" s="908" customFormat="1" ht="20.25">
      <c r="A10" s="913" t="s">
        <v>1064</v>
      </c>
      <c r="B10" s="1731" t="str">
        <f>IF(ISBLANK(oN°MARCHE),"",oN°MARCHE)</f>
        <v/>
      </c>
      <c r="C10" s="1731"/>
      <c r="D10" s="1731"/>
      <c r="E10" s="917"/>
      <c r="F10" s="918"/>
    </row>
    <row r="11" spans="1:14" s="908" customFormat="1" ht="20.25">
      <c r="A11" s="919" t="s">
        <v>1065</v>
      </c>
      <c r="B11" s="1732" t="str">
        <f>IF(ISBLANK(oAdresseChantier),"",oAdresseChantier)</f>
        <v/>
      </c>
      <c r="C11" s="1732"/>
      <c r="D11" s="1732"/>
      <c r="E11" s="931" t="str">
        <f>IF(ISBLANK(oVille),"",oVille)</f>
        <v/>
      </c>
      <c r="F11" s="930"/>
      <c r="G11" s="929"/>
    </row>
    <row r="12" spans="1:14" s="908" customFormat="1" ht="20.25">
      <c r="A12" s="913" t="s">
        <v>1066</v>
      </c>
      <c r="B12" s="1731" t="str">
        <f>IF(ISBLANK(oeOTP),"",oeOTP)</f>
        <v/>
      </c>
      <c r="C12" s="1731"/>
      <c r="D12" s="1731"/>
      <c r="F12" s="915"/>
    </row>
    <row r="13" spans="1:14" s="924" customFormat="1" ht="18">
      <c r="A13" s="921"/>
      <c r="B13" s="922"/>
      <c r="C13" s="922"/>
      <c r="D13" s="922"/>
      <c r="E13" s="922"/>
      <c r="F13" s="923"/>
    </row>
    <row r="14" spans="1:14" ht="12.75" customHeight="1" thickBot="1">
      <c r="H14" s="925"/>
    </row>
    <row r="15" spans="1:14" s="908" customFormat="1" ht="30" customHeight="1" thickTop="1">
      <c r="A15" s="1722" t="s">
        <v>1067</v>
      </c>
      <c r="B15" s="1722"/>
      <c r="C15" s="1722"/>
      <c r="D15" s="1722"/>
      <c r="E15" s="1722"/>
      <c r="F15" s="1722"/>
    </row>
    <row r="16" spans="1:14" s="908" customFormat="1" ht="45" customHeight="1">
      <c r="A16" s="1723" t="s">
        <v>1068</v>
      </c>
      <c r="B16" s="1724"/>
      <c r="C16" s="1724"/>
      <c r="D16" s="1724"/>
      <c r="E16" s="1724"/>
      <c r="F16" s="1725"/>
      <c r="K16" s="932"/>
    </row>
    <row r="17" spans="1:6" s="908" customFormat="1" ht="45" customHeight="1">
      <c r="A17" s="919" t="s">
        <v>1069</v>
      </c>
      <c r="B17" s="909"/>
      <c r="C17" s="1748" t="s">
        <v>1085</v>
      </c>
      <c r="D17" s="1748"/>
      <c r="E17" s="1726" t="s">
        <v>1070</v>
      </c>
      <c r="F17" s="1727"/>
    </row>
    <row r="18" spans="1:6" s="908" customFormat="1" ht="45" customHeight="1">
      <c r="A18" s="1728" t="s">
        <v>1071</v>
      </c>
      <c r="B18" s="1729"/>
      <c r="C18" s="1729"/>
      <c r="D18" s="1729"/>
      <c r="E18" s="1729"/>
      <c r="F18" s="1730"/>
    </row>
    <row r="19" spans="1:6" s="908" customFormat="1" ht="44.25" customHeight="1">
      <c r="A19" s="1728" t="s">
        <v>1072</v>
      </c>
      <c r="B19" s="1729"/>
      <c r="C19" s="1729"/>
      <c r="D19" s="1729"/>
      <c r="E19" s="1729"/>
      <c r="F19" s="1730"/>
    </row>
    <row r="20" spans="1:6" s="924" customFormat="1" ht="37.5" customHeight="1">
      <c r="A20" s="1728" t="s">
        <v>1073</v>
      </c>
      <c r="B20" s="1729"/>
      <c r="C20" s="1729"/>
      <c r="D20" s="1729"/>
      <c r="E20" s="1729"/>
      <c r="F20" s="1730"/>
    </row>
    <row r="21" spans="1:6" ht="13.5" customHeight="1">
      <c r="A21" s="1745"/>
      <c r="B21" s="1746"/>
      <c r="C21" s="1746"/>
      <c r="D21" s="1746"/>
      <c r="E21" s="926"/>
      <c r="F21" s="927"/>
    </row>
    <row r="22" spans="1:6" ht="15" customHeight="1" thickBot="1">
      <c r="A22" s="905"/>
      <c r="B22" s="905"/>
      <c r="C22" s="905"/>
      <c r="D22" s="905"/>
      <c r="E22" s="905"/>
      <c r="F22" s="905"/>
    </row>
    <row r="23" spans="1:6" ht="30" customHeight="1" thickTop="1">
      <c r="A23" s="1722" t="s">
        <v>1074</v>
      </c>
      <c r="B23" s="1722"/>
      <c r="C23" s="1722"/>
      <c r="D23" s="1722"/>
      <c r="E23" s="1722"/>
      <c r="F23" s="1722"/>
    </row>
    <row r="24" spans="1:6" s="908" customFormat="1" ht="21.75" customHeight="1">
      <c r="A24" s="1747" t="s">
        <v>1075</v>
      </c>
      <c r="B24" s="1747"/>
      <c r="C24" s="1747"/>
      <c r="D24" s="1747"/>
      <c r="E24" s="1747" t="s">
        <v>1076</v>
      </c>
      <c r="F24" s="1747"/>
    </row>
    <row r="25" spans="1:6" s="908" customFormat="1" ht="173.25" customHeight="1">
      <c r="A25" s="1744"/>
      <c r="B25" s="1744"/>
      <c r="C25" s="1744"/>
      <c r="D25" s="1744"/>
      <c r="E25" s="1744"/>
      <c r="F25" s="1744"/>
    </row>
    <row r="26" spans="1:6" ht="33" customHeight="1">
      <c r="A26" s="1723" t="s">
        <v>1077</v>
      </c>
      <c r="B26" s="1724"/>
      <c r="C26" s="1724"/>
      <c r="D26" s="1725"/>
      <c r="E26" s="1723" t="s">
        <v>1078</v>
      </c>
      <c r="F26" s="1725"/>
    </row>
    <row r="27" spans="1:6" s="908" customFormat="1" ht="33" customHeight="1">
      <c r="A27" s="1740" t="s">
        <v>1079</v>
      </c>
      <c r="B27" s="1742"/>
      <c r="C27" s="1742"/>
      <c r="D27" s="1741"/>
      <c r="E27" s="1740"/>
      <c r="F27" s="1741"/>
    </row>
    <row r="28" spans="1:6" ht="39.75" customHeight="1">
      <c r="A28" s="1743" t="s">
        <v>1088</v>
      </c>
      <c r="B28" s="1743"/>
      <c r="C28" s="1743"/>
      <c r="D28" s="1743"/>
      <c r="E28" s="1743" t="s">
        <v>1080</v>
      </c>
      <c r="F28" s="1743"/>
    </row>
    <row r="29" spans="1:6" ht="72" customHeight="1">
      <c r="A29" s="1711"/>
      <c r="B29" s="1711"/>
      <c r="C29" s="1711"/>
      <c r="D29" s="1711"/>
      <c r="E29" s="1744"/>
      <c r="F29" s="1744"/>
    </row>
    <row r="30" spans="1:6" ht="48.75" customHeight="1">
      <c r="A30" s="1736" t="s">
        <v>1206</v>
      </c>
      <c r="B30" s="1736"/>
      <c r="C30" s="1736"/>
      <c r="D30" s="1736"/>
      <c r="E30" s="1736"/>
      <c r="F30" s="1736"/>
    </row>
    <row r="31" spans="1:6" ht="35.1" customHeight="1">
      <c r="A31" s="1737" t="s">
        <v>1086</v>
      </c>
      <c r="B31" s="1738"/>
      <c r="C31" s="1738"/>
      <c r="D31" s="1738"/>
      <c r="E31" s="1738"/>
      <c r="F31" s="1739"/>
    </row>
    <row r="32" spans="1:6" ht="35.1" customHeight="1" thickBot="1">
      <c r="A32" s="1733" t="s">
        <v>1087</v>
      </c>
      <c r="B32" s="1734"/>
      <c r="C32" s="1734"/>
      <c r="D32" s="1734"/>
      <c r="E32" s="1734"/>
      <c r="F32" s="1735"/>
    </row>
    <row r="33" spans="1:6" ht="30" customHeight="1" thickTop="1">
      <c r="A33" s="1749" t="s">
        <v>1081</v>
      </c>
      <c r="B33" s="1750"/>
      <c r="C33" s="1750"/>
      <c r="D33" s="1750"/>
      <c r="E33" s="1750"/>
      <c r="F33" s="1751"/>
    </row>
    <row r="34" spans="1:6" ht="45.75" customHeight="1">
      <c r="A34" s="1736" t="s">
        <v>1207</v>
      </c>
      <c r="B34" s="1736"/>
      <c r="C34" s="1736"/>
      <c r="D34" s="1736"/>
      <c r="E34" s="1736"/>
      <c r="F34" s="1736"/>
    </row>
    <row r="35" spans="1:6" ht="41.25" customHeight="1">
      <c r="A35" s="1737" t="s">
        <v>1082</v>
      </c>
      <c r="B35" s="1738"/>
      <c r="C35" s="1738"/>
      <c r="D35" s="1739"/>
      <c r="E35" s="1723" t="s">
        <v>1083</v>
      </c>
      <c r="F35" s="1725"/>
    </row>
    <row r="36" spans="1:6" ht="45.75" customHeight="1">
      <c r="A36" s="1737" t="s">
        <v>1084</v>
      </c>
      <c r="B36" s="1738"/>
      <c r="C36" s="1738"/>
      <c r="D36" s="1739"/>
      <c r="E36" s="1740"/>
      <c r="F36" s="1741"/>
    </row>
    <row r="37" spans="1:6" ht="38.25" customHeight="1">
      <c r="A37" s="1743" t="s">
        <v>1088</v>
      </c>
      <c r="B37" s="1743"/>
      <c r="C37" s="1743"/>
      <c r="D37" s="1743"/>
      <c r="E37" s="1743" t="s">
        <v>1080</v>
      </c>
      <c r="F37" s="1743"/>
    </row>
    <row r="38" spans="1:6" ht="67.5" customHeight="1">
      <c r="A38" s="1711"/>
      <c r="B38" s="1711"/>
      <c r="C38" s="1711"/>
      <c r="D38" s="1711"/>
      <c r="E38" s="1744"/>
      <c r="F38" s="1744"/>
    </row>
  </sheetData>
  <mergeCells count="42">
    <mergeCell ref="A37:D37"/>
    <mergeCell ref="E37:F37"/>
    <mergeCell ref="A38:D38"/>
    <mergeCell ref="E38:F38"/>
    <mergeCell ref="C17:D17"/>
    <mergeCell ref="A33:F33"/>
    <mergeCell ref="A34:F34"/>
    <mergeCell ref="A35:D35"/>
    <mergeCell ref="E35:F36"/>
    <mergeCell ref="A36:D36"/>
    <mergeCell ref="E24:F24"/>
    <mergeCell ref="A25:D25"/>
    <mergeCell ref="E25:F25"/>
    <mergeCell ref="A20:F20"/>
    <mergeCell ref="B10:D10"/>
    <mergeCell ref="B11:D11"/>
    <mergeCell ref="B12:D12"/>
    <mergeCell ref="A32:F32"/>
    <mergeCell ref="A30:F30"/>
    <mergeCell ref="A31:F31"/>
    <mergeCell ref="A26:D26"/>
    <mergeCell ref="E26:F27"/>
    <mergeCell ref="A27:D27"/>
    <mergeCell ref="A28:D28"/>
    <mergeCell ref="E28:F28"/>
    <mergeCell ref="A29:D29"/>
    <mergeCell ref="E29:F29"/>
    <mergeCell ref="A21:D21"/>
    <mergeCell ref="A23:F23"/>
    <mergeCell ref="A24:D24"/>
    <mergeCell ref="A15:F15"/>
    <mergeCell ref="A16:F16"/>
    <mergeCell ref="E17:F17"/>
    <mergeCell ref="A18:F18"/>
    <mergeCell ref="A19:F19"/>
    <mergeCell ref="A9:F9"/>
    <mergeCell ref="D8:E8"/>
    <mergeCell ref="A1:A2"/>
    <mergeCell ref="B1:E2"/>
    <mergeCell ref="F1:F2"/>
    <mergeCell ref="D4:F4"/>
    <mergeCell ref="A5:F5"/>
  </mergeCells>
  <printOptions horizontalCentered="1" verticalCentered="1"/>
  <pageMargins left="0" right="0" top="0.39370078740157483" bottom="0.39370078740157483" header="0" footer="0"/>
  <pageSetup paperSize="9" scale="58" orientation="portrait" r:id="rId1"/>
  <headerFooter alignWithMargins="0">
    <oddFooter>&amp;C&amp;P/&amp;N&amp;REdité le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38017" r:id="rId4" name="Check Box 1">
              <controlPr defaultSize="0" autoFill="0" autoLine="0" autoPict="0">
                <anchor moveWithCells="1">
                  <from>
                    <xdr:col>0</xdr:col>
                    <xdr:colOff>314325</xdr:colOff>
                    <xdr:row>18</xdr:row>
                    <xdr:rowOff>504825</xdr:rowOff>
                  </from>
                  <to>
                    <xdr:col>0</xdr:col>
                    <xdr:colOff>619125</xdr:colOff>
                    <xdr:row>19</xdr:row>
                    <xdr:rowOff>314325</xdr:rowOff>
                  </to>
                </anchor>
              </controlPr>
            </control>
          </mc:Choice>
        </mc:AlternateContent>
        <mc:AlternateContent xmlns:mc="http://schemas.openxmlformats.org/markup-compatibility/2006">
          <mc:Choice Requires="x14">
            <control shapeId="1238018" r:id="rId5" name="Check Box 2">
              <controlPr defaultSize="0" autoFill="0" autoLine="0" autoPict="0">
                <anchor moveWithCells="1">
                  <from>
                    <xdr:col>0</xdr:col>
                    <xdr:colOff>314325</xdr:colOff>
                    <xdr:row>18</xdr:row>
                    <xdr:rowOff>19050</xdr:rowOff>
                  </from>
                  <to>
                    <xdr:col>0</xdr:col>
                    <xdr:colOff>619125</xdr:colOff>
                    <xdr:row>18</xdr:row>
                    <xdr:rowOff>304800</xdr:rowOff>
                  </to>
                </anchor>
              </controlPr>
            </control>
          </mc:Choice>
        </mc:AlternateContent>
        <mc:AlternateContent xmlns:mc="http://schemas.openxmlformats.org/markup-compatibility/2006">
          <mc:Choice Requires="x14">
            <control shapeId="1238019" r:id="rId6" name="Check Box 3">
              <controlPr defaultSize="0" autoFill="0" autoLine="0" autoPict="0">
                <anchor moveWithCells="1">
                  <from>
                    <xdr:col>1</xdr:col>
                    <xdr:colOff>304800</xdr:colOff>
                    <xdr:row>22</xdr:row>
                    <xdr:rowOff>76200</xdr:rowOff>
                  </from>
                  <to>
                    <xdr:col>2</xdr:col>
                    <xdr:colOff>142875</xdr:colOff>
                    <xdr:row>22</xdr:row>
                    <xdr:rowOff>323850</xdr:rowOff>
                  </to>
                </anchor>
              </controlPr>
            </control>
          </mc:Choice>
        </mc:AlternateContent>
        <mc:AlternateContent xmlns:mc="http://schemas.openxmlformats.org/markup-compatibility/2006">
          <mc:Choice Requires="x14">
            <control shapeId="1238020" r:id="rId7" name="Check Box 4">
              <controlPr defaultSize="0" autoFill="0" autoLine="0" autoPict="0">
                <anchor moveWithCells="1">
                  <from>
                    <xdr:col>4</xdr:col>
                    <xdr:colOff>228600</xdr:colOff>
                    <xdr:row>22</xdr:row>
                    <xdr:rowOff>76200</xdr:rowOff>
                  </from>
                  <to>
                    <xdr:col>4</xdr:col>
                    <xdr:colOff>533400</xdr:colOff>
                    <xdr:row>22</xdr:row>
                    <xdr:rowOff>314325</xdr:rowOff>
                  </to>
                </anchor>
              </controlPr>
            </control>
          </mc:Choice>
        </mc:AlternateContent>
        <mc:AlternateContent xmlns:mc="http://schemas.openxmlformats.org/markup-compatibility/2006">
          <mc:Choice Requires="x14">
            <control shapeId="1238024" r:id="rId8" name="Check Box 8">
              <controlPr defaultSize="0" autoFill="0" autoLine="0" autoPict="0">
                <anchor moveWithCells="1">
                  <from>
                    <xdr:col>0</xdr:col>
                    <xdr:colOff>285750</xdr:colOff>
                    <xdr:row>34</xdr:row>
                    <xdr:rowOff>142875</xdr:rowOff>
                  </from>
                  <to>
                    <xdr:col>0</xdr:col>
                    <xdr:colOff>590550</xdr:colOff>
                    <xdr:row>34</xdr:row>
                    <xdr:rowOff>428625</xdr:rowOff>
                  </to>
                </anchor>
              </controlPr>
            </control>
          </mc:Choice>
        </mc:AlternateContent>
        <mc:AlternateContent xmlns:mc="http://schemas.openxmlformats.org/markup-compatibility/2006">
          <mc:Choice Requires="x14">
            <control shapeId="1238025" r:id="rId9" name="Check Box 9">
              <controlPr defaultSize="0" autoFill="0" autoLine="0" autoPict="0">
                <anchor moveWithCells="1">
                  <from>
                    <xdr:col>0</xdr:col>
                    <xdr:colOff>285750</xdr:colOff>
                    <xdr:row>35</xdr:row>
                    <xdr:rowOff>142875</xdr:rowOff>
                  </from>
                  <to>
                    <xdr:col>0</xdr:col>
                    <xdr:colOff>590550</xdr:colOff>
                    <xdr:row>35</xdr:row>
                    <xdr:rowOff>428625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Feuil100">
    <tabColor indexed="42"/>
    <pageSetUpPr fitToPage="1"/>
  </sheetPr>
  <dimension ref="A1:P48"/>
  <sheetViews>
    <sheetView view="pageBreakPreview" zoomScaleNormal="100" zoomScaleSheetLayoutView="100" workbookViewId="0">
      <selection activeCell="C26" sqref="C26"/>
    </sheetView>
  </sheetViews>
  <sheetFormatPr baseColWidth="10" defaultColWidth="11.42578125" defaultRowHeight="15"/>
  <cols>
    <col min="1" max="1" width="1.7109375" style="344" customWidth="1"/>
    <col min="2" max="2" width="4.5703125" style="344" customWidth="1"/>
    <col min="3" max="3" width="12.5703125" style="344" customWidth="1"/>
    <col min="4" max="4" width="2.85546875" style="344" customWidth="1"/>
    <col min="5" max="5" width="11" style="344" customWidth="1"/>
    <col min="6" max="6" width="10.85546875" style="344" customWidth="1"/>
    <col min="7" max="7" width="9.85546875" style="344" customWidth="1"/>
    <col min="8" max="8" width="12" style="344" customWidth="1"/>
    <col min="9" max="9" width="10.85546875" style="344" customWidth="1"/>
    <col min="10" max="10" width="9.28515625" style="344" customWidth="1"/>
    <col min="11" max="11" width="10.42578125" style="344" customWidth="1"/>
    <col min="12" max="12" width="7" style="344" customWidth="1"/>
    <col min="13" max="13" width="4.28515625" style="344" customWidth="1"/>
    <col min="14" max="16384" width="11.42578125" style="344"/>
  </cols>
  <sheetData>
    <row r="1" spans="1:16" ht="15" customHeight="1">
      <c r="A1" s="1754"/>
      <c r="B1" s="1754"/>
      <c r="C1" s="1754"/>
      <c r="D1" s="1519" t="s">
        <v>797</v>
      </c>
      <c r="E1" s="1755"/>
      <c r="F1" s="1755"/>
      <c r="G1" s="1755"/>
      <c r="H1" s="1755"/>
      <c r="I1" s="1755"/>
      <c r="J1" s="1755"/>
      <c r="K1" s="1756"/>
      <c r="L1" s="1756"/>
      <c r="M1" s="1756"/>
    </row>
    <row r="2" spans="1:16" ht="23.25" customHeight="1">
      <c r="A2" s="1754"/>
      <c r="B2" s="1754"/>
      <c r="C2" s="1754"/>
      <c r="D2" s="1755"/>
      <c r="E2" s="1755"/>
      <c r="F2" s="1755"/>
      <c r="G2" s="1755"/>
      <c r="H2" s="1755"/>
      <c r="I2" s="1755"/>
      <c r="J2" s="1755"/>
      <c r="K2" s="1756"/>
      <c r="L2" s="1756"/>
      <c r="M2" s="1756"/>
    </row>
    <row r="3" spans="1:16" ht="19.5" customHeight="1">
      <c r="A3" s="355"/>
      <c r="B3" s="355"/>
      <c r="C3" s="355"/>
      <c r="D3" s="945"/>
      <c r="E3" s="945"/>
      <c r="F3" s="945"/>
      <c r="G3" s="945"/>
      <c r="H3" s="945"/>
      <c r="I3" s="945"/>
      <c r="J3" s="945"/>
      <c r="K3" s="363"/>
      <c r="L3" s="363"/>
      <c r="M3" s="363"/>
    </row>
    <row r="4" spans="1:16">
      <c r="E4" s="500"/>
      <c r="F4" s="500"/>
      <c r="G4" s="500"/>
      <c r="H4" s="500"/>
      <c r="I4" s="500"/>
      <c r="J4" s="500"/>
    </row>
    <row r="5" spans="1:16" s="338" customFormat="1" ht="12.75">
      <c r="E5" s="339"/>
      <c r="F5" s="339"/>
      <c r="G5" s="339"/>
      <c r="H5" s="339"/>
      <c r="I5" s="339"/>
      <c r="J5" s="339"/>
    </row>
    <row r="6" spans="1:16" ht="7.5" customHeight="1">
      <c r="A6" s="357"/>
      <c r="B6" s="343"/>
      <c r="C6" s="358"/>
      <c r="D6" s="358"/>
      <c r="E6" s="358"/>
      <c r="F6" s="358"/>
      <c r="G6" s="358"/>
      <c r="H6" s="358"/>
      <c r="I6" s="358"/>
      <c r="J6" s="358"/>
      <c r="K6" s="358"/>
      <c r="L6" s="343"/>
      <c r="M6" s="359"/>
    </row>
    <row r="7" spans="1:16" s="363" customFormat="1" ht="27.75" customHeight="1">
      <c r="A7" s="360"/>
      <c r="B7" s="1757" t="s">
        <v>1056</v>
      </c>
      <c r="C7" s="1757"/>
      <c r="D7" s="1757"/>
      <c r="E7" s="1757"/>
      <c r="F7" s="1441" t="str">
        <f>IF(ISBLANK(oLibelleOTP),"",oLibelleOTP)</f>
        <v/>
      </c>
      <c r="G7" s="1441"/>
      <c r="H7" s="1441"/>
      <c r="I7" s="1441"/>
      <c r="J7" s="1441"/>
      <c r="K7" s="1441"/>
      <c r="L7" s="1441"/>
      <c r="M7" s="499"/>
      <c r="N7" s="355"/>
      <c r="P7" s="355"/>
    </row>
    <row r="8" spans="1:16" s="363" customFormat="1" ht="21.95" customHeight="1">
      <c r="A8" s="360"/>
      <c r="B8" s="1757" t="s">
        <v>869</v>
      </c>
      <c r="C8" s="1757"/>
      <c r="D8" s="362" t="str">
        <f>IF(ISBLANK(oeOTP),"",oeOTP)</f>
        <v/>
      </c>
      <c r="E8" s="361"/>
      <c r="F8" s="361"/>
      <c r="G8" s="361"/>
      <c r="H8" s="504" t="s">
        <v>1057</v>
      </c>
      <c r="I8" s="362" t="str">
        <f>IF(ISBLANK(oVille),"",oVille)</f>
        <v/>
      </c>
      <c r="J8" s="361"/>
      <c r="K8" s="361"/>
      <c r="L8" s="361"/>
      <c r="M8" s="364"/>
      <c r="P8" s="355"/>
    </row>
    <row r="9" spans="1:16" s="363" customFormat="1" ht="21.95" customHeight="1">
      <c r="A9" s="360"/>
      <c r="B9" s="1757" t="s">
        <v>1194</v>
      </c>
      <c r="C9" s="1757"/>
      <c r="D9" s="362" t="str">
        <f>IF(ISBLANK(oN°MARCHE),"",oN°MARCHE)</f>
        <v/>
      </c>
      <c r="E9" s="361"/>
      <c r="F9" s="361"/>
      <c r="G9" s="361"/>
      <c r="H9" s="501"/>
      <c r="I9" s="501"/>
      <c r="J9" s="502"/>
      <c r="K9" s="503"/>
      <c r="L9" s="503"/>
      <c r="M9" s="364"/>
      <c r="P9" s="355"/>
    </row>
    <row r="10" spans="1:16" s="363" customFormat="1" ht="21.95" customHeight="1">
      <c r="A10" s="360"/>
      <c r="B10" s="505" t="s">
        <v>1205</v>
      </c>
      <c r="C10" s="501"/>
      <c r="D10" s="362" t="str">
        <f>IF(ISBLANK(oMOE),"",oMOE)</f>
        <v/>
      </c>
      <c r="E10" s="361"/>
      <c r="F10" s="361"/>
      <c r="G10" s="329"/>
      <c r="H10" s="329"/>
      <c r="I10" s="329"/>
      <c r="J10" s="329"/>
      <c r="K10" s="503"/>
      <c r="L10" s="503"/>
      <c r="M10" s="364"/>
      <c r="P10" s="355"/>
    </row>
    <row r="11" spans="1:16" ht="7.5" customHeight="1">
      <c r="A11" s="365"/>
      <c r="B11" s="506"/>
      <c r="C11" s="506"/>
      <c r="D11" s="507"/>
      <c r="E11" s="507"/>
      <c r="F11" s="507"/>
      <c r="G11" s="507"/>
      <c r="H11" s="507"/>
      <c r="I11" s="507"/>
      <c r="J11" s="507"/>
      <c r="K11" s="507"/>
      <c r="L11" s="507"/>
      <c r="M11" s="366"/>
    </row>
    <row r="12" spans="1:16" ht="10.5" customHeight="1">
      <c r="D12" s="367"/>
      <c r="E12" s="367"/>
      <c r="F12" s="367"/>
      <c r="G12" s="367"/>
      <c r="H12" s="367"/>
      <c r="I12" s="367"/>
      <c r="J12" s="367"/>
      <c r="K12" s="367"/>
      <c r="L12" s="367"/>
      <c r="M12" s="367"/>
    </row>
    <row r="13" spans="1:16" s="338" customFormat="1" ht="15.75">
      <c r="A13" s="1758"/>
      <c r="B13" s="1758"/>
      <c r="C13" s="1758"/>
      <c r="D13" s="1758"/>
      <c r="E13" s="1758"/>
      <c r="F13" s="1758"/>
      <c r="G13" s="1758"/>
      <c r="H13" s="1758"/>
      <c r="I13" s="1758"/>
      <c r="J13" s="1758"/>
      <c r="K13" s="1758"/>
      <c r="L13" s="1758"/>
      <c r="M13" s="1758"/>
    </row>
    <row r="14" spans="1:16" s="368" customFormat="1" ht="81" customHeight="1">
      <c r="B14" s="1759" t="s">
        <v>1208</v>
      </c>
      <c r="C14" s="1760"/>
      <c r="D14" s="1760"/>
      <c r="E14" s="1760"/>
      <c r="F14" s="1760"/>
      <c r="G14" s="1760"/>
      <c r="H14" s="1760"/>
      <c r="I14" s="1760"/>
      <c r="J14" s="1760"/>
      <c r="K14" s="1760"/>
      <c r="L14" s="1760"/>
      <c r="M14" s="1760"/>
    </row>
    <row r="15" spans="1:16" s="338" customFormat="1" ht="21.95" customHeight="1">
      <c r="B15" s="339"/>
      <c r="C15" s="1760" t="s">
        <v>798</v>
      </c>
      <c r="D15" s="1760"/>
      <c r="E15" s="1760"/>
      <c r="F15" s="1760"/>
      <c r="G15" s="1760"/>
      <c r="H15" s="1760"/>
      <c r="I15" s="1760"/>
      <c r="J15" s="1760"/>
      <c r="K15" s="1760"/>
      <c r="L15" s="1760"/>
      <c r="M15" s="369"/>
    </row>
    <row r="16" spans="1:16" s="338" customFormat="1" ht="21.95" customHeight="1">
      <c r="A16" s="339"/>
      <c r="B16" s="339"/>
      <c r="C16" s="1760" t="s">
        <v>799</v>
      </c>
      <c r="D16" s="1760"/>
      <c r="E16" s="1760"/>
      <c r="F16" s="1760"/>
      <c r="G16" s="1760"/>
      <c r="H16" s="1760"/>
      <c r="I16" s="1760"/>
      <c r="J16" s="1760"/>
      <c r="K16" s="1760"/>
      <c r="L16" s="1760"/>
      <c r="M16" s="342"/>
    </row>
    <row r="17" spans="1:13" s="338" customFormat="1" ht="66" customHeight="1">
      <c r="A17" s="339"/>
      <c r="B17" s="339"/>
      <c r="C17" s="1761" t="s">
        <v>642</v>
      </c>
      <c r="D17" s="1761"/>
      <c r="E17" s="1761"/>
      <c r="F17" s="1761"/>
      <c r="G17" s="1761"/>
      <c r="H17" s="1761"/>
      <c r="I17" s="1761"/>
      <c r="J17" s="1761"/>
      <c r="K17" s="1761"/>
      <c r="L17" s="1761"/>
      <c r="M17" s="342"/>
    </row>
    <row r="18" spans="1:13" s="338" customFormat="1" ht="21.95" customHeight="1">
      <c r="A18" s="339"/>
      <c r="B18" s="976" t="s">
        <v>1209</v>
      </c>
      <c r="C18" s="339"/>
      <c r="D18" s="369"/>
      <c r="E18" s="369"/>
      <c r="F18" s="369"/>
      <c r="G18" s="369"/>
      <c r="H18" s="369"/>
      <c r="I18" s="369"/>
      <c r="J18" s="369"/>
      <c r="K18" s="369"/>
      <c r="L18" s="495"/>
      <c r="M18" s="495"/>
    </row>
    <row r="19" spans="1:13" s="338" customFormat="1" ht="21.95" customHeight="1">
      <c r="A19" s="339"/>
      <c r="B19" s="339"/>
      <c r="C19" s="339" t="s">
        <v>643</v>
      </c>
      <c r="D19" s="370"/>
      <c r="E19" s="370"/>
      <c r="F19" s="370"/>
      <c r="G19" s="370"/>
      <c r="H19" s="370"/>
      <c r="I19" s="370"/>
      <c r="J19" s="370"/>
      <c r="K19" s="370"/>
      <c r="L19" s="370"/>
      <c r="M19" s="370"/>
    </row>
    <row r="20" spans="1:13" s="338" customFormat="1" ht="21.95" customHeight="1">
      <c r="A20" s="339"/>
      <c r="B20" s="339"/>
      <c r="C20" s="339" t="s">
        <v>644</v>
      </c>
      <c r="D20" s="369"/>
      <c r="E20" s="369"/>
      <c r="F20" s="369"/>
      <c r="G20" s="369"/>
      <c r="H20" s="369"/>
      <c r="I20" s="369"/>
      <c r="J20" s="369"/>
      <c r="K20" s="369"/>
      <c r="L20" s="369"/>
      <c r="M20" s="369"/>
    </row>
    <row r="21" spans="1:13" s="338" customFormat="1" ht="12.75">
      <c r="A21" s="339"/>
      <c r="B21" s="339"/>
      <c r="C21" s="339"/>
      <c r="D21" s="369"/>
      <c r="E21" s="369"/>
      <c r="F21" s="369"/>
      <c r="G21" s="369"/>
      <c r="H21" s="369"/>
      <c r="I21" s="369"/>
      <c r="J21" s="369"/>
      <c r="K21" s="369"/>
      <c r="L21" s="369"/>
      <c r="M21" s="369"/>
    </row>
    <row r="22" spans="1:13" s="338" customFormat="1" ht="12.75">
      <c r="D22" s="342"/>
      <c r="E22" s="342"/>
      <c r="F22" s="342"/>
      <c r="G22" s="342"/>
      <c r="H22" s="342"/>
      <c r="I22" s="342"/>
      <c r="J22" s="342"/>
      <c r="K22" s="342"/>
      <c r="L22" s="342"/>
      <c r="M22" s="342"/>
    </row>
    <row r="23" spans="1:13" s="338" customFormat="1" ht="12.75">
      <c r="B23" s="339"/>
      <c r="C23" s="339"/>
      <c r="D23" s="369"/>
      <c r="E23" s="369"/>
      <c r="F23" s="369"/>
      <c r="G23" s="369"/>
      <c r="H23" s="369"/>
      <c r="I23" s="369"/>
      <c r="J23" s="369"/>
      <c r="K23" s="369"/>
      <c r="L23" s="369"/>
      <c r="M23" s="342"/>
    </row>
    <row r="24" spans="1:13" s="338" customFormat="1" ht="21.95" customHeight="1">
      <c r="B24" s="339"/>
      <c r="C24" s="339" t="s">
        <v>645</v>
      </c>
      <c r="D24" s="369" t="s">
        <v>646</v>
      </c>
      <c r="E24" s="371"/>
      <c r="F24" s="371"/>
      <c r="G24" s="371"/>
      <c r="H24" s="339" t="s">
        <v>647</v>
      </c>
      <c r="I24" s="369" t="s">
        <v>648</v>
      </c>
      <c r="J24" s="369"/>
      <c r="K24" s="369"/>
      <c r="L24" s="369"/>
      <c r="M24" s="342"/>
    </row>
    <row r="25" spans="1:13" s="338" customFormat="1" ht="21.95" customHeight="1">
      <c r="B25" s="339"/>
      <c r="C25" s="505" t="s">
        <v>1210</v>
      </c>
      <c r="D25" s="369"/>
      <c r="E25" s="339"/>
      <c r="F25" s="339"/>
      <c r="G25" s="339"/>
      <c r="H25" s="505" t="s">
        <v>649</v>
      </c>
      <c r="I25" s="369"/>
      <c r="J25" s="369"/>
      <c r="K25" s="369"/>
      <c r="L25" s="369"/>
      <c r="M25" s="342"/>
    </row>
    <row r="26" spans="1:13" s="338" customFormat="1" ht="57" customHeight="1">
      <c r="B26" s="339"/>
      <c r="C26" s="339"/>
      <c r="D26" s="369"/>
      <c r="E26" s="369"/>
      <c r="F26" s="369"/>
      <c r="G26" s="369"/>
      <c r="H26" s="369"/>
      <c r="I26" s="369"/>
      <c r="J26" s="369"/>
      <c r="K26" s="369"/>
      <c r="L26" s="369"/>
      <c r="M26" s="342"/>
    </row>
    <row r="27" spans="1:13" s="338" customFormat="1" ht="12.75">
      <c r="B27" s="339"/>
      <c r="C27" s="339"/>
      <c r="D27" s="369"/>
      <c r="E27" s="501"/>
      <c r="F27" s="501"/>
      <c r="G27" s="501"/>
      <c r="H27" s="369"/>
      <c r="I27" s="369"/>
      <c r="J27" s="369"/>
      <c r="K27" s="369"/>
      <c r="L27" s="369"/>
      <c r="M27" s="342"/>
    </row>
    <row r="28" spans="1:13" s="338" customFormat="1" ht="12.75">
      <c r="B28" s="339"/>
      <c r="C28" s="339"/>
      <c r="D28" s="369"/>
      <c r="E28" s="369"/>
      <c r="F28" s="369"/>
      <c r="G28" s="369"/>
      <c r="H28" s="369"/>
      <c r="I28" s="369"/>
      <c r="J28" s="369"/>
      <c r="K28" s="369"/>
      <c r="L28" s="369"/>
      <c r="M28" s="342"/>
    </row>
    <row r="29" spans="1:13" s="338" customFormat="1" ht="6.75" customHeight="1">
      <c r="B29" s="339"/>
      <c r="C29" s="339"/>
      <c r="D29" s="369"/>
      <c r="E29" s="369"/>
      <c r="F29" s="369"/>
      <c r="G29" s="369"/>
      <c r="H29" s="369"/>
      <c r="I29" s="369"/>
      <c r="J29" s="369"/>
      <c r="K29" s="369"/>
      <c r="L29" s="369"/>
      <c r="M29" s="342"/>
    </row>
    <row r="30" spans="1:13" s="338" customFormat="1" ht="21.95" customHeight="1">
      <c r="B30" s="339"/>
      <c r="C30" s="339"/>
      <c r="D30" s="369"/>
      <c r="E30" s="369"/>
      <c r="F30" s="1752" t="s">
        <v>650</v>
      </c>
      <c r="G30" s="1752"/>
      <c r="H30" s="1752"/>
      <c r="I30" s="1753" t="s">
        <v>651</v>
      </c>
      <c r="J30" s="1753"/>
      <c r="K30" s="369"/>
      <c r="L30" s="369"/>
      <c r="M30" s="342"/>
    </row>
    <row r="31" spans="1:13" s="338" customFormat="1" ht="12.75">
      <c r="B31" s="339"/>
      <c r="C31" s="339"/>
      <c r="D31" s="369"/>
      <c r="E31" s="369"/>
      <c r="F31" s="369"/>
      <c r="G31" s="369"/>
      <c r="H31" s="369"/>
      <c r="I31" s="369"/>
      <c r="J31" s="369"/>
      <c r="K31" s="369"/>
      <c r="L31" s="369"/>
      <c r="M31" s="342"/>
    </row>
    <row r="32" spans="1:13" ht="6.75" customHeight="1">
      <c r="B32" s="500"/>
      <c r="C32" s="500"/>
      <c r="D32" s="508"/>
      <c r="E32" s="508"/>
      <c r="F32" s="508"/>
      <c r="G32" s="508"/>
      <c r="H32" s="508"/>
      <c r="I32" s="508"/>
      <c r="J32" s="508"/>
      <c r="K32" s="508"/>
      <c r="L32" s="508"/>
      <c r="M32" s="356"/>
    </row>
    <row r="33" spans="2:13">
      <c r="B33" s="500"/>
      <c r="C33" s="500"/>
      <c r="D33" s="508"/>
      <c r="E33" s="508"/>
      <c r="F33" s="508"/>
      <c r="G33" s="508"/>
      <c r="H33" s="508"/>
      <c r="I33" s="508"/>
      <c r="J33" s="508"/>
      <c r="K33" s="508"/>
      <c r="L33" s="508"/>
      <c r="M33" s="356"/>
    </row>
    <row r="34" spans="2:13" ht="6.75" customHeight="1">
      <c r="B34" s="500"/>
      <c r="C34" s="500"/>
      <c r="D34" s="508"/>
      <c r="E34" s="508"/>
      <c r="F34" s="508"/>
      <c r="G34" s="508"/>
      <c r="H34" s="508"/>
      <c r="I34" s="508"/>
      <c r="J34" s="508"/>
      <c r="K34" s="508"/>
      <c r="L34" s="508"/>
      <c r="M34" s="356"/>
    </row>
    <row r="35" spans="2:13">
      <c r="D35" s="356"/>
      <c r="E35" s="356"/>
      <c r="F35" s="356"/>
      <c r="G35" s="356"/>
      <c r="H35" s="356"/>
      <c r="I35" s="356"/>
      <c r="J35" s="356"/>
      <c r="K35" s="356"/>
      <c r="L35" s="356"/>
      <c r="M35" s="356"/>
    </row>
    <row r="36" spans="2:13">
      <c r="D36" s="356"/>
      <c r="E36" s="356"/>
      <c r="F36" s="356"/>
      <c r="G36" s="356"/>
      <c r="H36" s="356"/>
      <c r="I36" s="356"/>
      <c r="J36" s="356"/>
      <c r="K36" s="356"/>
      <c r="L36" s="356"/>
      <c r="M36" s="356"/>
    </row>
    <row r="37" spans="2:13" ht="6.75" customHeight="1">
      <c r="D37" s="356"/>
      <c r="E37" s="356"/>
      <c r="F37" s="356"/>
      <c r="G37" s="356"/>
      <c r="H37" s="356"/>
      <c r="I37" s="356"/>
      <c r="J37" s="356"/>
      <c r="K37" s="356"/>
      <c r="L37" s="356"/>
      <c r="M37" s="356"/>
    </row>
    <row r="38" spans="2:13" ht="15.75" customHeight="1">
      <c r="D38" s="356"/>
      <c r="E38" s="356"/>
      <c r="F38" s="356"/>
      <c r="G38" s="356"/>
      <c r="H38" s="356"/>
      <c r="I38" s="356"/>
      <c r="J38" s="356"/>
      <c r="K38" s="356"/>
      <c r="L38" s="356"/>
      <c r="M38" s="356"/>
    </row>
    <row r="39" spans="2:13">
      <c r="D39" s="356"/>
      <c r="E39" s="356"/>
      <c r="F39" s="356"/>
      <c r="G39" s="356"/>
      <c r="H39" s="356"/>
      <c r="I39" s="356"/>
      <c r="J39" s="356"/>
      <c r="K39" s="356"/>
      <c r="L39" s="356"/>
      <c r="M39" s="356"/>
    </row>
    <row r="40" spans="2:13" ht="6.75" customHeight="1">
      <c r="D40" s="356"/>
      <c r="E40" s="356"/>
      <c r="F40" s="356"/>
      <c r="G40" s="356"/>
      <c r="H40" s="356"/>
      <c r="I40" s="356"/>
      <c r="J40" s="356"/>
      <c r="K40" s="356"/>
      <c r="L40" s="356"/>
      <c r="M40" s="356"/>
    </row>
    <row r="41" spans="2:13">
      <c r="D41" s="356"/>
      <c r="E41" s="356"/>
      <c r="F41" s="356"/>
      <c r="G41" s="356"/>
      <c r="H41" s="356"/>
      <c r="I41" s="356"/>
      <c r="J41" s="356"/>
      <c r="K41" s="356"/>
      <c r="L41" s="356"/>
      <c r="M41" s="356"/>
    </row>
    <row r="42" spans="2:13">
      <c r="D42" s="356"/>
      <c r="E42" s="356"/>
      <c r="F42" s="356"/>
      <c r="G42" s="356"/>
      <c r="H42" s="356"/>
      <c r="I42" s="356"/>
      <c r="J42" s="356"/>
      <c r="K42" s="356"/>
      <c r="L42" s="356"/>
      <c r="M42" s="356"/>
    </row>
    <row r="43" spans="2:13" ht="6.75" customHeight="1">
      <c r="D43" s="356"/>
      <c r="E43" s="356"/>
      <c r="F43" s="356"/>
      <c r="G43" s="356"/>
      <c r="H43" s="356"/>
      <c r="I43" s="356"/>
      <c r="J43" s="356"/>
      <c r="K43" s="356"/>
      <c r="L43" s="356"/>
      <c r="M43" s="356"/>
    </row>
    <row r="44" spans="2:13">
      <c r="D44" s="356"/>
      <c r="E44" s="356"/>
      <c r="F44" s="356"/>
      <c r="G44" s="356"/>
      <c r="H44" s="356"/>
      <c r="I44" s="356"/>
      <c r="J44" s="356"/>
      <c r="K44" s="356"/>
      <c r="L44" s="356"/>
      <c r="M44" s="356"/>
    </row>
    <row r="45" spans="2:13">
      <c r="D45" s="356"/>
      <c r="E45" s="356"/>
      <c r="F45" s="356"/>
      <c r="G45" s="356"/>
      <c r="H45" s="356"/>
      <c r="I45" s="356"/>
      <c r="J45" s="356"/>
      <c r="K45" s="356"/>
      <c r="L45" s="356"/>
      <c r="M45" s="356"/>
    </row>
    <row r="46" spans="2:13" ht="6.75" customHeight="1">
      <c r="D46" s="356"/>
      <c r="E46" s="356"/>
      <c r="F46" s="356"/>
      <c r="G46" s="356"/>
      <c r="H46" s="356"/>
      <c r="I46" s="356"/>
      <c r="J46" s="356"/>
      <c r="K46" s="356"/>
      <c r="L46" s="356"/>
      <c r="M46" s="356"/>
    </row>
    <row r="47" spans="2:13">
      <c r="D47" s="356"/>
      <c r="E47" s="356"/>
      <c r="F47" s="356"/>
      <c r="G47" s="356"/>
      <c r="H47" s="356"/>
      <c r="I47" s="356"/>
      <c r="J47" s="356"/>
      <c r="K47" s="356"/>
      <c r="L47" s="356"/>
    </row>
    <row r="48" spans="2:13">
      <c r="M48" s="356"/>
    </row>
  </sheetData>
  <mergeCells count="14">
    <mergeCell ref="F30:H30"/>
    <mergeCell ref="I30:J30"/>
    <mergeCell ref="A1:C2"/>
    <mergeCell ref="D1:J2"/>
    <mergeCell ref="K1:M2"/>
    <mergeCell ref="B7:E7"/>
    <mergeCell ref="B8:C8"/>
    <mergeCell ref="B9:C9"/>
    <mergeCell ref="A13:M13"/>
    <mergeCell ref="B14:M14"/>
    <mergeCell ref="C15:L15"/>
    <mergeCell ref="C16:L16"/>
    <mergeCell ref="C17:L17"/>
    <mergeCell ref="F7:L7"/>
  </mergeCells>
  <pageMargins left="0.70866141732283472" right="0.70866141732283472" top="0.74803149606299213" bottom="0.74803149606299213" header="0.31496062992125984" footer="0.31496062992125984"/>
  <pageSetup paperSize="9" scale="83" orientation="portrait" blackAndWhite="1" verticalDpi="4294967292" r:id="rId1"/>
  <headerFooter>
    <oddFooter>&amp;LEdité le &amp;D&amp;C&amp;P/&amp;N</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dimension ref="A1:X215"/>
  <sheetViews>
    <sheetView showGridLines="0" zoomScale="130" zoomScaleNormal="130" zoomScaleSheetLayoutView="115" workbookViewId="0">
      <selection activeCell="O39" sqref="O39:Q39"/>
    </sheetView>
  </sheetViews>
  <sheetFormatPr baseColWidth="10" defaultColWidth="0" defaultRowHeight="15" customHeight="1" zeroHeight="1"/>
  <cols>
    <col min="1" max="1" width="3.42578125" style="1068" customWidth="1"/>
    <col min="2" max="7" width="4.7109375" style="1068" customWidth="1"/>
    <col min="8" max="10" width="3" style="1068" customWidth="1"/>
    <col min="11" max="18" width="4.7109375" style="1068" customWidth="1"/>
    <col min="19" max="19" width="17" style="1068" customWidth="1"/>
    <col min="20" max="20" width="0.7109375" style="1068" customWidth="1"/>
    <col min="21" max="24" width="4.7109375" style="1068" hidden="1" customWidth="1"/>
    <col min="25" max="16384" width="11.42578125" style="1068" hidden="1"/>
  </cols>
  <sheetData>
    <row r="1" spans="1:20" ht="15.75" customHeight="1" thickTop="1">
      <c r="A1" s="1768"/>
      <c r="B1" s="1768"/>
      <c r="C1" s="1768"/>
      <c r="D1" s="1768"/>
      <c r="E1" s="1770" t="s">
        <v>974</v>
      </c>
      <c r="F1" s="1771"/>
      <c r="G1" s="1771"/>
      <c r="H1" s="1771"/>
      <c r="I1" s="1771"/>
      <c r="J1" s="1771"/>
      <c r="K1" s="1771"/>
      <c r="L1" s="1771"/>
      <c r="M1" s="1771"/>
      <c r="N1" s="1771"/>
      <c r="O1" s="1771"/>
      <c r="P1" s="1771"/>
      <c r="Q1" s="1771"/>
      <c r="R1" s="1771"/>
      <c r="S1" s="1771"/>
      <c r="T1" s="1772"/>
    </row>
    <row r="2" spans="1:20" ht="15.75" customHeight="1" thickBot="1">
      <c r="A2" s="1769"/>
      <c r="B2" s="1769"/>
      <c r="C2" s="1769"/>
      <c r="D2" s="1769"/>
      <c r="E2" s="1773"/>
      <c r="F2" s="1774"/>
      <c r="G2" s="1774"/>
      <c r="H2" s="1774"/>
      <c r="I2" s="1774"/>
      <c r="J2" s="1774"/>
      <c r="K2" s="1774"/>
      <c r="L2" s="1774"/>
      <c r="M2" s="1774"/>
      <c r="N2" s="1774"/>
      <c r="O2" s="1774"/>
      <c r="P2" s="1774"/>
      <c r="Q2" s="1774"/>
      <c r="R2" s="1774"/>
      <c r="S2" s="1774"/>
      <c r="T2" s="1775"/>
    </row>
    <row r="3" spans="1:20" ht="5.0999999999999996" customHeight="1" thickTop="1"/>
    <row r="4" spans="1:20" ht="12.75" customHeight="1">
      <c r="A4" s="1776" t="s">
        <v>1314</v>
      </c>
      <c r="B4" s="1776"/>
      <c r="C4" s="1776"/>
      <c r="D4" s="1776"/>
      <c r="E4" s="1776"/>
      <c r="F4" s="1776"/>
      <c r="G4" s="1776"/>
      <c r="H4" s="1776"/>
      <c r="I4" s="1776"/>
      <c r="J4" s="1776"/>
      <c r="K4" s="1776"/>
      <c r="L4" s="1776"/>
      <c r="M4" s="1776"/>
      <c r="N4" s="1776"/>
      <c r="O4" s="1776"/>
      <c r="P4" s="1776"/>
      <c r="Q4" s="1776"/>
      <c r="R4" s="1776"/>
      <c r="S4" s="1776"/>
      <c r="T4" s="1776"/>
    </row>
    <row r="5" spans="1:20" ht="4.5" customHeight="1">
      <c r="A5" s="1069"/>
      <c r="B5" s="1069"/>
      <c r="C5" s="1070"/>
      <c r="D5" s="1070"/>
      <c r="E5" s="1070"/>
      <c r="F5" s="1070"/>
      <c r="G5" s="1070"/>
      <c r="H5" s="1070"/>
      <c r="I5" s="1070"/>
      <c r="J5" s="1070"/>
      <c r="K5" s="1070"/>
      <c r="L5" s="1070"/>
      <c r="M5" s="1069"/>
      <c r="N5" s="1070"/>
      <c r="O5" s="1069"/>
      <c r="P5" s="1069"/>
      <c r="Q5" s="1071"/>
      <c r="R5" s="1071"/>
      <c r="S5" s="1071"/>
      <c r="T5" s="1071"/>
    </row>
    <row r="6" spans="1:20" ht="15" customHeight="1">
      <c r="A6" s="1069"/>
      <c r="B6" s="1072" t="s">
        <v>847</v>
      </c>
      <c r="C6" s="1073"/>
      <c r="D6" s="1073"/>
      <c r="E6" s="1074"/>
      <c r="F6" s="1075"/>
      <c r="G6" s="1076"/>
      <c r="H6" s="1076"/>
      <c r="I6" s="1076"/>
      <c r="J6" s="1076"/>
      <c r="K6" s="1076"/>
      <c r="L6" s="1077"/>
      <c r="M6" s="1078"/>
      <c r="N6" s="1078"/>
      <c r="O6" s="1079"/>
      <c r="P6" s="1079"/>
      <c r="Q6" s="1079"/>
      <c r="R6" s="1079"/>
      <c r="S6" s="1080"/>
      <c r="T6" s="1069"/>
    </row>
    <row r="7" spans="1:20" ht="15" customHeight="1">
      <c r="A7" s="1069"/>
      <c r="B7" s="1072" t="s">
        <v>1315</v>
      </c>
      <c r="C7" s="1073"/>
      <c r="D7" s="1073"/>
      <c r="E7" s="1073"/>
      <c r="F7" s="1072"/>
      <c r="G7" s="1081"/>
      <c r="H7" s="1081"/>
      <c r="I7" s="1081"/>
      <c r="J7" s="1081"/>
      <c r="K7" s="1081"/>
      <c r="L7" s="1073"/>
      <c r="M7" s="1082"/>
      <c r="N7" s="1082"/>
      <c r="O7" s="1083"/>
      <c r="P7" s="1083"/>
      <c r="Q7" s="1083"/>
      <c r="R7" s="1083"/>
      <c r="S7" s="1084"/>
      <c r="T7" s="1069"/>
    </row>
    <row r="8" spans="1:20" ht="15" customHeight="1">
      <c r="A8" s="1069"/>
      <c r="B8" s="1072" t="s">
        <v>1316</v>
      </c>
      <c r="C8" s="1073"/>
      <c r="D8" s="1073"/>
      <c r="E8" s="1074"/>
      <c r="F8" s="1085"/>
      <c r="G8" s="1086"/>
      <c r="H8" s="1086"/>
      <c r="I8" s="1086"/>
      <c r="J8" s="1086"/>
      <c r="K8" s="1087" t="s">
        <v>1317</v>
      </c>
      <c r="L8" s="1088"/>
      <c r="M8" s="1089"/>
      <c r="N8" s="1090"/>
      <c r="O8" s="1091"/>
      <c r="P8" s="1091"/>
      <c r="Q8" s="1091"/>
      <c r="R8" s="1091"/>
      <c r="S8" s="1092"/>
      <c r="T8" s="1069"/>
    </row>
    <row r="9" spans="1:20" ht="15" customHeight="1">
      <c r="A9" s="1069"/>
      <c r="B9" s="1072" t="s">
        <v>1318</v>
      </c>
      <c r="C9" s="1073"/>
      <c r="D9" s="1073"/>
      <c r="E9" s="1074"/>
      <c r="F9" s="1088"/>
      <c r="G9" s="1086"/>
      <c r="H9" s="1086"/>
      <c r="I9" s="1086"/>
      <c r="J9" s="1086"/>
      <c r="K9" s="1093" t="s">
        <v>1319</v>
      </c>
      <c r="L9" s="1073"/>
      <c r="M9" s="1082"/>
      <c r="N9" s="1094"/>
      <c r="O9" s="1095"/>
      <c r="P9" s="1083"/>
      <c r="Q9" s="1083"/>
      <c r="R9" s="1083"/>
      <c r="S9" s="1084"/>
      <c r="T9" s="1069"/>
    </row>
    <row r="10" spans="1:20" ht="5.0999999999999996" customHeight="1">
      <c r="A10" s="1069"/>
      <c r="B10" s="1070"/>
      <c r="C10" s="1070"/>
      <c r="D10" s="1070"/>
      <c r="E10" s="1070"/>
      <c r="F10" s="1070"/>
      <c r="G10" s="1070"/>
      <c r="H10" s="1070"/>
      <c r="I10" s="1070"/>
      <c r="J10" s="1070"/>
      <c r="K10" s="1070"/>
      <c r="L10" s="1070"/>
      <c r="M10" s="1070"/>
      <c r="N10" s="1070"/>
      <c r="O10" s="1069"/>
      <c r="P10" s="1070"/>
      <c r="Q10" s="1069"/>
      <c r="R10" s="1071"/>
      <c r="S10" s="1069"/>
      <c r="T10" s="1069"/>
    </row>
    <row r="11" spans="1:20" ht="12.75" customHeight="1">
      <c r="A11" s="1069"/>
      <c r="B11" s="1075" t="s">
        <v>972</v>
      </c>
      <c r="C11" s="1078"/>
      <c r="D11" s="1078"/>
      <c r="E11" s="1078"/>
      <c r="F11" s="1078"/>
      <c r="G11" s="1078"/>
      <c r="H11" s="1078"/>
      <c r="I11" s="1078"/>
      <c r="J11" s="1078"/>
      <c r="K11" s="1078"/>
      <c r="L11" s="1078"/>
      <c r="M11" s="1078"/>
      <c r="N11" s="1078"/>
      <c r="O11" s="1079"/>
      <c r="P11" s="1078"/>
      <c r="Q11" s="1079"/>
      <c r="R11" s="1096"/>
      <c r="S11" s="1080"/>
      <c r="T11" s="1069"/>
    </row>
    <row r="12" spans="1:20" ht="12.75" customHeight="1">
      <c r="A12" s="1069"/>
      <c r="B12" s="1097"/>
      <c r="C12" s="1069"/>
      <c r="D12" s="1071"/>
      <c r="E12" s="1071"/>
      <c r="F12" s="1070"/>
      <c r="G12" s="1070"/>
      <c r="H12" s="1070"/>
      <c r="I12" s="1071"/>
      <c r="J12" s="1071"/>
      <c r="K12" s="1071"/>
      <c r="L12" s="1071"/>
      <c r="M12" s="1071"/>
      <c r="N12" s="1070"/>
      <c r="O12" s="1069"/>
      <c r="P12" s="1070"/>
      <c r="Q12" s="1069"/>
      <c r="R12" s="1071"/>
      <c r="S12" s="1098"/>
      <c r="T12" s="1069"/>
    </row>
    <row r="13" spans="1:20" ht="12.75" customHeight="1">
      <c r="A13" s="1069"/>
      <c r="B13" s="1099"/>
      <c r="C13" s="1091"/>
      <c r="D13" s="1089"/>
      <c r="E13" s="1089"/>
      <c r="F13" s="1089"/>
      <c r="G13" s="1089"/>
      <c r="H13" s="1089"/>
      <c r="I13" s="1100"/>
      <c r="J13" s="1100"/>
      <c r="K13" s="1100"/>
      <c r="L13" s="1100"/>
      <c r="M13" s="1100"/>
      <c r="N13" s="1089"/>
      <c r="O13" s="1091"/>
      <c r="P13" s="1089"/>
      <c r="Q13" s="1100"/>
      <c r="R13" s="1100"/>
      <c r="S13" s="1092"/>
      <c r="T13" s="1069"/>
    </row>
    <row r="14" spans="1:20" ht="5.0999999999999996" customHeight="1">
      <c r="A14" s="1069"/>
      <c r="B14" s="1070"/>
      <c r="C14" s="1101"/>
      <c r="D14" s="1070"/>
      <c r="E14" s="1070"/>
      <c r="F14" s="1070"/>
      <c r="G14" s="1070"/>
      <c r="H14" s="1070"/>
      <c r="I14" s="1071"/>
      <c r="J14" s="1071"/>
      <c r="K14" s="1071"/>
      <c r="L14" s="1071"/>
      <c r="M14" s="1071"/>
      <c r="N14" s="1070"/>
      <c r="O14" s="1069"/>
      <c r="P14" s="1069"/>
      <c r="Q14" s="1069"/>
      <c r="R14" s="1069"/>
      <c r="S14" s="1069"/>
      <c r="T14" s="1069"/>
    </row>
    <row r="15" spans="1:20" ht="12.75" customHeight="1">
      <c r="A15" s="1069"/>
      <c r="B15" s="1075" t="s">
        <v>1320</v>
      </c>
      <c r="C15" s="1079"/>
      <c r="D15" s="1079"/>
      <c r="E15" s="1079"/>
      <c r="F15" s="1079"/>
      <c r="G15" s="1079"/>
      <c r="H15" s="1079"/>
      <c r="I15" s="1079"/>
      <c r="J15" s="1079"/>
      <c r="K15" s="1079"/>
      <c r="L15" s="1079"/>
      <c r="M15" s="1079"/>
      <c r="N15" s="1079"/>
      <c r="O15" s="1079"/>
      <c r="P15" s="1079"/>
      <c r="Q15" s="1079"/>
      <c r="R15" s="1079"/>
      <c r="S15" s="1080"/>
      <c r="T15" s="1069"/>
    </row>
    <row r="16" spans="1:20" s="1107" customFormat="1" ht="12.75" customHeight="1">
      <c r="A16" s="1102"/>
      <c r="B16" s="1103"/>
      <c r="C16" s="1104" t="s">
        <v>1321</v>
      </c>
      <c r="D16" s="1105"/>
      <c r="E16" s="1105"/>
      <c r="F16" s="1105"/>
      <c r="G16" s="1105"/>
      <c r="H16" s="1105"/>
      <c r="I16" s="1102"/>
      <c r="J16" s="1105"/>
      <c r="K16" s="1105"/>
      <c r="L16" s="1105"/>
      <c r="M16" s="1104" t="s">
        <v>1322</v>
      </c>
      <c r="N16" s="1105"/>
      <c r="O16" s="1105"/>
      <c r="P16" s="1105"/>
      <c r="Q16" s="1105"/>
      <c r="R16" s="1105"/>
      <c r="S16" s="1106"/>
      <c r="T16" s="1105"/>
    </row>
    <row r="17" spans="1:20" s="1107" customFormat="1" ht="12.75" customHeight="1">
      <c r="A17" s="1102"/>
      <c r="B17" s="1103"/>
      <c r="C17" s="1104" t="s">
        <v>1323</v>
      </c>
      <c r="D17" s="1105"/>
      <c r="E17" s="1105"/>
      <c r="F17" s="1105"/>
      <c r="G17" s="1105"/>
      <c r="H17" s="1105"/>
      <c r="I17" s="1102"/>
      <c r="J17" s="1105"/>
      <c r="K17" s="1105"/>
      <c r="L17" s="1105"/>
      <c r="M17" s="1104" t="s">
        <v>1324</v>
      </c>
      <c r="N17" s="1105"/>
      <c r="O17" s="1105"/>
      <c r="P17" s="1105"/>
      <c r="Q17" s="1105"/>
      <c r="R17" s="1105"/>
      <c r="S17" s="1106"/>
      <c r="T17" s="1105"/>
    </row>
    <row r="18" spans="1:20" s="1107" customFormat="1" ht="12.75" customHeight="1">
      <c r="A18" s="1102"/>
      <c r="B18" s="1108"/>
      <c r="C18" s="1109" t="s">
        <v>1325</v>
      </c>
      <c r="D18" s="1110"/>
      <c r="E18" s="1110"/>
      <c r="F18" s="1110"/>
      <c r="G18" s="1110"/>
      <c r="H18" s="1110"/>
      <c r="I18" s="1110"/>
      <c r="J18" s="1110"/>
      <c r="K18" s="1110"/>
      <c r="L18" s="1110"/>
      <c r="M18" s="1109" t="s">
        <v>1326</v>
      </c>
      <c r="N18" s="1110"/>
      <c r="O18" s="1110"/>
      <c r="P18" s="1110"/>
      <c r="Q18" s="1110"/>
      <c r="R18" s="1110"/>
      <c r="S18" s="1111"/>
      <c r="T18" s="1105"/>
    </row>
    <row r="19" spans="1:20" ht="7.5" customHeight="1">
      <c r="A19" s="1069"/>
      <c r="B19" s="1069"/>
      <c r="C19" s="1112"/>
      <c r="D19" s="1113"/>
      <c r="E19" s="1113"/>
      <c r="F19" s="1113"/>
      <c r="G19" s="1113"/>
      <c r="H19" s="1113"/>
      <c r="I19" s="1113"/>
      <c r="J19" s="1113"/>
      <c r="K19" s="1113"/>
      <c r="L19" s="1113"/>
      <c r="M19" s="1112"/>
      <c r="N19" s="1113"/>
      <c r="O19" s="1113"/>
      <c r="P19" s="1071"/>
      <c r="Q19" s="1113"/>
      <c r="R19" s="1071"/>
      <c r="S19" s="1113"/>
      <c r="T19" s="1113"/>
    </row>
    <row r="20" spans="1:20" ht="12.75" customHeight="1">
      <c r="A20" s="1776" t="s">
        <v>1327</v>
      </c>
      <c r="B20" s="1776"/>
      <c r="C20" s="1776"/>
      <c r="D20" s="1776"/>
      <c r="E20" s="1776"/>
      <c r="F20" s="1776"/>
      <c r="G20" s="1776"/>
      <c r="H20" s="1776"/>
      <c r="I20" s="1776"/>
      <c r="J20" s="1776"/>
      <c r="K20" s="1776"/>
      <c r="L20" s="1776"/>
      <c r="M20" s="1776"/>
      <c r="N20" s="1776"/>
      <c r="O20" s="1776"/>
      <c r="P20" s="1776"/>
      <c r="Q20" s="1776"/>
      <c r="R20" s="1776"/>
      <c r="S20" s="1776"/>
      <c r="T20" s="1776"/>
    </row>
    <row r="21" spans="1:20" ht="6" customHeight="1">
      <c r="A21" s="1069"/>
      <c r="B21" s="1069"/>
      <c r="C21" s="1069"/>
      <c r="D21" s="1069"/>
      <c r="E21" s="1069"/>
      <c r="F21" s="1069"/>
      <c r="G21" s="1069"/>
      <c r="H21" s="1069"/>
      <c r="I21" s="1069"/>
      <c r="J21" s="1069"/>
      <c r="K21" s="1069"/>
      <c r="L21" s="1069"/>
      <c r="M21" s="1069"/>
      <c r="N21" s="1069"/>
      <c r="O21" s="1069"/>
      <c r="P21" s="1069"/>
      <c r="Q21" s="1069"/>
      <c r="R21" s="1069"/>
      <c r="S21" s="1069"/>
      <c r="T21" s="1069"/>
    </row>
    <row r="22" spans="1:20" ht="12.75" customHeight="1">
      <c r="A22" s="1069"/>
      <c r="B22" s="1114" t="s">
        <v>1328</v>
      </c>
      <c r="C22" s="1115"/>
      <c r="D22" s="1115"/>
      <c r="E22" s="1115"/>
      <c r="F22" s="1115"/>
      <c r="G22" s="1115"/>
      <c r="H22" s="1115"/>
      <c r="I22" s="1115"/>
      <c r="J22" s="1116"/>
      <c r="K22" s="1114" t="s">
        <v>1329</v>
      </c>
      <c r="L22" s="1083"/>
      <c r="M22" s="1083"/>
      <c r="N22" s="1083"/>
      <c r="O22" s="1083"/>
      <c r="P22" s="1083"/>
      <c r="Q22" s="1083"/>
      <c r="R22" s="1083"/>
      <c r="S22" s="1084"/>
      <c r="T22" s="1069"/>
    </row>
    <row r="23" spans="1:20" s="1107" customFormat="1" ht="12.75" customHeight="1">
      <c r="A23" s="1102"/>
      <c r="B23" s="1103" t="s">
        <v>1330</v>
      </c>
      <c r="C23" s="1104"/>
      <c r="D23" s="1105"/>
      <c r="E23" s="1105"/>
      <c r="F23" s="1105"/>
      <c r="G23" s="1105"/>
      <c r="H23" s="1105"/>
      <c r="I23" s="1104"/>
      <c r="J23" s="1106"/>
      <c r="K23" s="1103" t="s">
        <v>1330</v>
      </c>
      <c r="L23" s="1104"/>
      <c r="M23" s="1105"/>
      <c r="N23" s="1105"/>
      <c r="O23" s="1105"/>
      <c r="P23" s="1105"/>
      <c r="Q23" s="1105"/>
      <c r="R23" s="1104"/>
      <c r="S23" s="1106"/>
      <c r="T23" s="1102"/>
    </row>
    <row r="24" spans="1:20" s="1107" customFormat="1" ht="12.75" customHeight="1">
      <c r="A24" s="1102"/>
      <c r="B24" s="1103" t="s">
        <v>1214</v>
      </c>
      <c r="C24" s="1104"/>
      <c r="D24" s="1105"/>
      <c r="E24" s="1105"/>
      <c r="F24" s="1105"/>
      <c r="G24" s="1105"/>
      <c r="H24" s="1105"/>
      <c r="I24" s="1104"/>
      <c r="J24" s="1106"/>
      <c r="K24" s="1103" t="s">
        <v>1214</v>
      </c>
      <c r="L24" s="1104"/>
      <c r="M24" s="1105"/>
      <c r="N24" s="1105"/>
      <c r="O24" s="1105"/>
      <c r="P24" s="1105"/>
      <c r="Q24" s="1105"/>
      <c r="R24" s="1104"/>
      <c r="S24" s="1106"/>
      <c r="T24" s="1102"/>
    </row>
    <row r="25" spans="1:20" s="1107" customFormat="1" ht="12.75" customHeight="1">
      <c r="A25" s="1102"/>
      <c r="B25" s="1103" t="s">
        <v>871</v>
      </c>
      <c r="C25" s="1104"/>
      <c r="D25" s="1105"/>
      <c r="E25" s="1105"/>
      <c r="F25" s="1105"/>
      <c r="G25" s="1105"/>
      <c r="H25" s="1105"/>
      <c r="I25" s="1104"/>
      <c r="J25" s="1106"/>
      <c r="K25" s="1103" t="s">
        <v>871</v>
      </c>
      <c r="L25" s="1104"/>
      <c r="M25" s="1105"/>
      <c r="N25" s="1105"/>
      <c r="O25" s="1105"/>
      <c r="P25" s="1105"/>
      <c r="Q25" s="1105"/>
      <c r="R25" s="1104"/>
      <c r="S25" s="1106"/>
      <c r="T25" s="1102"/>
    </row>
    <row r="26" spans="1:20" s="1107" customFormat="1" ht="12.75" customHeight="1">
      <c r="A26" s="1102"/>
      <c r="B26" s="1108" t="s">
        <v>1331</v>
      </c>
      <c r="C26" s="1109"/>
      <c r="D26" s="1110"/>
      <c r="E26" s="1110"/>
      <c r="F26" s="1110"/>
      <c r="G26" s="1110" t="s">
        <v>515</v>
      </c>
      <c r="H26" s="1110" t="s">
        <v>514</v>
      </c>
      <c r="I26" s="1110"/>
      <c r="J26" s="1111"/>
      <c r="K26" s="1108" t="s">
        <v>1331</v>
      </c>
      <c r="L26" s="1109"/>
      <c r="M26" s="1110"/>
      <c r="N26" s="1110"/>
      <c r="O26" s="1110"/>
      <c r="P26" s="1110" t="s">
        <v>515</v>
      </c>
      <c r="Q26" s="1110" t="s">
        <v>514</v>
      </c>
      <c r="R26" s="1110"/>
      <c r="S26" s="1111"/>
      <c r="T26" s="1102"/>
    </row>
    <row r="27" spans="1:20" ht="8.25" customHeight="1">
      <c r="A27" s="1069"/>
      <c r="B27" s="1069"/>
      <c r="C27" s="1069"/>
      <c r="D27" s="1069"/>
      <c r="E27" s="1069"/>
      <c r="F27" s="1069"/>
      <c r="G27" s="1069"/>
      <c r="H27" s="1069"/>
      <c r="I27" s="1069"/>
      <c r="J27" s="1069"/>
      <c r="K27" s="1069"/>
      <c r="L27" s="1069"/>
      <c r="M27" s="1069"/>
      <c r="N27" s="1069"/>
      <c r="O27" s="1069"/>
      <c r="P27" s="1069"/>
      <c r="Q27" s="1069"/>
      <c r="R27" s="1069"/>
      <c r="S27" s="1069"/>
      <c r="T27" s="1069"/>
    </row>
    <row r="28" spans="1:20" ht="12.75" customHeight="1">
      <c r="A28" s="1776" t="s">
        <v>1332</v>
      </c>
      <c r="B28" s="1776"/>
      <c r="C28" s="1776"/>
      <c r="D28" s="1776"/>
      <c r="E28" s="1776"/>
      <c r="F28" s="1776"/>
      <c r="G28" s="1776"/>
      <c r="H28" s="1776"/>
      <c r="I28" s="1776"/>
      <c r="J28" s="1776"/>
      <c r="K28" s="1776"/>
      <c r="L28" s="1776"/>
      <c r="M28" s="1776"/>
      <c r="N28" s="1776"/>
      <c r="O28" s="1776"/>
      <c r="P28" s="1776"/>
      <c r="Q28" s="1776"/>
      <c r="R28" s="1776"/>
      <c r="S28" s="1776"/>
      <c r="T28" s="1776"/>
    </row>
    <row r="29" spans="1:20" ht="4.5" customHeight="1"/>
    <row r="30" spans="1:20" ht="12.75" customHeight="1">
      <c r="A30" s="1777"/>
      <c r="B30" s="1777"/>
      <c r="C30" s="1778" t="s">
        <v>1333</v>
      </c>
      <c r="D30" s="1778"/>
      <c r="E30" s="1778"/>
      <c r="F30" s="1778"/>
      <c r="G30" s="1778"/>
      <c r="H30" s="1778"/>
      <c r="I30" s="1778"/>
      <c r="J30" s="1778"/>
      <c r="K30" s="1778"/>
      <c r="L30" s="1778"/>
      <c r="M30" s="1778"/>
      <c r="N30" s="1778"/>
      <c r="O30" s="1778"/>
      <c r="P30" s="1778"/>
      <c r="Q30" s="1778"/>
      <c r="R30" s="1778"/>
      <c r="S30" s="1778"/>
      <c r="T30" s="1778"/>
    </row>
    <row r="31" spans="1:20" ht="12.75" customHeight="1">
      <c r="A31" s="1777"/>
      <c r="B31" s="1777"/>
      <c r="C31" s="1778"/>
      <c r="D31" s="1778"/>
      <c r="E31" s="1778"/>
      <c r="F31" s="1778"/>
      <c r="G31" s="1778"/>
      <c r="H31" s="1778"/>
      <c r="I31" s="1778"/>
      <c r="J31" s="1778"/>
      <c r="K31" s="1778"/>
      <c r="L31" s="1778"/>
      <c r="M31" s="1778"/>
      <c r="N31" s="1778"/>
      <c r="O31" s="1778"/>
      <c r="P31" s="1778"/>
      <c r="Q31" s="1778"/>
      <c r="R31" s="1778"/>
      <c r="S31" s="1778"/>
      <c r="T31" s="1778"/>
    </row>
    <row r="32" spans="1:20" ht="12.75" customHeight="1">
      <c r="A32" s="1777"/>
      <c r="B32" s="1777"/>
      <c r="C32" s="1778"/>
      <c r="D32" s="1778"/>
      <c r="E32" s="1778"/>
      <c r="F32" s="1778"/>
      <c r="G32" s="1778"/>
      <c r="H32" s="1778"/>
      <c r="I32" s="1778"/>
      <c r="J32" s="1778"/>
      <c r="K32" s="1778"/>
      <c r="L32" s="1778"/>
      <c r="M32" s="1778"/>
      <c r="N32" s="1778"/>
      <c r="O32" s="1778"/>
      <c r="P32" s="1778"/>
      <c r="Q32" s="1778"/>
      <c r="R32" s="1778"/>
      <c r="S32" s="1778"/>
      <c r="T32" s="1778"/>
    </row>
    <row r="33" spans="1:20" ht="5.0999999999999996" customHeight="1"/>
    <row r="34" spans="1:20" ht="12.75" customHeight="1">
      <c r="B34" s="1779" t="s">
        <v>1334</v>
      </c>
      <c r="C34" s="1779"/>
      <c r="D34" s="1779"/>
      <c r="E34" s="1762" t="s">
        <v>1335</v>
      </c>
      <c r="F34" s="1781"/>
      <c r="G34" s="1781"/>
      <c r="H34" s="1781"/>
      <c r="I34" s="1763"/>
      <c r="J34" s="1762" t="s">
        <v>1336</v>
      </c>
      <c r="K34" s="1781"/>
      <c r="L34" s="1763"/>
      <c r="M34" s="1762" t="s">
        <v>1337</v>
      </c>
      <c r="N34" s="1763"/>
      <c r="O34" s="1784" t="s">
        <v>1338</v>
      </c>
      <c r="P34" s="1785"/>
      <c r="Q34" s="1786"/>
      <c r="R34" s="1762" t="s">
        <v>1339</v>
      </c>
      <c r="S34" s="1763"/>
    </row>
    <row r="35" spans="1:20" ht="12.75" customHeight="1">
      <c r="B35" s="1779"/>
      <c r="C35" s="1779"/>
      <c r="D35" s="1779"/>
      <c r="E35" s="1764"/>
      <c r="F35" s="1782"/>
      <c r="G35" s="1782"/>
      <c r="H35" s="1782"/>
      <c r="I35" s="1765"/>
      <c r="J35" s="1764"/>
      <c r="K35" s="1782"/>
      <c r="L35" s="1765"/>
      <c r="M35" s="1764"/>
      <c r="N35" s="1765"/>
      <c r="O35" s="1787"/>
      <c r="P35" s="1788"/>
      <c r="Q35" s="1789"/>
      <c r="R35" s="1764"/>
      <c r="S35" s="1765"/>
    </row>
    <row r="36" spans="1:20" ht="12.75" customHeight="1" thickBot="1">
      <c r="B36" s="1780"/>
      <c r="C36" s="1780"/>
      <c r="D36" s="1780"/>
      <c r="E36" s="1766"/>
      <c r="F36" s="1783"/>
      <c r="G36" s="1783"/>
      <c r="H36" s="1783"/>
      <c r="I36" s="1767"/>
      <c r="J36" s="1766"/>
      <c r="K36" s="1783"/>
      <c r="L36" s="1767"/>
      <c r="M36" s="1764"/>
      <c r="N36" s="1765"/>
      <c r="O36" s="1790"/>
      <c r="P36" s="1791"/>
      <c r="Q36" s="1792"/>
      <c r="R36" s="1766"/>
      <c r="S36" s="1767"/>
    </row>
    <row r="37" spans="1:20" ht="34.5" customHeight="1" thickTop="1">
      <c r="A37" s="1793" t="s">
        <v>1340</v>
      </c>
      <c r="B37" s="1796" t="s">
        <v>1341</v>
      </c>
      <c r="C37" s="1796"/>
      <c r="D37" s="1796"/>
      <c r="E37" s="1797" t="s">
        <v>1342</v>
      </c>
      <c r="F37" s="1798"/>
      <c r="G37" s="1798"/>
      <c r="H37" s="1798"/>
      <c r="I37" s="1799"/>
      <c r="J37" s="1800" t="s">
        <v>1343</v>
      </c>
      <c r="K37" s="1801"/>
      <c r="L37" s="1802"/>
      <c r="M37" s="1803" t="s">
        <v>1344</v>
      </c>
      <c r="N37" s="1804"/>
      <c r="O37" s="1818" t="s">
        <v>1345</v>
      </c>
      <c r="P37" s="1819"/>
      <c r="Q37" s="1820"/>
      <c r="R37" s="1813" t="s">
        <v>1346</v>
      </c>
      <c r="S37" s="1814"/>
    </row>
    <row r="38" spans="1:20" ht="34.5" customHeight="1">
      <c r="A38" s="1794"/>
      <c r="B38" s="1805" t="s">
        <v>1347</v>
      </c>
      <c r="C38" s="1805"/>
      <c r="D38" s="1806"/>
      <c r="E38" s="1807" t="s">
        <v>1342</v>
      </c>
      <c r="F38" s="1807"/>
      <c r="G38" s="1807"/>
      <c r="H38" s="1807"/>
      <c r="I38" s="1807"/>
      <c r="J38" s="1808" t="s">
        <v>1343</v>
      </c>
      <c r="K38" s="1809"/>
      <c r="L38" s="1810"/>
      <c r="M38" s="1811" t="s">
        <v>1344</v>
      </c>
      <c r="N38" s="1812"/>
      <c r="O38" s="1815" t="s">
        <v>1345</v>
      </c>
      <c r="P38" s="1815"/>
      <c r="Q38" s="1815"/>
      <c r="R38" s="1816" t="s">
        <v>1346</v>
      </c>
      <c r="S38" s="1817"/>
    </row>
    <row r="39" spans="1:20" ht="34.5" customHeight="1">
      <c r="A39" s="1794"/>
      <c r="B39" s="1805" t="s">
        <v>1348</v>
      </c>
      <c r="C39" s="1805"/>
      <c r="D39" s="1806"/>
      <c r="E39" s="1807" t="s">
        <v>1342</v>
      </c>
      <c r="F39" s="1807"/>
      <c r="G39" s="1807"/>
      <c r="H39" s="1807"/>
      <c r="I39" s="1807"/>
      <c r="J39" s="1808" t="s">
        <v>1343</v>
      </c>
      <c r="K39" s="1809"/>
      <c r="L39" s="1810"/>
      <c r="M39" s="1811" t="s">
        <v>1344</v>
      </c>
      <c r="N39" s="1812"/>
      <c r="O39" s="1815" t="s">
        <v>1345</v>
      </c>
      <c r="P39" s="1815"/>
      <c r="Q39" s="1815"/>
      <c r="R39" s="1816" t="s">
        <v>1346</v>
      </c>
      <c r="S39" s="1817"/>
    </row>
    <row r="40" spans="1:20" ht="34.5" customHeight="1">
      <c r="A40" s="1794"/>
      <c r="B40" s="1805"/>
      <c r="C40" s="1805"/>
      <c r="D40" s="1806"/>
      <c r="E40" s="1807" t="s">
        <v>1342</v>
      </c>
      <c r="F40" s="1807"/>
      <c r="G40" s="1807"/>
      <c r="H40" s="1807"/>
      <c r="I40" s="1807"/>
      <c r="J40" s="1808" t="s">
        <v>1343</v>
      </c>
      <c r="K40" s="1809"/>
      <c r="L40" s="1810"/>
      <c r="M40" s="1823" t="s">
        <v>1344</v>
      </c>
      <c r="N40" s="1824"/>
      <c r="O40" s="1815" t="s">
        <v>1345</v>
      </c>
      <c r="P40" s="1815"/>
      <c r="Q40" s="1815"/>
      <c r="R40" s="1825" t="s">
        <v>1346</v>
      </c>
      <c r="S40" s="1826"/>
    </row>
    <row r="41" spans="1:20" ht="34.5" customHeight="1" thickBot="1">
      <c r="A41" s="1795"/>
      <c r="B41" s="1827"/>
      <c r="C41" s="1827"/>
      <c r="D41" s="1827"/>
      <c r="E41" s="1828" t="s">
        <v>1342</v>
      </c>
      <c r="F41" s="1829"/>
      <c r="G41" s="1829"/>
      <c r="H41" s="1829"/>
      <c r="I41" s="1830"/>
      <c r="J41" s="1808" t="s">
        <v>1343</v>
      </c>
      <c r="K41" s="1809"/>
      <c r="L41" s="1810"/>
      <c r="M41" s="1828" t="s">
        <v>1344</v>
      </c>
      <c r="N41" s="1831"/>
      <c r="O41" s="1832" t="s">
        <v>1345</v>
      </c>
      <c r="P41" s="1833"/>
      <c r="Q41" s="1834"/>
      <c r="R41" s="1821" t="s">
        <v>1346</v>
      </c>
      <c r="S41" s="1822"/>
    </row>
    <row r="42" spans="1:20" ht="34.5" customHeight="1" thickTop="1">
      <c r="A42" s="1835" t="s">
        <v>1349</v>
      </c>
      <c r="B42" s="1805" t="s">
        <v>1350</v>
      </c>
      <c r="C42" s="1805"/>
      <c r="D42" s="1805"/>
      <c r="E42" s="1797" t="s">
        <v>1342</v>
      </c>
      <c r="F42" s="1798"/>
      <c r="G42" s="1798"/>
      <c r="H42" s="1798"/>
      <c r="I42" s="1799"/>
      <c r="J42" s="1800" t="s">
        <v>1343</v>
      </c>
      <c r="K42" s="1801"/>
      <c r="L42" s="1802"/>
      <c r="M42" s="1811" t="s">
        <v>1344</v>
      </c>
      <c r="N42" s="1812"/>
      <c r="O42" s="1839" t="s">
        <v>1345</v>
      </c>
      <c r="P42" s="1840"/>
      <c r="Q42" s="1841"/>
      <c r="R42" s="1813" t="s">
        <v>1346</v>
      </c>
      <c r="S42" s="1838"/>
    </row>
    <row r="43" spans="1:20" ht="34.5" customHeight="1">
      <c r="A43" s="1836"/>
      <c r="B43" s="1805" t="s">
        <v>1351</v>
      </c>
      <c r="C43" s="1805"/>
      <c r="D43" s="1805"/>
      <c r="E43" s="1807" t="s">
        <v>1342</v>
      </c>
      <c r="F43" s="1807"/>
      <c r="G43" s="1807"/>
      <c r="H43" s="1807"/>
      <c r="I43" s="1807"/>
      <c r="J43" s="1808" t="s">
        <v>1343</v>
      </c>
      <c r="K43" s="1809"/>
      <c r="L43" s="1810"/>
      <c r="M43" s="1811" t="s">
        <v>1344</v>
      </c>
      <c r="N43" s="1812"/>
      <c r="O43" s="1815" t="s">
        <v>1345</v>
      </c>
      <c r="P43" s="1815"/>
      <c r="Q43" s="1815"/>
      <c r="R43" s="1816" t="s">
        <v>1346</v>
      </c>
      <c r="S43" s="1816"/>
    </row>
    <row r="44" spans="1:20" ht="34.5" customHeight="1">
      <c r="A44" s="1836"/>
      <c r="B44" s="1805" t="s">
        <v>1352</v>
      </c>
      <c r="C44" s="1805"/>
      <c r="D44" s="1805"/>
      <c r="E44" s="1807" t="s">
        <v>1342</v>
      </c>
      <c r="F44" s="1807"/>
      <c r="G44" s="1807"/>
      <c r="H44" s="1807"/>
      <c r="I44" s="1807"/>
      <c r="J44" s="1808" t="s">
        <v>1343</v>
      </c>
      <c r="K44" s="1809"/>
      <c r="L44" s="1810"/>
      <c r="M44" s="1811" t="s">
        <v>1344</v>
      </c>
      <c r="N44" s="1812"/>
      <c r="O44" s="1815" t="s">
        <v>1345</v>
      </c>
      <c r="P44" s="1815"/>
      <c r="Q44" s="1815"/>
      <c r="R44" s="1816" t="s">
        <v>1346</v>
      </c>
      <c r="S44" s="1816"/>
    </row>
    <row r="45" spans="1:20" ht="34.5" customHeight="1">
      <c r="A45" s="1836"/>
      <c r="B45" s="1805" t="s">
        <v>1353</v>
      </c>
      <c r="C45" s="1805"/>
      <c r="D45" s="1805"/>
      <c r="E45" s="1807" t="s">
        <v>1342</v>
      </c>
      <c r="F45" s="1807"/>
      <c r="G45" s="1807"/>
      <c r="H45" s="1807"/>
      <c r="I45" s="1807"/>
      <c r="J45" s="1808" t="s">
        <v>1343</v>
      </c>
      <c r="K45" s="1809"/>
      <c r="L45" s="1810"/>
      <c r="M45" s="1811" t="s">
        <v>1344</v>
      </c>
      <c r="N45" s="1812"/>
      <c r="O45" s="1815" t="s">
        <v>1345</v>
      </c>
      <c r="P45" s="1815"/>
      <c r="Q45" s="1815"/>
      <c r="R45" s="1816" t="s">
        <v>1346</v>
      </c>
      <c r="S45" s="1816"/>
    </row>
    <row r="46" spans="1:20" ht="34.5" customHeight="1">
      <c r="A46" s="1837"/>
      <c r="B46" s="1805"/>
      <c r="C46" s="1805"/>
      <c r="D46" s="1805"/>
      <c r="E46" s="1816" t="s">
        <v>1342</v>
      </c>
      <c r="F46" s="1844"/>
      <c r="G46" s="1844"/>
      <c r="H46" s="1844"/>
      <c r="I46" s="1844"/>
      <c r="J46" s="1808" t="s">
        <v>1343</v>
      </c>
      <c r="K46" s="1809"/>
      <c r="L46" s="1810"/>
      <c r="M46" s="1811" t="s">
        <v>1344</v>
      </c>
      <c r="N46" s="1812"/>
      <c r="O46" s="1815" t="s">
        <v>1345</v>
      </c>
      <c r="P46" s="1815"/>
      <c r="Q46" s="1815"/>
      <c r="R46" s="1842" t="s">
        <v>1346</v>
      </c>
      <c r="S46" s="1843"/>
    </row>
    <row r="47" spans="1:20" ht="12.75" customHeight="1">
      <c r="A47" s="1117"/>
      <c r="C47" s="1845" t="s">
        <v>1354</v>
      </c>
      <c r="D47" s="1845"/>
      <c r="E47" s="1845"/>
      <c r="F47" s="1845"/>
      <c r="G47" s="1845"/>
      <c r="H47" s="1845"/>
      <c r="I47" s="1845"/>
      <c r="J47" s="1845"/>
      <c r="K47" s="1845"/>
      <c r="L47" s="1845"/>
      <c r="M47" s="1845"/>
      <c r="N47" s="1845"/>
      <c r="O47" s="1845"/>
      <c r="P47" s="1845"/>
      <c r="Q47" s="1845"/>
      <c r="R47" s="1845"/>
      <c r="S47" s="1845"/>
      <c r="T47" s="1845"/>
    </row>
    <row r="48" spans="1:20" ht="12.75" customHeight="1">
      <c r="C48" s="1845"/>
      <c r="D48" s="1845"/>
      <c r="E48" s="1845"/>
      <c r="F48" s="1845"/>
      <c r="G48" s="1845"/>
      <c r="H48" s="1845"/>
      <c r="I48" s="1845"/>
      <c r="J48" s="1845"/>
      <c r="K48" s="1845"/>
      <c r="L48" s="1845"/>
      <c r="M48" s="1845"/>
      <c r="N48" s="1845"/>
      <c r="O48" s="1845"/>
      <c r="P48" s="1845"/>
      <c r="Q48" s="1845"/>
      <c r="R48" s="1845"/>
      <c r="S48" s="1845"/>
      <c r="T48" s="1845"/>
    </row>
    <row r="49" spans="1:20" ht="8.25" customHeight="1">
      <c r="C49" s="1845"/>
      <c r="D49" s="1845"/>
      <c r="E49" s="1845"/>
      <c r="F49" s="1845"/>
      <c r="G49" s="1845"/>
      <c r="H49" s="1845"/>
      <c r="I49" s="1845"/>
      <c r="J49" s="1845"/>
      <c r="K49" s="1845"/>
      <c r="L49" s="1845"/>
      <c r="M49" s="1845"/>
      <c r="N49" s="1845"/>
      <c r="O49" s="1845"/>
      <c r="P49" s="1845"/>
      <c r="Q49" s="1845"/>
      <c r="R49" s="1845"/>
      <c r="S49" s="1845"/>
      <c r="T49" s="1845"/>
    </row>
    <row r="50" spans="1:20" ht="5.0999999999999996" customHeight="1">
      <c r="C50" s="1845"/>
      <c r="D50" s="1845"/>
      <c r="E50" s="1845"/>
      <c r="F50" s="1845"/>
      <c r="G50" s="1845"/>
      <c r="H50" s="1845"/>
      <c r="I50" s="1845"/>
      <c r="J50" s="1845"/>
      <c r="K50" s="1845"/>
      <c r="L50" s="1845"/>
      <c r="M50" s="1845"/>
      <c r="N50" s="1845"/>
      <c r="O50" s="1845"/>
      <c r="P50" s="1845"/>
      <c r="Q50" s="1845"/>
      <c r="R50" s="1845"/>
      <c r="S50" s="1845"/>
      <c r="T50" s="1845"/>
    </row>
    <row r="51" spans="1:20" ht="12.75" customHeight="1">
      <c r="C51" s="1846" t="s">
        <v>1355</v>
      </c>
      <c r="D51" s="1846"/>
      <c r="E51" s="1846"/>
      <c r="F51" s="1846"/>
      <c r="G51" s="1846"/>
      <c r="H51" s="1846"/>
      <c r="I51" s="1846"/>
      <c r="J51" s="1846"/>
      <c r="K51" s="1846"/>
      <c r="L51" s="1846"/>
      <c r="M51" s="1846"/>
      <c r="N51" s="1846"/>
      <c r="O51" s="1846"/>
      <c r="P51" s="1846"/>
      <c r="Q51" s="1846"/>
      <c r="R51" s="1846"/>
      <c r="S51" s="1846"/>
      <c r="T51" s="1846"/>
    </row>
    <row r="52" spans="1:20" ht="12.75" customHeight="1">
      <c r="B52" s="1118"/>
    </row>
    <row r="53" spans="1:20" ht="12.75" customHeight="1">
      <c r="A53" s="1776" t="s">
        <v>1356</v>
      </c>
      <c r="B53" s="1776"/>
      <c r="C53" s="1776"/>
      <c r="D53" s="1776"/>
      <c r="E53" s="1776"/>
      <c r="F53" s="1776"/>
      <c r="G53" s="1776"/>
      <c r="H53" s="1776"/>
      <c r="I53" s="1776"/>
      <c r="J53" s="1776"/>
      <c r="K53" s="1776"/>
      <c r="L53" s="1776"/>
      <c r="M53" s="1776"/>
      <c r="N53" s="1776"/>
      <c r="O53" s="1776"/>
      <c r="P53" s="1776"/>
      <c r="Q53" s="1776"/>
      <c r="R53" s="1776"/>
      <c r="S53" s="1776"/>
      <c r="T53" s="1776"/>
    </row>
    <row r="54" spans="1:20" ht="3.75" customHeight="1">
      <c r="C54" s="1119"/>
      <c r="D54" s="1119"/>
      <c r="E54" s="1119"/>
      <c r="F54" s="1119"/>
      <c r="G54" s="1119"/>
      <c r="H54" s="1119"/>
      <c r="I54" s="1119"/>
      <c r="J54" s="1119"/>
      <c r="K54" s="1119"/>
      <c r="L54" s="1119"/>
      <c r="M54" s="1119"/>
      <c r="N54" s="1119"/>
      <c r="O54" s="1119"/>
      <c r="P54" s="1119"/>
      <c r="Q54" s="1119"/>
      <c r="R54" s="1119"/>
      <c r="S54" s="1119"/>
      <c r="T54" s="1119"/>
    </row>
    <row r="55" spans="1:20" ht="18.75" customHeight="1">
      <c r="A55" s="1119"/>
      <c r="B55" s="1120" t="s">
        <v>1357</v>
      </c>
      <c r="C55" s="1121"/>
      <c r="D55" s="1122"/>
      <c r="E55" s="1122"/>
      <c r="F55" s="1122"/>
      <c r="G55" s="1122"/>
      <c r="H55" s="1122"/>
      <c r="I55" s="1122"/>
      <c r="J55" s="1122"/>
      <c r="K55" s="1122"/>
      <c r="L55" s="1122"/>
      <c r="M55" s="1122"/>
      <c r="N55" s="1122"/>
      <c r="O55" s="1122"/>
      <c r="P55" s="1122"/>
      <c r="Q55" s="1122"/>
      <c r="R55" s="1122"/>
      <c r="S55" s="1123"/>
      <c r="T55" s="1119"/>
    </row>
    <row r="56" spans="1:20" ht="18.75" customHeight="1">
      <c r="A56" s="1119"/>
      <c r="B56" s="1124"/>
      <c r="C56" s="1125"/>
      <c r="D56" s="1126"/>
      <c r="E56" s="1126"/>
      <c r="F56" s="1126"/>
      <c r="G56" s="1126"/>
      <c r="H56" s="1126"/>
      <c r="I56" s="1126"/>
      <c r="J56" s="1126"/>
      <c r="K56" s="1126"/>
      <c r="L56" s="1126"/>
      <c r="M56" s="1126"/>
      <c r="N56" s="1126"/>
      <c r="O56" s="1126"/>
      <c r="P56" s="1126"/>
      <c r="Q56" s="1126"/>
      <c r="R56" s="1126"/>
      <c r="S56" s="1127"/>
      <c r="T56" s="1119"/>
    </row>
    <row r="57" spans="1:20" ht="18.75" customHeight="1">
      <c r="B57" s="1120" t="s">
        <v>1358</v>
      </c>
      <c r="C57" s="1121"/>
      <c r="D57" s="1122"/>
      <c r="E57" s="1122"/>
      <c r="F57" s="1122"/>
      <c r="G57" s="1122"/>
      <c r="H57" s="1122"/>
      <c r="I57" s="1122"/>
      <c r="J57" s="1122"/>
      <c r="K57" s="1122"/>
      <c r="L57" s="1122"/>
      <c r="M57" s="1122"/>
      <c r="N57" s="1122"/>
      <c r="O57" s="1122"/>
      <c r="P57" s="1122"/>
      <c r="Q57" s="1122"/>
      <c r="R57" s="1122"/>
      <c r="S57" s="1123"/>
      <c r="T57" s="1119"/>
    </row>
    <row r="58" spans="1:20" ht="18.75" customHeight="1">
      <c r="A58" s="1119"/>
      <c r="B58" s="1128"/>
      <c r="C58" s="1126"/>
      <c r="D58" s="1126"/>
      <c r="E58" s="1126"/>
      <c r="F58" s="1126"/>
      <c r="G58" s="1126"/>
      <c r="H58" s="1126"/>
      <c r="I58" s="1126"/>
      <c r="J58" s="1126"/>
      <c r="K58" s="1126"/>
      <c r="L58" s="1126"/>
      <c r="M58" s="1126"/>
      <c r="N58" s="1126"/>
      <c r="O58" s="1126"/>
      <c r="P58" s="1126"/>
      <c r="Q58" s="1126"/>
      <c r="R58" s="1126"/>
      <c r="S58" s="1127"/>
      <c r="T58" s="1119"/>
    </row>
    <row r="59" spans="1:20" ht="6.75" customHeight="1">
      <c r="A59" s="1129"/>
      <c r="B59" s="1129"/>
      <c r="C59" s="1129"/>
      <c r="D59" s="1129"/>
      <c r="E59" s="1129"/>
      <c r="F59" s="1129"/>
      <c r="G59" s="1129"/>
      <c r="H59" s="1129"/>
      <c r="I59" s="1129"/>
      <c r="J59" s="1129"/>
      <c r="K59" s="1129"/>
      <c r="L59" s="1129"/>
      <c r="M59" s="1129"/>
      <c r="N59" s="1129"/>
      <c r="O59" s="1129"/>
      <c r="P59" s="1129"/>
      <c r="Q59" s="1129"/>
      <c r="R59" s="1129"/>
      <c r="S59" s="1129"/>
      <c r="T59" s="1129"/>
    </row>
    <row r="60" spans="1:20" ht="12.75" customHeight="1">
      <c r="A60" s="1776" t="s">
        <v>1359</v>
      </c>
      <c r="B60" s="1776"/>
      <c r="C60" s="1776"/>
      <c r="D60" s="1776"/>
      <c r="E60" s="1776"/>
      <c r="F60" s="1776"/>
      <c r="G60" s="1776"/>
      <c r="H60" s="1776"/>
      <c r="I60" s="1776"/>
      <c r="J60" s="1776"/>
      <c r="K60" s="1776"/>
      <c r="L60" s="1776"/>
      <c r="M60" s="1776"/>
      <c r="N60" s="1776"/>
      <c r="O60" s="1776"/>
      <c r="P60" s="1776"/>
      <c r="Q60" s="1776"/>
      <c r="R60" s="1776"/>
      <c r="S60" s="1776"/>
      <c r="T60" s="1776"/>
    </row>
    <row r="61" spans="1:20" ht="6.75" customHeight="1"/>
    <row r="62" spans="1:20" ht="12.75" customHeight="1">
      <c r="B62" s="1130" t="s">
        <v>1360</v>
      </c>
      <c r="C62" s="1131"/>
      <c r="D62" s="1132"/>
      <c r="E62" s="1133"/>
      <c r="F62" s="1133"/>
      <c r="G62" s="1132"/>
      <c r="H62" s="1132"/>
      <c r="I62" s="1132"/>
      <c r="J62" s="1134"/>
      <c r="K62" s="1131" t="s">
        <v>1361</v>
      </c>
      <c r="L62" s="1133"/>
      <c r="M62" s="1135"/>
      <c r="N62" s="1136"/>
      <c r="O62" s="1137"/>
      <c r="P62" s="1135"/>
      <c r="Q62" s="1138"/>
      <c r="R62" s="1138"/>
      <c r="S62" s="1139"/>
      <c r="T62" s="1117"/>
    </row>
    <row r="63" spans="1:20" ht="8.25" customHeight="1">
      <c r="I63" s="1140"/>
      <c r="J63" s="1140"/>
      <c r="K63" s="1140"/>
      <c r="L63" s="1140"/>
      <c r="M63" s="1140"/>
      <c r="N63" s="1140"/>
      <c r="O63" s="1140"/>
      <c r="P63" s="1140"/>
      <c r="Q63" s="1140"/>
      <c r="R63" s="1140"/>
    </row>
    <row r="64" spans="1:20" ht="15" customHeight="1">
      <c r="B64" s="1141"/>
      <c r="C64" s="1141"/>
      <c r="D64" s="1141"/>
      <c r="E64" s="1141"/>
      <c r="I64" s="1847" t="s">
        <v>161</v>
      </c>
      <c r="J64" s="1848"/>
      <c r="K64" s="1848"/>
      <c r="L64" s="1849"/>
      <c r="M64" s="1850" t="s">
        <v>417</v>
      </c>
      <c r="N64" s="1851"/>
      <c r="O64" s="1852" t="s">
        <v>870</v>
      </c>
      <c r="P64" s="1852"/>
      <c r="Q64" s="1852"/>
      <c r="R64" s="1852"/>
      <c r="S64" s="1852"/>
    </row>
    <row r="65" spans="2:19" s="1147" customFormat="1" ht="15.75" customHeight="1">
      <c r="B65" s="1142" t="s">
        <v>1328</v>
      </c>
      <c r="C65" s="1143"/>
      <c r="D65" s="1143"/>
      <c r="E65" s="1143"/>
      <c r="F65" s="1143"/>
      <c r="G65" s="1143"/>
      <c r="H65" s="1143"/>
      <c r="I65" s="1144"/>
      <c r="J65" s="1145"/>
      <c r="K65" s="1145"/>
      <c r="L65" s="1146"/>
      <c r="M65" s="1144"/>
      <c r="N65" s="1146"/>
      <c r="O65" s="1853"/>
      <c r="P65" s="1853"/>
      <c r="Q65" s="1853"/>
      <c r="R65" s="1853"/>
      <c r="S65" s="1853"/>
    </row>
    <row r="66" spans="2:19" s="1119" customFormat="1" ht="15.75" customHeight="1">
      <c r="B66" s="1148" t="s">
        <v>1329</v>
      </c>
      <c r="C66" s="1149"/>
      <c r="D66" s="1149"/>
      <c r="E66" s="1149"/>
      <c r="F66" s="1149"/>
      <c r="G66" s="1149"/>
      <c r="H66" s="1149"/>
      <c r="I66" s="1144"/>
      <c r="J66" s="1145"/>
      <c r="K66" s="1145"/>
      <c r="L66" s="1146"/>
      <c r="M66" s="1144"/>
      <c r="N66" s="1146"/>
      <c r="O66" s="1853"/>
      <c r="P66" s="1853"/>
      <c r="Q66" s="1853"/>
      <c r="R66" s="1853"/>
      <c r="S66" s="1853"/>
    </row>
    <row r="67" spans="2:19" s="1119" customFormat="1" ht="15.75" customHeight="1">
      <c r="B67" s="1150" t="s">
        <v>1195</v>
      </c>
      <c r="C67" s="1151"/>
      <c r="D67" s="1151"/>
      <c r="E67" s="1151"/>
      <c r="F67" s="1151"/>
      <c r="G67" s="1151"/>
      <c r="H67" s="1151"/>
      <c r="I67" s="1152"/>
      <c r="J67" s="1153"/>
      <c r="K67" s="1153"/>
      <c r="L67" s="1154"/>
      <c r="M67" s="1144"/>
      <c r="N67" s="1146"/>
      <c r="O67" s="1853"/>
      <c r="P67" s="1853"/>
      <c r="Q67" s="1853"/>
      <c r="R67" s="1853"/>
      <c r="S67" s="1853"/>
    </row>
    <row r="68" spans="2:19" s="1119" customFormat="1" ht="15.75" customHeight="1">
      <c r="B68" s="1155" t="s">
        <v>1362</v>
      </c>
      <c r="C68" s="1155"/>
      <c r="D68" s="1155"/>
      <c r="I68" s="1847" t="s">
        <v>161</v>
      </c>
      <c r="J68" s="1848"/>
      <c r="K68" s="1848"/>
      <c r="L68" s="1849"/>
      <c r="M68" s="1850" t="s">
        <v>417</v>
      </c>
      <c r="N68" s="1851"/>
      <c r="O68" s="1852" t="s">
        <v>870</v>
      </c>
      <c r="P68" s="1852"/>
      <c r="Q68" s="1852"/>
      <c r="R68" s="1852"/>
      <c r="S68" s="1852"/>
    </row>
    <row r="69" spans="2:19" ht="15.75" customHeight="1">
      <c r="B69" s="1156" t="s">
        <v>1363</v>
      </c>
      <c r="C69" s="1135"/>
      <c r="D69" s="1135"/>
      <c r="E69" s="1135"/>
      <c r="F69" s="1135"/>
      <c r="G69" s="1135"/>
      <c r="H69" s="1157"/>
      <c r="I69" s="1144"/>
      <c r="J69" s="1145"/>
      <c r="K69" s="1145"/>
      <c r="L69" s="1146"/>
      <c r="M69" s="1144"/>
      <c r="N69" s="1146"/>
      <c r="O69" s="1853"/>
      <c r="P69" s="1853"/>
      <c r="Q69" s="1853"/>
      <c r="R69" s="1853"/>
      <c r="S69" s="1853"/>
    </row>
    <row r="70" spans="2:19" ht="15.75" customHeight="1">
      <c r="B70" s="1156" t="s">
        <v>1364</v>
      </c>
      <c r="C70" s="1135"/>
      <c r="D70" s="1135"/>
      <c r="E70" s="1135"/>
      <c r="F70" s="1135"/>
      <c r="G70" s="1135"/>
      <c r="H70" s="1157"/>
      <c r="I70" s="1144"/>
      <c r="J70" s="1145"/>
      <c r="K70" s="1145"/>
      <c r="L70" s="1146"/>
      <c r="M70" s="1144"/>
      <c r="N70" s="1146"/>
      <c r="O70" s="1853"/>
      <c r="P70" s="1853"/>
      <c r="Q70" s="1853"/>
      <c r="R70" s="1853"/>
      <c r="S70" s="1853"/>
    </row>
    <row r="71" spans="2:19" ht="15.75" customHeight="1">
      <c r="B71" s="1156" t="s">
        <v>1365</v>
      </c>
      <c r="C71" s="1135"/>
      <c r="D71" s="1135"/>
      <c r="E71" s="1135"/>
      <c r="F71" s="1135"/>
      <c r="G71" s="1135"/>
      <c r="H71" s="1157"/>
      <c r="I71" s="1144"/>
      <c r="J71" s="1145"/>
      <c r="K71" s="1145"/>
      <c r="L71" s="1146"/>
      <c r="M71" s="1144"/>
      <c r="N71" s="1146"/>
      <c r="O71" s="1853"/>
      <c r="P71" s="1853"/>
      <c r="Q71" s="1853"/>
      <c r="R71" s="1853"/>
      <c r="S71" s="1853"/>
    </row>
    <row r="72" spans="2:19" ht="15.75" customHeight="1">
      <c r="B72" s="1156" t="s">
        <v>1366</v>
      </c>
      <c r="C72" s="1135"/>
      <c r="D72" s="1135"/>
      <c r="E72" s="1135"/>
      <c r="F72" s="1135"/>
      <c r="G72" s="1135"/>
      <c r="H72" s="1157"/>
      <c r="I72" s="1144"/>
      <c r="J72" s="1145"/>
      <c r="K72" s="1145"/>
      <c r="L72" s="1146"/>
      <c r="M72" s="1144"/>
      <c r="N72" s="1146"/>
      <c r="O72" s="1853"/>
      <c r="P72" s="1853"/>
      <c r="Q72" s="1853"/>
      <c r="R72" s="1853"/>
      <c r="S72" s="1853"/>
    </row>
    <row r="73" spans="2:19" ht="15.75" customHeight="1">
      <c r="B73" s="1156" t="s">
        <v>1367</v>
      </c>
      <c r="C73" s="1135"/>
      <c r="D73" s="1135"/>
      <c r="E73" s="1135"/>
      <c r="F73" s="1135"/>
      <c r="G73" s="1135"/>
      <c r="H73" s="1157"/>
      <c r="I73" s="1152"/>
      <c r="J73" s="1153"/>
      <c r="K73" s="1153"/>
      <c r="L73" s="1154"/>
      <c r="M73" s="1144"/>
      <c r="N73" s="1146"/>
      <c r="O73" s="1853"/>
      <c r="P73" s="1853"/>
      <c r="Q73" s="1853"/>
      <c r="R73" s="1853"/>
      <c r="S73" s="1853"/>
    </row>
    <row r="74" spans="2:19" ht="12.75" hidden="1" customHeight="1"/>
    <row r="75" spans="2:19" ht="12.75" hidden="1" customHeight="1"/>
    <row r="76" spans="2:19" ht="12.75" hidden="1" customHeight="1"/>
    <row r="77" spans="2:19" ht="12.75" hidden="1" customHeight="1"/>
    <row r="78" spans="2:19" ht="12.75" hidden="1" customHeight="1"/>
    <row r="79" spans="2:19" ht="12.75" hidden="1" customHeight="1"/>
    <row r="80" spans="2:19" ht="12.75" hidden="1" customHeight="1"/>
    <row r="81" ht="12.75" hidden="1" customHeight="1"/>
    <row r="82" ht="12.75" hidden="1" customHeight="1"/>
    <row r="83" ht="12.75" hidden="1" customHeight="1"/>
    <row r="84" ht="12.75" hidden="1" customHeight="1"/>
    <row r="85" ht="12.75" hidden="1" customHeight="1"/>
    <row r="86" ht="12.75" hidden="1" customHeight="1"/>
    <row r="87" ht="12.75" hidden="1" customHeight="1"/>
    <row r="88" ht="12.75" hidden="1" customHeight="1"/>
    <row r="89" ht="12.75" hidden="1" customHeight="1"/>
    <row r="90" ht="12.75" hidden="1" customHeight="1"/>
    <row r="91" ht="12.75" hidden="1" customHeight="1"/>
    <row r="92" ht="12.75" hidden="1" customHeight="1"/>
    <row r="93" ht="12.75" hidden="1" customHeight="1"/>
    <row r="94" ht="12.75" hidden="1" customHeight="1"/>
    <row r="95" ht="12.75" hidden="1" customHeight="1"/>
    <row r="96" ht="12.75" hidden="1" customHeight="1"/>
    <row r="97" ht="12.75" hidden="1" customHeight="1"/>
    <row r="98" ht="12.75" hidden="1" customHeight="1"/>
    <row r="99" ht="12.75" hidden="1" customHeight="1"/>
    <row r="100" ht="12.75" hidden="1" customHeight="1"/>
    <row r="101" ht="12.75" hidden="1" customHeight="1"/>
    <row r="102" ht="12.75" hidden="1" customHeight="1"/>
    <row r="103" ht="12.75" hidden="1" customHeight="1"/>
    <row r="104" ht="12.75" hidden="1" customHeight="1"/>
    <row r="105" ht="12.75" hidden="1" customHeight="1"/>
    <row r="106" ht="12.75" hidden="1" customHeight="1"/>
    <row r="107" ht="12.75" hidden="1" customHeight="1"/>
    <row r="108" ht="12.75" hidden="1" customHeight="1"/>
    <row r="109" ht="12.75" hidden="1" customHeight="1"/>
    <row r="110" ht="12.75" hidden="1" customHeight="1"/>
    <row r="111" ht="12.75" hidden="1" customHeight="1"/>
    <row r="112" ht="12.75" hidden="1" customHeight="1"/>
    <row r="113" ht="12.75" hidden="1" customHeight="1"/>
    <row r="114" ht="12.75" hidden="1" customHeight="1"/>
    <row r="115" ht="12.75" hidden="1" customHeight="1"/>
    <row r="116" ht="12.75" hidden="1" customHeight="1"/>
    <row r="117" ht="12.75" hidden="1" customHeight="1"/>
    <row r="118" ht="12.75" hidden="1" customHeight="1"/>
    <row r="119" ht="12.75" hidden="1" customHeight="1"/>
    <row r="120" ht="12.75" hidden="1" customHeight="1"/>
    <row r="121" ht="12.75" hidden="1" customHeight="1"/>
    <row r="122" ht="12.75" hidden="1" customHeight="1"/>
    <row r="123" ht="12.75" hidden="1" customHeight="1"/>
    <row r="124" ht="12.75" hidden="1" customHeight="1"/>
    <row r="125" ht="12.75" hidden="1" customHeight="1"/>
    <row r="126" ht="12.75" hidden="1" customHeight="1"/>
    <row r="127" ht="12.75" hidden="1" customHeight="1"/>
    <row r="128" ht="12.75" hidden="1" customHeight="1"/>
    <row r="129" ht="12.75" hidden="1" customHeight="1"/>
    <row r="130" ht="12.75" hidden="1" customHeight="1"/>
    <row r="131" ht="12.75" hidden="1" customHeight="1"/>
    <row r="132" ht="12.75" hidden="1" customHeight="1"/>
    <row r="133" ht="12.75" hidden="1" customHeight="1"/>
    <row r="134" ht="12.75" hidden="1" customHeight="1"/>
    <row r="135" ht="12.75" hidden="1" customHeight="1"/>
    <row r="136" ht="12.75" hidden="1" customHeight="1"/>
    <row r="137" ht="12.75" hidden="1" customHeight="1"/>
    <row r="138" ht="12.75" hidden="1" customHeight="1"/>
    <row r="139" ht="12.75" hidden="1" customHeight="1"/>
    <row r="140" ht="12.75" hidden="1" customHeight="1"/>
    <row r="141" ht="12.75" hidden="1" customHeight="1"/>
    <row r="142" ht="12.75" hidden="1" customHeight="1"/>
    <row r="143" ht="12.75" hidden="1" customHeight="1"/>
    <row r="144" ht="12.75" hidden="1" customHeight="1"/>
    <row r="145" ht="12.75" hidden="1" customHeight="1"/>
    <row r="146" ht="12.75" hidden="1" customHeight="1"/>
    <row r="147" ht="12.75" hidden="1" customHeight="1"/>
    <row r="148" ht="12.75" hidden="1" customHeight="1"/>
    <row r="149" ht="12.75" hidden="1" customHeight="1"/>
    <row r="150" ht="12.75" hidden="1" customHeight="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row r="215"/>
  </sheetData>
  <mergeCells count="93">
    <mergeCell ref="O69:S69"/>
    <mergeCell ref="O70:S70"/>
    <mergeCell ref="O71:S71"/>
    <mergeCell ref="O72:S72"/>
    <mergeCell ref="O73:S73"/>
    <mergeCell ref="O65:S65"/>
    <mergeCell ref="O66:S66"/>
    <mergeCell ref="O67:S67"/>
    <mergeCell ref="I68:L68"/>
    <mergeCell ref="M68:N68"/>
    <mergeCell ref="O68:S68"/>
    <mergeCell ref="C47:T50"/>
    <mergeCell ref="C51:T51"/>
    <mergeCell ref="A53:T53"/>
    <mergeCell ref="A60:T60"/>
    <mergeCell ref="I64:L64"/>
    <mergeCell ref="M64:N64"/>
    <mergeCell ref="O64:S64"/>
    <mergeCell ref="R46:S46"/>
    <mergeCell ref="O44:Q44"/>
    <mergeCell ref="R44:S44"/>
    <mergeCell ref="B45:D45"/>
    <mergeCell ref="E45:I45"/>
    <mergeCell ref="J45:L45"/>
    <mergeCell ref="M45:N45"/>
    <mergeCell ref="O45:Q45"/>
    <mergeCell ref="R45:S45"/>
    <mergeCell ref="B46:D46"/>
    <mergeCell ref="E46:I46"/>
    <mergeCell ref="J46:L46"/>
    <mergeCell ref="M46:N46"/>
    <mergeCell ref="O46:Q46"/>
    <mergeCell ref="R42:S42"/>
    <mergeCell ref="B43:D43"/>
    <mergeCell ref="E43:I43"/>
    <mergeCell ref="J43:L43"/>
    <mergeCell ref="M43:N43"/>
    <mergeCell ref="O43:Q43"/>
    <mergeCell ref="R43:S43"/>
    <mergeCell ref="O42:Q42"/>
    <mergeCell ref="A42:A46"/>
    <mergeCell ref="B42:D42"/>
    <mergeCell ref="E42:I42"/>
    <mergeCell ref="J42:L42"/>
    <mergeCell ref="M42:N42"/>
    <mergeCell ref="B44:D44"/>
    <mergeCell ref="E44:I44"/>
    <mergeCell ref="J44:L44"/>
    <mergeCell ref="M44:N44"/>
    <mergeCell ref="R41:S41"/>
    <mergeCell ref="O39:Q39"/>
    <mergeCell ref="R39:S39"/>
    <mergeCell ref="B40:D40"/>
    <mergeCell ref="E40:I40"/>
    <mergeCell ref="J40:L40"/>
    <mergeCell ref="M40:N40"/>
    <mergeCell ref="O40:Q40"/>
    <mergeCell ref="R40:S40"/>
    <mergeCell ref="B41:D41"/>
    <mergeCell ref="E41:I41"/>
    <mergeCell ref="J41:L41"/>
    <mergeCell ref="M41:N41"/>
    <mergeCell ref="O41:Q41"/>
    <mergeCell ref="R37:S37"/>
    <mergeCell ref="B38:D38"/>
    <mergeCell ref="E38:I38"/>
    <mergeCell ref="J38:L38"/>
    <mergeCell ref="M38:N38"/>
    <mergeCell ref="O38:Q38"/>
    <mergeCell ref="R38:S38"/>
    <mergeCell ref="O37:Q37"/>
    <mergeCell ref="A37:A41"/>
    <mergeCell ref="B37:D37"/>
    <mergeCell ref="E37:I37"/>
    <mergeCell ref="J37:L37"/>
    <mergeCell ref="M37:N37"/>
    <mergeCell ref="B39:D39"/>
    <mergeCell ref="E39:I39"/>
    <mergeCell ref="J39:L39"/>
    <mergeCell ref="M39:N39"/>
    <mergeCell ref="R34:S36"/>
    <mergeCell ref="A1:D2"/>
    <mergeCell ref="E1:T2"/>
    <mergeCell ref="A4:T4"/>
    <mergeCell ref="A20:T20"/>
    <mergeCell ref="A28:T28"/>
    <mergeCell ref="A30:B32"/>
    <mergeCell ref="C30:T32"/>
    <mergeCell ref="B34:D36"/>
    <mergeCell ref="E34:I36"/>
    <mergeCell ref="J34:L36"/>
    <mergeCell ref="M34:N36"/>
    <mergeCell ref="O34:Q36"/>
  </mergeCells>
  <pageMargins left="0.25" right="0.25" top="0.75" bottom="0.75" header="0.3" footer="0.3"/>
  <pageSetup paperSize="9" orientation="portrait" r:id="rId1"/>
  <colBreaks count="1" manualBreakCount="1">
    <brk id="21" max="107" man="1"/>
  </colBreaks>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Feuil61">
    <pageSetUpPr fitToPage="1"/>
  </sheetPr>
  <dimension ref="A1:H45"/>
  <sheetViews>
    <sheetView showGridLines="0" view="pageBreakPreview" topLeftCell="A16" zoomScaleNormal="100" zoomScaleSheetLayoutView="100" workbookViewId="0">
      <selection activeCell="B27" sqref="B27"/>
    </sheetView>
  </sheetViews>
  <sheetFormatPr baseColWidth="10" defaultRowHeight="12.75"/>
  <cols>
    <col min="1" max="1" width="15.7109375" style="21" customWidth="1"/>
    <col min="2" max="6" width="11.7109375" style="21" customWidth="1"/>
  </cols>
  <sheetData>
    <row r="1" spans="1:8" ht="23.25">
      <c r="A1" s="112"/>
      <c r="B1" s="1367" t="s">
        <v>254</v>
      </c>
      <c r="C1" s="1367"/>
      <c r="D1" s="1367"/>
      <c r="E1" s="1367"/>
      <c r="H1" s="496">
        <v>6</v>
      </c>
    </row>
    <row r="15" spans="1:8" ht="95.25" customHeight="1"/>
    <row r="19" spans="2:5" ht="23.25">
      <c r="B19" s="982" t="s">
        <v>189</v>
      </c>
      <c r="C19" s="497"/>
      <c r="D19" s="113"/>
      <c r="E19" s="113"/>
    </row>
    <row r="21" spans="2:5">
      <c r="B21" s="37" t="s">
        <v>794</v>
      </c>
    </row>
    <row r="22" spans="2:5">
      <c r="B22" s="37" t="s">
        <v>795</v>
      </c>
    </row>
    <row r="23" spans="2:5">
      <c r="B23" s="37" t="s">
        <v>163</v>
      </c>
    </row>
    <row r="24" spans="2:5">
      <c r="B24" s="37" t="s">
        <v>640</v>
      </c>
    </row>
    <row r="25" spans="2:5">
      <c r="B25" s="37" t="s">
        <v>1196</v>
      </c>
    </row>
    <row r="26" spans="2:5">
      <c r="B26" s="37" t="s">
        <v>471</v>
      </c>
    </row>
    <row r="27" spans="2:5">
      <c r="B27" s="1158" t="s">
        <v>1369</v>
      </c>
    </row>
    <row r="30" spans="2:5">
      <c r="B30" s="37"/>
    </row>
    <row r="31" spans="2:5">
      <c r="B31" s="37"/>
    </row>
    <row r="44" spans="2:2">
      <c r="B44" s="18"/>
    </row>
    <row r="45" spans="2:2">
      <c r="B45" s="18"/>
    </row>
  </sheetData>
  <mergeCells count="1">
    <mergeCell ref="B1:E1"/>
  </mergeCells>
  <phoneticPr fontId="12" type="noConversion"/>
  <printOptions horizontalCentered="1"/>
  <pageMargins left="0" right="0" top="0" bottom="0.39370078740157483" header="0" footer="0"/>
  <pageSetup paperSize="9" orientation="portrait" blackAndWhite="1" r:id="rId1"/>
  <headerFooter alignWithMargins="0"/>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Feuil42">
    <tabColor indexed="42"/>
    <pageSetUpPr fitToPage="1"/>
  </sheetPr>
  <dimension ref="A1:M67"/>
  <sheetViews>
    <sheetView showGridLines="0" view="pageBreakPreview" zoomScale="70" zoomScaleNormal="80" zoomScaleSheetLayoutView="70" workbookViewId="0">
      <selection activeCell="H13" sqref="H13:K13"/>
    </sheetView>
  </sheetViews>
  <sheetFormatPr baseColWidth="10" defaultColWidth="11.42578125" defaultRowHeight="12.75"/>
  <cols>
    <col min="1" max="1" width="15" style="665" customWidth="1"/>
    <col min="2" max="2" width="16.85546875" style="665" bestFit="1" customWidth="1"/>
    <col min="3" max="16384" width="11.42578125" style="665"/>
  </cols>
  <sheetData>
    <row r="1" spans="1:11" ht="40.5" customHeight="1">
      <c r="A1" s="1856" t="s">
        <v>472</v>
      </c>
      <c r="B1" s="1857"/>
      <c r="C1" s="1857"/>
      <c r="D1" s="1857"/>
      <c r="E1" s="1857"/>
      <c r="F1" s="1857"/>
      <c r="G1" s="1857"/>
      <c r="H1" s="1857"/>
      <c r="I1" s="1857"/>
      <c r="J1" s="1857"/>
      <c r="K1" s="1857"/>
    </row>
    <row r="2" spans="1:11" ht="68.25" customHeight="1"/>
    <row r="3" spans="1:11" ht="22.5" customHeight="1">
      <c r="A3" s="691" t="s">
        <v>542</v>
      </c>
      <c r="B3" s="1858" t="s">
        <v>864</v>
      </c>
      <c r="C3" s="1858"/>
      <c r="D3" s="666"/>
      <c r="E3" s="666"/>
      <c r="F3" s="691" t="s">
        <v>545</v>
      </c>
      <c r="G3" s="772" t="s">
        <v>864</v>
      </c>
      <c r="H3" s="666"/>
      <c r="I3" s="666"/>
      <c r="J3" s="666"/>
      <c r="K3" s="666"/>
    </row>
    <row r="4" spans="1:11" ht="22.5" customHeight="1">
      <c r="A4" s="691" t="s">
        <v>546</v>
      </c>
      <c r="B4" s="1858" t="s">
        <v>864</v>
      </c>
      <c r="C4" s="1858"/>
      <c r="D4" s="1858"/>
      <c r="E4" s="1858"/>
      <c r="F4" s="1858"/>
      <c r="G4" s="1858"/>
      <c r="H4" s="1858"/>
      <c r="I4" s="1858"/>
      <c r="J4" s="1858"/>
      <c r="K4" s="1858"/>
    </row>
    <row r="6" spans="1:11" ht="15.75">
      <c r="A6" s="1859" t="s">
        <v>473</v>
      </c>
      <c r="B6" s="1859"/>
      <c r="C6" s="1859"/>
      <c r="D6" s="1859"/>
      <c r="E6" s="1859"/>
      <c r="F6" s="1859"/>
      <c r="G6" s="1859"/>
      <c r="H6" s="1859"/>
      <c r="I6" s="1859"/>
      <c r="J6" s="1859"/>
      <c r="K6" s="1859"/>
    </row>
    <row r="7" spans="1:11" ht="15.75">
      <c r="A7" s="1859" t="s">
        <v>1197</v>
      </c>
      <c r="B7" s="1859"/>
      <c r="C7" s="1859"/>
      <c r="D7" s="1859"/>
      <c r="E7" s="1859"/>
      <c r="F7" s="1859"/>
      <c r="G7" s="1859"/>
      <c r="H7" s="1859"/>
      <c r="I7" s="1859"/>
      <c r="J7" s="1859"/>
      <c r="K7" s="1859"/>
    </row>
    <row r="8" spans="1:11" ht="15.75">
      <c r="A8" s="983"/>
      <c r="B8" s="983"/>
      <c r="C8" s="983"/>
      <c r="D8" s="983"/>
      <c r="E8" s="983"/>
      <c r="F8" s="983"/>
      <c r="G8" s="983"/>
      <c r="H8" s="983"/>
      <c r="I8" s="983"/>
      <c r="J8" s="983"/>
      <c r="K8" s="983"/>
    </row>
    <row r="9" spans="1:11" ht="30" customHeight="1">
      <c r="A9" s="1217" t="s">
        <v>474</v>
      </c>
      <c r="B9" s="1218"/>
      <c r="C9" s="1218"/>
      <c r="D9" s="1218" t="s">
        <v>475</v>
      </c>
      <c r="E9" s="1218"/>
      <c r="F9" s="1218"/>
      <c r="G9" s="1218"/>
      <c r="H9" s="1218" t="s">
        <v>476</v>
      </c>
      <c r="I9" s="1218"/>
      <c r="J9" s="1218"/>
      <c r="K9" s="1218"/>
    </row>
    <row r="10" spans="1:11" s="667" customFormat="1" ht="30" customHeight="1">
      <c r="A10" s="1854"/>
      <c r="B10" s="1854"/>
      <c r="C10" s="1854"/>
      <c r="D10" s="1854"/>
      <c r="E10" s="1854"/>
      <c r="F10" s="1854"/>
      <c r="G10" s="1854"/>
      <c r="H10" s="1854"/>
      <c r="I10" s="1854"/>
      <c r="J10" s="1854"/>
      <c r="K10" s="1854"/>
    </row>
    <row r="11" spans="1:11" s="667" customFormat="1" ht="30" customHeight="1">
      <c r="A11" s="1855"/>
      <c r="B11" s="1855"/>
      <c r="C11" s="1855"/>
      <c r="D11" s="1855"/>
      <c r="E11" s="1855"/>
      <c r="F11" s="1855"/>
      <c r="G11" s="1855"/>
      <c r="H11" s="1855"/>
      <c r="I11" s="1855"/>
      <c r="J11" s="1855"/>
      <c r="K11" s="1855"/>
    </row>
    <row r="12" spans="1:11" s="667" customFormat="1" ht="30" customHeight="1">
      <c r="A12" s="1855"/>
      <c r="B12" s="1855"/>
      <c r="C12" s="1855"/>
      <c r="D12" s="1855"/>
      <c r="E12" s="1855"/>
      <c r="F12" s="1855"/>
      <c r="G12" s="1855"/>
      <c r="H12" s="1855"/>
      <c r="I12" s="1855"/>
      <c r="J12" s="1855"/>
      <c r="K12" s="1855"/>
    </row>
    <row r="13" spans="1:11" s="667" customFormat="1" ht="30" customHeight="1">
      <c r="A13" s="1855"/>
      <c r="B13" s="1855"/>
      <c r="C13" s="1855"/>
      <c r="D13" s="1855"/>
      <c r="E13" s="1855"/>
      <c r="F13" s="1855"/>
      <c r="G13" s="1855"/>
      <c r="H13" s="1855"/>
      <c r="I13" s="1855"/>
      <c r="J13" s="1855"/>
      <c r="K13" s="1855"/>
    </row>
    <row r="14" spans="1:11" s="667" customFormat="1" ht="30" customHeight="1">
      <c r="A14" s="1855"/>
      <c r="B14" s="1855"/>
      <c r="C14" s="1855"/>
      <c r="D14" s="1855"/>
      <c r="E14" s="1855"/>
      <c r="F14" s="1855"/>
      <c r="G14" s="1855"/>
      <c r="H14" s="1855"/>
      <c r="I14" s="1855"/>
      <c r="J14" s="1855"/>
      <c r="K14" s="1855"/>
    </row>
    <row r="15" spans="1:11" s="667" customFormat="1" ht="30" customHeight="1">
      <c r="A15" s="1855"/>
      <c r="B15" s="1855"/>
      <c r="C15" s="1855"/>
      <c r="D15" s="1855"/>
      <c r="E15" s="1855"/>
      <c r="F15" s="1855"/>
      <c r="G15" s="1855"/>
      <c r="H15" s="1855"/>
      <c r="I15" s="1855"/>
      <c r="J15" s="1855"/>
      <c r="K15" s="1855"/>
    </row>
    <row r="16" spans="1:11" s="667" customFormat="1" ht="30" customHeight="1">
      <c r="A16" s="1855"/>
      <c r="B16" s="1855"/>
      <c r="C16" s="1855"/>
      <c r="D16" s="1855"/>
      <c r="E16" s="1855"/>
      <c r="F16" s="1855"/>
      <c r="G16" s="1855"/>
      <c r="H16" s="1855"/>
      <c r="I16" s="1855"/>
      <c r="J16" s="1855"/>
      <c r="K16" s="1855"/>
    </row>
    <row r="17" spans="1:13" s="667" customFormat="1" ht="30" customHeight="1">
      <c r="A17" s="1855"/>
      <c r="B17" s="1855"/>
      <c r="C17" s="1855"/>
      <c r="D17" s="1855"/>
      <c r="E17" s="1855"/>
      <c r="F17" s="1855"/>
      <c r="G17" s="1855"/>
      <c r="H17" s="1855"/>
      <c r="I17" s="1855"/>
      <c r="J17" s="1855"/>
      <c r="K17" s="1855"/>
    </row>
    <row r="18" spans="1:13" s="667" customFormat="1" ht="30" customHeight="1">
      <c r="A18" s="1855"/>
      <c r="B18" s="1855"/>
      <c r="C18" s="1855"/>
      <c r="D18" s="1855"/>
      <c r="E18" s="1855"/>
      <c r="F18" s="1855"/>
      <c r="G18" s="1855"/>
      <c r="H18" s="1855"/>
      <c r="I18" s="1855"/>
      <c r="J18" s="1855"/>
      <c r="K18" s="1855"/>
    </row>
    <row r="19" spans="1:13" s="667" customFormat="1" ht="30" customHeight="1">
      <c r="A19" s="1855"/>
      <c r="B19" s="1855"/>
      <c r="C19" s="1855"/>
      <c r="D19" s="1855"/>
      <c r="E19" s="1855"/>
      <c r="F19" s="1855"/>
      <c r="G19" s="1855"/>
      <c r="H19" s="1855"/>
      <c r="I19" s="1855"/>
      <c r="J19" s="1855"/>
      <c r="K19" s="1855"/>
    </row>
    <row r="20" spans="1:13" s="667" customFormat="1" ht="30" customHeight="1">
      <c r="A20" s="1855"/>
      <c r="B20" s="1855"/>
      <c r="C20" s="1855"/>
      <c r="D20" s="1855"/>
      <c r="E20" s="1855"/>
      <c r="F20" s="1855"/>
      <c r="G20" s="1855"/>
      <c r="H20" s="1855"/>
      <c r="I20" s="1855"/>
      <c r="J20" s="1855"/>
      <c r="K20" s="1855"/>
    </row>
    <row r="21" spans="1:13" s="667" customFormat="1" ht="30" customHeight="1">
      <c r="A21" s="1864"/>
      <c r="B21" s="1864"/>
      <c r="C21" s="1864"/>
      <c r="D21" s="1864"/>
      <c r="E21" s="1864"/>
      <c r="F21" s="1864"/>
      <c r="G21" s="1864"/>
      <c r="H21" s="1864"/>
      <c r="I21" s="1864"/>
      <c r="J21" s="1864"/>
      <c r="K21" s="1864"/>
    </row>
    <row r="22" spans="1:13" s="667" customFormat="1" ht="76.5" customHeight="1">
      <c r="A22" s="682" t="s">
        <v>477</v>
      </c>
    </row>
    <row r="23" spans="1:13" s="667" customFormat="1" ht="18">
      <c r="A23" s="668" t="s">
        <v>478</v>
      </c>
      <c r="B23" s="680"/>
      <c r="C23" s="678"/>
    </row>
    <row r="24" spans="1:13" s="667" customFormat="1" ht="18">
      <c r="A24" s="668"/>
      <c r="B24" s="680"/>
      <c r="C24" s="678"/>
    </row>
    <row r="25" spans="1:13" s="683" customFormat="1" ht="30" customHeight="1">
      <c r="A25" s="1217" t="s">
        <v>479</v>
      </c>
      <c r="B25" s="1217"/>
      <c r="C25" s="1217"/>
      <c r="D25" s="1217"/>
      <c r="E25" s="1217"/>
      <c r="F25" s="1217"/>
      <c r="G25" s="1217" t="s">
        <v>480</v>
      </c>
      <c r="H25" s="1217"/>
      <c r="I25" s="1217"/>
      <c r="J25" s="1217"/>
      <c r="K25" s="1217"/>
    </row>
    <row r="26" spans="1:13" s="984" customFormat="1" ht="30" customHeight="1">
      <c r="A26" s="1860" t="s">
        <v>481</v>
      </c>
      <c r="B26" s="1860"/>
      <c r="C26" s="1860"/>
      <c r="D26" s="1860"/>
      <c r="E26" s="1860"/>
      <c r="F26" s="1860"/>
      <c r="G26" s="1861">
        <v>15</v>
      </c>
      <c r="H26" s="1861"/>
      <c r="I26" s="1861"/>
      <c r="J26" s="1861"/>
      <c r="K26" s="1861"/>
    </row>
    <row r="27" spans="1:13" s="984" customFormat="1" ht="30" customHeight="1">
      <c r="A27" s="1862" t="s">
        <v>482</v>
      </c>
      <c r="B27" s="1862"/>
      <c r="C27" s="1862"/>
      <c r="D27" s="1862"/>
      <c r="E27" s="1862"/>
      <c r="F27" s="1862"/>
      <c r="G27" s="1863">
        <v>18</v>
      </c>
      <c r="H27" s="1863"/>
      <c r="I27" s="1863"/>
      <c r="J27" s="1863"/>
      <c r="K27" s="1863"/>
      <c r="M27" s="810"/>
    </row>
    <row r="28" spans="1:13" s="984" customFormat="1" ht="30" customHeight="1">
      <c r="A28" s="1862" t="s">
        <v>483</v>
      </c>
      <c r="B28" s="1862"/>
      <c r="C28" s="1862"/>
      <c r="D28" s="1862"/>
      <c r="E28" s="1862"/>
      <c r="F28" s="1862"/>
      <c r="G28" s="1863">
        <v>112</v>
      </c>
      <c r="H28" s="1863"/>
      <c r="I28" s="1863"/>
      <c r="J28" s="1863"/>
      <c r="K28" s="1863"/>
    </row>
    <row r="29" spans="1:13" s="984" customFormat="1" ht="30" customHeight="1">
      <c r="A29" s="1862" t="s">
        <v>484</v>
      </c>
      <c r="B29" s="1862"/>
      <c r="C29" s="1862"/>
      <c r="D29" s="1862"/>
      <c r="E29" s="1862"/>
      <c r="F29" s="1862"/>
      <c r="G29" s="1863">
        <v>17</v>
      </c>
      <c r="H29" s="1863"/>
      <c r="I29" s="1863"/>
      <c r="J29" s="1863"/>
      <c r="K29" s="1863"/>
      <c r="M29" s="810"/>
    </row>
    <row r="30" spans="1:13" s="984" customFormat="1" ht="30" customHeight="1">
      <c r="A30" s="1871" t="s">
        <v>485</v>
      </c>
      <c r="B30" s="1871"/>
      <c r="C30" s="1871"/>
      <c r="D30" s="1871"/>
      <c r="E30" s="1871"/>
      <c r="F30" s="1871"/>
      <c r="G30" s="1863"/>
      <c r="H30" s="1863"/>
      <c r="I30" s="1863"/>
      <c r="J30" s="1863"/>
      <c r="K30" s="1863"/>
    </row>
    <row r="31" spans="1:13" s="984" customFormat="1" ht="30" customHeight="1">
      <c r="A31" s="1862" t="s">
        <v>486</v>
      </c>
      <c r="B31" s="1862"/>
      <c r="C31" s="1862"/>
      <c r="D31" s="1862"/>
      <c r="E31" s="1862"/>
      <c r="F31" s="1862"/>
      <c r="G31" s="1865" t="s">
        <v>864</v>
      </c>
      <c r="H31" s="1866"/>
      <c r="I31" s="1866"/>
      <c r="J31" s="1866"/>
      <c r="K31" s="1867"/>
    </row>
    <row r="32" spans="1:13" s="984" customFormat="1" ht="30" customHeight="1">
      <c r="A32" s="1868"/>
      <c r="B32" s="1868"/>
      <c r="C32" s="1868"/>
      <c r="D32" s="1868"/>
      <c r="E32" s="1868"/>
      <c r="F32" s="1868"/>
      <c r="K32" s="985"/>
    </row>
    <row r="33" spans="1:13" s="984" customFormat="1" ht="30" customHeight="1">
      <c r="A33" s="1869"/>
      <c r="B33" s="1869"/>
      <c r="C33" s="1869"/>
      <c r="D33" s="1869"/>
      <c r="E33" s="1869"/>
      <c r="F33" s="1869"/>
      <c r="G33" s="1870"/>
      <c r="H33" s="1870"/>
      <c r="I33" s="1870"/>
      <c r="J33" s="1870"/>
      <c r="K33" s="1870"/>
      <c r="M33" s="810"/>
    </row>
    <row r="34" spans="1:13" ht="18">
      <c r="A34" s="986"/>
      <c r="B34" s="987"/>
      <c r="C34" s="677"/>
      <c r="J34" s="682"/>
    </row>
    <row r="35" spans="1:13" ht="40.5" customHeight="1">
      <c r="A35" s="1856" t="s">
        <v>472</v>
      </c>
      <c r="B35" s="1857"/>
      <c r="C35" s="1857"/>
      <c r="D35" s="1857"/>
      <c r="E35" s="1857"/>
      <c r="F35" s="1857"/>
      <c r="G35" s="1857"/>
      <c r="H35" s="1857"/>
      <c r="I35" s="1857"/>
      <c r="J35" s="1857"/>
      <c r="K35" s="1857"/>
    </row>
    <row r="37" spans="1:13" ht="68.25" customHeight="1"/>
    <row r="38" spans="1:13" ht="22.5" customHeight="1">
      <c r="A38" s="691" t="s">
        <v>542</v>
      </c>
      <c r="B38" s="1858" t="s">
        <v>864</v>
      </c>
      <c r="C38" s="1858"/>
      <c r="D38" s="666"/>
      <c r="E38" s="666"/>
      <c r="F38" s="691" t="s">
        <v>545</v>
      </c>
      <c r="G38" s="772" t="s">
        <v>864</v>
      </c>
      <c r="H38" s="666"/>
      <c r="I38" s="666"/>
      <c r="J38" s="666"/>
      <c r="K38" s="666"/>
    </row>
    <row r="39" spans="1:13" ht="22.5" customHeight="1">
      <c r="A39" s="691" t="s">
        <v>546</v>
      </c>
      <c r="B39" s="1858" t="s">
        <v>864</v>
      </c>
      <c r="C39" s="1858"/>
      <c r="D39" s="1858"/>
      <c r="E39" s="1858"/>
      <c r="F39" s="1858"/>
      <c r="G39" s="1858"/>
      <c r="H39" s="1858"/>
      <c r="I39" s="1858"/>
      <c r="J39" s="1858"/>
      <c r="K39" s="1858"/>
    </row>
    <row r="41" spans="1:13" ht="30" customHeight="1">
      <c r="A41" s="1217" t="s">
        <v>1233</v>
      </c>
      <c r="B41" s="1218"/>
      <c r="C41" s="1218"/>
      <c r="D41" s="1218" t="s">
        <v>873</v>
      </c>
      <c r="E41" s="1218"/>
      <c r="F41" s="1218"/>
      <c r="G41" s="1218"/>
      <c r="H41" s="1218" t="s">
        <v>868</v>
      </c>
      <c r="I41" s="1218"/>
      <c r="J41" s="1218"/>
      <c r="K41" s="1218"/>
    </row>
    <row r="42" spans="1:13" s="667" customFormat="1" ht="30" customHeight="1">
      <c r="A42" s="1854"/>
      <c r="B42" s="1854"/>
      <c r="C42" s="1854"/>
      <c r="D42" s="1854"/>
      <c r="E42" s="1854"/>
      <c r="F42" s="1854"/>
      <c r="G42" s="1854"/>
      <c r="H42" s="1854"/>
      <c r="I42" s="1854"/>
      <c r="J42" s="1854"/>
      <c r="K42" s="1854"/>
    </row>
    <row r="43" spans="1:13" s="667" customFormat="1" ht="30" customHeight="1">
      <c r="A43" s="1855"/>
      <c r="B43" s="1855"/>
      <c r="C43" s="1855"/>
      <c r="D43" s="1855"/>
      <c r="E43" s="1855"/>
      <c r="F43" s="1855"/>
      <c r="G43" s="1855"/>
      <c r="H43" s="1855"/>
      <c r="I43" s="1855"/>
      <c r="J43" s="1855"/>
      <c r="K43" s="1855"/>
    </row>
    <row r="44" spans="1:13" s="667" customFormat="1" ht="30" customHeight="1">
      <c r="A44" s="1855"/>
      <c r="B44" s="1855"/>
      <c r="C44" s="1855"/>
      <c r="D44" s="1855"/>
      <c r="E44" s="1855"/>
      <c r="F44" s="1855"/>
      <c r="G44" s="1855"/>
      <c r="H44" s="1855"/>
      <c r="I44" s="1855"/>
      <c r="J44" s="1855"/>
      <c r="K44" s="1855"/>
    </row>
    <row r="45" spans="1:13" s="667" customFormat="1" ht="30" customHeight="1">
      <c r="A45" s="1855"/>
      <c r="B45" s="1855"/>
      <c r="C45" s="1855"/>
      <c r="D45" s="1855"/>
      <c r="E45" s="1855"/>
      <c r="F45" s="1855"/>
      <c r="G45" s="1855"/>
      <c r="H45" s="1855"/>
      <c r="I45" s="1855"/>
      <c r="J45" s="1855"/>
      <c r="K45" s="1855"/>
    </row>
    <row r="46" spans="1:13" s="667" customFormat="1" ht="30" customHeight="1">
      <c r="A46" s="1855"/>
      <c r="B46" s="1855"/>
      <c r="C46" s="1855"/>
      <c r="D46" s="1855"/>
      <c r="E46" s="1855"/>
      <c r="F46" s="1855"/>
      <c r="G46" s="1855"/>
      <c r="H46" s="1855"/>
      <c r="I46" s="1855"/>
      <c r="J46" s="1855"/>
      <c r="K46" s="1855"/>
    </row>
    <row r="47" spans="1:13" ht="30" customHeight="1">
      <c r="A47" s="1855"/>
      <c r="B47" s="1855"/>
      <c r="C47" s="1855"/>
      <c r="D47" s="1855"/>
      <c r="E47" s="1855"/>
      <c r="F47" s="1855"/>
      <c r="G47" s="1855"/>
      <c r="H47" s="1855"/>
      <c r="I47" s="1855"/>
      <c r="J47" s="1855"/>
      <c r="K47" s="1855"/>
    </row>
    <row r="48" spans="1:13" ht="30" customHeight="1">
      <c r="A48" s="1855"/>
      <c r="B48" s="1855"/>
      <c r="C48" s="1855"/>
      <c r="D48" s="1855"/>
      <c r="E48" s="1855"/>
      <c r="F48" s="1855"/>
      <c r="G48" s="1855"/>
      <c r="H48" s="1855"/>
      <c r="I48" s="1855"/>
      <c r="J48" s="1855"/>
      <c r="K48" s="1855"/>
    </row>
    <row r="49" spans="1:11" ht="30" customHeight="1">
      <c r="A49" s="1855"/>
      <c r="B49" s="1855"/>
      <c r="C49" s="1855"/>
      <c r="D49" s="1855"/>
      <c r="E49" s="1855"/>
      <c r="F49" s="1855"/>
      <c r="G49" s="1855"/>
      <c r="H49" s="1855"/>
      <c r="I49" s="1855"/>
      <c r="J49" s="1855"/>
      <c r="K49" s="1855"/>
    </row>
    <row r="50" spans="1:11" ht="30" customHeight="1">
      <c r="A50" s="1855"/>
      <c r="B50" s="1855"/>
      <c r="C50" s="1855"/>
      <c r="D50" s="1855"/>
      <c r="E50" s="1855"/>
      <c r="F50" s="1855"/>
      <c r="G50" s="1855"/>
      <c r="H50" s="1855"/>
      <c r="I50" s="1855"/>
      <c r="J50" s="1855"/>
      <c r="K50" s="1855"/>
    </row>
    <row r="51" spans="1:11" ht="30" customHeight="1">
      <c r="A51" s="1855"/>
      <c r="B51" s="1855"/>
      <c r="C51" s="1855"/>
      <c r="D51" s="1855"/>
      <c r="E51" s="1855"/>
      <c r="F51" s="1855"/>
      <c r="G51" s="1855"/>
      <c r="H51" s="1855"/>
      <c r="I51" s="1855"/>
      <c r="J51" s="1855"/>
      <c r="K51" s="1855"/>
    </row>
    <row r="52" spans="1:11" ht="30" customHeight="1">
      <c r="A52" s="1855"/>
      <c r="B52" s="1855"/>
      <c r="C52" s="1855"/>
      <c r="D52" s="1855"/>
      <c r="E52" s="1855"/>
      <c r="F52" s="1855"/>
      <c r="G52" s="1855"/>
      <c r="H52" s="1855"/>
      <c r="I52" s="1855"/>
      <c r="J52" s="1855"/>
      <c r="K52" s="1855"/>
    </row>
    <row r="53" spans="1:11" ht="30" customHeight="1">
      <c r="A53" s="1855"/>
      <c r="B53" s="1855"/>
      <c r="C53" s="1855"/>
      <c r="D53" s="1855"/>
      <c r="E53" s="1855"/>
      <c r="F53" s="1855"/>
      <c r="G53" s="1855"/>
      <c r="H53" s="1855"/>
      <c r="I53" s="1855"/>
      <c r="J53" s="1855"/>
      <c r="K53" s="1855"/>
    </row>
    <row r="54" spans="1:11" ht="30" customHeight="1">
      <c r="A54" s="1855"/>
      <c r="B54" s="1855"/>
      <c r="C54" s="1855"/>
      <c r="D54" s="1855"/>
      <c r="E54" s="1855"/>
      <c r="F54" s="1855"/>
      <c r="G54" s="1855"/>
      <c r="H54" s="1855"/>
      <c r="I54" s="1855"/>
      <c r="J54" s="1855"/>
      <c r="K54" s="1855"/>
    </row>
    <row r="55" spans="1:11" ht="30" customHeight="1">
      <c r="A55" s="1855"/>
      <c r="B55" s="1855"/>
      <c r="C55" s="1855"/>
      <c r="D55" s="1855"/>
      <c r="E55" s="1855"/>
      <c r="F55" s="1855"/>
      <c r="G55" s="1855"/>
      <c r="H55" s="1855"/>
      <c r="I55" s="1855"/>
      <c r="J55" s="1855"/>
      <c r="K55" s="1855"/>
    </row>
    <row r="56" spans="1:11" ht="30" customHeight="1">
      <c r="A56" s="1855"/>
      <c r="B56" s="1855"/>
      <c r="C56" s="1855"/>
      <c r="D56" s="1855"/>
      <c r="E56" s="1855"/>
      <c r="F56" s="1855"/>
      <c r="G56" s="1855"/>
      <c r="H56" s="1855"/>
      <c r="I56" s="1855"/>
      <c r="J56" s="1855"/>
      <c r="K56" s="1855"/>
    </row>
    <row r="57" spans="1:11" ht="30" customHeight="1">
      <c r="A57" s="1855"/>
      <c r="B57" s="1855"/>
      <c r="C57" s="1855"/>
      <c r="D57" s="1855"/>
      <c r="E57" s="1855"/>
      <c r="F57" s="1855"/>
      <c r="G57" s="1855"/>
      <c r="H57" s="1855"/>
      <c r="I57" s="1855"/>
      <c r="J57" s="1855"/>
      <c r="K57" s="1855"/>
    </row>
    <row r="58" spans="1:11" ht="30" customHeight="1">
      <c r="A58" s="1855"/>
      <c r="B58" s="1855"/>
      <c r="C58" s="1855"/>
      <c r="D58" s="1855"/>
      <c r="E58" s="1855"/>
      <c r="F58" s="1855"/>
      <c r="G58" s="1855"/>
      <c r="H58" s="1855"/>
      <c r="I58" s="1855"/>
      <c r="J58" s="1855"/>
      <c r="K58" s="1855"/>
    </row>
    <row r="59" spans="1:11" ht="30" customHeight="1">
      <c r="A59" s="1855"/>
      <c r="B59" s="1855"/>
      <c r="C59" s="1855"/>
      <c r="D59" s="1855"/>
      <c r="E59" s="1855"/>
      <c r="F59" s="1855"/>
      <c r="G59" s="1855"/>
      <c r="H59" s="1855"/>
      <c r="I59" s="1855"/>
      <c r="J59" s="1855"/>
      <c r="K59" s="1855"/>
    </row>
    <row r="60" spans="1:11" ht="30" customHeight="1">
      <c r="A60" s="1855"/>
      <c r="B60" s="1855"/>
      <c r="C60" s="1855"/>
      <c r="D60" s="1855"/>
      <c r="E60" s="1855"/>
      <c r="F60" s="1855"/>
      <c r="G60" s="1855"/>
      <c r="H60" s="1855"/>
      <c r="I60" s="1855"/>
      <c r="J60" s="1855"/>
      <c r="K60" s="1855"/>
    </row>
    <row r="61" spans="1:11" ht="30" customHeight="1">
      <c r="A61" s="1855"/>
      <c r="B61" s="1855"/>
      <c r="C61" s="1855"/>
      <c r="D61" s="1855"/>
      <c r="E61" s="1855"/>
      <c r="F61" s="1855"/>
      <c r="G61" s="1855"/>
      <c r="H61" s="1855"/>
      <c r="I61" s="1855"/>
      <c r="J61" s="1855"/>
      <c r="K61" s="1855"/>
    </row>
    <row r="62" spans="1:11" ht="30" customHeight="1">
      <c r="A62" s="1855"/>
      <c r="B62" s="1855"/>
      <c r="C62" s="1855"/>
      <c r="D62" s="1855"/>
      <c r="E62" s="1855"/>
      <c r="F62" s="1855"/>
      <c r="G62" s="1855"/>
      <c r="H62" s="1855"/>
      <c r="I62" s="1855"/>
      <c r="J62" s="1855"/>
      <c r="K62" s="1855"/>
    </row>
    <row r="63" spans="1:11" ht="30" customHeight="1">
      <c r="A63" s="1855"/>
      <c r="B63" s="1855"/>
      <c r="C63" s="1855"/>
      <c r="D63" s="1855"/>
      <c r="E63" s="1855"/>
      <c r="F63" s="1855"/>
      <c r="G63" s="1855"/>
      <c r="H63" s="1855"/>
      <c r="I63" s="1855"/>
      <c r="J63" s="1855"/>
      <c r="K63" s="1855"/>
    </row>
    <row r="64" spans="1:11" ht="30" customHeight="1">
      <c r="A64" s="1855"/>
      <c r="B64" s="1855"/>
      <c r="C64" s="1855"/>
      <c r="D64" s="1855"/>
      <c r="E64" s="1855"/>
      <c r="F64" s="1855"/>
      <c r="G64" s="1855"/>
      <c r="H64" s="1855"/>
      <c r="I64" s="1855"/>
      <c r="J64" s="1855"/>
      <c r="K64" s="1855"/>
    </row>
    <row r="65" spans="1:11" ht="30" customHeight="1">
      <c r="A65" s="1855"/>
      <c r="B65" s="1855"/>
      <c r="C65" s="1855"/>
      <c r="D65" s="1855"/>
      <c r="E65" s="1855"/>
      <c r="F65" s="1855"/>
      <c r="G65" s="1855"/>
      <c r="H65" s="1855"/>
      <c r="I65" s="1855"/>
      <c r="J65" s="1855"/>
      <c r="K65" s="1855"/>
    </row>
    <row r="66" spans="1:11" ht="30" customHeight="1">
      <c r="A66" s="1855"/>
      <c r="B66" s="1855"/>
      <c r="C66" s="1855"/>
      <c r="D66" s="1855"/>
      <c r="E66" s="1855"/>
      <c r="F66" s="1855"/>
      <c r="G66" s="1855"/>
      <c r="H66" s="1855"/>
      <c r="I66" s="1855"/>
      <c r="J66" s="1855"/>
      <c r="K66" s="1855"/>
    </row>
    <row r="67" spans="1:11" ht="30" customHeight="1">
      <c r="A67" s="1855"/>
      <c r="B67" s="1855"/>
      <c r="C67" s="1855"/>
      <c r="D67" s="1855"/>
      <c r="E67" s="1855"/>
      <c r="F67" s="1855"/>
      <c r="G67" s="1855"/>
      <c r="H67" s="1855"/>
      <c r="I67" s="1855"/>
      <c r="J67" s="1855"/>
      <c r="K67" s="1855"/>
    </row>
  </sheetData>
  <mergeCells count="145">
    <mergeCell ref="A67:C67"/>
    <mergeCell ref="D67:G67"/>
    <mergeCell ref="H67:K67"/>
    <mergeCell ref="A65:C65"/>
    <mergeCell ref="D65:G65"/>
    <mergeCell ref="H65:K65"/>
    <mergeCell ref="A66:C66"/>
    <mergeCell ref="D66:G66"/>
    <mergeCell ref="H66:K66"/>
    <mergeCell ref="A63:C63"/>
    <mergeCell ref="D63:G63"/>
    <mergeCell ref="H63:K63"/>
    <mergeCell ref="A64:C64"/>
    <mergeCell ref="D64:G64"/>
    <mergeCell ref="H64:K64"/>
    <mergeCell ref="A61:C61"/>
    <mergeCell ref="D61:G61"/>
    <mergeCell ref="H61:K61"/>
    <mergeCell ref="A62:C62"/>
    <mergeCell ref="D62:G62"/>
    <mergeCell ref="H62:K62"/>
    <mergeCell ref="A59:C59"/>
    <mergeCell ref="D59:G59"/>
    <mergeCell ref="H59:K59"/>
    <mergeCell ref="A60:C60"/>
    <mergeCell ref="D60:G60"/>
    <mergeCell ref="H60:K60"/>
    <mergeCell ref="A57:C57"/>
    <mergeCell ref="D57:G57"/>
    <mergeCell ref="H57:K57"/>
    <mergeCell ref="A58:C58"/>
    <mergeCell ref="D58:G58"/>
    <mergeCell ref="H58:K58"/>
    <mergeCell ref="A55:C55"/>
    <mergeCell ref="D55:G55"/>
    <mergeCell ref="H55:K55"/>
    <mergeCell ref="A56:C56"/>
    <mergeCell ref="D56:G56"/>
    <mergeCell ref="H56:K56"/>
    <mergeCell ref="A53:C53"/>
    <mergeCell ref="D53:G53"/>
    <mergeCell ref="H53:K53"/>
    <mergeCell ref="A54:C54"/>
    <mergeCell ref="D54:G54"/>
    <mergeCell ref="H54:K54"/>
    <mergeCell ref="A51:C51"/>
    <mergeCell ref="D51:G51"/>
    <mergeCell ref="H51:K51"/>
    <mergeCell ref="A52:C52"/>
    <mergeCell ref="D52:G52"/>
    <mergeCell ref="H52:K52"/>
    <mergeCell ref="A49:C49"/>
    <mergeCell ref="D49:G49"/>
    <mergeCell ref="H49:K49"/>
    <mergeCell ref="A50:C50"/>
    <mergeCell ref="D50:G50"/>
    <mergeCell ref="H50:K50"/>
    <mergeCell ref="A47:C47"/>
    <mergeCell ref="D47:G47"/>
    <mergeCell ref="H47:K47"/>
    <mergeCell ref="A48:C48"/>
    <mergeCell ref="D48:G48"/>
    <mergeCell ref="H48:K48"/>
    <mergeCell ref="A45:C45"/>
    <mergeCell ref="D45:G45"/>
    <mergeCell ref="H45:K45"/>
    <mergeCell ref="A46:C46"/>
    <mergeCell ref="D46:G46"/>
    <mergeCell ref="H46:K46"/>
    <mergeCell ref="A43:C43"/>
    <mergeCell ref="D43:G43"/>
    <mergeCell ref="H43:K43"/>
    <mergeCell ref="A44:C44"/>
    <mergeCell ref="D44:G44"/>
    <mergeCell ref="H44:K44"/>
    <mergeCell ref="B38:C38"/>
    <mergeCell ref="B39:K39"/>
    <mergeCell ref="A41:C41"/>
    <mergeCell ref="D41:G41"/>
    <mergeCell ref="H41:K41"/>
    <mergeCell ref="A42:C42"/>
    <mergeCell ref="D42:G42"/>
    <mergeCell ref="H42:K42"/>
    <mergeCell ref="A31:F31"/>
    <mergeCell ref="G31:K31"/>
    <mergeCell ref="A32:F32"/>
    <mergeCell ref="A33:F33"/>
    <mergeCell ref="G33:K33"/>
    <mergeCell ref="A35:K35"/>
    <mergeCell ref="A28:F28"/>
    <mergeCell ref="G28:K28"/>
    <mergeCell ref="A29:F29"/>
    <mergeCell ref="G29:K29"/>
    <mergeCell ref="A30:F30"/>
    <mergeCell ref="G30:K30"/>
    <mergeCell ref="A25:F25"/>
    <mergeCell ref="G25:K25"/>
    <mergeCell ref="A26:F26"/>
    <mergeCell ref="G26:K26"/>
    <mergeCell ref="A27:F27"/>
    <mergeCell ref="G27:K27"/>
    <mergeCell ref="A20:C20"/>
    <mergeCell ref="D20:G20"/>
    <mergeCell ref="H20:K20"/>
    <mergeCell ref="A21:C21"/>
    <mergeCell ref="D21:G21"/>
    <mergeCell ref="H21:K21"/>
    <mergeCell ref="A18:C18"/>
    <mergeCell ref="D18:G18"/>
    <mergeCell ref="H18:K18"/>
    <mergeCell ref="A19:C19"/>
    <mergeCell ref="D19:G19"/>
    <mergeCell ref="H19:K19"/>
    <mergeCell ref="A16:C16"/>
    <mergeCell ref="D16:G16"/>
    <mergeCell ref="H16:K16"/>
    <mergeCell ref="A17:C17"/>
    <mergeCell ref="D17:G17"/>
    <mergeCell ref="H17:K17"/>
    <mergeCell ref="A14:C14"/>
    <mergeCell ref="D14:G14"/>
    <mergeCell ref="H14:K14"/>
    <mergeCell ref="A15:C15"/>
    <mergeCell ref="D15:G15"/>
    <mergeCell ref="H15:K15"/>
    <mergeCell ref="A12:C12"/>
    <mergeCell ref="D12:G12"/>
    <mergeCell ref="H12:K12"/>
    <mergeCell ref="A13:C13"/>
    <mergeCell ref="D13:G13"/>
    <mergeCell ref="H13:K13"/>
    <mergeCell ref="A10:C10"/>
    <mergeCell ref="D10:G10"/>
    <mergeCell ref="H10:K10"/>
    <mergeCell ref="A11:C11"/>
    <mergeCell ref="D11:G11"/>
    <mergeCell ref="H11:K11"/>
    <mergeCell ref="A1:K1"/>
    <mergeCell ref="B3:C3"/>
    <mergeCell ref="B4:K4"/>
    <mergeCell ref="A6:K6"/>
    <mergeCell ref="A7:K7"/>
    <mergeCell ref="A9:C9"/>
    <mergeCell ref="D9:G9"/>
    <mergeCell ref="H9:K9"/>
  </mergeCells>
  <printOptions horizontalCentered="1"/>
  <pageMargins left="0" right="0" top="0.59055118110236227" bottom="0.39370078740157483" header="0" footer="0"/>
  <pageSetup paperSize="9" scale="76" fitToHeight="0" orientation="portrait" blackAndWhite="1" r:id="rId1"/>
  <headerFooter alignWithMargins="0">
    <oddFooter>&amp;L&amp;8Edité le &amp;D&amp;C&amp;P/&amp;N</oddFooter>
  </headerFooter>
  <rowBreaks count="1" manualBreakCount="1">
    <brk id="34" max="10" man="1"/>
  </rowBreaks>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dimension ref="A1:G125"/>
  <sheetViews>
    <sheetView showGridLines="0" view="pageBreakPreview" zoomScale="130" zoomScaleNormal="85" zoomScaleSheetLayoutView="130" workbookViewId="0">
      <selection activeCell="I13" sqref="I13"/>
    </sheetView>
  </sheetViews>
  <sheetFormatPr baseColWidth="10" defaultColWidth="11.5703125" defaultRowHeight="12.75"/>
  <cols>
    <col min="1" max="1" width="33.140625" style="978" customWidth="1"/>
    <col min="2" max="2" width="15.42578125" style="978" customWidth="1"/>
    <col min="3" max="3" width="10.85546875" style="978" customWidth="1"/>
    <col min="4" max="4" width="18.5703125" style="978" customWidth="1"/>
    <col min="5" max="5" width="21.5703125" style="978" customWidth="1"/>
    <col min="6" max="6" width="15.42578125" style="978" customWidth="1"/>
    <col min="7" max="7" width="24.140625" style="978" customWidth="1"/>
    <col min="8" max="8" width="1.5703125" style="978" customWidth="1"/>
    <col min="9" max="16384" width="11.5703125" style="978"/>
  </cols>
  <sheetData>
    <row r="1" spans="1:7" ht="17.45" customHeight="1">
      <c r="A1" s="1021"/>
      <c r="B1" s="1873" t="s">
        <v>1250</v>
      </c>
      <c r="C1" s="1873"/>
      <c r="D1" s="1873"/>
      <c r="E1" s="1873"/>
      <c r="F1" s="1022"/>
      <c r="G1" s="1021"/>
    </row>
    <row r="2" spans="1:7" ht="14.45" customHeight="1">
      <c r="A2" s="1021"/>
      <c r="B2" s="1873"/>
      <c r="C2" s="1873"/>
      <c r="D2" s="1873"/>
      <c r="E2" s="1873"/>
      <c r="F2" s="1022"/>
      <c r="G2" s="1021"/>
    </row>
    <row r="3" spans="1:7" ht="14.45" customHeight="1">
      <c r="A3" s="1017"/>
      <c r="B3" s="1874" t="s">
        <v>1251</v>
      </c>
      <c r="C3" s="1874"/>
      <c r="D3" s="1874"/>
      <c r="E3" s="1874"/>
      <c r="F3" s="1023"/>
    </row>
    <row r="4" spans="1:7" ht="18" customHeight="1">
      <c r="B4" s="1024"/>
      <c r="D4" s="979"/>
    </row>
    <row r="5" spans="1:7" ht="20.100000000000001" customHeight="1">
      <c r="B5" s="1024"/>
      <c r="D5" s="979"/>
    </row>
    <row r="6" spans="1:7" ht="13.5" customHeight="1">
      <c r="B6" s="1024"/>
      <c r="C6" s="1025"/>
      <c r="D6" s="1875"/>
      <c r="E6" s="1875"/>
      <c r="F6" s="1875"/>
      <c r="G6" s="1876"/>
    </row>
    <row r="7" spans="1:7" ht="15.95" customHeight="1">
      <c r="A7" s="1026" t="s">
        <v>1252</v>
      </c>
      <c r="B7" s="1027"/>
      <c r="C7" s="1028"/>
      <c r="D7" s="1029"/>
    </row>
    <row r="8" spans="1:7" ht="2.25" customHeight="1">
      <c r="A8" s="1030"/>
      <c r="D8" s="1017"/>
    </row>
    <row r="9" spans="1:7" ht="25.5">
      <c r="A9" s="1026" t="s">
        <v>1253</v>
      </c>
      <c r="B9" s="1027"/>
      <c r="C9" s="1031"/>
    </row>
    <row r="10" spans="1:7" ht="3" customHeight="1">
      <c r="A10" s="1030"/>
    </row>
    <row r="11" spans="1:7" ht="15.75" customHeight="1">
      <c r="A11" s="1877" t="s">
        <v>1254</v>
      </c>
      <c r="B11" s="1877"/>
      <c r="C11" s="1877"/>
      <c r="D11" s="1878" t="s">
        <v>1255</v>
      </c>
      <c r="E11" s="1879"/>
      <c r="F11" s="1880" t="s">
        <v>1256</v>
      </c>
      <c r="G11" s="1881"/>
    </row>
    <row r="12" spans="1:7" ht="22.5" customHeight="1">
      <c r="A12" s="1032" t="s">
        <v>1230</v>
      </c>
      <c r="B12" s="1872"/>
      <c r="C12" s="1872"/>
      <c r="D12" s="1032" t="s">
        <v>1230</v>
      </c>
      <c r="E12" s="1033"/>
      <c r="F12" s="1034" t="s">
        <v>1230</v>
      </c>
      <c r="G12" s="1035"/>
    </row>
    <row r="13" spans="1:7" ht="22.5" customHeight="1">
      <c r="A13" s="1032" t="s">
        <v>1257</v>
      </c>
      <c r="B13" s="1872"/>
      <c r="C13" s="1872"/>
      <c r="D13" s="1032" t="s">
        <v>168</v>
      </c>
      <c r="E13" s="1033"/>
      <c r="F13" s="1034" t="s">
        <v>168</v>
      </c>
      <c r="G13" s="1035"/>
    </row>
    <row r="14" spans="1:7" ht="22.5" customHeight="1">
      <c r="A14" s="1032" t="s">
        <v>1258</v>
      </c>
      <c r="B14" s="1872"/>
      <c r="C14" s="1872"/>
      <c r="D14" s="1032" t="s">
        <v>1258</v>
      </c>
      <c r="E14" s="1033"/>
      <c r="F14" s="1032" t="s">
        <v>1258</v>
      </c>
      <c r="G14" s="1035"/>
    </row>
    <row r="15" spans="1:7" ht="22.5" customHeight="1">
      <c r="A15" s="1032" t="s">
        <v>1259</v>
      </c>
      <c r="B15" s="1872"/>
      <c r="C15" s="1872"/>
      <c r="D15" s="1032" t="s">
        <v>1259</v>
      </c>
      <c r="E15" s="1033"/>
      <c r="F15" s="1034" t="s">
        <v>1259</v>
      </c>
      <c r="G15" s="1035"/>
    </row>
    <row r="16" spans="1:7" ht="21.75" customHeight="1">
      <c r="A16" s="1032" t="s">
        <v>1260</v>
      </c>
      <c r="B16" s="1872"/>
      <c r="C16" s="1872"/>
      <c r="D16" s="1032" t="s">
        <v>1261</v>
      </c>
      <c r="E16" s="1033"/>
      <c r="F16" s="1034" t="s">
        <v>1261</v>
      </c>
      <c r="G16" s="1035"/>
    </row>
    <row r="17" spans="1:7" ht="65.25" customHeight="1">
      <c r="A17" s="1032" t="s">
        <v>1262</v>
      </c>
      <c r="B17" s="1872"/>
      <c r="C17" s="1872"/>
      <c r="D17" s="1872"/>
      <c r="E17" s="1872"/>
      <c r="F17" s="1872"/>
      <c r="G17" s="1872"/>
    </row>
    <row r="18" spans="1:7" ht="22.5" customHeight="1">
      <c r="A18" s="1885" t="s">
        <v>1263</v>
      </c>
      <c r="B18" s="1872"/>
      <c r="C18" s="1872"/>
      <c r="D18" s="1872"/>
      <c r="E18" s="1872"/>
      <c r="F18" s="1872"/>
      <c r="G18" s="1872"/>
    </row>
    <row r="19" spans="1:7" ht="22.5" customHeight="1">
      <c r="A19" s="1886"/>
      <c r="B19" s="1872"/>
      <c r="C19" s="1872"/>
      <c r="D19" s="1872"/>
      <c r="E19" s="1872"/>
      <c r="F19" s="1872"/>
      <c r="G19" s="1872"/>
    </row>
    <row r="20" spans="1:7" ht="22.5" customHeight="1">
      <c r="A20" s="1032" t="s">
        <v>803</v>
      </c>
      <c r="B20" s="1872"/>
      <c r="C20" s="1872"/>
      <c r="D20" s="1036" t="s">
        <v>1047</v>
      </c>
      <c r="E20" s="1872"/>
      <c r="F20" s="1872"/>
      <c r="G20" s="1872"/>
    </row>
    <row r="21" spans="1:7" ht="15.6" customHeight="1"/>
    <row r="22" spans="1:7" ht="37.5" customHeight="1">
      <c r="A22" s="1887" t="s">
        <v>1216</v>
      </c>
      <c r="B22" s="1888"/>
      <c r="C22" s="1888"/>
      <c r="D22" s="1887" t="s">
        <v>1217</v>
      </c>
      <c r="E22" s="1888"/>
      <c r="F22" s="1888"/>
      <c r="G22" s="1889"/>
    </row>
    <row r="23" spans="1:7" ht="20.100000000000001" customHeight="1">
      <c r="A23" s="1037"/>
      <c r="B23" s="1038"/>
      <c r="C23" s="1038"/>
      <c r="D23" s="1039" t="s">
        <v>1264</v>
      </c>
      <c r="E23" s="1040" t="s">
        <v>1265</v>
      </c>
      <c r="F23" s="683" t="s">
        <v>1266</v>
      </c>
      <c r="G23" s="1041"/>
    </row>
    <row r="24" spans="1:7" ht="17.45" customHeight="1">
      <c r="A24" s="1029"/>
      <c r="B24" s="1042"/>
      <c r="C24" s="1042"/>
      <c r="D24" s="1043" t="s">
        <v>1218</v>
      </c>
      <c r="E24" s="1044" t="s">
        <v>1267</v>
      </c>
      <c r="F24" s="1017" t="s">
        <v>1218</v>
      </c>
      <c r="G24" s="1045"/>
    </row>
    <row r="25" spans="1:7" ht="20.100000000000001" customHeight="1">
      <c r="A25" s="1037"/>
      <c r="B25" s="1038"/>
      <c r="C25" s="1038"/>
      <c r="D25" s="1043" t="s">
        <v>1221</v>
      </c>
      <c r="E25" s="1044" t="s">
        <v>1268</v>
      </c>
      <c r="F25" s="1017" t="s">
        <v>1221</v>
      </c>
      <c r="G25" s="1041"/>
    </row>
    <row r="26" spans="1:7" ht="17.45" customHeight="1">
      <c r="A26" s="1029"/>
      <c r="B26" s="1042"/>
      <c r="C26" s="1042"/>
      <c r="D26" s="1043" t="s">
        <v>1222</v>
      </c>
      <c r="E26" s="1044" t="s">
        <v>1269</v>
      </c>
      <c r="F26" s="1017" t="s">
        <v>1222</v>
      </c>
      <c r="G26" s="1045"/>
    </row>
    <row r="27" spans="1:7" ht="20.100000000000001" customHeight="1">
      <c r="A27" s="1037"/>
      <c r="B27" s="1038"/>
      <c r="C27" s="1038"/>
      <c r="D27" s="1043" t="s">
        <v>1224</v>
      </c>
      <c r="E27" s="1044" t="s">
        <v>1270</v>
      </c>
      <c r="F27" s="1017" t="s">
        <v>1224</v>
      </c>
      <c r="G27" s="1041"/>
    </row>
    <row r="28" spans="1:7" ht="17.45" customHeight="1">
      <c r="A28" s="1029"/>
      <c r="B28" s="1042"/>
      <c r="C28" s="1042"/>
      <c r="D28" s="1043" t="s">
        <v>1225</v>
      </c>
      <c r="E28" s="1044" t="s">
        <v>1271</v>
      </c>
      <c r="F28" s="1017" t="s">
        <v>1225</v>
      </c>
      <c r="G28" s="1045"/>
    </row>
    <row r="29" spans="1:7" ht="20.100000000000001" customHeight="1">
      <c r="A29" s="1037"/>
      <c r="B29" s="1038"/>
      <c r="C29" s="1038"/>
      <c r="D29" s="1043" t="s">
        <v>1226</v>
      </c>
      <c r="E29" s="1044" t="s">
        <v>1272</v>
      </c>
      <c r="F29" s="1017" t="s">
        <v>1226</v>
      </c>
      <c r="G29" s="1041"/>
    </row>
    <row r="30" spans="1:7" ht="17.45" customHeight="1">
      <c r="A30" s="1029"/>
      <c r="B30" s="1042"/>
      <c r="C30" s="1042"/>
      <c r="D30" s="1043" t="s">
        <v>1219</v>
      </c>
      <c r="E30" s="1044" t="s">
        <v>1273</v>
      </c>
      <c r="F30" s="1017" t="s">
        <v>1219</v>
      </c>
      <c r="G30" s="1045"/>
    </row>
    <row r="31" spans="1:7" ht="20.100000000000001" customHeight="1">
      <c r="A31" s="1037"/>
      <c r="B31" s="1038"/>
      <c r="C31" s="1038"/>
      <c r="D31" s="1043" t="s">
        <v>1220</v>
      </c>
      <c r="E31" s="1044" t="s">
        <v>1274</v>
      </c>
      <c r="F31" s="1017" t="s">
        <v>1220</v>
      </c>
      <c r="G31" s="1041"/>
    </row>
    <row r="32" spans="1:7" ht="20.100000000000001" customHeight="1">
      <c r="A32" s="1037"/>
      <c r="B32" s="1038"/>
      <c r="C32" s="1038"/>
      <c r="D32" s="1043" t="s">
        <v>1223</v>
      </c>
      <c r="E32" s="1044" t="s">
        <v>1275</v>
      </c>
      <c r="F32" s="1017" t="s">
        <v>1223</v>
      </c>
      <c r="G32" s="1041"/>
    </row>
    <row r="33" spans="1:7" ht="17.45" customHeight="1" thickBot="1">
      <c r="A33" s="1046"/>
      <c r="B33" s="1047"/>
      <c r="C33" s="1047"/>
      <c r="D33" s="1048" t="s">
        <v>1227</v>
      </c>
      <c r="E33" s="1049" t="s">
        <v>1276</v>
      </c>
      <c r="F33" s="1050" t="s">
        <v>1227</v>
      </c>
      <c r="G33" s="1051"/>
    </row>
    <row r="34" spans="1:7" ht="15.6" customHeight="1">
      <c r="A34" s="1878" t="s">
        <v>1277</v>
      </c>
      <c r="B34" s="1879"/>
      <c r="C34" s="1879"/>
      <c r="D34" s="1879"/>
      <c r="E34" s="1879"/>
      <c r="F34" s="1879"/>
      <c r="G34" s="1881"/>
    </row>
    <row r="35" spans="1:7" ht="80.25" customHeight="1">
      <c r="A35" s="1036" t="s">
        <v>1278</v>
      </c>
      <c r="B35" s="1890"/>
      <c r="C35" s="1891"/>
      <c r="D35" s="1891"/>
      <c r="E35" s="1891"/>
      <c r="F35" s="1891"/>
      <c r="G35" s="1892"/>
    </row>
    <row r="36" spans="1:7" ht="80.25" customHeight="1">
      <c r="A36" s="1036" t="s">
        <v>1279</v>
      </c>
      <c r="B36" s="1893"/>
      <c r="C36" s="1894"/>
      <c r="D36" s="1894"/>
      <c r="E36" s="1894"/>
      <c r="F36" s="1894"/>
      <c r="G36" s="1895"/>
    </row>
    <row r="37" spans="1:7" ht="80.25" customHeight="1">
      <c r="A37" s="1036" t="s">
        <v>1280</v>
      </c>
      <c r="B37" s="1890"/>
      <c r="C37" s="1891"/>
      <c r="D37" s="1891"/>
      <c r="E37" s="1891"/>
      <c r="F37" s="1891"/>
      <c r="G37" s="1892"/>
    </row>
    <row r="38" spans="1:7" ht="15.6" customHeight="1">
      <c r="A38" s="1043"/>
      <c r="B38" s="1017"/>
      <c r="C38" s="1017"/>
    </row>
    <row r="39" spans="1:7">
      <c r="A39" s="1878" t="s">
        <v>1228</v>
      </c>
      <c r="B39" s="1879"/>
      <c r="C39" s="1879"/>
      <c r="D39" s="1879"/>
      <c r="E39" s="1879"/>
      <c r="F39" s="1879"/>
      <c r="G39" s="1881"/>
    </row>
    <row r="40" spans="1:7" ht="28.5" customHeight="1">
      <c r="A40" s="1052" t="s">
        <v>1281</v>
      </c>
      <c r="B40" s="1882" t="s">
        <v>1282</v>
      </c>
      <c r="C40" s="1883"/>
      <c r="D40" s="1882" t="s">
        <v>1283</v>
      </c>
      <c r="E40" s="1884"/>
      <c r="F40" s="1884"/>
      <c r="G40" s="1883"/>
    </row>
    <row r="41" spans="1:7" ht="28.5" customHeight="1">
      <c r="A41" s="1052" t="s">
        <v>1284</v>
      </c>
      <c r="B41" s="1882" t="s">
        <v>1285</v>
      </c>
      <c r="C41" s="1884"/>
      <c r="D41" s="1883"/>
      <c r="E41" s="1896" t="s">
        <v>1229</v>
      </c>
      <c r="F41" s="1897"/>
      <c r="G41" s="1898"/>
    </row>
    <row r="42" spans="1:7">
      <c r="A42" s="1899"/>
      <c r="B42" s="1897"/>
      <c r="C42" s="1897"/>
      <c r="D42" s="1897"/>
      <c r="E42" s="1897"/>
      <c r="F42" s="1897"/>
      <c r="G42" s="1897"/>
    </row>
    <row r="43" spans="1:7" ht="25.5" customHeight="1">
      <c r="A43" s="1900" t="s">
        <v>1286</v>
      </c>
      <c r="B43" s="1900"/>
      <c r="C43" s="1901" t="s">
        <v>1287</v>
      </c>
      <c r="D43" s="1902" t="s">
        <v>1288</v>
      </c>
      <c r="E43" s="1903"/>
      <c r="F43" s="1903"/>
      <c r="G43" s="1903"/>
    </row>
    <row r="44" spans="1:7">
      <c r="A44" s="1900"/>
      <c r="B44" s="1900"/>
      <c r="C44" s="1901"/>
      <c r="D44" s="1903"/>
      <c r="E44" s="1903"/>
      <c r="F44" s="1903"/>
      <c r="G44" s="1903"/>
    </row>
    <row r="45" spans="1:7" ht="21.6" customHeight="1">
      <c r="A45" s="1900" t="s">
        <v>1289</v>
      </c>
      <c r="B45" s="1900"/>
      <c r="C45" s="1901" t="s">
        <v>1287</v>
      </c>
      <c r="D45" s="1902" t="s">
        <v>1290</v>
      </c>
      <c r="E45" s="1903"/>
      <c r="F45" s="1903"/>
      <c r="G45" s="1903"/>
    </row>
    <row r="46" spans="1:7">
      <c r="A46" s="1900"/>
      <c r="B46" s="1900"/>
      <c r="C46" s="1901"/>
      <c r="D46" s="1903"/>
      <c r="E46" s="1903"/>
      <c r="F46" s="1903"/>
      <c r="G46" s="1903"/>
    </row>
    <row r="48" spans="1:7">
      <c r="A48" s="1904"/>
      <c r="B48" s="1904"/>
      <c r="C48" s="1904"/>
      <c r="D48" s="1904"/>
      <c r="E48" s="1904"/>
      <c r="F48" s="1904"/>
      <c r="G48" s="1904"/>
    </row>
    <row r="49" spans="1:7">
      <c r="A49" s="1905"/>
      <c r="B49" s="1905"/>
      <c r="C49" s="1905"/>
      <c r="D49" s="1905"/>
      <c r="E49" s="1905"/>
      <c r="F49" s="1905"/>
      <c r="G49" s="1905"/>
    </row>
    <row r="50" spans="1:7" ht="19.5" customHeight="1">
      <c r="A50" s="1877" t="s">
        <v>1291</v>
      </c>
      <c r="B50" s="1877"/>
      <c r="C50" s="1877"/>
      <c r="D50" s="1877"/>
      <c r="E50" s="1877"/>
      <c r="F50" s="1877"/>
      <c r="G50" s="1877"/>
    </row>
    <row r="52" spans="1:7" ht="31.5" customHeight="1">
      <c r="A52" s="1053" t="s">
        <v>1292</v>
      </c>
      <c r="B52" s="1906" t="s">
        <v>1293</v>
      </c>
      <c r="C52" s="1906"/>
      <c r="D52" s="1906"/>
      <c r="E52" s="1906"/>
      <c r="F52" s="1906"/>
      <c r="G52" s="1906"/>
    </row>
    <row r="53" spans="1:7" ht="12.6" customHeight="1">
      <c r="A53" s="1054"/>
      <c r="B53" s="1055"/>
      <c r="C53" s="1055"/>
      <c r="D53" s="1055"/>
      <c r="E53" s="1055"/>
      <c r="F53" s="1055"/>
      <c r="G53" s="1056"/>
    </row>
    <row r="54" spans="1:7" ht="12.6" customHeight="1">
      <c r="A54" s="1057"/>
      <c r="B54" s="1017"/>
      <c r="C54" s="1017"/>
      <c r="D54" s="1017"/>
      <c r="E54" s="1017"/>
      <c r="F54" s="1017"/>
      <c r="G54" s="1018"/>
    </row>
    <row r="55" spans="1:7" ht="12.6" customHeight="1">
      <c r="A55" s="1057"/>
      <c r="B55" s="1017"/>
      <c r="C55" s="1017"/>
      <c r="D55" s="1017"/>
      <c r="E55" s="1017"/>
      <c r="F55" s="1017"/>
      <c r="G55" s="1018"/>
    </row>
    <row r="56" spans="1:7" ht="12.6" customHeight="1">
      <c r="A56" s="1057"/>
      <c r="B56" s="1017"/>
      <c r="C56" s="1017"/>
      <c r="D56" s="1017"/>
      <c r="E56" s="1017"/>
      <c r="F56" s="1017"/>
      <c r="G56" s="1018"/>
    </row>
    <row r="57" spans="1:7" ht="12.6" customHeight="1">
      <c r="A57" s="1057"/>
      <c r="B57" s="1017"/>
      <c r="C57" s="1017"/>
      <c r="D57" s="1017"/>
      <c r="E57" s="1017"/>
      <c r="F57" s="1017"/>
      <c r="G57" s="1018"/>
    </row>
    <row r="58" spans="1:7" ht="12.6" customHeight="1">
      <c r="A58" s="1057"/>
      <c r="B58" s="1017"/>
      <c r="C58" s="1017"/>
      <c r="D58" s="1017"/>
      <c r="E58" s="1017"/>
      <c r="F58" s="1017"/>
      <c r="G58" s="1018"/>
    </row>
    <row r="59" spans="1:7" ht="12.6" customHeight="1">
      <c r="A59" s="1058"/>
      <c r="B59" s="1059"/>
      <c r="C59" s="1059"/>
      <c r="D59" s="1059"/>
      <c r="E59" s="1059"/>
      <c r="F59" s="1059"/>
      <c r="G59" s="1060"/>
    </row>
    <row r="60" spans="1:7" ht="36" customHeight="1">
      <c r="A60" s="1053" t="s">
        <v>1294</v>
      </c>
      <c r="B60" s="1906" t="s">
        <v>1295</v>
      </c>
      <c r="C60" s="1906"/>
      <c r="D60" s="1906"/>
      <c r="E60" s="1906"/>
      <c r="F60" s="1906"/>
      <c r="G60" s="1906"/>
    </row>
    <row r="61" spans="1:7" ht="11.25" customHeight="1">
      <c r="A61" s="1054"/>
      <c r="B61" s="1061"/>
      <c r="C61" s="1061"/>
      <c r="D61" s="1061"/>
      <c r="E61" s="1061"/>
      <c r="F61" s="1061"/>
      <c r="G61" s="1062"/>
    </row>
    <row r="62" spans="1:7" ht="11.25" customHeight="1">
      <c r="A62" s="1057"/>
      <c r="G62" s="1063"/>
    </row>
    <row r="63" spans="1:7" ht="11.25" customHeight="1">
      <c r="A63" s="1057"/>
      <c r="G63" s="1063"/>
    </row>
    <row r="64" spans="1:7" ht="11.25" customHeight="1">
      <c r="A64" s="1057"/>
      <c r="G64" s="1063"/>
    </row>
    <row r="65" spans="1:7">
      <c r="A65" s="1057"/>
      <c r="G65" s="1063"/>
    </row>
    <row r="66" spans="1:7" ht="12.6" customHeight="1">
      <c r="A66" s="1057"/>
      <c r="G66" s="1063"/>
    </row>
    <row r="67" spans="1:7" ht="12.6" customHeight="1">
      <c r="A67" s="1058"/>
      <c r="B67" s="1025"/>
      <c r="C67" s="1025"/>
      <c r="D67" s="1025"/>
      <c r="E67" s="1025"/>
      <c r="F67" s="1025"/>
      <c r="G67" s="1064"/>
    </row>
    <row r="68" spans="1:7" ht="43.5" customHeight="1">
      <c r="A68" s="1053" t="s">
        <v>1296</v>
      </c>
      <c r="B68" s="1906" t="s">
        <v>1297</v>
      </c>
      <c r="C68" s="1906"/>
      <c r="D68" s="1906"/>
      <c r="E68" s="1906"/>
      <c r="F68" s="1906"/>
      <c r="G68" s="1906"/>
    </row>
    <row r="69" spans="1:7" ht="12.6" customHeight="1">
      <c r="A69" s="1054"/>
      <c r="B69" s="1061"/>
      <c r="C69" s="1061"/>
      <c r="D69" s="1061"/>
      <c r="E69" s="1061"/>
      <c r="F69" s="1061"/>
      <c r="G69" s="1062"/>
    </row>
    <row r="70" spans="1:7" ht="12.6" customHeight="1">
      <c r="A70" s="1057"/>
      <c r="G70" s="1063"/>
    </row>
    <row r="71" spans="1:7" ht="12.6" customHeight="1">
      <c r="A71" s="1057"/>
      <c r="G71" s="1063"/>
    </row>
    <row r="72" spans="1:7" ht="12.6" customHeight="1">
      <c r="A72" s="1057"/>
      <c r="G72" s="1063"/>
    </row>
    <row r="73" spans="1:7" ht="12.6" customHeight="1">
      <c r="A73" s="1057"/>
      <c r="G73" s="1063"/>
    </row>
    <row r="74" spans="1:7" ht="12.6" customHeight="1">
      <c r="A74" s="1057"/>
      <c r="G74" s="1063"/>
    </row>
    <row r="75" spans="1:7" ht="12.6" customHeight="1">
      <c r="A75" s="1058"/>
      <c r="B75" s="1025"/>
      <c r="C75" s="1025"/>
      <c r="D75" s="1025"/>
      <c r="E75" s="1025"/>
      <c r="F75" s="1025"/>
      <c r="G75" s="1064"/>
    </row>
    <row r="76" spans="1:7" ht="51" customHeight="1">
      <c r="A76" s="1053" t="s">
        <v>1298</v>
      </c>
      <c r="B76" s="1906" t="s">
        <v>1299</v>
      </c>
      <c r="C76" s="1906"/>
      <c r="D76" s="1906"/>
      <c r="E76" s="1906"/>
      <c r="F76" s="1906"/>
      <c r="G76" s="1906"/>
    </row>
    <row r="77" spans="1:7" ht="12.6" customHeight="1">
      <c r="A77" s="1054"/>
      <c r="B77" s="1061"/>
      <c r="C77" s="1061"/>
      <c r="D77" s="1061"/>
      <c r="E77" s="1061"/>
      <c r="F77" s="1061"/>
      <c r="G77" s="1062"/>
    </row>
    <row r="78" spans="1:7" ht="12.6" customHeight="1">
      <c r="A78" s="1057"/>
      <c r="G78" s="1063"/>
    </row>
    <row r="79" spans="1:7" ht="12.6" customHeight="1">
      <c r="A79" s="1057"/>
      <c r="G79" s="1063"/>
    </row>
    <row r="80" spans="1:7" ht="12.6" customHeight="1">
      <c r="A80" s="1057"/>
      <c r="G80" s="1063"/>
    </row>
    <row r="81" spans="1:7" ht="12.6" customHeight="1">
      <c r="A81" s="1057"/>
      <c r="G81" s="1063"/>
    </row>
    <row r="82" spans="1:7" ht="12.6" customHeight="1">
      <c r="A82" s="1057"/>
      <c r="G82" s="1063"/>
    </row>
    <row r="83" spans="1:7" ht="12.6" customHeight="1">
      <c r="A83" s="1058"/>
      <c r="B83" s="1025"/>
      <c r="C83" s="1025"/>
      <c r="D83" s="1025"/>
      <c r="E83" s="1025"/>
      <c r="F83" s="1025"/>
      <c r="G83" s="1064"/>
    </row>
    <row r="84" spans="1:7" ht="45" customHeight="1">
      <c r="A84" s="1053" t="s">
        <v>1300</v>
      </c>
      <c r="B84" s="1906" t="s">
        <v>1301</v>
      </c>
      <c r="C84" s="1906"/>
      <c r="D84" s="1906"/>
      <c r="E84" s="1906"/>
      <c r="F84" s="1906"/>
      <c r="G84" s="1906"/>
    </row>
    <row r="85" spans="1:7" ht="12.6" customHeight="1">
      <c r="A85" s="1054"/>
      <c r="B85" s="1055"/>
      <c r="C85" s="1061"/>
      <c r="D85" s="1061"/>
      <c r="E85" s="1061"/>
      <c r="F85" s="1061"/>
      <c r="G85" s="1062"/>
    </row>
    <row r="86" spans="1:7" ht="12.6" customHeight="1">
      <c r="A86" s="1057"/>
      <c r="B86" s="1017"/>
      <c r="G86" s="1063"/>
    </row>
    <row r="87" spans="1:7" ht="12.6" customHeight="1">
      <c r="A87" s="1057"/>
      <c r="B87" s="1017"/>
      <c r="G87" s="1063"/>
    </row>
    <row r="88" spans="1:7" ht="12.6" customHeight="1">
      <c r="A88" s="1057"/>
      <c r="B88" s="1017"/>
      <c r="G88" s="1063"/>
    </row>
    <row r="89" spans="1:7" ht="12.6" customHeight="1">
      <c r="A89" s="1057"/>
      <c r="G89" s="1063"/>
    </row>
    <row r="90" spans="1:7" ht="12.6" customHeight="1">
      <c r="A90" s="1057"/>
      <c r="G90" s="1063"/>
    </row>
    <row r="91" spans="1:7" ht="12.6" customHeight="1">
      <c r="A91" s="1057"/>
      <c r="G91" s="1063"/>
    </row>
    <row r="92" spans="1:7" ht="30.75" customHeight="1">
      <c r="A92" s="1053" t="s">
        <v>1302</v>
      </c>
      <c r="B92" s="1906" t="s">
        <v>1303</v>
      </c>
      <c r="C92" s="1906"/>
      <c r="D92" s="1906"/>
      <c r="E92" s="1906"/>
      <c r="F92" s="1906"/>
      <c r="G92" s="1906"/>
    </row>
    <row r="93" spans="1:7" ht="12.6" customHeight="1">
      <c r="A93" s="1054"/>
      <c r="B93" s="1055"/>
      <c r="C93" s="1061"/>
      <c r="D93" s="1061"/>
      <c r="E93" s="1061"/>
      <c r="F93" s="1061"/>
      <c r="G93" s="1062"/>
    </row>
    <row r="94" spans="1:7" ht="12.6" customHeight="1">
      <c r="A94" s="1057"/>
      <c r="G94" s="1063"/>
    </row>
    <row r="95" spans="1:7" ht="12.6" customHeight="1">
      <c r="A95" s="1057"/>
      <c r="G95" s="1063"/>
    </row>
    <row r="96" spans="1:7" ht="12.6" customHeight="1">
      <c r="A96" s="1057"/>
      <c r="G96" s="1063"/>
    </row>
    <row r="97" spans="1:7" ht="12.6" customHeight="1">
      <c r="A97" s="1057"/>
      <c r="G97" s="1063"/>
    </row>
    <row r="98" spans="1:7" ht="12.6" customHeight="1">
      <c r="A98" s="1057"/>
      <c r="G98" s="1063"/>
    </row>
    <row r="99" spans="1:7" ht="12.6" customHeight="1">
      <c r="A99" s="1058"/>
      <c r="B99" s="1025"/>
      <c r="C99" s="1025"/>
      <c r="D99" s="1025"/>
      <c r="E99" s="1025"/>
      <c r="F99" s="1025"/>
      <c r="G99" s="1064"/>
    </row>
    <row r="100" spans="1:7" ht="12.6" customHeight="1"/>
    <row r="101" spans="1:7" ht="19.5" customHeight="1">
      <c r="A101" s="1877" t="s">
        <v>1304</v>
      </c>
      <c r="B101" s="1877"/>
      <c r="C101" s="1877"/>
      <c r="D101" s="1877"/>
      <c r="E101" s="1877"/>
      <c r="F101" s="1877"/>
      <c r="G101" s="1877"/>
    </row>
    <row r="102" spans="1:7" ht="12.6" customHeight="1">
      <c r="A102" s="1901" t="s">
        <v>1305</v>
      </c>
      <c r="B102" s="1901"/>
      <c r="C102" s="1901"/>
      <c r="D102" s="1901"/>
      <c r="E102" s="1901"/>
      <c r="F102" s="1901"/>
      <c r="G102" s="1901"/>
    </row>
    <row r="103" spans="1:7" ht="12.6" customHeight="1">
      <c r="A103" s="1065" t="s">
        <v>1306</v>
      </c>
      <c r="B103" s="1066"/>
      <c r="C103" s="1066"/>
      <c r="D103" s="1066"/>
      <c r="E103" s="1066"/>
      <c r="F103" s="1066"/>
      <c r="G103" s="1066"/>
    </row>
    <row r="104" spans="1:7" ht="12.6" customHeight="1">
      <c r="A104" s="1054"/>
      <c r="B104" s="1061"/>
      <c r="C104" s="1061"/>
      <c r="D104" s="1061"/>
      <c r="E104" s="1061"/>
      <c r="F104" s="1061"/>
      <c r="G104" s="1062"/>
    </row>
    <row r="105" spans="1:7" ht="12.6" customHeight="1">
      <c r="A105" s="1057"/>
      <c r="G105" s="1063"/>
    </row>
    <row r="106" spans="1:7" ht="12.6" customHeight="1">
      <c r="A106" s="1057"/>
      <c r="G106" s="1063"/>
    </row>
    <row r="107" spans="1:7">
      <c r="A107" s="1057"/>
      <c r="G107" s="1063"/>
    </row>
    <row r="108" spans="1:7">
      <c r="A108" s="1058"/>
      <c r="B108" s="1025"/>
      <c r="C108" s="1025"/>
      <c r="D108" s="1025"/>
      <c r="E108" s="1025"/>
      <c r="F108" s="1025"/>
      <c r="G108" s="1064"/>
    </row>
    <row r="109" spans="1:7">
      <c r="A109" s="1065" t="s">
        <v>1307</v>
      </c>
      <c r="B109" s="1066"/>
      <c r="C109" s="1066"/>
      <c r="D109" s="1066"/>
      <c r="E109" s="1066"/>
      <c r="F109" s="1066"/>
      <c r="G109" s="1066"/>
    </row>
    <row r="110" spans="1:7">
      <c r="A110" s="1054"/>
      <c r="B110" s="1061"/>
      <c r="C110" s="1061"/>
      <c r="D110" s="1061"/>
      <c r="E110" s="1061"/>
      <c r="F110" s="1061"/>
      <c r="G110" s="1062"/>
    </row>
    <row r="111" spans="1:7">
      <c r="A111" s="1057"/>
      <c r="G111" s="1063"/>
    </row>
    <row r="112" spans="1:7">
      <c r="A112" s="1057"/>
      <c r="G112" s="1063"/>
    </row>
    <row r="113" spans="1:7">
      <c r="A113" s="1057"/>
      <c r="G113" s="1063"/>
    </row>
    <row r="114" spans="1:7">
      <c r="A114" s="1058"/>
      <c r="B114" s="1025"/>
      <c r="C114" s="1025"/>
      <c r="D114" s="1025"/>
      <c r="E114" s="1025"/>
      <c r="F114" s="1025"/>
      <c r="G114" s="1064"/>
    </row>
    <row r="115" spans="1:7">
      <c r="A115" s="1065" t="s">
        <v>1308</v>
      </c>
      <c r="B115" s="1066"/>
      <c r="C115" s="1066"/>
      <c r="D115" s="1066"/>
      <c r="E115" s="1066"/>
      <c r="F115" s="1066"/>
      <c r="G115" s="1066"/>
    </row>
    <row r="116" spans="1:7">
      <c r="A116" s="1054"/>
      <c r="B116" s="1061"/>
      <c r="C116" s="1061"/>
      <c r="D116" s="1061"/>
      <c r="E116" s="1061"/>
      <c r="F116" s="1061"/>
      <c r="G116" s="1062"/>
    </row>
    <row r="117" spans="1:7">
      <c r="A117" s="1057"/>
      <c r="G117" s="1063"/>
    </row>
    <row r="118" spans="1:7">
      <c r="A118" s="1057"/>
      <c r="G118" s="1063"/>
    </row>
    <row r="119" spans="1:7">
      <c r="A119" s="1057"/>
      <c r="G119" s="1063"/>
    </row>
    <row r="120" spans="1:7">
      <c r="A120" s="1058"/>
      <c r="B120" s="1025"/>
      <c r="C120" s="1025"/>
      <c r="D120" s="1025"/>
      <c r="E120" s="1025"/>
      <c r="F120" s="1025"/>
      <c r="G120" s="1064"/>
    </row>
    <row r="121" spans="1:7" ht="19.5" customHeight="1">
      <c r="A121" s="1877" t="s">
        <v>1309</v>
      </c>
      <c r="B121" s="1877"/>
      <c r="C121" s="1877"/>
      <c r="D121" s="1877"/>
      <c r="E121" s="1877"/>
      <c r="F121" s="1877"/>
      <c r="G121" s="1877"/>
    </row>
    <row r="122" spans="1:7" ht="23.25" customHeight="1">
      <c r="A122" s="1907" t="s">
        <v>1310</v>
      </c>
      <c r="B122" s="1908"/>
      <c r="C122" s="1909"/>
      <c r="D122" s="1906" t="s">
        <v>1282</v>
      </c>
      <c r="E122" s="1906"/>
      <c r="F122" s="1906"/>
      <c r="G122" s="1906"/>
    </row>
    <row r="123" spans="1:7" ht="23.25" customHeight="1">
      <c r="A123" s="1907" t="s">
        <v>1311</v>
      </c>
      <c r="B123" s="1908"/>
      <c r="C123" s="1909"/>
      <c r="D123" s="1906" t="s">
        <v>1282</v>
      </c>
      <c r="E123" s="1906"/>
      <c r="F123" s="1906"/>
      <c r="G123" s="1906"/>
    </row>
    <row r="124" spans="1:7" ht="23.25" customHeight="1">
      <c r="A124" s="1907" t="s">
        <v>1312</v>
      </c>
      <c r="B124" s="1908"/>
      <c r="C124" s="1909"/>
      <c r="D124" s="1035"/>
      <c r="E124" s="1067" t="s">
        <v>1313</v>
      </c>
      <c r="F124" s="1067"/>
      <c r="G124" s="1035"/>
    </row>
    <row r="125" spans="1:7" ht="12.75" customHeight="1"/>
  </sheetData>
  <mergeCells count="50">
    <mergeCell ref="A124:C124"/>
    <mergeCell ref="A102:G102"/>
    <mergeCell ref="A121:G121"/>
    <mergeCell ref="A122:C122"/>
    <mergeCell ref="D122:G122"/>
    <mergeCell ref="A123:C123"/>
    <mergeCell ref="D123:G123"/>
    <mergeCell ref="A101:G101"/>
    <mergeCell ref="A45:B46"/>
    <mergeCell ref="C45:C46"/>
    <mergeCell ref="D45:G46"/>
    <mergeCell ref="A48:G49"/>
    <mergeCell ref="A50:G50"/>
    <mergeCell ref="B52:G52"/>
    <mergeCell ref="B60:G60"/>
    <mergeCell ref="B68:G68"/>
    <mergeCell ref="B76:G76"/>
    <mergeCell ref="B84:G84"/>
    <mergeCell ref="B92:G92"/>
    <mergeCell ref="B41:D41"/>
    <mergeCell ref="E41:G41"/>
    <mergeCell ref="A42:G42"/>
    <mergeCell ref="A43:B44"/>
    <mergeCell ref="C43:C44"/>
    <mergeCell ref="D43:G44"/>
    <mergeCell ref="B40:C40"/>
    <mergeCell ref="D40:G40"/>
    <mergeCell ref="A18:A19"/>
    <mergeCell ref="B18:G19"/>
    <mergeCell ref="B20:C20"/>
    <mergeCell ref="E20:G20"/>
    <mergeCell ref="A22:C22"/>
    <mergeCell ref="D22:G22"/>
    <mergeCell ref="A34:G34"/>
    <mergeCell ref="B35:G35"/>
    <mergeCell ref="B36:G36"/>
    <mergeCell ref="B37:G37"/>
    <mergeCell ref="A39:G39"/>
    <mergeCell ref="B17:G17"/>
    <mergeCell ref="B1:E2"/>
    <mergeCell ref="B3:E3"/>
    <mergeCell ref="D6:G6"/>
    <mergeCell ref="A11:C11"/>
    <mergeCell ref="D11:E11"/>
    <mergeCell ref="F11:G11"/>
    <mergeCell ref="B12:C12"/>
    <mergeCell ref="B13:C13"/>
    <mergeCell ref="B14:C14"/>
    <mergeCell ref="B15:C15"/>
    <mergeCell ref="B16:C16"/>
  </mergeCells>
  <printOptions horizontalCentered="1" verticalCentered="1"/>
  <pageMargins left="0.11811023622047245" right="0.11811023622047245" top="0.19685039370078741" bottom="0.19685039370078741" header="0.31496062992125984" footer="0.31496062992125984"/>
  <pageSetup paperSize="9" scale="67" orientation="portrait" horizontalDpi="4294967295" verticalDpi="4294967295" r:id="rId1"/>
  <rowBreaks count="1" manualBreakCount="1">
    <brk id="49" max="6" man="1"/>
  </rowBreaks>
  <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B17B-182C-482F-9F0B-37601C19B1F8}">
  <dimension ref="A1:N34"/>
  <sheetViews>
    <sheetView showGridLines="0" view="pageBreakPreview" zoomScaleNormal="130" zoomScaleSheetLayoutView="100" workbookViewId="0">
      <selection activeCell="F9" sqref="F9:H9"/>
    </sheetView>
  </sheetViews>
  <sheetFormatPr baseColWidth="10" defaultColWidth="11.42578125" defaultRowHeight="15"/>
  <cols>
    <col min="1" max="1" width="13.140625" style="1164" customWidth="1"/>
    <col min="2" max="2" width="25.28515625" style="1164" customWidth="1"/>
    <col min="3" max="3" width="24" style="1164" customWidth="1"/>
    <col min="4" max="4" width="23.5703125" style="1164" customWidth="1"/>
    <col min="5" max="5" width="24.42578125" style="1164" customWidth="1"/>
    <col min="6" max="6" width="17" style="1164" customWidth="1"/>
    <col min="7" max="7" width="29.7109375" style="1164" customWidth="1"/>
    <col min="8" max="8" width="33.5703125" style="1164" customWidth="1"/>
    <col min="9" max="9" width="11.7109375" style="1163" customWidth="1"/>
    <col min="10" max="10" width="15.7109375" style="1164" customWidth="1"/>
    <col min="11" max="11" width="32.5703125" style="1164" customWidth="1"/>
    <col min="12" max="13" width="63.140625" style="1164" customWidth="1"/>
    <col min="14" max="16384" width="11.42578125" style="1164"/>
  </cols>
  <sheetData>
    <row r="1" spans="1:9" ht="45.75" customHeight="1">
      <c r="A1" s="1162"/>
      <c r="B1" s="1911" t="s">
        <v>1375</v>
      </c>
      <c r="C1" s="1920"/>
      <c r="D1" s="1920"/>
      <c r="E1" s="1920"/>
      <c r="F1" s="1920"/>
      <c r="G1" s="1921"/>
      <c r="H1" s="1920"/>
    </row>
    <row r="2" spans="1:9" ht="11.25" customHeight="1">
      <c r="A2" s="1165"/>
      <c r="B2" s="1166"/>
      <c r="C2" s="1167"/>
      <c r="D2" s="1167"/>
      <c r="E2" s="1167"/>
      <c r="F2" s="1167"/>
      <c r="G2" s="1167"/>
      <c r="H2" s="1168"/>
    </row>
    <row r="3" spans="1:9" ht="22.5" customHeight="1">
      <c r="A3" s="1922" t="s">
        <v>1376</v>
      </c>
      <c r="B3" s="1923"/>
      <c r="C3" s="1924"/>
      <c r="D3" s="1924"/>
      <c r="E3" s="1169" t="s">
        <v>641</v>
      </c>
      <c r="F3" s="1170"/>
      <c r="G3" s="1169" t="s">
        <v>1230</v>
      </c>
      <c r="H3" s="1170"/>
    </row>
    <row r="4" spans="1:9">
      <c r="A4" s="1171"/>
      <c r="B4" s="1171"/>
      <c r="C4" s="1171"/>
      <c r="D4" s="1171"/>
      <c r="E4" s="1171"/>
      <c r="F4" s="1171"/>
      <c r="G4" s="1171"/>
      <c r="H4" s="1172"/>
    </row>
    <row r="5" spans="1:9" ht="22.5" customHeight="1">
      <c r="A5" s="1169" t="s">
        <v>872</v>
      </c>
      <c r="B5" s="1173"/>
      <c r="C5" s="1169" t="s">
        <v>416</v>
      </c>
      <c r="D5" s="1174"/>
      <c r="E5" s="1169" t="s">
        <v>421</v>
      </c>
      <c r="F5" s="1925"/>
      <c r="G5" s="1925"/>
      <c r="H5" s="1925"/>
    </row>
    <row r="6" spans="1:9" ht="22.5" customHeight="1">
      <c r="A6" s="1169" t="s">
        <v>1377</v>
      </c>
      <c r="B6" s="1926"/>
      <c r="C6" s="1927"/>
      <c r="D6" s="1927"/>
      <c r="E6" s="1927"/>
      <c r="F6" s="1927"/>
      <c r="G6" s="1927"/>
      <c r="H6" s="1928"/>
      <c r="I6" s="1164"/>
    </row>
    <row r="7" spans="1:9">
      <c r="A7" s="1175"/>
      <c r="B7" s="1175"/>
      <c r="C7" s="1175"/>
      <c r="D7" s="1175"/>
      <c r="E7" s="1175"/>
      <c r="F7" s="1175"/>
      <c r="G7" s="1175"/>
      <c r="H7" s="1176"/>
      <c r="I7" s="1164"/>
    </row>
    <row r="8" spans="1:9" ht="33.75" customHeight="1">
      <c r="A8" s="1914" t="s">
        <v>1378</v>
      </c>
      <c r="B8" s="1177" t="s">
        <v>1379</v>
      </c>
      <c r="C8" s="1177" t="s">
        <v>1380</v>
      </c>
      <c r="D8" s="1177" t="s">
        <v>1381</v>
      </c>
      <c r="E8" s="1177" t="s">
        <v>1382</v>
      </c>
      <c r="F8" s="1916" t="s">
        <v>1383</v>
      </c>
      <c r="G8" s="1916"/>
      <c r="H8" s="1177" t="s">
        <v>1384</v>
      </c>
      <c r="I8" s="1164"/>
    </row>
    <row r="9" spans="1:9" ht="33.75" customHeight="1">
      <c r="A9" s="1915"/>
      <c r="B9" s="1177" t="s">
        <v>1385</v>
      </c>
      <c r="C9" s="1177" t="s">
        <v>1386</v>
      </c>
      <c r="D9" s="1177" t="s">
        <v>1387</v>
      </c>
      <c r="E9" s="1177" t="s">
        <v>1388</v>
      </c>
      <c r="F9" s="1917" t="s">
        <v>1389</v>
      </c>
      <c r="G9" s="1918"/>
      <c r="H9" s="1919"/>
      <c r="I9" s="1164"/>
    </row>
    <row r="10" spans="1:9">
      <c r="A10" s="1171"/>
      <c r="B10" s="1171"/>
      <c r="C10" s="1171"/>
      <c r="D10" s="1171"/>
      <c r="E10" s="1171"/>
      <c r="F10" s="1171"/>
      <c r="G10" s="1171"/>
      <c r="H10" s="1172"/>
    </row>
    <row r="11" spans="1:9" ht="58.5" customHeight="1">
      <c r="A11" s="1178" t="s">
        <v>417</v>
      </c>
      <c r="B11" s="1178" t="s">
        <v>1390</v>
      </c>
      <c r="C11" s="1179" t="s">
        <v>1391</v>
      </c>
      <c r="D11" s="1179" t="s">
        <v>1392</v>
      </c>
      <c r="E11" s="1179" t="s">
        <v>1393</v>
      </c>
      <c r="F11" s="1180" t="s">
        <v>1394</v>
      </c>
      <c r="G11" s="1179" t="s">
        <v>1395</v>
      </c>
      <c r="H11" s="1181" t="s">
        <v>1396</v>
      </c>
      <c r="I11" s="1164"/>
    </row>
    <row r="12" spans="1:9" ht="33.75" customHeight="1">
      <c r="A12" s="1182"/>
      <c r="B12" s="1183" t="s">
        <v>1397</v>
      </c>
      <c r="C12" s="1182"/>
      <c r="D12" s="1182"/>
      <c r="E12" s="1182"/>
      <c r="F12" s="1182"/>
      <c r="G12" s="1184"/>
      <c r="H12" s="1182"/>
      <c r="I12" s="1185"/>
    </row>
    <row r="13" spans="1:9" ht="33.75" customHeight="1">
      <c r="A13" s="1182"/>
      <c r="B13" s="1182"/>
      <c r="C13" s="1182"/>
      <c r="D13" s="1182"/>
      <c r="E13" s="1182"/>
      <c r="F13" s="1182"/>
      <c r="G13" s="1184"/>
      <c r="H13" s="1182"/>
    </row>
    <row r="14" spans="1:9" ht="33.75" customHeight="1">
      <c r="A14" s="1182"/>
      <c r="B14" s="1182"/>
      <c r="C14" s="1182"/>
      <c r="D14" s="1182"/>
      <c r="E14" s="1182"/>
      <c r="F14" s="1182"/>
      <c r="G14" s="1184"/>
      <c r="H14" s="1182"/>
    </row>
    <row r="15" spans="1:9" ht="33.75" customHeight="1">
      <c r="A15" s="1182"/>
      <c r="B15" s="1182"/>
      <c r="C15" s="1182"/>
      <c r="D15" s="1182"/>
      <c r="E15" s="1182"/>
      <c r="F15" s="1182"/>
      <c r="G15" s="1184"/>
      <c r="H15" s="1182"/>
    </row>
    <row r="16" spans="1:9" ht="33.75" customHeight="1">
      <c r="A16" s="1182"/>
      <c r="B16" s="1182"/>
      <c r="C16" s="1182"/>
      <c r="D16" s="1182"/>
      <c r="E16" s="1182"/>
      <c r="F16" s="1182"/>
      <c r="G16" s="1184"/>
      <c r="H16" s="1182"/>
    </row>
    <row r="17" spans="1:14" ht="33.75" customHeight="1">
      <c r="A17" s="1182"/>
      <c r="B17" s="1182"/>
      <c r="C17" s="1182"/>
      <c r="D17" s="1182"/>
      <c r="E17" s="1182"/>
      <c r="F17" s="1182"/>
      <c r="G17" s="1184"/>
      <c r="H17" s="1182"/>
    </row>
    <row r="18" spans="1:14" ht="33.75" customHeight="1">
      <c r="A18" s="1182"/>
      <c r="B18" s="1182"/>
      <c r="C18" s="1182"/>
      <c r="D18" s="1182"/>
      <c r="E18" s="1182"/>
      <c r="F18" s="1182"/>
      <c r="G18" s="1184"/>
      <c r="H18" s="1182"/>
    </row>
    <row r="19" spans="1:14" ht="33.75" customHeight="1">
      <c r="A19" s="1182"/>
      <c r="B19" s="1182"/>
      <c r="C19" s="1182"/>
      <c r="D19" s="1182"/>
      <c r="E19" s="1182"/>
      <c r="F19" s="1182"/>
      <c r="G19" s="1184"/>
      <c r="H19" s="1182"/>
    </row>
    <row r="20" spans="1:14" ht="33.75" customHeight="1">
      <c r="A20" s="1182"/>
      <c r="B20" s="1182"/>
      <c r="C20" s="1182"/>
      <c r="D20" s="1182"/>
      <c r="E20" s="1182"/>
      <c r="F20" s="1182"/>
      <c r="G20" s="1184"/>
      <c r="H20" s="1182"/>
    </row>
    <row r="21" spans="1:14" ht="33.75" customHeight="1">
      <c r="A21" s="1182"/>
      <c r="B21" s="1182"/>
      <c r="C21" s="1182"/>
      <c r="D21" s="1182"/>
      <c r="E21" s="1182"/>
      <c r="F21" s="1182"/>
      <c r="G21" s="1184"/>
      <c r="H21" s="1182"/>
    </row>
    <row r="22" spans="1:14" ht="48.75" customHeight="1">
      <c r="I22" s="1911"/>
      <c r="J22" s="1911"/>
      <c r="K22" s="1911" t="s">
        <v>1398</v>
      </c>
      <c r="L22" s="1911"/>
      <c r="M22" s="1911"/>
      <c r="N22" s="1186"/>
    </row>
    <row r="23" spans="1:14" s="1187" customFormat="1" ht="22.5" customHeight="1">
      <c r="I23" s="1912" t="s">
        <v>417</v>
      </c>
      <c r="J23" s="1913"/>
      <c r="K23" s="1188" t="s">
        <v>1399</v>
      </c>
      <c r="L23" s="1188" t="s">
        <v>1400</v>
      </c>
      <c r="M23" s="1188" t="s">
        <v>1401</v>
      </c>
    </row>
    <row r="24" spans="1:14" ht="93.75" customHeight="1">
      <c r="I24" s="1188" t="s">
        <v>849</v>
      </c>
      <c r="J24" s="1189"/>
      <c r="K24" s="1910"/>
      <c r="L24" s="1910" t="s">
        <v>415</v>
      </c>
      <c r="M24" s="1910"/>
    </row>
    <row r="25" spans="1:14" ht="93.75" customHeight="1">
      <c r="I25" s="1188" t="s">
        <v>850</v>
      </c>
      <c r="J25" s="1189"/>
      <c r="K25" s="1910"/>
      <c r="L25" s="1910"/>
      <c r="M25" s="1910"/>
    </row>
    <row r="26" spans="1:14" ht="93.75" customHeight="1">
      <c r="H26" s="1185"/>
      <c r="I26" s="1188" t="s">
        <v>849</v>
      </c>
      <c r="J26" s="1189"/>
      <c r="K26" s="1910"/>
      <c r="L26" s="1910"/>
      <c r="M26" s="1910"/>
    </row>
    <row r="27" spans="1:14" ht="93.75" customHeight="1">
      <c r="I27" s="1188" t="s">
        <v>850</v>
      </c>
      <c r="J27" s="1189"/>
      <c r="K27" s="1910"/>
      <c r="L27" s="1910"/>
      <c r="M27" s="1910"/>
    </row>
    <row r="28" spans="1:14" ht="93.75" customHeight="1">
      <c r="I28" s="1188" t="s">
        <v>849</v>
      </c>
      <c r="J28" s="1189"/>
      <c r="K28" s="1910"/>
      <c r="L28" s="1910"/>
      <c r="M28" s="1910"/>
    </row>
    <row r="29" spans="1:14" ht="93.75" customHeight="1">
      <c r="I29" s="1188" t="s">
        <v>850</v>
      </c>
      <c r="J29" s="1189"/>
      <c r="K29" s="1910"/>
      <c r="L29" s="1910"/>
      <c r="M29" s="1910"/>
    </row>
    <row r="30" spans="1:14" ht="93.75" customHeight="1">
      <c r="I30" s="1188" t="s">
        <v>849</v>
      </c>
      <c r="J30" s="1189"/>
      <c r="K30" s="1910"/>
      <c r="L30" s="1910"/>
      <c r="M30" s="1910"/>
    </row>
    <row r="31" spans="1:14" ht="93.75" customHeight="1">
      <c r="I31" s="1188" t="s">
        <v>850</v>
      </c>
      <c r="J31" s="1189"/>
      <c r="K31" s="1910"/>
      <c r="L31" s="1910"/>
      <c r="M31" s="1910"/>
    </row>
    <row r="32" spans="1:14" ht="97.5" customHeight="1"/>
    <row r="33" ht="97.5" customHeight="1"/>
    <row r="34" ht="97.5" customHeight="1"/>
  </sheetData>
  <mergeCells count="23">
    <mergeCell ref="A8:A9"/>
    <mergeCell ref="F8:G8"/>
    <mergeCell ref="F9:H9"/>
    <mergeCell ref="B1:H1"/>
    <mergeCell ref="A3:B3"/>
    <mergeCell ref="C3:D3"/>
    <mergeCell ref="F5:H5"/>
    <mergeCell ref="B6:H6"/>
    <mergeCell ref="I22:J22"/>
    <mergeCell ref="K22:M22"/>
    <mergeCell ref="I23:J23"/>
    <mergeCell ref="K24:K25"/>
    <mergeCell ref="L24:L25"/>
    <mergeCell ref="M24:M25"/>
    <mergeCell ref="K30:K31"/>
    <mergeCell ref="L30:L31"/>
    <mergeCell ref="M30:M31"/>
    <mergeCell ref="K26:K27"/>
    <mergeCell ref="L26:L27"/>
    <mergeCell ref="M26:M27"/>
    <mergeCell ref="K28:K29"/>
    <mergeCell ref="L28:L29"/>
    <mergeCell ref="M28:M29"/>
  </mergeCells>
  <printOptions horizontalCentered="1" verticalCentered="1"/>
  <pageMargins left="0.59055118110236227" right="0.59055118110236227" top="0.39370078740157483" bottom="0.39370078740157483" header="0.31496062992125984" footer="0.31496062992125984"/>
  <pageSetup paperSize="9" scale="69" orientation="landscape" verticalDpi="300" r:id="rId1"/>
  <rowBreaks count="2" manualBreakCount="2">
    <brk id="21" max="12" man="1"/>
    <brk id="34" max="12" man="1"/>
  </rowBreaks>
  <drawing r:id="rId2"/>
  <legacyDrawing r:id="rId3"/>
  <mc:AlternateContent xmlns:mc="http://schemas.openxmlformats.org/markup-compatibility/2006">
    <mc:Choice Requires="x14">
      <controls>
        <mc:AlternateContent xmlns:mc="http://schemas.openxmlformats.org/markup-compatibility/2006">
          <mc:Choice Requires="x14">
            <control shapeId="1449985" r:id="rId4" name="Check Box 1">
              <controlPr defaultSize="0" autoFill="0" autoLine="0" autoPict="0">
                <anchor moveWithCells="1">
                  <from>
                    <xdr:col>3</xdr:col>
                    <xdr:colOff>0</xdr:colOff>
                    <xdr:row>7</xdr:row>
                    <xdr:rowOff>190500</xdr:rowOff>
                  </from>
                  <to>
                    <xdr:col>3</xdr:col>
                    <xdr:colOff>771525</xdr:colOff>
                    <xdr:row>8</xdr:row>
                    <xdr:rowOff>0</xdr:rowOff>
                  </to>
                </anchor>
              </controlPr>
            </control>
          </mc:Choice>
        </mc:AlternateContent>
        <mc:AlternateContent xmlns:mc="http://schemas.openxmlformats.org/markup-compatibility/2006">
          <mc:Choice Requires="x14">
            <control shapeId="1449986" r:id="rId5" name="Check Box 2">
              <controlPr defaultSize="0" autoFill="0" autoLine="0" autoPict="0">
                <anchor moveWithCells="1">
                  <from>
                    <xdr:col>4</xdr:col>
                    <xdr:colOff>590550</xdr:colOff>
                    <xdr:row>11</xdr:row>
                    <xdr:rowOff>95250</xdr:rowOff>
                  </from>
                  <to>
                    <xdr:col>4</xdr:col>
                    <xdr:colOff>1314450</xdr:colOff>
                    <xdr:row>11</xdr:row>
                    <xdr:rowOff>333375</xdr:rowOff>
                  </to>
                </anchor>
              </controlPr>
            </control>
          </mc:Choice>
        </mc:AlternateContent>
        <mc:AlternateContent xmlns:mc="http://schemas.openxmlformats.org/markup-compatibility/2006">
          <mc:Choice Requires="x14">
            <control shapeId="1449987" r:id="rId6" name="Check Box 3">
              <controlPr defaultSize="0" autoFill="0" autoLine="0" autoPict="0">
                <anchor moveWithCells="1">
                  <from>
                    <xdr:col>2</xdr:col>
                    <xdr:colOff>9525</xdr:colOff>
                    <xdr:row>10</xdr:row>
                    <xdr:rowOff>838200</xdr:rowOff>
                  </from>
                  <to>
                    <xdr:col>2</xdr:col>
                    <xdr:colOff>904875</xdr:colOff>
                    <xdr:row>11</xdr:row>
                    <xdr:rowOff>238125</xdr:rowOff>
                  </to>
                </anchor>
              </controlPr>
            </control>
          </mc:Choice>
        </mc:AlternateContent>
        <mc:AlternateContent xmlns:mc="http://schemas.openxmlformats.org/markup-compatibility/2006">
          <mc:Choice Requires="x14">
            <control shapeId="1449988" r:id="rId7" name="Check Box 4">
              <controlPr defaultSize="0" autoFill="0" autoLine="0" autoPict="0">
                <anchor moveWithCells="1">
                  <from>
                    <xdr:col>2</xdr:col>
                    <xdr:colOff>9525</xdr:colOff>
                    <xdr:row>11</xdr:row>
                    <xdr:rowOff>180975</xdr:rowOff>
                  </from>
                  <to>
                    <xdr:col>2</xdr:col>
                    <xdr:colOff>1238250</xdr:colOff>
                    <xdr:row>11</xdr:row>
                    <xdr:rowOff>419100</xdr:rowOff>
                  </to>
                </anchor>
              </controlPr>
            </control>
          </mc:Choice>
        </mc:AlternateContent>
        <mc:AlternateContent xmlns:mc="http://schemas.openxmlformats.org/markup-compatibility/2006">
          <mc:Choice Requires="x14">
            <control shapeId="1449989" r:id="rId8" name="Check Box 5">
              <controlPr defaultSize="0" autoFill="0" autoLine="0" autoPict="0">
                <anchor moveWithCells="1">
                  <from>
                    <xdr:col>2</xdr:col>
                    <xdr:colOff>9525</xdr:colOff>
                    <xdr:row>12</xdr:row>
                    <xdr:rowOff>9525</xdr:rowOff>
                  </from>
                  <to>
                    <xdr:col>2</xdr:col>
                    <xdr:colOff>904875</xdr:colOff>
                    <xdr:row>12</xdr:row>
                    <xdr:rowOff>247650</xdr:rowOff>
                  </to>
                </anchor>
              </controlPr>
            </control>
          </mc:Choice>
        </mc:AlternateContent>
        <mc:AlternateContent xmlns:mc="http://schemas.openxmlformats.org/markup-compatibility/2006">
          <mc:Choice Requires="x14">
            <control shapeId="1449990" r:id="rId9" name="Check Box 6">
              <controlPr defaultSize="0" autoFill="0" autoLine="0" autoPict="0">
                <anchor moveWithCells="1">
                  <from>
                    <xdr:col>2</xdr:col>
                    <xdr:colOff>9525</xdr:colOff>
                    <xdr:row>12</xdr:row>
                    <xdr:rowOff>200025</xdr:rowOff>
                  </from>
                  <to>
                    <xdr:col>2</xdr:col>
                    <xdr:colOff>1238250</xdr:colOff>
                    <xdr:row>13</xdr:row>
                    <xdr:rowOff>9525</xdr:rowOff>
                  </to>
                </anchor>
              </controlPr>
            </control>
          </mc:Choice>
        </mc:AlternateContent>
        <mc:AlternateContent xmlns:mc="http://schemas.openxmlformats.org/markup-compatibility/2006">
          <mc:Choice Requires="x14">
            <control shapeId="1449991" r:id="rId10" name="Check Box 7">
              <controlPr defaultSize="0" autoFill="0" autoLine="0" autoPict="0">
                <anchor moveWithCells="1">
                  <from>
                    <xdr:col>2</xdr:col>
                    <xdr:colOff>9525</xdr:colOff>
                    <xdr:row>13</xdr:row>
                    <xdr:rowOff>0</xdr:rowOff>
                  </from>
                  <to>
                    <xdr:col>2</xdr:col>
                    <xdr:colOff>904875</xdr:colOff>
                    <xdr:row>13</xdr:row>
                    <xdr:rowOff>238125</xdr:rowOff>
                  </to>
                </anchor>
              </controlPr>
            </control>
          </mc:Choice>
        </mc:AlternateContent>
        <mc:AlternateContent xmlns:mc="http://schemas.openxmlformats.org/markup-compatibility/2006">
          <mc:Choice Requires="x14">
            <control shapeId="1449992" r:id="rId11" name="Check Box 8">
              <controlPr defaultSize="0" autoFill="0" autoLine="0" autoPict="0">
                <anchor moveWithCells="1">
                  <from>
                    <xdr:col>2</xdr:col>
                    <xdr:colOff>9525</xdr:colOff>
                    <xdr:row>13</xdr:row>
                    <xdr:rowOff>190500</xdr:rowOff>
                  </from>
                  <to>
                    <xdr:col>2</xdr:col>
                    <xdr:colOff>1238250</xdr:colOff>
                    <xdr:row>14</xdr:row>
                    <xdr:rowOff>0</xdr:rowOff>
                  </to>
                </anchor>
              </controlPr>
            </control>
          </mc:Choice>
        </mc:AlternateContent>
        <mc:AlternateContent xmlns:mc="http://schemas.openxmlformats.org/markup-compatibility/2006">
          <mc:Choice Requires="x14">
            <control shapeId="1449993" r:id="rId12" name="Check Box 9">
              <controlPr defaultSize="0" autoFill="0" autoLine="0" autoPict="0">
                <anchor moveWithCells="1">
                  <from>
                    <xdr:col>2</xdr:col>
                    <xdr:colOff>9525</xdr:colOff>
                    <xdr:row>14</xdr:row>
                    <xdr:rowOff>0</xdr:rowOff>
                  </from>
                  <to>
                    <xdr:col>2</xdr:col>
                    <xdr:colOff>904875</xdr:colOff>
                    <xdr:row>14</xdr:row>
                    <xdr:rowOff>238125</xdr:rowOff>
                  </to>
                </anchor>
              </controlPr>
            </control>
          </mc:Choice>
        </mc:AlternateContent>
        <mc:AlternateContent xmlns:mc="http://schemas.openxmlformats.org/markup-compatibility/2006">
          <mc:Choice Requires="x14">
            <control shapeId="1449994" r:id="rId13" name="Check Box 10">
              <controlPr defaultSize="0" autoFill="0" autoLine="0" autoPict="0">
                <anchor moveWithCells="1">
                  <from>
                    <xdr:col>2</xdr:col>
                    <xdr:colOff>9525</xdr:colOff>
                    <xdr:row>14</xdr:row>
                    <xdr:rowOff>190500</xdr:rowOff>
                  </from>
                  <to>
                    <xdr:col>2</xdr:col>
                    <xdr:colOff>1238250</xdr:colOff>
                    <xdr:row>15</xdr:row>
                    <xdr:rowOff>0</xdr:rowOff>
                  </to>
                </anchor>
              </controlPr>
            </control>
          </mc:Choice>
        </mc:AlternateContent>
        <mc:AlternateContent xmlns:mc="http://schemas.openxmlformats.org/markup-compatibility/2006">
          <mc:Choice Requires="x14">
            <control shapeId="1449995" r:id="rId14" name="Check Box 11">
              <controlPr defaultSize="0" autoFill="0" autoLine="0" autoPict="0">
                <anchor moveWithCells="1">
                  <from>
                    <xdr:col>2</xdr:col>
                    <xdr:colOff>9525</xdr:colOff>
                    <xdr:row>15</xdr:row>
                    <xdr:rowOff>0</xdr:rowOff>
                  </from>
                  <to>
                    <xdr:col>2</xdr:col>
                    <xdr:colOff>904875</xdr:colOff>
                    <xdr:row>15</xdr:row>
                    <xdr:rowOff>238125</xdr:rowOff>
                  </to>
                </anchor>
              </controlPr>
            </control>
          </mc:Choice>
        </mc:AlternateContent>
        <mc:AlternateContent xmlns:mc="http://schemas.openxmlformats.org/markup-compatibility/2006">
          <mc:Choice Requires="x14">
            <control shapeId="1449996" r:id="rId15" name="Check Box 12">
              <controlPr defaultSize="0" autoFill="0" autoLine="0" autoPict="0">
                <anchor moveWithCells="1">
                  <from>
                    <xdr:col>2</xdr:col>
                    <xdr:colOff>9525</xdr:colOff>
                    <xdr:row>15</xdr:row>
                    <xdr:rowOff>190500</xdr:rowOff>
                  </from>
                  <to>
                    <xdr:col>2</xdr:col>
                    <xdr:colOff>1238250</xdr:colOff>
                    <xdr:row>16</xdr:row>
                    <xdr:rowOff>0</xdr:rowOff>
                  </to>
                </anchor>
              </controlPr>
            </control>
          </mc:Choice>
        </mc:AlternateContent>
        <mc:AlternateContent xmlns:mc="http://schemas.openxmlformats.org/markup-compatibility/2006">
          <mc:Choice Requires="x14">
            <control shapeId="1449997" r:id="rId16" name="Check Box 13">
              <controlPr defaultSize="0" autoFill="0" autoLine="0" autoPict="0">
                <anchor moveWithCells="1">
                  <from>
                    <xdr:col>2</xdr:col>
                    <xdr:colOff>9525</xdr:colOff>
                    <xdr:row>16</xdr:row>
                    <xdr:rowOff>0</xdr:rowOff>
                  </from>
                  <to>
                    <xdr:col>2</xdr:col>
                    <xdr:colOff>904875</xdr:colOff>
                    <xdr:row>16</xdr:row>
                    <xdr:rowOff>238125</xdr:rowOff>
                  </to>
                </anchor>
              </controlPr>
            </control>
          </mc:Choice>
        </mc:AlternateContent>
        <mc:AlternateContent xmlns:mc="http://schemas.openxmlformats.org/markup-compatibility/2006">
          <mc:Choice Requires="x14">
            <control shapeId="1449998" r:id="rId17" name="Check Box 14">
              <controlPr defaultSize="0" autoFill="0" autoLine="0" autoPict="0">
                <anchor moveWithCells="1">
                  <from>
                    <xdr:col>2</xdr:col>
                    <xdr:colOff>9525</xdr:colOff>
                    <xdr:row>16</xdr:row>
                    <xdr:rowOff>190500</xdr:rowOff>
                  </from>
                  <to>
                    <xdr:col>2</xdr:col>
                    <xdr:colOff>1238250</xdr:colOff>
                    <xdr:row>17</xdr:row>
                    <xdr:rowOff>0</xdr:rowOff>
                  </to>
                </anchor>
              </controlPr>
            </control>
          </mc:Choice>
        </mc:AlternateContent>
        <mc:AlternateContent xmlns:mc="http://schemas.openxmlformats.org/markup-compatibility/2006">
          <mc:Choice Requires="x14">
            <control shapeId="1449999" r:id="rId18" name="Check Box 15">
              <controlPr defaultSize="0" autoFill="0" autoLine="0" autoPict="0">
                <anchor moveWithCells="1">
                  <from>
                    <xdr:col>2</xdr:col>
                    <xdr:colOff>9525</xdr:colOff>
                    <xdr:row>17</xdr:row>
                    <xdr:rowOff>0</xdr:rowOff>
                  </from>
                  <to>
                    <xdr:col>2</xdr:col>
                    <xdr:colOff>904875</xdr:colOff>
                    <xdr:row>17</xdr:row>
                    <xdr:rowOff>238125</xdr:rowOff>
                  </to>
                </anchor>
              </controlPr>
            </control>
          </mc:Choice>
        </mc:AlternateContent>
        <mc:AlternateContent xmlns:mc="http://schemas.openxmlformats.org/markup-compatibility/2006">
          <mc:Choice Requires="x14">
            <control shapeId="1450000" r:id="rId19" name="Check Box 16">
              <controlPr defaultSize="0" autoFill="0" autoLine="0" autoPict="0">
                <anchor moveWithCells="1">
                  <from>
                    <xdr:col>2</xdr:col>
                    <xdr:colOff>9525</xdr:colOff>
                    <xdr:row>17</xdr:row>
                    <xdr:rowOff>190500</xdr:rowOff>
                  </from>
                  <to>
                    <xdr:col>2</xdr:col>
                    <xdr:colOff>1238250</xdr:colOff>
                    <xdr:row>18</xdr:row>
                    <xdr:rowOff>0</xdr:rowOff>
                  </to>
                </anchor>
              </controlPr>
            </control>
          </mc:Choice>
        </mc:AlternateContent>
        <mc:AlternateContent xmlns:mc="http://schemas.openxmlformats.org/markup-compatibility/2006">
          <mc:Choice Requires="x14">
            <control shapeId="1450001" r:id="rId20" name="Check Box 17">
              <controlPr defaultSize="0" autoFill="0" autoLine="0" autoPict="0">
                <anchor moveWithCells="1">
                  <from>
                    <xdr:col>2</xdr:col>
                    <xdr:colOff>9525</xdr:colOff>
                    <xdr:row>18</xdr:row>
                    <xdr:rowOff>0</xdr:rowOff>
                  </from>
                  <to>
                    <xdr:col>2</xdr:col>
                    <xdr:colOff>904875</xdr:colOff>
                    <xdr:row>18</xdr:row>
                    <xdr:rowOff>238125</xdr:rowOff>
                  </to>
                </anchor>
              </controlPr>
            </control>
          </mc:Choice>
        </mc:AlternateContent>
        <mc:AlternateContent xmlns:mc="http://schemas.openxmlformats.org/markup-compatibility/2006">
          <mc:Choice Requires="x14">
            <control shapeId="1450002" r:id="rId21" name="Check Box 18">
              <controlPr defaultSize="0" autoFill="0" autoLine="0" autoPict="0">
                <anchor moveWithCells="1">
                  <from>
                    <xdr:col>2</xdr:col>
                    <xdr:colOff>9525</xdr:colOff>
                    <xdr:row>18</xdr:row>
                    <xdr:rowOff>190500</xdr:rowOff>
                  </from>
                  <to>
                    <xdr:col>2</xdr:col>
                    <xdr:colOff>1238250</xdr:colOff>
                    <xdr:row>19</xdr:row>
                    <xdr:rowOff>0</xdr:rowOff>
                  </to>
                </anchor>
              </controlPr>
            </control>
          </mc:Choice>
        </mc:AlternateContent>
        <mc:AlternateContent xmlns:mc="http://schemas.openxmlformats.org/markup-compatibility/2006">
          <mc:Choice Requires="x14">
            <control shapeId="1450003" r:id="rId22" name="Check Box 19">
              <controlPr defaultSize="0" autoFill="0" autoLine="0" autoPict="0">
                <anchor moveWithCells="1">
                  <from>
                    <xdr:col>2</xdr:col>
                    <xdr:colOff>9525</xdr:colOff>
                    <xdr:row>19</xdr:row>
                    <xdr:rowOff>0</xdr:rowOff>
                  </from>
                  <to>
                    <xdr:col>2</xdr:col>
                    <xdr:colOff>904875</xdr:colOff>
                    <xdr:row>19</xdr:row>
                    <xdr:rowOff>238125</xdr:rowOff>
                  </to>
                </anchor>
              </controlPr>
            </control>
          </mc:Choice>
        </mc:AlternateContent>
        <mc:AlternateContent xmlns:mc="http://schemas.openxmlformats.org/markup-compatibility/2006">
          <mc:Choice Requires="x14">
            <control shapeId="1450004" r:id="rId23" name="Check Box 20">
              <controlPr defaultSize="0" autoFill="0" autoLine="0" autoPict="0">
                <anchor moveWithCells="1">
                  <from>
                    <xdr:col>2</xdr:col>
                    <xdr:colOff>9525</xdr:colOff>
                    <xdr:row>19</xdr:row>
                    <xdr:rowOff>190500</xdr:rowOff>
                  </from>
                  <to>
                    <xdr:col>2</xdr:col>
                    <xdr:colOff>1238250</xdr:colOff>
                    <xdr:row>20</xdr:row>
                    <xdr:rowOff>0</xdr:rowOff>
                  </to>
                </anchor>
              </controlPr>
            </control>
          </mc:Choice>
        </mc:AlternateContent>
        <mc:AlternateContent xmlns:mc="http://schemas.openxmlformats.org/markup-compatibility/2006">
          <mc:Choice Requires="x14">
            <control shapeId="1450005" r:id="rId24" name="Check Box 21">
              <controlPr defaultSize="0" autoFill="0" autoLine="0" autoPict="0">
                <anchor moveWithCells="1">
                  <from>
                    <xdr:col>2</xdr:col>
                    <xdr:colOff>9525</xdr:colOff>
                    <xdr:row>19</xdr:row>
                    <xdr:rowOff>419100</xdr:rowOff>
                  </from>
                  <to>
                    <xdr:col>2</xdr:col>
                    <xdr:colOff>904875</xdr:colOff>
                    <xdr:row>20</xdr:row>
                    <xdr:rowOff>228600</xdr:rowOff>
                  </to>
                </anchor>
              </controlPr>
            </control>
          </mc:Choice>
        </mc:AlternateContent>
        <mc:AlternateContent xmlns:mc="http://schemas.openxmlformats.org/markup-compatibility/2006">
          <mc:Choice Requires="x14">
            <control shapeId="1450006" r:id="rId25" name="Check Box 22">
              <controlPr defaultSize="0" autoFill="0" autoLine="0" autoPict="0">
                <anchor moveWithCells="1">
                  <from>
                    <xdr:col>2</xdr:col>
                    <xdr:colOff>9525</xdr:colOff>
                    <xdr:row>20</xdr:row>
                    <xdr:rowOff>180975</xdr:rowOff>
                  </from>
                  <to>
                    <xdr:col>2</xdr:col>
                    <xdr:colOff>1238250</xdr:colOff>
                    <xdr:row>20</xdr:row>
                    <xdr:rowOff>419100</xdr:rowOff>
                  </to>
                </anchor>
              </controlPr>
            </control>
          </mc:Choice>
        </mc:AlternateContent>
        <mc:AlternateContent xmlns:mc="http://schemas.openxmlformats.org/markup-compatibility/2006">
          <mc:Choice Requires="x14">
            <control shapeId="1450007" r:id="rId26" name="Check Box 23">
              <controlPr defaultSize="0" autoFill="0" autoLine="0" autoPict="0">
                <anchor moveWithCells="1">
                  <from>
                    <xdr:col>3</xdr:col>
                    <xdr:colOff>9525</xdr:colOff>
                    <xdr:row>11</xdr:row>
                    <xdr:rowOff>0</xdr:rowOff>
                  </from>
                  <to>
                    <xdr:col>3</xdr:col>
                    <xdr:colOff>904875</xdr:colOff>
                    <xdr:row>11</xdr:row>
                    <xdr:rowOff>238125</xdr:rowOff>
                  </to>
                </anchor>
              </controlPr>
            </control>
          </mc:Choice>
        </mc:AlternateContent>
        <mc:AlternateContent xmlns:mc="http://schemas.openxmlformats.org/markup-compatibility/2006">
          <mc:Choice Requires="x14">
            <control shapeId="1450008" r:id="rId27" name="Check Box 24">
              <controlPr defaultSize="0" autoFill="0" autoLine="0" autoPict="0">
                <anchor moveWithCells="1">
                  <from>
                    <xdr:col>3</xdr:col>
                    <xdr:colOff>9525</xdr:colOff>
                    <xdr:row>11</xdr:row>
                    <xdr:rowOff>190500</xdr:rowOff>
                  </from>
                  <to>
                    <xdr:col>3</xdr:col>
                    <xdr:colOff>1238250</xdr:colOff>
                    <xdr:row>12</xdr:row>
                    <xdr:rowOff>0</xdr:rowOff>
                  </to>
                </anchor>
              </controlPr>
            </control>
          </mc:Choice>
        </mc:AlternateContent>
        <mc:AlternateContent xmlns:mc="http://schemas.openxmlformats.org/markup-compatibility/2006">
          <mc:Choice Requires="x14">
            <control shapeId="1450009" r:id="rId28" name="Check Box 25">
              <controlPr defaultSize="0" autoFill="0" autoLine="0" autoPict="0">
                <anchor moveWithCells="1">
                  <from>
                    <xdr:col>3</xdr:col>
                    <xdr:colOff>9525</xdr:colOff>
                    <xdr:row>12</xdr:row>
                    <xdr:rowOff>0</xdr:rowOff>
                  </from>
                  <to>
                    <xdr:col>3</xdr:col>
                    <xdr:colOff>904875</xdr:colOff>
                    <xdr:row>12</xdr:row>
                    <xdr:rowOff>238125</xdr:rowOff>
                  </to>
                </anchor>
              </controlPr>
            </control>
          </mc:Choice>
        </mc:AlternateContent>
        <mc:AlternateContent xmlns:mc="http://schemas.openxmlformats.org/markup-compatibility/2006">
          <mc:Choice Requires="x14">
            <control shapeId="1450010" r:id="rId29" name="Check Box 26">
              <controlPr defaultSize="0" autoFill="0" autoLine="0" autoPict="0">
                <anchor moveWithCells="1">
                  <from>
                    <xdr:col>3</xdr:col>
                    <xdr:colOff>9525</xdr:colOff>
                    <xdr:row>12</xdr:row>
                    <xdr:rowOff>190500</xdr:rowOff>
                  </from>
                  <to>
                    <xdr:col>3</xdr:col>
                    <xdr:colOff>1238250</xdr:colOff>
                    <xdr:row>13</xdr:row>
                    <xdr:rowOff>0</xdr:rowOff>
                  </to>
                </anchor>
              </controlPr>
            </control>
          </mc:Choice>
        </mc:AlternateContent>
        <mc:AlternateContent xmlns:mc="http://schemas.openxmlformats.org/markup-compatibility/2006">
          <mc:Choice Requires="x14">
            <control shapeId="1450011" r:id="rId30" name="Check Box 27">
              <controlPr defaultSize="0" autoFill="0" autoLine="0" autoPict="0">
                <anchor moveWithCells="1">
                  <from>
                    <xdr:col>3</xdr:col>
                    <xdr:colOff>9525</xdr:colOff>
                    <xdr:row>13</xdr:row>
                    <xdr:rowOff>0</xdr:rowOff>
                  </from>
                  <to>
                    <xdr:col>3</xdr:col>
                    <xdr:colOff>904875</xdr:colOff>
                    <xdr:row>13</xdr:row>
                    <xdr:rowOff>238125</xdr:rowOff>
                  </to>
                </anchor>
              </controlPr>
            </control>
          </mc:Choice>
        </mc:AlternateContent>
        <mc:AlternateContent xmlns:mc="http://schemas.openxmlformats.org/markup-compatibility/2006">
          <mc:Choice Requires="x14">
            <control shapeId="1450012" r:id="rId31" name="Check Box 28">
              <controlPr defaultSize="0" autoFill="0" autoLine="0" autoPict="0">
                <anchor moveWithCells="1">
                  <from>
                    <xdr:col>3</xdr:col>
                    <xdr:colOff>9525</xdr:colOff>
                    <xdr:row>13</xdr:row>
                    <xdr:rowOff>190500</xdr:rowOff>
                  </from>
                  <to>
                    <xdr:col>3</xdr:col>
                    <xdr:colOff>1238250</xdr:colOff>
                    <xdr:row>14</xdr:row>
                    <xdr:rowOff>0</xdr:rowOff>
                  </to>
                </anchor>
              </controlPr>
            </control>
          </mc:Choice>
        </mc:AlternateContent>
        <mc:AlternateContent xmlns:mc="http://schemas.openxmlformats.org/markup-compatibility/2006">
          <mc:Choice Requires="x14">
            <control shapeId="1450013" r:id="rId32" name="Check Box 29">
              <controlPr defaultSize="0" autoFill="0" autoLine="0" autoPict="0">
                <anchor moveWithCells="1">
                  <from>
                    <xdr:col>3</xdr:col>
                    <xdr:colOff>9525</xdr:colOff>
                    <xdr:row>14</xdr:row>
                    <xdr:rowOff>0</xdr:rowOff>
                  </from>
                  <to>
                    <xdr:col>3</xdr:col>
                    <xdr:colOff>904875</xdr:colOff>
                    <xdr:row>14</xdr:row>
                    <xdr:rowOff>238125</xdr:rowOff>
                  </to>
                </anchor>
              </controlPr>
            </control>
          </mc:Choice>
        </mc:AlternateContent>
        <mc:AlternateContent xmlns:mc="http://schemas.openxmlformats.org/markup-compatibility/2006">
          <mc:Choice Requires="x14">
            <control shapeId="1450014" r:id="rId33" name="Check Box 30">
              <controlPr defaultSize="0" autoFill="0" autoLine="0" autoPict="0">
                <anchor moveWithCells="1">
                  <from>
                    <xdr:col>3</xdr:col>
                    <xdr:colOff>9525</xdr:colOff>
                    <xdr:row>14</xdr:row>
                    <xdr:rowOff>190500</xdr:rowOff>
                  </from>
                  <to>
                    <xdr:col>3</xdr:col>
                    <xdr:colOff>1238250</xdr:colOff>
                    <xdr:row>15</xdr:row>
                    <xdr:rowOff>0</xdr:rowOff>
                  </to>
                </anchor>
              </controlPr>
            </control>
          </mc:Choice>
        </mc:AlternateContent>
        <mc:AlternateContent xmlns:mc="http://schemas.openxmlformats.org/markup-compatibility/2006">
          <mc:Choice Requires="x14">
            <control shapeId="1450015" r:id="rId34" name="Check Box 31">
              <controlPr defaultSize="0" autoFill="0" autoLine="0" autoPict="0">
                <anchor moveWithCells="1">
                  <from>
                    <xdr:col>3</xdr:col>
                    <xdr:colOff>9525</xdr:colOff>
                    <xdr:row>15</xdr:row>
                    <xdr:rowOff>0</xdr:rowOff>
                  </from>
                  <to>
                    <xdr:col>3</xdr:col>
                    <xdr:colOff>904875</xdr:colOff>
                    <xdr:row>15</xdr:row>
                    <xdr:rowOff>238125</xdr:rowOff>
                  </to>
                </anchor>
              </controlPr>
            </control>
          </mc:Choice>
        </mc:AlternateContent>
        <mc:AlternateContent xmlns:mc="http://schemas.openxmlformats.org/markup-compatibility/2006">
          <mc:Choice Requires="x14">
            <control shapeId="1450016" r:id="rId35" name="Check Box 32">
              <controlPr defaultSize="0" autoFill="0" autoLine="0" autoPict="0">
                <anchor moveWithCells="1">
                  <from>
                    <xdr:col>3</xdr:col>
                    <xdr:colOff>9525</xdr:colOff>
                    <xdr:row>15</xdr:row>
                    <xdr:rowOff>190500</xdr:rowOff>
                  </from>
                  <to>
                    <xdr:col>3</xdr:col>
                    <xdr:colOff>1238250</xdr:colOff>
                    <xdr:row>16</xdr:row>
                    <xdr:rowOff>0</xdr:rowOff>
                  </to>
                </anchor>
              </controlPr>
            </control>
          </mc:Choice>
        </mc:AlternateContent>
        <mc:AlternateContent xmlns:mc="http://schemas.openxmlformats.org/markup-compatibility/2006">
          <mc:Choice Requires="x14">
            <control shapeId="1450017" r:id="rId36" name="Check Box 33">
              <controlPr defaultSize="0" autoFill="0" autoLine="0" autoPict="0">
                <anchor moveWithCells="1">
                  <from>
                    <xdr:col>3</xdr:col>
                    <xdr:colOff>9525</xdr:colOff>
                    <xdr:row>16</xdr:row>
                    <xdr:rowOff>0</xdr:rowOff>
                  </from>
                  <to>
                    <xdr:col>3</xdr:col>
                    <xdr:colOff>904875</xdr:colOff>
                    <xdr:row>16</xdr:row>
                    <xdr:rowOff>238125</xdr:rowOff>
                  </to>
                </anchor>
              </controlPr>
            </control>
          </mc:Choice>
        </mc:AlternateContent>
        <mc:AlternateContent xmlns:mc="http://schemas.openxmlformats.org/markup-compatibility/2006">
          <mc:Choice Requires="x14">
            <control shapeId="1450018" r:id="rId37" name="Check Box 34">
              <controlPr defaultSize="0" autoFill="0" autoLine="0" autoPict="0">
                <anchor moveWithCells="1">
                  <from>
                    <xdr:col>3</xdr:col>
                    <xdr:colOff>9525</xdr:colOff>
                    <xdr:row>16</xdr:row>
                    <xdr:rowOff>190500</xdr:rowOff>
                  </from>
                  <to>
                    <xdr:col>3</xdr:col>
                    <xdr:colOff>1238250</xdr:colOff>
                    <xdr:row>17</xdr:row>
                    <xdr:rowOff>0</xdr:rowOff>
                  </to>
                </anchor>
              </controlPr>
            </control>
          </mc:Choice>
        </mc:AlternateContent>
        <mc:AlternateContent xmlns:mc="http://schemas.openxmlformats.org/markup-compatibility/2006">
          <mc:Choice Requires="x14">
            <control shapeId="1450019" r:id="rId38" name="Check Box 35">
              <controlPr defaultSize="0" autoFill="0" autoLine="0" autoPict="0">
                <anchor moveWithCells="1">
                  <from>
                    <xdr:col>3</xdr:col>
                    <xdr:colOff>9525</xdr:colOff>
                    <xdr:row>17</xdr:row>
                    <xdr:rowOff>0</xdr:rowOff>
                  </from>
                  <to>
                    <xdr:col>3</xdr:col>
                    <xdr:colOff>904875</xdr:colOff>
                    <xdr:row>17</xdr:row>
                    <xdr:rowOff>238125</xdr:rowOff>
                  </to>
                </anchor>
              </controlPr>
            </control>
          </mc:Choice>
        </mc:AlternateContent>
        <mc:AlternateContent xmlns:mc="http://schemas.openxmlformats.org/markup-compatibility/2006">
          <mc:Choice Requires="x14">
            <control shapeId="1450020" r:id="rId39" name="Check Box 36">
              <controlPr defaultSize="0" autoFill="0" autoLine="0" autoPict="0">
                <anchor moveWithCells="1">
                  <from>
                    <xdr:col>3</xdr:col>
                    <xdr:colOff>9525</xdr:colOff>
                    <xdr:row>17</xdr:row>
                    <xdr:rowOff>190500</xdr:rowOff>
                  </from>
                  <to>
                    <xdr:col>3</xdr:col>
                    <xdr:colOff>1238250</xdr:colOff>
                    <xdr:row>18</xdr:row>
                    <xdr:rowOff>0</xdr:rowOff>
                  </to>
                </anchor>
              </controlPr>
            </control>
          </mc:Choice>
        </mc:AlternateContent>
        <mc:AlternateContent xmlns:mc="http://schemas.openxmlformats.org/markup-compatibility/2006">
          <mc:Choice Requires="x14">
            <control shapeId="1450021" r:id="rId40" name="Check Box 37">
              <controlPr defaultSize="0" autoFill="0" autoLine="0" autoPict="0">
                <anchor moveWithCells="1">
                  <from>
                    <xdr:col>3</xdr:col>
                    <xdr:colOff>9525</xdr:colOff>
                    <xdr:row>18</xdr:row>
                    <xdr:rowOff>0</xdr:rowOff>
                  </from>
                  <to>
                    <xdr:col>3</xdr:col>
                    <xdr:colOff>904875</xdr:colOff>
                    <xdr:row>18</xdr:row>
                    <xdr:rowOff>238125</xdr:rowOff>
                  </to>
                </anchor>
              </controlPr>
            </control>
          </mc:Choice>
        </mc:AlternateContent>
        <mc:AlternateContent xmlns:mc="http://schemas.openxmlformats.org/markup-compatibility/2006">
          <mc:Choice Requires="x14">
            <control shapeId="1450022" r:id="rId41" name="Check Box 38">
              <controlPr defaultSize="0" autoFill="0" autoLine="0" autoPict="0">
                <anchor moveWithCells="1">
                  <from>
                    <xdr:col>3</xdr:col>
                    <xdr:colOff>9525</xdr:colOff>
                    <xdr:row>18</xdr:row>
                    <xdr:rowOff>190500</xdr:rowOff>
                  </from>
                  <to>
                    <xdr:col>3</xdr:col>
                    <xdr:colOff>1238250</xdr:colOff>
                    <xdr:row>19</xdr:row>
                    <xdr:rowOff>0</xdr:rowOff>
                  </to>
                </anchor>
              </controlPr>
            </control>
          </mc:Choice>
        </mc:AlternateContent>
        <mc:AlternateContent xmlns:mc="http://schemas.openxmlformats.org/markup-compatibility/2006">
          <mc:Choice Requires="x14">
            <control shapeId="1450023" r:id="rId42" name="Check Box 39">
              <controlPr defaultSize="0" autoFill="0" autoLine="0" autoPict="0">
                <anchor moveWithCells="1">
                  <from>
                    <xdr:col>3</xdr:col>
                    <xdr:colOff>9525</xdr:colOff>
                    <xdr:row>19</xdr:row>
                    <xdr:rowOff>0</xdr:rowOff>
                  </from>
                  <to>
                    <xdr:col>3</xdr:col>
                    <xdr:colOff>904875</xdr:colOff>
                    <xdr:row>19</xdr:row>
                    <xdr:rowOff>238125</xdr:rowOff>
                  </to>
                </anchor>
              </controlPr>
            </control>
          </mc:Choice>
        </mc:AlternateContent>
        <mc:AlternateContent xmlns:mc="http://schemas.openxmlformats.org/markup-compatibility/2006">
          <mc:Choice Requires="x14">
            <control shapeId="1450024" r:id="rId43" name="Check Box 40">
              <controlPr defaultSize="0" autoFill="0" autoLine="0" autoPict="0">
                <anchor moveWithCells="1">
                  <from>
                    <xdr:col>3</xdr:col>
                    <xdr:colOff>9525</xdr:colOff>
                    <xdr:row>19</xdr:row>
                    <xdr:rowOff>190500</xdr:rowOff>
                  </from>
                  <to>
                    <xdr:col>3</xdr:col>
                    <xdr:colOff>1238250</xdr:colOff>
                    <xdr:row>20</xdr:row>
                    <xdr:rowOff>0</xdr:rowOff>
                  </to>
                </anchor>
              </controlPr>
            </control>
          </mc:Choice>
        </mc:AlternateContent>
        <mc:AlternateContent xmlns:mc="http://schemas.openxmlformats.org/markup-compatibility/2006">
          <mc:Choice Requires="x14">
            <control shapeId="1450025" r:id="rId44" name="Check Box 41">
              <controlPr defaultSize="0" autoFill="0" autoLine="0" autoPict="0">
                <anchor moveWithCells="1">
                  <from>
                    <xdr:col>3</xdr:col>
                    <xdr:colOff>9525</xdr:colOff>
                    <xdr:row>20</xdr:row>
                    <xdr:rowOff>0</xdr:rowOff>
                  </from>
                  <to>
                    <xdr:col>3</xdr:col>
                    <xdr:colOff>904875</xdr:colOff>
                    <xdr:row>20</xdr:row>
                    <xdr:rowOff>238125</xdr:rowOff>
                  </to>
                </anchor>
              </controlPr>
            </control>
          </mc:Choice>
        </mc:AlternateContent>
        <mc:AlternateContent xmlns:mc="http://schemas.openxmlformats.org/markup-compatibility/2006">
          <mc:Choice Requires="x14">
            <control shapeId="1450026" r:id="rId45" name="Check Box 42">
              <controlPr defaultSize="0" autoFill="0" autoLine="0" autoPict="0">
                <anchor moveWithCells="1">
                  <from>
                    <xdr:col>3</xdr:col>
                    <xdr:colOff>9525</xdr:colOff>
                    <xdr:row>20</xdr:row>
                    <xdr:rowOff>190500</xdr:rowOff>
                  </from>
                  <to>
                    <xdr:col>3</xdr:col>
                    <xdr:colOff>1238250</xdr:colOff>
                    <xdr:row>21</xdr:row>
                    <xdr:rowOff>0</xdr:rowOff>
                  </to>
                </anchor>
              </controlPr>
            </control>
          </mc:Choice>
        </mc:AlternateContent>
        <mc:AlternateContent xmlns:mc="http://schemas.openxmlformats.org/markup-compatibility/2006">
          <mc:Choice Requires="x14">
            <control shapeId="1450027" r:id="rId46" name="Check Box 43">
              <controlPr defaultSize="0" autoFill="0" autoLine="0" autoPict="0">
                <anchor moveWithCells="1">
                  <from>
                    <xdr:col>5</xdr:col>
                    <xdr:colOff>9525</xdr:colOff>
                    <xdr:row>11</xdr:row>
                    <xdr:rowOff>0</xdr:rowOff>
                  </from>
                  <to>
                    <xdr:col>5</xdr:col>
                    <xdr:colOff>904875</xdr:colOff>
                    <xdr:row>11</xdr:row>
                    <xdr:rowOff>238125</xdr:rowOff>
                  </to>
                </anchor>
              </controlPr>
            </control>
          </mc:Choice>
        </mc:AlternateContent>
        <mc:AlternateContent xmlns:mc="http://schemas.openxmlformats.org/markup-compatibility/2006">
          <mc:Choice Requires="x14">
            <control shapeId="1450028" r:id="rId47" name="Check Box 44">
              <controlPr defaultSize="0" autoFill="0" autoLine="0" autoPict="0">
                <anchor moveWithCells="1">
                  <from>
                    <xdr:col>5</xdr:col>
                    <xdr:colOff>9525</xdr:colOff>
                    <xdr:row>11</xdr:row>
                    <xdr:rowOff>190500</xdr:rowOff>
                  </from>
                  <to>
                    <xdr:col>6</xdr:col>
                    <xdr:colOff>104775</xdr:colOff>
                    <xdr:row>12</xdr:row>
                    <xdr:rowOff>0</xdr:rowOff>
                  </to>
                </anchor>
              </controlPr>
            </control>
          </mc:Choice>
        </mc:AlternateContent>
        <mc:AlternateContent xmlns:mc="http://schemas.openxmlformats.org/markup-compatibility/2006">
          <mc:Choice Requires="x14">
            <control shapeId="1450029" r:id="rId48" name="Check Box 45">
              <controlPr defaultSize="0" autoFill="0" autoLine="0" autoPict="0">
                <anchor moveWithCells="1">
                  <from>
                    <xdr:col>5</xdr:col>
                    <xdr:colOff>9525</xdr:colOff>
                    <xdr:row>12</xdr:row>
                    <xdr:rowOff>0</xdr:rowOff>
                  </from>
                  <to>
                    <xdr:col>5</xdr:col>
                    <xdr:colOff>904875</xdr:colOff>
                    <xdr:row>12</xdr:row>
                    <xdr:rowOff>238125</xdr:rowOff>
                  </to>
                </anchor>
              </controlPr>
            </control>
          </mc:Choice>
        </mc:AlternateContent>
        <mc:AlternateContent xmlns:mc="http://schemas.openxmlformats.org/markup-compatibility/2006">
          <mc:Choice Requires="x14">
            <control shapeId="1450030" r:id="rId49" name="Check Box 46">
              <controlPr defaultSize="0" autoFill="0" autoLine="0" autoPict="0">
                <anchor moveWithCells="1">
                  <from>
                    <xdr:col>5</xdr:col>
                    <xdr:colOff>9525</xdr:colOff>
                    <xdr:row>12</xdr:row>
                    <xdr:rowOff>190500</xdr:rowOff>
                  </from>
                  <to>
                    <xdr:col>6</xdr:col>
                    <xdr:colOff>104775</xdr:colOff>
                    <xdr:row>13</xdr:row>
                    <xdr:rowOff>0</xdr:rowOff>
                  </to>
                </anchor>
              </controlPr>
            </control>
          </mc:Choice>
        </mc:AlternateContent>
        <mc:AlternateContent xmlns:mc="http://schemas.openxmlformats.org/markup-compatibility/2006">
          <mc:Choice Requires="x14">
            <control shapeId="1450031" r:id="rId50" name="Check Box 47">
              <controlPr defaultSize="0" autoFill="0" autoLine="0" autoPict="0">
                <anchor moveWithCells="1">
                  <from>
                    <xdr:col>5</xdr:col>
                    <xdr:colOff>9525</xdr:colOff>
                    <xdr:row>13</xdr:row>
                    <xdr:rowOff>0</xdr:rowOff>
                  </from>
                  <to>
                    <xdr:col>5</xdr:col>
                    <xdr:colOff>904875</xdr:colOff>
                    <xdr:row>13</xdr:row>
                    <xdr:rowOff>238125</xdr:rowOff>
                  </to>
                </anchor>
              </controlPr>
            </control>
          </mc:Choice>
        </mc:AlternateContent>
        <mc:AlternateContent xmlns:mc="http://schemas.openxmlformats.org/markup-compatibility/2006">
          <mc:Choice Requires="x14">
            <control shapeId="1450032" r:id="rId51" name="Check Box 48">
              <controlPr defaultSize="0" autoFill="0" autoLine="0" autoPict="0">
                <anchor moveWithCells="1">
                  <from>
                    <xdr:col>5</xdr:col>
                    <xdr:colOff>9525</xdr:colOff>
                    <xdr:row>13</xdr:row>
                    <xdr:rowOff>190500</xdr:rowOff>
                  </from>
                  <to>
                    <xdr:col>6</xdr:col>
                    <xdr:colOff>104775</xdr:colOff>
                    <xdr:row>14</xdr:row>
                    <xdr:rowOff>0</xdr:rowOff>
                  </to>
                </anchor>
              </controlPr>
            </control>
          </mc:Choice>
        </mc:AlternateContent>
        <mc:AlternateContent xmlns:mc="http://schemas.openxmlformats.org/markup-compatibility/2006">
          <mc:Choice Requires="x14">
            <control shapeId="1450033" r:id="rId52" name="Check Box 49">
              <controlPr defaultSize="0" autoFill="0" autoLine="0" autoPict="0">
                <anchor moveWithCells="1">
                  <from>
                    <xdr:col>5</xdr:col>
                    <xdr:colOff>9525</xdr:colOff>
                    <xdr:row>14</xdr:row>
                    <xdr:rowOff>0</xdr:rowOff>
                  </from>
                  <to>
                    <xdr:col>5</xdr:col>
                    <xdr:colOff>904875</xdr:colOff>
                    <xdr:row>14</xdr:row>
                    <xdr:rowOff>238125</xdr:rowOff>
                  </to>
                </anchor>
              </controlPr>
            </control>
          </mc:Choice>
        </mc:AlternateContent>
        <mc:AlternateContent xmlns:mc="http://schemas.openxmlformats.org/markup-compatibility/2006">
          <mc:Choice Requires="x14">
            <control shapeId="1450034" r:id="rId53" name="Check Box 50">
              <controlPr defaultSize="0" autoFill="0" autoLine="0" autoPict="0">
                <anchor moveWithCells="1">
                  <from>
                    <xdr:col>5</xdr:col>
                    <xdr:colOff>9525</xdr:colOff>
                    <xdr:row>14</xdr:row>
                    <xdr:rowOff>190500</xdr:rowOff>
                  </from>
                  <to>
                    <xdr:col>6</xdr:col>
                    <xdr:colOff>104775</xdr:colOff>
                    <xdr:row>15</xdr:row>
                    <xdr:rowOff>0</xdr:rowOff>
                  </to>
                </anchor>
              </controlPr>
            </control>
          </mc:Choice>
        </mc:AlternateContent>
        <mc:AlternateContent xmlns:mc="http://schemas.openxmlformats.org/markup-compatibility/2006">
          <mc:Choice Requires="x14">
            <control shapeId="1450035" r:id="rId54" name="Check Box 51">
              <controlPr defaultSize="0" autoFill="0" autoLine="0" autoPict="0">
                <anchor moveWithCells="1">
                  <from>
                    <xdr:col>5</xdr:col>
                    <xdr:colOff>9525</xdr:colOff>
                    <xdr:row>15</xdr:row>
                    <xdr:rowOff>0</xdr:rowOff>
                  </from>
                  <to>
                    <xdr:col>5</xdr:col>
                    <xdr:colOff>904875</xdr:colOff>
                    <xdr:row>15</xdr:row>
                    <xdr:rowOff>238125</xdr:rowOff>
                  </to>
                </anchor>
              </controlPr>
            </control>
          </mc:Choice>
        </mc:AlternateContent>
        <mc:AlternateContent xmlns:mc="http://schemas.openxmlformats.org/markup-compatibility/2006">
          <mc:Choice Requires="x14">
            <control shapeId="1450036" r:id="rId55" name="Check Box 52">
              <controlPr defaultSize="0" autoFill="0" autoLine="0" autoPict="0">
                <anchor moveWithCells="1">
                  <from>
                    <xdr:col>5</xdr:col>
                    <xdr:colOff>9525</xdr:colOff>
                    <xdr:row>15</xdr:row>
                    <xdr:rowOff>190500</xdr:rowOff>
                  </from>
                  <to>
                    <xdr:col>6</xdr:col>
                    <xdr:colOff>104775</xdr:colOff>
                    <xdr:row>16</xdr:row>
                    <xdr:rowOff>0</xdr:rowOff>
                  </to>
                </anchor>
              </controlPr>
            </control>
          </mc:Choice>
        </mc:AlternateContent>
        <mc:AlternateContent xmlns:mc="http://schemas.openxmlformats.org/markup-compatibility/2006">
          <mc:Choice Requires="x14">
            <control shapeId="1450037" r:id="rId56" name="Check Box 53">
              <controlPr defaultSize="0" autoFill="0" autoLine="0" autoPict="0">
                <anchor moveWithCells="1">
                  <from>
                    <xdr:col>5</xdr:col>
                    <xdr:colOff>9525</xdr:colOff>
                    <xdr:row>16</xdr:row>
                    <xdr:rowOff>0</xdr:rowOff>
                  </from>
                  <to>
                    <xdr:col>5</xdr:col>
                    <xdr:colOff>904875</xdr:colOff>
                    <xdr:row>16</xdr:row>
                    <xdr:rowOff>238125</xdr:rowOff>
                  </to>
                </anchor>
              </controlPr>
            </control>
          </mc:Choice>
        </mc:AlternateContent>
        <mc:AlternateContent xmlns:mc="http://schemas.openxmlformats.org/markup-compatibility/2006">
          <mc:Choice Requires="x14">
            <control shapeId="1450038" r:id="rId57" name="Check Box 54">
              <controlPr defaultSize="0" autoFill="0" autoLine="0" autoPict="0">
                <anchor moveWithCells="1">
                  <from>
                    <xdr:col>5</xdr:col>
                    <xdr:colOff>9525</xdr:colOff>
                    <xdr:row>16</xdr:row>
                    <xdr:rowOff>190500</xdr:rowOff>
                  </from>
                  <to>
                    <xdr:col>6</xdr:col>
                    <xdr:colOff>104775</xdr:colOff>
                    <xdr:row>17</xdr:row>
                    <xdr:rowOff>0</xdr:rowOff>
                  </to>
                </anchor>
              </controlPr>
            </control>
          </mc:Choice>
        </mc:AlternateContent>
        <mc:AlternateContent xmlns:mc="http://schemas.openxmlformats.org/markup-compatibility/2006">
          <mc:Choice Requires="x14">
            <control shapeId="1450039" r:id="rId58" name="Check Box 55">
              <controlPr defaultSize="0" autoFill="0" autoLine="0" autoPict="0">
                <anchor moveWithCells="1">
                  <from>
                    <xdr:col>5</xdr:col>
                    <xdr:colOff>9525</xdr:colOff>
                    <xdr:row>17</xdr:row>
                    <xdr:rowOff>0</xdr:rowOff>
                  </from>
                  <to>
                    <xdr:col>5</xdr:col>
                    <xdr:colOff>904875</xdr:colOff>
                    <xdr:row>17</xdr:row>
                    <xdr:rowOff>238125</xdr:rowOff>
                  </to>
                </anchor>
              </controlPr>
            </control>
          </mc:Choice>
        </mc:AlternateContent>
        <mc:AlternateContent xmlns:mc="http://schemas.openxmlformats.org/markup-compatibility/2006">
          <mc:Choice Requires="x14">
            <control shapeId="1450040" r:id="rId59" name="Check Box 56">
              <controlPr defaultSize="0" autoFill="0" autoLine="0" autoPict="0">
                <anchor moveWithCells="1">
                  <from>
                    <xdr:col>5</xdr:col>
                    <xdr:colOff>9525</xdr:colOff>
                    <xdr:row>17</xdr:row>
                    <xdr:rowOff>190500</xdr:rowOff>
                  </from>
                  <to>
                    <xdr:col>6</xdr:col>
                    <xdr:colOff>104775</xdr:colOff>
                    <xdr:row>18</xdr:row>
                    <xdr:rowOff>0</xdr:rowOff>
                  </to>
                </anchor>
              </controlPr>
            </control>
          </mc:Choice>
        </mc:AlternateContent>
        <mc:AlternateContent xmlns:mc="http://schemas.openxmlformats.org/markup-compatibility/2006">
          <mc:Choice Requires="x14">
            <control shapeId="1450041" r:id="rId60" name="Check Box 57">
              <controlPr defaultSize="0" autoFill="0" autoLine="0" autoPict="0">
                <anchor moveWithCells="1">
                  <from>
                    <xdr:col>5</xdr:col>
                    <xdr:colOff>9525</xdr:colOff>
                    <xdr:row>18</xdr:row>
                    <xdr:rowOff>0</xdr:rowOff>
                  </from>
                  <to>
                    <xdr:col>5</xdr:col>
                    <xdr:colOff>904875</xdr:colOff>
                    <xdr:row>18</xdr:row>
                    <xdr:rowOff>238125</xdr:rowOff>
                  </to>
                </anchor>
              </controlPr>
            </control>
          </mc:Choice>
        </mc:AlternateContent>
        <mc:AlternateContent xmlns:mc="http://schemas.openxmlformats.org/markup-compatibility/2006">
          <mc:Choice Requires="x14">
            <control shapeId="1450042" r:id="rId61" name="Check Box 58">
              <controlPr defaultSize="0" autoFill="0" autoLine="0" autoPict="0">
                <anchor moveWithCells="1">
                  <from>
                    <xdr:col>5</xdr:col>
                    <xdr:colOff>9525</xdr:colOff>
                    <xdr:row>18</xdr:row>
                    <xdr:rowOff>190500</xdr:rowOff>
                  </from>
                  <to>
                    <xdr:col>6</xdr:col>
                    <xdr:colOff>104775</xdr:colOff>
                    <xdr:row>19</xdr:row>
                    <xdr:rowOff>0</xdr:rowOff>
                  </to>
                </anchor>
              </controlPr>
            </control>
          </mc:Choice>
        </mc:AlternateContent>
        <mc:AlternateContent xmlns:mc="http://schemas.openxmlformats.org/markup-compatibility/2006">
          <mc:Choice Requires="x14">
            <control shapeId="1450043" r:id="rId62" name="Check Box 59">
              <controlPr defaultSize="0" autoFill="0" autoLine="0" autoPict="0">
                <anchor moveWithCells="1">
                  <from>
                    <xdr:col>5</xdr:col>
                    <xdr:colOff>9525</xdr:colOff>
                    <xdr:row>19</xdr:row>
                    <xdr:rowOff>0</xdr:rowOff>
                  </from>
                  <to>
                    <xdr:col>5</xdr:col>
                    <xdr:colOff>904875</xdr:colOff>
                    <xdr:row>19</xdr:row>
                    <xdr:rowOff>238125</xdr:rowOff>
                  </to>
                </anchor>
              </controlPr>
            </control>
          </mc:Choice>
        </mc:AlternateContent>
        <mc:AlternateContent xmlns:mc="http://schemas.openxmlformats.org/markup-compatibility/2006">
          <mc:Choice Requires="x14">
            <control shapeId="1450044" r:id="rId63" name="Check Box 60">
              <controlPr defaultSize="0" autoFill="0" autoLine="0" autoPict="0">
                <anchor moveWithCells="1">
                  <from>
                    <xdr:col>5</xdr:col>
                    <xdr:colOff>9525</xdr:colOff>
                    <xdr:row>19</xdr:row>
                    <xdr:rowOff>190500</xdr:rowOff>
                  </from>
                  <to>
                    <xdr:col>6</xdr:col>
                    <xdr:colOff>104775</xdr:colOff>
                    <xdr:row>20</xdr:row>
                    <xdr:rowOff>0</xdr:rowOff>
                  </to>
                </anchor>
              </controlPr>
            </control>
          </mc:Choice>
        </mc:AlternateContent>
        <mc:AlternateContent xmlns:mc="http://schemas.openxmlformats.org/markup-compatibility/2006">
          <mc:Choice Requires="x14">
            <control shapeId="1450045" r:id="rId64" name="Check Box 61">
              <controlPr defaultSize="0" autoFill="0" autoLine="0" autoPict="0">
                <anchor moveWithCells="1">
                  <from>
                    <xdr:col>5</xdr:col>
                    <xdr:colOff>9525</xdr:colOff>
                    <xdr:row>20</xdr:row>
                    <xdr:rowOff>0</xdr:rowOff>
                  </from>
                  <to>
                    <xdr:col>5</xdr:col>
                    <xdr:colOff>904875</xdr:colOff>
                    <xdr:row>20</xdr:row>
                    <xdr:rowOff>238125</xdr:rowOff>
                  </to>
                </anchor>
              </controlPr>
            </control>
          </mc:Choice>
        </mc:AlternateContent>
        <mc:AlternateContent xmlns:mc="http://schemas.openxmlformats.org/markup-compatibility/2006">
          <mc:Choice Requires="x14">
            <control shapeId="1450046" r:id="rId65" name="Check Box 62">
              <controlPr defaultSize="0" autoFill="0" autoLine="0" autoPict="0">
                <anchor moveWithCells="1">
                  <from>
                    <xdr:col>5</xdr:col>
                    <xdr:colOff>9525</xdr:colOff>
                    <xdr:row>20</xdr:row>
                    <xdr:rowOff>190500</xdr:rowOff>
                  </from>
                  <to>
                    <xdr:col>6</xdr:col>
                    <xdr:colOff>104775</xdr:colOff>
                    <xdr:row>21</xdr:row>
                    <xdr:rowOff>0</xdr:rowOff>
                  </to>
                </anchor>
              </controlPr>
            </control>
          </mc:Choice>
        </mc:AlternateContent>
        <mc:AlternateContent xmlns:mc="http://schemas.openxmlformats.org/markup-compatibility/2006">
          <mc:Choice Requires="x14">
            <control shapeId="1450047" r:id="rId66" name="Check Box 63">
              <controlPr defaultSize="0" autoFill="0" autoLine="0" autoPict="0">
                <anchor moveWithCells="1">
                  <from>
                    <xdr:col>4</xdr:col>
                    <xdr:colOff>590550</xdr:colOff>
                    <xdr:row>12</xdr:row>
                    <xdr:rowOff>95250</xdr:rowOff>
                  </from>
                  <to>
                    <xdr:col>4</xdr:col>
                    <xdr:colOff>1314450</xdr:colOff>
                    <xdr:row>12</xdr:row>
                    <xdr:rowOff>333375</xdr:rowOff>
                  </to>
                </anchor>
              </controlPr>
            </control>
          </mc:Choice>
        </mc:AlternateContent>
        <mc:AlternateContent xmlns:mc="http://schemas.openxmlformats.org/markup-compatibility/2006">
          <mc:Choice Requires="x14">
            <control shapeId="1450048" r:id="rId67" name="Check Box 64">
              <controlPr defaultSize="0" autoFill="0" autoLine="0" autoPict="0">
                <anchor moveWithCells="1">
                  <from>
                    <xdr:col>4</xdr:col>
                    <xdr:colOff>590550</xdr:colOff>
                    <xdr:row>13</xdr:row>
                    <xdr:rowOff>95250</xdr:rowOff>
                  </from>
                  <to>
                    <xdr:col>4</xdr:col>
                    <xdr:colOff>1314450</xdr:colOff>
                    <xdr:row>13</xdr:row>
                    <xdr:rowOff>333375</xdr:rowOff>
                  </to>
                </anchor>
              </controlPr>
            </control>
          </mc:Choice>
        </mc:AlternateContent>
        <mc:AlternateContent xmlns:mc="http://schemas.openxmlformats.org/markup-compatibility/2006">
          <mc:Choice Requires="x14">
            <control shapeId="1450049" r:id="rId68" name="Check Box 65">
              <controlPr defaultSize="0" autoFill="0" autoLine="0" autoPict="0">
                <anchor moveWithCells="1">
                  <from>
                    <xdr:col>4</xdr:col>
                    <xdr:colOff>590550</xdr:colOff>
                    <xdr:row>14</xdr:row>
                    <xdr:rowOff>95250</xdr:rowOff>
                  </from>
                  <to>
                    <xdr:col>4</xdr:col>
                    <xdr:colOff>1314450</xdr:colOff>
                    <xdr:row>14</xdr:row>
                    <xdr:rowOff>333375</xdr:rowOff>
                  </to>
                </anchor>
              </controlPr>
            </control>
          </mc:Choice>
        </mc:AlternateContent>
        <mc:AlternateContent xmlns:mc="http://schemas.openxmlformats.org/markup-compatibility/2006">
          <mc:Choice Requires="x14">
            <control shapeId="1450050" r:id="rId69" name="Check Box 66">
              <controlPr defaultSize="0" autoFill="0" autoLine="0" autoPict="0">
                <anchor moveWithCells="1">
                  <from>
                    <xdr:col>4</xdr:col>
                    <xdr:colOff>590550</xdr:colOff>
                    <xdr:row>15</xdr:row>
                    <xdr:rowOff>95250</xdr:rowOff>
                  </from>
                  <to>
                    <xdr:col>4</xdr:col>
                    <xdr:colOff>1314450</xdr:colOff>
                    <xdr:row>15</xdr:row>
                    <xdr:rowOff>333375</xdr:rowOff>
                  </to>
                </anchor>
              </controlPr>
            </control>
          </mc:Choice>
        </mc:AlternateContent>
        <mc:AlternateContent xmlns:mc="http://schemas.openxmlformats.org/markup-compatibility/2006">
          <mc:Choice Requires="x14">
            <control shapeId="1450051" r:id="rId70" name="Check Box 67">
              <controlPr defaultSize="0" autoFill="0" autoLine="0" autoPict="0">
                <anchor moveWithCells="1">
                  <from>
                    <xdr:col>4</xdr:col>
                    <xdr:colOff>590550</xdr:colOff>
                    <xdr:row>16</xdr:row>
                    <xdr:rowOff>85725</xdr:rowOff>
                  </from>
                  <to>
                    <xdr:col>4</xdr:col>
                    <xdr:colOff>1314450</xdr:colOff>
                    <xdr:row>16</xdr:row>
                    <xdr:rowOff>323850</xdr:rowOff>
                  </to>
                </anchor>
              </controlPr>
            </control>
          </mc:Choice>
        </mc:AlternateContent>
        <mc:AlternateContent xmlns:mc="http://schemas.openxmlformats.org/markup-compatibility/2006">
          <mc:Choice Requires="x14">
            <control shapeId="1450052" r:id="rId71" name="Check Box 68">
              <controlPr defaultSize="0" autoFill="0" autoLine="0" autoPict="0">
                <anchor moveWithCells="1">
                  <from>
                    <xdr:col>4</xdr:col>
                    <xdr:colOff>590550</xdr:colOff>
                    <xdr:row>17</xdr:row>
                    <xdr:rowOff>85725</xdr:rowOff>
                  </from>
                  <to>
                    <xdr:col>4</xdr:col>
                    <xdr:colOff>1314450</xdr:colOff>
                    <xdr:row>17</xdr:row>
                    <xdr:rowOff>323850</xdr:rowOff>
                  </to>
                </anchor>
              </controlPr>
            </control>
          </mc:Choice>
        </mc:AlternateContent>
        <mc:AlternateContent xmlns:mc="http://schemas.openxmlformats.org/markup-compatibility/2006">
          <mc:Choice Requires="x14">
            <control shapeId="1450053" r:id="rId72" name="Check Box 69">
              <controlPr defaultSize="0" autoFill="0" autoLine="0" autoPict="0">
                <anchor moveWithCells="1">
                  <from>
                    <xdr:col>4</xdr:col>
                    <xdr:colOff>590550</xdr:colOff>
                    <xdr:row>18</xdr:row>
                    <xdr:rowOff>85725</xdr:rowOff>
                  </from>
                  <to>
                    <xdr:col>4</xdr:col>
                    <xdr:colOff>1314450</xdr:colOff>
                    <xdr:row>18</xdr:row>
                    <xdr:rowOff>323850</xdr:rowOff>
                  </to>
                </anchor>
              </controlPr>
            </control>
          </mc:Choice>
        </mc:AlternateContent>
        <mc:AlternateContent xmlns:mc="http://schemas.openxmlformats.org/markup-compatibility/2006">
          <mc:Choice Requires="x14">
            <control shapeId="1450054" r:id="rId73" name="Check Box 70">
              <controlPr defaultSize="0" autoFill="0" autoLine="0" autoPict="0">
                <anchor moveWithCells="1">
                  <from>
                    <xdr:col>4</xdr:col>
                    <xdr:colOff>590550</xdr:colOff>
                    <xdr:row>19</xdr:row>
                    <xdr:rowOff>85725</xdr:rowOff>
                  </from>
                  <to>
                    <xdr:col>4</xdr:col>
                    <xdr:colOff>1314450</xdr:colOff>
                    <xdr:row>19</xdr:row>
                    <xdr:rowOff>323850</xdr:rowOff>
                  </to>
                </anchor>
              </controlPr>
            </control>
          </mc:Choice>
        </mc:AlternateContent>
        <mc:AlternateContent xmlns:mc="http://schemas.openxmlformats.org/markup-compatibility/2006">
          <mc:Choice Requires="x14">
            <control shapeId="1450055" r:id="rId74" name="Check Box 71">
              <controlPr defaultSize="0" autoFill="0" autoLine="0" autoPict="0">
                <anchor moveWithCells="1">
                  <from>
                    <xdr:col>4</xdr:col>
                    <xdr:colOff>590550</xdr:colOff>
                    <xdr:row>20</xdr:row>
                    <xdr:rowOff>85725</xdr:rowOff>
                  </from>
                  <to>
                    <xdr:col>4</xdr:col>
                    <xdr:colOff>1314450</xdr:colOff>
                    <xdr:row>20</xdr:row>
                    <xdr:rowOff>323850</xdr:rowOff>
                  </to>
                </anchor>
              </controlPr>
            </control>
          </mc:Choice>
        </mc:AlternateContent>
        <mc:AlternateContent xmlns:mc="http://schemas.openxmlformats.org/markup-compatibility/2006">
          <mc:Choice Requires="x14">
            <control shapeId="1450056" r:id="rId75" name="Check Box 72">
              <controlPr defaultSize="0" autoFill="0" autoLine="0" autoPict="0">
                <anchor moveWithCells="1">
                  <from>
                    <xdr:col>3</xdr:col>
                    <xdr:colOff>676275</xdr:colOff>
                    <xdr:row>7</xdr:row>
                    <xdr:rowOff>190500</xdr:rowOff>
                  </from>
                  <to>
                    <xdr:col>4</xdr:col>
                    <xdr:colOff>0</xdr:colOff>
                    <xdr:row>8</xdr:row>
                    <xdr:rowOff>0</xdr:rowOff>
                  </to>
                </anchor>
              </controlPr>
            </control>
          </mc:Choice>
        </mc:AlternateContent>
        <mc:AlternateContent xmlns:mc="http://schemas.openxmlformats.org/markup-compatibility/2006">
          <mc:Choice Requires="x14">
            <control shapeId="1450057" r:id="rId76" name="Check Box 73">
              <controlPr defaultSize="0" autoFill="0" autoLine="0" autoPict="0">
                <anchor moveWithCells="1">
                  <from>
                    <xdr:col>2</xdr:col>
                    <xdr:colOff>0</xdr:colOff>
                    <xdr:row>7</xdr:row>
                    <xdr:rowOff>190500</xdr:rowOff>
                  </from>
                  <to>
                    <xdr:col>2</xdr:col>
                    <xdr:colOff>771525</xdr:colOff>
                    <xdr:row>8</xdr:row>
                    <xdr:rowOff>0</xdr:rowOff>
                  </to>
                </anchor>
              </controlPr>
            </control>
          </mc:Choice>
        </mc:AlternateContent>
        <mc:AlternateContent xmlns:mc="http://schemas.openxmlformats.org/markup-compatibility/2006">
          <mc:Choice Requires="x14">
            <control shapeId="1450058" r:id="rId77" name="Check Box 74">
              <controlPr defaultSize="0" autoFill="0" autoLine="0" autoPict="0">
                <anchor moveWithCells="1">
                  <from>
                    <xdr:col>2</xdr:col>
                    <xdr:colOff>704850</xdr:colOff>
                    <xdr:row>7</xdr:row>
                    <xdr:rowOff>190500</xdr:rowOff>
                  </from>
                  <to>
                    <xdr:col>3</xdr:col>
                    <xdr:colOff>0</xdr:colOff>
                    <xdr:row>8</xdr:row>
                    <xdr:rowOff>0</xdr:rowOff>
                  </to>
                </anchor>
              </controlPr>
            </control>
          </mc:Choice>
        </mc:AlternateContent>
        <mc:AlternateContent xmlns:mc="http://schemas.openxmlformats.org/markup-compatibility/2006">
          <mc:Choice Requires="x14">
            <control shapeId="1450059" r:id="rId78" name="Check Box 75">
              <controlPr defaultSize="0" autoFill="0" autoLine="0" autoPict="0">
                <anchor moveWithCells="1">
                  <from>
                    <xdr:col>1</xdr:col>
                    <xdr:colOff>9525</xdr:colOff>
                    <xdr:row>7</xdr:row>
                    <xdr:rowOff>190500</xdr:rowOff>
                  </from>
                  <to>
                    <xdr:col>1</xdr:col>
                    <xdr:colOff>781050</xdr:colOff>
                    <xdr:row>8</xdr:row>
                    <xdr:rowOff>0</xdr:rowOff>
                  </to>
                </anchor>
              </controlPr>
            </control>
          </mc:Choice>
        </mc:AlternateContent>
        <mc:AlternateContent xmlns:mc="http://schemas.openxmlformats.org/markup-compatibility/2006">
          <mc:Choice Requires="x14">
            <control shapeId="1450060" r:id="rId79" name="Check Box 76">
              <controlPr defaultSize="0" autoFill="0" autoLine="0" autoPict="0">
                <anchor moveWithCells="1">
                  <from>
                    <xdr:col>1</xdr:col>
                    <xdr:colOff>0</xdr:colOff>
                    <xdr:row>8</xdr:row>
                    <xdr:rowOff>190500</xdr:rowOff>
                  </from>
                  <to>
                    <xdr:col>1</xdr:col>
                    <xdr:colOff>771525</xdr:colOff>
                    <xdr:row>9</xdr:row>
                    <xdr:rowOff>0</xdr:rowOff>
                  </to>
                </anchor>
              </controlPr>
            </control>
          </mc:Choice>
        </mc:AlternateContent>
        <mc:AlternateContent xmlns:mc="http://schemas.openxmlformats.org/markup-compatibility/2006">
          <mc:Choice Requires="x14">
            <control shapeId="1450061" r:id="rId80" name="Check Box 77">
              <controlPr defaultSize="0" autoFill="0" autoLine="0" autoPict="0">
                <anchor moveWithCells="1">
                  <from>
                    <xdr:col>1</xdr:col>
                    <xdr:colOff>1685925</xdr:colOff>
                    <xdr:row>8</xdr:row>
                    <xdr:rowOff>200025</xdr:rowOff>
                  </from>
                  <to>
                    <xdr:col>2</xdr:col>
                    <xdr:colOff>771525</xdr:colOff>
                    <xdr:row>9</xdr:row>
                    <xdr:rowOff>9525</xdr:rowOff>
                  </to>
                </anchor>
              </controlPr>
            </control>
          </mc:Choice>
        </mc:AlternateContent>
        <mc:AlternateContent xmlns:mc="http://schemas.openxmlformats.org/markup-compatibility/2006">
          <mc:Choice Requires="x14">
            <control shapeId="1450062" r:id="rId81" name="Check Box 78">
              <controlPr defaultSize="0" autoFill="0" autoLine="0" autoPict="0">
                <anchor moveWithCells="1">
                  <from>
                    <xdr:col>2</xdr:col>
                    <xdr:colOff>695325</xdr:colOff>
                    <xdr:row>8</xdr:row>
                    <xdr:rowOff>200025</xdr:rowOff>
                  </from>
                  <to>
                    <xdr:col>2</xdr:col>
                    <xdr:colOff>1590675</xdr:colOff>
                    <xdr:row>9</xdr:row>
                    <xdr:rowOff>9525</xdr:rowOff>
                  </to>
                </anchor>
              </controlPr>
            </control>
          </mc:Choice>
        </mc:AlternateContent>
        <mc:AlternateContent xmlns:mc="http://schemas.openxmlformats.org/markup-compatibility/2006">
          <mc:Choice Requires="x14">
            <control shapeId="1450063" r:id="rId82" name="Check Box 79">
              <controlPr defaultSize="0" autoFill="0" autoLine="0" autoPict="0">
                <anchor moveWithCells="1">
                  <from>
                    <xdr:col>3</xdr:col>
                    <xdr:colOff>0</xdr:colOff>
                    <xdr:row>8</xdr:row>
                    <xdr:rowOff>209550</xdr:rowOff>
                  </from>
                  <to>
                    <xdr:col>3</xdr:col>
                    <xdr:colOff>771525</xdr:colOff>
                    <xdr:row>9</xdr:row>
                    <xdr:rowOff>19050</xdr:rowOff>
                  </to>
                </anchor>
              </controlPr>
            </control>
          </mc:Choice>
        </mc:AlternateContent>
        <mc:AlternateContent xmlns:mc="http://schemas.openxmlformats.org/markup-compatibility/2006">
          <mc:Choice Requires="x14">
            <control shapeId="1450064" r:id="rId83" name="Check Box 80">
              <controlPr defaultSize="0" autoFill="0" autoLine="0" autoPict="0">
                <anchor moveWithCells="1">
                  <from>
                    <xdr:col>3</xdr:col>
                    <xdr:colOff>676275</xdr:colOff>
                    <xdr:row>8</xdr:row>
                    <xdr:rowOff>209550</xdr:rowOff>
                  </from>
                  <to>
                    <xdr:col>4</xdr:col>
                    <xdr:colOff>0</xdr:colOff>
                    <xdr:row>9</xdr:row>
                    <xdr:rowOff>19050</xdr:rowOff>
                  </to>
                </anchor>
              </controlPr>
            </control>
          </mc:Choice>
        </mc:AlternateContent>
        <mc:AlternateContent xmlns:mc="http://schemas.openxmlformats.org/markup-compatibility/2006">
          <mc:Choice Requires="x14">
            <control shapeId="1450065" r:id="rId84" name="Check Box 81">
              <controlPr defaultSize="0" autoFill="0" autoLine="0" autoPict="0">
                <anchor moveWithCells="1">
                  <from>
                    <xdr:col>4</xdr:col>
                    <xdr:colOff>9525</xdr:colOff>
                    <xdr:row>8</xdr:row>
                    <xdr:rowOff>200025</xdr:rowOff>
                  </from>
                  <to>
                    <xdr:col>4</xdr:col>
                    <xdr:colOff>781050</xdr:colOff>
                    <xdr:row>9</xdr:row>
                    <xdr:rowOff>9525</xdr:rowOff>
                  </to>
                </anchor>
              </controlPr>
            </control>
          </mc:Choice>
        </mc:AlternateContent>
        <mc:AlternateContent xmlns:mc="http://schemas.openxmlformats.org/markup-compatibility/2006">
          <mc:Choice Requires="x14">
            <control shapeId="1450066" r:id="rId85" name="Check Box 82">
              <controlPr defaultSize="0" autoFill="0" autoLine="0" autoPict="0">
                <anchor moveWithCells="1">
                  <from>
                    <xdr:col>4</xdr:col>
                    <xdr:colOff>733425</xdr:colOff>
                    <xdr:row>8</xdr:row>
                    <xdr:rowOff>200025</xdr:rowOff>
                  </from>
                  <to>
                    <xdr:col>5</xdr:col>
                    <xdr:colOff>0</xdr:colOff>
                    <xdr:row>9</xdr:row>
                    <xdr:rowOff>9525</xdr:rowOff>
                  </to>
                </anchor>
              </controlPr>
            </control>
          </mc:Choice>
        </mc:AlternateContent>
        <mc:AlternateContent xmlns:mc="http://schemas.openxmlformats.org/markup-compatibility/2006">
          <mc:Choice Requires="x14">
            <control shapeId="1450067" r:id="rId86" name="Check Box 83">
              <controlPr defaultSize="0" autoFill="0" autoLine="0" autoPict="0">
                <anchor moveWithCells="1">
                  <from>
                    <xdr:col>5</xdr:col>
                    <xdr:colOff>9525</xdr:colOff>
                    <xdr:row>7</xdr:row>
                    <xdr:rowOff>190500</xdr:rowOff>
                  </from>
                  <to>
                    <xdr:col>5</xdr:col>
                    <xdr:colOff>781050</xdr:colOff>
                    <xdr:row>8</xdr:row>
                    <xdr:rowOff>0</xdr:rowOff>
                  </to>
                </anchor>
              </controlPr>
            </control>
          </mc:Choice>
        </mc:AlternateContent>
        <mc:AlternateContent xmlns:mc="http://schemas.openxmlformats.org/markup-compatibility/2006">
          <mc:Choice Requires="x14">
            <control shapeId="1450068" r:id="rId87" name="Check Box 84">
              <controlPr defaultSize="0" autoFill="0" autoLine="0" autoPict="0">
                <anchor moveWithCells="1">
                  <from>
                    <xdr:col>4</xdr:col>
                    <xdr:colOff>0</xdr:colOff>
                    <xdr:row>7</xdr:row>
                    <xdr:rowOff>190500</xdr:rowOff>
                  </from>
                  <to>
                    <xdr:col>4</xdr:col>
                    <xdr:colOff>771525</xdr:colOff>
                    <xdr:row>8</xdr:row>
                    <xdr:rowOff>0</xdr:rowOff>
                  </to>
                </anchor>
              </controlPr>
            </control>
          </mc:Choice>
        </mc:AlternateContent>
        <mc:AlternateContent xmlns:mc="http://schemas.openxmlformats.org/markup-compatibility/2006">
          <mc:Choice Requires="x14">
            <control shapeId="1450069" r:id="rId88" name="Check Box 85">
              <controlPr defaultSize="0" autoFill="0" autoLine="0" autoPict="0">
                <anchor moveWithCells="1">
                  <from>
                    <xdr:col>4</xdr:col>
                    <xdr:colOff>733425</xdr:colOff>
                    <xdr:row>7</xdr:row>
                    <xdr:rowOff>190500</xdr:rowOff>
                  </from>
                  <to>
                    <xdr:col>5</xdr:col>
                    <xdr:colOff>0</xdr:colOff>
                    <xdr:row>8</xdr:row>
                    <xdr:rowOff>0</xdr:rowOff>
                  </to>
                </anchor>
              </controlPr>
            </control>
          </mc:Choice>
        </mc:AlternateContent>
        <mc:AlternateContent xmlns:mc="http://schemas.openxmlformats.org/markup-compatibility/2006">
          <mc:Choice Requires="x14">
            <control shapeId="1450070" r:id="rId89" name="Check Box 86">
              <controlPr defaultSize="0" autoFill="0" autoLine="0" autoPict="0">
                <anchor moveWithCells="1">
                  <from>
                    <xdr:col>7</xdr:col>
                    <xdr:colOff>0</xdr:colOff>
                    <xdr:row>7</xdr:row>
                    <xdr:rowOff>190500</xdr:rowOff>
                  </from>
                  <to>
                    <xdr:col>7</xdr:col>
                    <xdr:colOff>771525</xdr:colOff>
                    <xdr:row>8</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7BC4B-65CA-48EB-A258-23A838297392}">
  <dimension ref="A1:L17"/>
  <sheetViews>
    <sheetView showGridLines="0" view="pageBreakPreview" zoomScaleNormal="100" zoomScaleSheetLayoutView="100" workbookViewId="0">
      <selection activeCell="D32" sqref="D32"/>
    </sheetView>
  </sheetViews>
  <sheetFormatPr baseColWidth="10" defaultColWidth="0" defaultRowHeight="12.75" customHeight="1"/>
  <cols>
    <col min="1" max="1" width="1.5703125" style="665" customWidth="1"/>
    <col min="2" max="2" width="20.28515625" style="665" customWidth="1"/>
    <col min="3" max="3" width="15.5703125" style="665" customWidth="1"/>
    <col min="4" max="4" width="16.7109375" style="665" customWidth="1"/>
    <col min="5" max="5" width="13.5703125" style="665" customWidth="1"/>
    <col min="6" max="6" width="1.7109375" style="665" customWidth="1"/>
    <col min="7" max="7" width="11.85546875" style="665" customWidth="1"/>
    <col min="8" max="8" width="8.42578125" style="665" customWidth="1"/>
    <col min="9" max="9" width="2.28515625" style="665" customWidth="1"/>
    <col min="10" max="12" width="0" style="665" hidden="1" customWidth="1"/>
    <col min="13" max="16384" width="11.42578125" style="665" hidden="1"/>
  </cols>
  <sheetData>
    <row r="1" spans="2:8" ht="6.75" customHeight="1"/>
    <row r="2" spans="2:8" s="667" customFormat="1" ht="48" customHeight="1">
      <c r="B2" s="980"/>
      <c r="C2" s="1929" t="s">
        <v>1370</v>
      </c>
      <c r="D2" s="1930"/>
      <c r="E2" s="1930"/>
      <c r="F2" s="1930"/>
      <c r="G2" s="1930"/>
      <c r="H2" s="1931"/>
    </row>
    <row r="3" spans="2:8" s="667" customFormat="1" ht="20.25" customHeight="1">
      <c r="B3" s="1904"/>
      <c r="C3" s="1904"/>
      <c r="D3" s="1904"/>
      <c r="E3" s="1904"/>
      <c r="F3" s="1904"/>
      <c r="G3" s="1904"/>
      <c r="H3" s="1904"/>
    </row>
    <row r="4" spans="2:8" hidden="1"/>
    <row r="5" spans="2:8" hidden="1"/>
    <row r="6" spans="2:8" hidden="1"/>
    <row r="7" spans="2:8" hidden="1"/>
    <row r="8" spans="2:8" hidden="1"/>
    <row r="9" spans="2:8" hidden="1"/>
    <row r="10" spans="2:8" ht="20.25" hidden="1">
      <c r="B10" s="1159" t="s">
        <v>1371</v>
      </c>
    </row>
    <row r="15" spans="2:8" ht="12.75" customHeight="1">
      <c r="B15" s="699"/>
      <c r="C15" s="708"/>
      <c r="D15" s="708"/>
      <c r="E15" s="708"/>
      <c r="F15" s="708"/>
      <c r="G15" s="708"/>
      <c r="H15" s="708"/>
    </row>
    <row r="17" spans="2:2" ht="15.75">
      <c r="B17" s="1161" t="s">
        <v>1374</v>
      </c>
    </row>
  </sheetData>
  <mergeCells count="2">
    <mergeCell ref="B3:H3"/>
    <mergeCell ref="C2:H2"/>
  </mergeCells>
  <printOptions horizontalCentered="1"/>
  <pageMargins left="0.59055118110236227" right="0.59055118110236227" top="0.59055118110236227" bottom="0.59055118110236227" header="0" footer="0"/>
  <pageSetup paperSize="9" scale="94" fitToWidth="0" orientation="portrait" r:id="rId1"/>
  <headerFooter alignWithMargins="0">
    <oddFooter>&amp;LEdité le &amp;D&amp;C&amp;P/&amp;N</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Feuil62">
    <pageSetUpPr fitToPage="1"/>
  </sheetPr>
  <dimension ref="A1:F47"/>
  <sheetViews>
    <sheetView showGridLines="0" view="pageBreakPreview" zoomScaleNormal="100" zoomScaleSheetLayoutView="100" workbookViewId="0">
      <selection activeCell="B19" sqref="B19"/>
    </sheetView>
  </sheetViews>
  <sheetFormatPr baseColWidth="10" defaultRowHeight="12.75"/>
  <cols>
    <col min="1" max="1" width="15.7109375" style="21" customWidth="1"/>
    <col min="2" max="6" width="11.7109375" style="21" customWidth="1"/>
  </cols>
  <sheetData>
    <row r="1" spans="1:6" ht="23.25">
      <c r="A1" s="112"/>
      <c r="B1" s="1367" t="s">
        <v>254</v>
      </c>
      <c r="C1" s="1367"/>
      <c r="D1" s="1367"/>
      <c r="E1" s="1367"/>
      <c r="F1" s="496">
        <v>7</v>
      </c>
    </row>
    <row r="13" spans="1:6" ht="54.75" customHeight="1"/>
    <row r="19" spans="2:5" ht="23.25">
      <c r="B19" s="981" t="s">
        <v>601</v>
      </c>
      <c r="C19" s="497"/>
      <c r="D19" s="113"/>
      <c r="E19" s="113"/>
    </row>
    <row r="21" spans="2:5">
      <c r="B21" s="37" t="s">
        <v>796</v>
      </c>
    </row>
    <row r="22" spans="2:5">
      <c r="B22" s="37" t="s">
        <v>602</v>
      </c>
    </row>
    <row r="23" spans="2:5">
      <c r="B23" s="37" t="s">
        <v>603</v>
      </c>
    </row>
    <row r="24" spans="2:5">
      <c r="B24" s="37"/>
    </row>
    <row r="25" spans="2:5">
      <c r="B25" s="37"/>
    </row>
    <row r="26" spans="2:5">
      <c r="B26" s="37"/>
    </row>
    <row r="27" spans="2:5">
      <c r="B27" s="37"/>
    </row>
    <row r="46" spans="2:2">
      <c r="B46" s="18"/>
    </row>
    <row r="47" spans="2:2">
      <c r="B47" s="18"/>
    </row>
  </sheetData>
  <mergeCells count="1">
    <mergeCell ref="B1:E1"/>
  </mergeCells>
  <phoneticPr fontId="12" type="noConversion"/>
  <printOptions horizontalCentered="1"/>
  <pageMargins left="0" right="0" top="0" bottom="0.39370078740157483" header="0" footer="0"/>
  <pageSetup paperSize="9" orientation="portrait" blackAndWhite="1" r:id="rId1"/>
  <headerFooter alignWithMargins="0"/>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Feuil52">
    <tabColor indexed="42"/>
    <pageSetUpPr fitToPage="1"/>
  </sheetPr>
  <dimension ref="A1:N55"/>
  <sheetViews>
    <sheetView showGridLines="0" view="pageBreakPreview" zoomScaleNormal="100" workbookViewId="0">
      <selection activeCell="I17" sqref="I17"/>
    </sheetView>
  </sheetViews>
  <sheetFormatPr baseColWidth="10" defaultColWidth="11.42578125" defaultRowHeight="12.75"/>
  <cols>
    <col min="1" max="1" width="4.7109375" style="29" customWidth="1"/>
    <col min="2" max="2" width="14.140625" style="29" customWidth="1"/>
    <col min="3" max="3" width="3.28515625" style="29" customWidth="1"/>
    <col min="4" max="4" width="15.7109375" style="29" customWidth="1"/>
    <col min="5" max="5" width="7" style="29" customWidth="1"/>
    <col min="6" max="6" width="3.85546875" style="29" customWidth="1"/>
    <col min="7" max="7" width="4.5703125" style="29" customWidth="1"/>
    <col min="8" max="8" width="3.85546875" style="29" customWidth="1"/>
    <col min="9" max="9" width="15" style="29" customWidth="1"/>
    <col min="10" max="10" width="4.140625" style="29" bestFit="1" customWidth="1"/>
    <col min="11" max="11" width="2.7109375" style="29" customWidth="1"/>
    <col min="12" max="12" width="4.7109375" style="29" customWidth="1"/>
    <col min="13" max="13" width="1.28515625" style="29" customWidth="1"/>
    <col min="14" max="14" width="2.7109375" style="29" customWidth="1"/>
    <col min="15" max="16384" width="11.42578125" style="29"/>
  </cols>
  <sheetData>
    <row r="1" spans="1:14" ht="116.25" customHeight="1"/>
    <row r="2" spans="1:14">
      <c r="A2" s="232"/>
      <c r="B2" s="188"/>
      <c r="C2" s="188"/>
      <c r="D2" s="188"/>
      <c r="E2" s="188"/>
      <c r="F2" s="232"/>
      <c r="G2" s="232"/>
      <c r="H2" s="29" t="s">
        <v>167</v>
      </c>
      <c r="I2" s="29" t="s">
        <v>420</v>
      </c>
      <c r="J2" s="232" t="s">
        <v>604</v>
      </c>
      <c r="K2" s="1935" t="s">
        <v>605</v>
      </c>
      <c r="L2" s="1935"/>
      <c r="M2" s="1935"/>
    </row>
    <row r="4" spans="1:14" ht="43.5" customHeight="1">
      <c r="H4" s="232"/>
      <c r="I4" s="188"/>
      <c r="J4" s="232"/>
      <c r="K4" s="232"/>
    </row>
    <row r="5" spans="1:14">
      <c r="A5" s="188" t="s">
        <v>606</v>
      </c>
      <c r="B5" s="188"/>
      <c r="C5" s="188"/>
      <c r="D5" s="188"/>
      <c r="E5" s="188"/>
      <c r="F5" s="188"/>
      <c r="G5" s="188"/>
      <c r="H5" s="188"/>
      <c r="I5" s="188"/>
      <c r="J5" s="188"/>
      <c r="K5" s="188"/>
      <c r="L5" s="188"/>
      <c r="M5" s="188"/>
      <c r="N5" s="188"/>
    </row>
    <row r="6" spans="1:14" ht="36" customHeight="1">
      <c r="A6" s="188"/>
      <c r="B6" s="188"/>
      <c r="C6" s="188"/>
      <c r="D6" s="188"/>
      <c r="E6" s="188"/>
      <c r="F6" s="188"/>
      <c r="G6" s="188"/>
      <c r="H6" s="188"/>
      <c r="I6" s="188"/>
      <c r="J6" s="188"/>
      <c r="K6" s="188"/>
      <c r="L6" s="188"/>
      <c r="M6" s="188"/>
      <c r="N6" s="188"/>
    </row>
    <row r="7" spans="1:14" ht="45" customHeight="1">
      <c r="A7" s="1934" t="s">
        <v>977</v>
      </c>
      <c r="B7" s="1932"/>
      <c r="C7" s="1932"/>
      <c r="D7" s="1932"/>
      <c r="E7" s="1932"/>
      <c r="F7" s="1932"/>
      <c r="G7" s="1932"/>
      <c r="H7" s="1932"/>
      <c r="I7" s="1932"/>
      <c r="J7" s="1932"/>
      <c r="K7" s="1932"/>
      <c r="L7" s="1932"/>
      <c r="M7" s="1932"/>
      <c r="N7" s="188"/>
    </row>
    <row r="8" spans="1:14" s="9" customFormat="1" ht="12.75" customHeight="1">
      <c r="A8" s="335" t="s">
        <v>976</v>
      </c>
      <c r="B8" s="373"/>
      <c r="C8" s="534" t="str">
        <f>IF(ISBLANK(oAdresseChantier),"",oAdresseChantier)</f>
        <v/>
      </c>
      <c r="D8" s="534"/>
      <c r="E8" s="373"/>
      <c r="F8" s="18"/>
      <c r="G8" s="18"/>
      <c r="H8" s="18"/>
      <c r="I8" s="18"/>
      <c r="J8" s="18"/>
      <c r="K8" s="18"/>
      <c r="L8" s="18"/>
      <c r="M8" s="18"/>
      <c r="N8" s="18"/>
    </row>
    <row r="9" spans="1:14" s="9" customFormat="1">
      <c r="A9" s="18"/>
      <c r="B9" s="373"/>
      <c r="C9" s="534" t="str">
        <f>IF(ISBLANK(oVille),"",oVille)</f>
        <v/>
      </c>
      <c r="D9" s="534"/>
      <c r="E9" s="373"/>
      <c r="F9" s="18"/>
      <c r="G9" s="18"/>
      <c r="H9" s="18"/>
      <c r="I9" s="18"/>
      <c r="J9" s="18"/>
      <c r="K9" s="18"/>
      <c r="L9" s="18"/>
      <c r="M9" s="18"/>
      <c r="N9" s="18"/>
    </row>
    <row r="10" spans="1:14" s="9" customFormat="1">
      <c r="A10" s="335" t="s">
        <v>975</v>
      </c>
      <c r="B10" s="373"/>
      <c r="C10" s="373"/>
      <c r="D10" s="373"/>
      <c r="E10" s="535" t="str">
        <f>IF(ISBLANK(oMOE),"",oMOE)</f>
        <v/>
      </c>
      <c r="F10" s="535"/>
      <c r="G10" s="535"/>
      <c r="H10" s="18"/>
      <c r="I10" s="18"/>
      <c r="J10" s="18"/>
      <c r="K10" s="18"/>
      <c r="L10" s="18"/>
      <c r="M10" s="18"/>
      <c r="N10" s="18"/>
    </row>
    <row r="11" spans="1:14" s="9" customFormat="1">
      <c r="A11" s="18"/>
      <c r="B11" s="373"/>
      <c r="C11" s="373"/>
      <c r="D11" s="373"/>
      <c r="E11" s="373"/>
      <c r="F11" s="18"/>
      <c r="G11" s="18"/>
      <c r="H11" s="18"/>
      <c r="I11" s="18"/>
      <c r="J11" s="18"/>
      <c r="K11" s="18"/>
      <c r="L11" s="18"/>
      <c r="M11" s="18"/>
      <c r="N11" s="18"/>
    </row>
    <row r="12" spans="1:14" s="9" customFormat="1" ht="45" customHeight="1">
      <c r="A12" s="1934" t="s">
        <v>1198</v>
      </c>
      <c r="B12" s="1932"/>
      <c r="C12" s="1932"/>
      <c r="D12" s="1932"/>
      <c r="E12" s="1932"/>
      <c r="F12" s="1932"/>
      <c r="G12" s="1932"/>
      <c r="H12" s="1932"/>
      <c r="I12" s="1932"/>
      <c r="J12" s="1932"/>
      <c r="K12" s="1932"/>
      <c r="L12" s="1932"/>
      <c r="M12" s="1932"/>
      <c r="N12" s="18"/>
    </row>
    <row r="13" spans="1:14" s="9" customFormat="1">
      <c r="A13" s="119"/>
      <c r="B13" s="18"/>
      <c r="C13" s="18"/>
      <c r="D13" s="18"/>
      <c r="E13" s="18"/>
      <c r="F13" s="18"/>
      <c r="G13" s="18"/>
      <c r="H13" s="18"/>
      <c r="I13" s="18"/>
      <c r="J13" s="18"/>
      <c r="K13" s="18"/>
      <c r="L13" s="18"/>
      <c r="M13" s="18"/>
      <c r="N13" s="18"/>
    </row>
    <row r="14" spans="1:14" s="9" customFormat="1" ht="48" customHeight="1">
      <c r="A14" s="1933" t="s">
        <v>1199</v>
      </c>
      <c r="B14" s="1637"/>
      <c r="C14" s="1637"/>
      <c r="D14" s="1637"/>
      <c r="E14" s="1637"/>
      <c r="F14" s="1637"/>
      <c r="G14" s="1637"/>
      <c r="H14" s="1637"/>
      <c r="I14" s="1637"/>
      <c r="J14" s="1637"/>
      <c r="K14" s="1637"/>
      <c r="L14" s="1637"/>
      <c r="M14" s="1637"/>
    </row>
    <row r="15" spans="1:14" s="9" customFormat="1">
      <c r="A15" s="18"/>
      <c r="B15" s="957" t="s">
        <v>1200</v>
      </c>
      <c r="C15" s="18"/>
      <c r="D15" s="18"/>
      <c r="E15" s="18"/>
      <c r="F15" s="18"/>
      <c r="G15" s="18"/>
      <c r="H15" s="18"/>
      <c r="I15" s="18"/>
      <c r="J15" s="18"/>
      <c r="K15" s="18"/>
      <c r="L15" s="18"/>
      <c r="M15" s="18"/>
      <c r="N15" s="18"/>
    </row>
    <row r="16" spans="1:14" s="9" customFormat="1" ht="30" customHeight="1">
      <c r="A16" s="18"/>
      <c r="B16" s="1936" t="str">
        <f>IF(ISBLANK(oRespAffaire),"",oRespAffaire)</f>
        <v/>
      </c>
      <c r="C16" s="1936"/>
      <c r="D16" s="243"/>
      <c r="E16" s="337" t="s">
        <v>607</v>
      </c>
      <c r="F16" s="1936" t="str">
        <f>IF(ISBLANK(oTelRespAff),"",oTelRespAff)</f>
        <v/>
      </c>
      <c r="G16" s="1936"/>
      <c r="H16" s="1936"/>
      <c r="I16" s="18"/>
      <c r="J16" s="18"/>
      <c r="K16" s="18"/>
      <c r="L16" s="18"/>
      <c r="M16" s="18"/>
      <c r="N16" s="18"/>
    </row>
    <row r="17" spans="1:14" s="9" customFormat="1">
      <c r="A17" s="18"/>
      <c r="B17" s="957" t="s">
        <v>1201</v>
      </c>
      <c r="C17" s="18"/>
      <c r="D17" s="18"/>
      <c r="E17" s="18"/>
      <c r="F17" s="18"/>
      <c r="G17" s="18"/>
      <c r="H17" s="18"/>
      <c r="I17" s="18"/>
      <c r="J17" s="18"/>
      <c r="K17" s="18"/>
      <c r="L17" s="18"/>
      <c r="M17" s="18"/>
      <c r="N17" s="18"/>
    </row>
    <row r="18" spans="1:14" s="9" customFormat="1" ht="30" customHeight="1">
      <c r="A18" s="18"/>
      <c r="B18" s="1936" t="str">
        <f>IF(ISBLANK(oRespChantier),"",oRespChantier)</f>
        <v/>
      </c>
      <c r="C18" s="1936"/>
      <c r="D18" s="243"/>
      <c r="E18" s="125"/>
      <c r="F18" s="18"/>
      <c r="G18" s="18"/>
      <c r="H18" s="18"/>
      <c r="I18" s="18"/>
      <c r="J18" s="18"/>
      <c r="K18" s="18"/>
      <c r="L18" s="18"/>
      <c r="M18" s="18"/>
      <c r="N18" s="18"/>
    </row>
    <row r="19" spans="1:14" ht="31.5" customHeight="1">
      <c r="A19" s="188"/>
      <c r="B19" s="188"/>
      <c r="C19" s="188"/>
      <c r="D19" s="188"/>
      <c r="E19" s="188"/>
      <c r="F19" s="188"/>
      <c r="G19" s="188"/>
      <c r="H19" s="188"/>
      <c r="I19" s="188"/>
      <c r="J19" s="188"/>
      <c r="K19" s="188"/>
      <c r="L19" s="188"/>
      <c r="M19" s="188"/>
      <c r="N19" s="188"/>
    </row>
    <row r="20" spans="1:14" ht="30" customHeight="1">
      <c r="A20" s="1932" t="s">
        <v>608</v>
      </c>
      <c r="B20" s="1932"/>
      <c r="C20" s="1932"/>
      <c r="D20" s="1932"/>
      <c r="E20" s="1932"/>
      <c r="F20" s="1932"/>
      <c r="G20" s="1932"/>
      <c r="H20" s="1932"/>
      <c r="I20" s="1932"/>
      <c r="J20" s="1932"/>
      <c r="K20" s="1932"/>
      <c r="L20" s="1932"/>
      <c r="M20" s="1932"/>
      <c r="N20" s="188"/>
    </row>
    <row r="21" spans="1:14" ht="61.5" customHeight="1">
      <c r="A21" s="188"/>
      <c r="B21" s="188"/>
      <c r="C21" s="188"/>
      <c r="D21" s="188"/>
      <c r="E21" s="188"/>
      <c r="F21" s="188"/>
      <c r="G21" s="188"/>
      <c r="H21" s="188"/>
      <c r="I21" s="188"/>
      <c r="J21" s="188"/>
      <c r="K21" s="188"/>
      <c r="L21" s="188"/>
      <c r="M21" s="188"/>
      <c r="N21" s="188"/>
    </row>
    <row r="22" spans="1:14">
      <c r="A22" s="188"/>
      <c r="B22" s="188"/>
      <c r="C22" s="188"/>
      <c r="D22" s="188"/>
      <c r="E22" s="188"/>
      <c r="F22" s="188"/>
      <c r="G22" s="188"/>
      <c r="H22" s="188"/>
      <c r="I22" s="188"/>
      <c r="J22" s="188"/>
      <c r="K22" s="188"/>
      <c r="L22" s="188"/>
      <c r="M22" s="188"/>
      <c r="N22" s="188"/>
    </row>
    <row r="23" spans="1:14">
      <c r="A23" s="188"/>
      <c r="B23" s="188"/>
      <c r="C23" s="188"/>
      <c r="D23" s="188"/>
      <c r="E23" s="188"/>
      <c r="F23" s="188"/>
      <c r="G23" s="188"/>
      <c r="H23" s="188"/>
      <c r="I23" s="188"/>
      <c r="J23" s="188"/>
      <c r="K23" s="188"/>
      <c r="L23" s="188"/>
      <c r="M23" s="188"/>
      <c r="N23" s="188"/>
    </row>
    <row r="24" spans="1:14">
      <c r="A24" s="188"/>
      <c r="B24" s="188"/>
      <c r="C24" s="188"/>
      <c r="D24" s="188"/>
      <c r="E24" s="334"/>
      <c r="F24" s="188"/>
      <c r="G24" s="188"/>
      <c r="H24" s="188"/>
      <c r="I24" s="188"/>
      <c r="J24" s="188"/>
      <c r="K24" s="188"/>
      <c r="L24" s="188"/>
      <c r="M24" s="188"/>
      <c r="N24" s="188"/>
    </row>
    <row r="25" spans="1:14">
      <c r="A25" s="188"/>
      <c r="B25" s="336"/>
      <c r="C25" s="336"/>
      <c r="D25" s="336"/>
      <c r="E25" s="336"/>
      <c r="F25" s="188"/>
      <c r="G25" s="188"/>
      <c r="H25" s="188"/>
      <c r="I25" s="188"/>
      <c r="J25" s="188"/>
      <c r="K25" s="188"/>
      <c r="L25" s="188"/>
      <c r="M25" s="188"/>
      <c r="N25" s="188"/>
    </row>
    <row r="26" spans="1:14">
      <c r="A26" s="188"/>
      <c r="B26" s="188"/>
      <c r="C26" s="188"/>
      <c r="D26" s="188"/>
      <c r="E26" s="188"/>
      <c r="F26" s="188"/>
      <c r="G26" s="188"/>
      <c r="H26" s="188"/>
      <c r="I26" s="188"/>
      <c r="J26" s="188"/>
      <c r="K26" s="188"/>
      <c r="L26" s="188"/>
      <c r="M26" s="188"/>
      <c r="N26" s="188"/>
    </row>
    <row r="27" spans="1:14">
      <c r="A27" s="188"/>
      <c r="E27" s="336"/>
      <c r="F27" s="188"/>
      <c r="G27" s="188"/>
      <c r="H27" s="188"/>
      <c r="I27" s="188"/>
      <c r="J27" s="188"/>
      <c r="K27" s="188"/>
      <c r="L27" s="188"/>
      <c r="M27" s="188"/>
      <c r="N27" s="188"/>
    </row>
    <row r="28" spans="1:14">
      <c r="A28" s="188"/>
      <c r="B28" s="188"/>
      <c r="C28" s="188"/>
      <c r="D28" s="188"/>
      <c r="E28" s="188"/>
      <c r="F28" s="188"/>
      <c r="G28" s="188"/>
      <c r="H28" s="188"/>
      <c r="I28" s="188"/>
      <c r="J28" s="188"/>
      <c r="K28" s="188"/>
      <c r="L28" s="188"/>
      <c r="M28" s="188"/>
      <c r="N28" s="188"/>
    </row>
    <row r="29" spans="1:14" ht="6.75" customHeight="1">
      <c r="A29" s="188"/>
      <c r="B29" s="188"/>
      <c r="C29" s="188"/>
      <c r="D29" s="188"/>
      <c r="E29" s="188"/>
      <c r="F29" s="188"/>
      <c r="G29" s="188"/>
      <c r="H29" s="188"/>
      <c r="I29" s="188"/>
      <c r="J29" s="188"/>
      <c r="K29" s="188"/>
      <c r="L29" s="188"/>
      <c r="M29" s="188"/>
      <c r="N29" s="188"/>
    </row>
    <row r="30" spans="1:14">
      <c r="A30" s="188"/>
      <c r="B30" s="188"/>
      <c r="C30" s="188"/>
      <c r="D30" s="188"/>
      <c r="E30" s="188"/>
      <c r="F30" s="188"/>
      <c r="G30" s="188"/>
      <c r="H30" s="188"/>
      <c r="I30" s="188"/>
      <c r="J30" s="188"/>
      <c r="K30" s="188"/>
      <c r="L30" s="188"/>
      <c r="M30" s="188"/>
      <c r="N30" s="188"/>
    </row>
    <row r="31" spans="1:14">
      <c r="A31" s="188"/>
      <c r="B31" s="188"/>
      <c r="C31" s="188"/>
      <c r="D31" s="188"/>
      <c r="E31" s="188"/>
      <c r="F31" s="188"/>
      <c r="G31" s="188"/>
      <c r="H31" s="188"/>
      <c r="I31" s="188"/>
      <c r="J31" s="188"/>
      <c r="K31" s="188"/>
      <c r="L31" s="188"/>
      <c r="M31" s="188"/>
      <c r="N31" s="188"/>
    </row>
    <row r="32" spans="1:14" ht="6.75" customHeight="1">
      <c r="A32" s="188"/>
      <c r="B32" s="188"/>
      <c r="C32" s="188"/>
      <c r="D32" s="188"/>
      <c r="E32" s="188"/>
      <c r="F32" s="188"/>
      <c r="G32" s="188"/>
      <c r="H32" s="188"/>
      <c r="I32" s="188"/>
      <c r="J32" s="188"/>
      <c r="K32" s="188"/>
      <c r="L32" s="188"/>
      <c r="M32" s="188"/>
      <c r="N32" s="188"/>
    </row>
    <row r="33" spans="1:14">
      <c r="A33" s="188"/>
      <c r="B33" s="232"/>
      <c r="C33" s="232"/>
      <c r="D33" s="232"/>
      <c r="E33" s="188"/>
      <c r="F33" s="188"/>
      <c r="G33" s="188"/>
      <c r="H33" s="188"/>
      <c r="I33" s="188"/>
      <c r="J33" s="188"/>
      <c r="K33" s="188"/>
      <c r="L33" s="188"/>
      <c r="M33" s="188"/>
      <c r="N33" s="188"/>
    </row>
    <row r="34" spans="1:14">
      <c r="A34" s="188"/>
      <c r="B34" s="188"/>
      <c r="C34" s="188"/>
      <c r="D34" s="188"/>
      <c r="E34" s="188"/>
      <c r="F34" s="188"/>
      <c r="G34" s="188"/>
      <c r="H34" s="188"/>
      <c r="I34" s="188"/>
      <c r="J34" s="188"/>
      <c r="K34" s="188"/>
      <c r="L34" s="188"/>
      <c r="M34" s="188"/>
      <c r="N34" s="188"/>
    </row>
    <row r="35" spans="1:14" ht="6.75" customHeight="1">
      <c r="A35" s="188"/>
      <c r="B35" s="188"/>
      <c r="C35" s="188"/>
      <c r="D35" s="188"/>
      <c r="E35" s="188"/>
      <c r="F35" s="188"/>
      <c r="G35" s="188"/>
      <c r="H35" s="188"/>
      <c r="I35" s="188"/>
      <c r="J35" s="188"/>
      <c r="K35" s="188"/>
      <c r="L35" s="188"/>
      <c r="M35" s="188"/>
      <c r="N35" s="188"/>
    </row>
    <row r="36" spans="1:14">
      <c r="A36" s="188"/>
      <c r="B36" s="188"/>
      <c r="C36" s="188"/>
      <c r="D36" s="188"/>
      <c r="E36" s="188"/>
      <c r="F36" s="188"/>
      <c r="G36" s="188"/>
      <c r="H36" s="188"/>
      <c r="I36" s="188"/>
      <c r="J36" s="188"/>
      <c r="K36" s="188"/>
      <c r="L36" s="188"/>
      <c r="M36" s="188"/>
      <c r="N36" s="188"/>
    </row>
    <row r="37" spans="1:14">
      <c r="A37" s="188"/>
      <c r="B37" s="188"/>
      <c r="C37" s="188"/>
      <c r="D37" s="188"/>
      <c r="E37" s="188"/>
      <c r="F37" s="188"/>
      <c r="G37" s="188"/>
      <c r="H37" s="188"/>
      <c r="I37" s="188"/>
      <c r="J37" s="188"/>
      <c r="K37" s="188"/>
      <c r="L37" s="188"/>
      <c r="M37" s="188"/>
      <c r="N37" s="188"/>
    </row>
    <row r="38" spans="1:14" ht="6.75" customHeight="1">
      <c r="A38" s="188"/>
      <c r="B38" s="188"/>
      <c r="C38" s="188"/>
      <c r="D38" s="188"/>
      <c r="E38" s="188"/>
      <c r="F38" s="188"/>
      <c r="G38" s="188"/>
      <c r="H38" s="188"/>
      <c r="I38" s="188"/>
      <c r="J38" s="188"/>
      <c r="K38" s="188"/>
      <c r="L38" s="188"/>
      <c r="M38" s="188"/>
      <c r="N38" s="188"/>
    </row>
    <row r="39" spans="1:14">
      <c r="A39" s="188"/>
      <c r="B39" s="188"/>
      <c r="C39" s="188"/>
      <c r="D39" s="188"/>
      <c r="E39" s="188"/>
      <c r="F39" s="188"/>
      <c r="G39" s="188"/>
      <c r="H39" s="188"/>
      <c r="I39" s="188"/>
      <c r="J39" s="188"/>
      <c r="K39" s="188"/>
      <c r="L39" s="188"/>
      <c r="M39" s="188"/>
      <c r="N39" s="188"/>
    </row>
    <row r="40" spans="1:14">
      <c r="A40" s="188"/>
      <c r="B40" s="188"/>
      <c r="C40" s="188"/>
      <c r="D40" s="188"/>
      <c r="E40" s="188"/>
      <c r="F40" s="188"/>
      <c r="G40" s="188"/>
      <c r="H40" s="188"/>
      <c r="I40" s="188"/>
      <c r="J40" s="188"/>
      <c r="K40" s="188"/>
      <c r="L40" s="188"/>
      <c r="M40" s="188"/>
      <c r="N40" s="188"/>
    </row>
    <row r="41" spans="1:14" ht="6.75" customHeight="1">
      <c r="A41" s="188"/>
      <c r="B41" s="188"/>
      <c r="C41" s="188"/>
      <c r="D41" s="188"/>
      <c r="E41" s="188"/>
      <c r="F41" s="188"/>
      <c r="G41" s="188"/>
      <c r="H41" s="188"/>
      <c r="I41" s="188"/>
      <c r="J41" s="188"/>
      <c r="K41" s="188"/>
      <c r="L41" s="188"/>
      <c r="M41" s="188"/>
      <c r="N41" s="188"/>
    </row>
    <row r="42" spans="1:14">
      <c r="A42" s="188"/>
      <c r="B42" s="188"/>
      <c r="C42" s="188"/>
      <c r="D42" s="188"/>
      <c r="E42" s="188"/>
      <c r="F42" s="188"/>
      <c r="G42" s="188"/>
      <c r="H42" s="188"/>
      <c r="I42" s="188"/>
      <c r="J42" s="188"/>
      <c r="K42" s="188"/>
      <c r="L42" s="188"/>
      <c r="M42" s="188"/>
      <c r="N42" s="188"/>
    </row>
    <row r="43" spans="1:14">
      <c r="A43" s="188"/>
      <c r="B43" s="188"/>
      <c r="C43" s="188"/>
      <c r="D43" s="188"/>
      <c r="E43" s="188"/>
      <c r="F43" s="188"/>
      <c r="G43" s="188"/>
      <c r="H43" s="188"/>
      <c r="I43" s="188"/>
      <c r="J43" s="188"/>
      <c r="K43" s="188"/>
      <c r="L43" s="188"/>
      <c r="M43" s="188"/>
      <c r="N43" s="188"/>
    </row>
    <row r="44" spans="1:14" ht="6.75" customHeight="1">
      <c r="A44" s="188"/>
      <c r="B44" s="188"/>
      <c r="C44" s="188"/>
      <c r="D44" s="188"/>
      <c r="E44" s="188"/>
      <c r="F44" s="188"/>
      <c r="G44" s="188"/>
      <c r="H44" s="188"/>
      <c r="I44" s="188"/>
      <c r="J44" s="188"/>
      <c r="K44" s="188"/>
      <c r="L44" s="188"/>
      <c r="M44" s="188"/>
      <c r="N44" s="188"/>
    </row>
    <row r="45" spans="1:14" ht="15.75" customHeight="1">
      <c r="A45" s="188"/>
      <c r="B45" s="188"/>
      <c r="C45" s="188"/>
      <c r="D45" s="188"/>
      <c r="E45" s="188"/>
      <c r="F45" s="188"/>
      <c r="G45" s="188"/>
      <c r="H45" s="188"/>
      <c r="I45" s="188"/>
      <c r="J45" s="188"/>
      <c r="K45" s="188"/>
      <c r="L45" s="188"/>
      <c r="M45" s="188"/>
      <c r="N45" s="188"/>
    </row>
    <row r="46" spans="1:14">
      <c r="A46" s="188"/>
      <c r="B46" s="188"/>
      <c r="C46" s="188"/>
      <c r="D46" s="188"/>
      <c r="E46" s="188"/>
      <c r="F46" s="188"/>
      <c r="G46" s="188"/>
      <c r="H46" s="188"/>
      <c r="I46" s="188"/>
      <c r="J46" s="188"/>
      <c r="K46" s="188"/>
      <c r="L46" s="188"/>
      <c r="M46" s="188"/>
      <c r="N46" s="188"/>
    </row>
    <row r="47" spans="1:14" ht="6.75" customHeight="1">
      <c r="A47" s="188"/>
      <c r="B47" s="188"/>
      <c r="C47" s="188"/>
      <c r="D47" s="188"/>
      <c r="E47" s="188"/>
      <c r="F47" s="188"/>
      <c r="G47" s="188"/>
      <c r="H47" s="188"/>
      <c r="I47" s="188"/>
      <c r="J47" s="188"/>
      <c r="K47" s="188"/>
      <c r="L47" s="188"/>
      <c r="M47" s="188"/>
      <c r="N47" s="188"/>
    </row>
    <row r="48" spans="1:14">
      <c r="A48" s="188"/>
      <c r="B48" s="188"/>
      <c r="C48" s="188"/>
      <c r="D48" s="188"/>
      <c r="E48" s="188"/>
      <c r="F48" s="188"/>
      <c r="G48" s="188"/>
      <c r="H48" s="188"/>
      <c r="I48" s="188"/>
      <c r="J48" s="188"/>
      <c r="K48" s="188"/>
      <c r="L48" s="188"/>
      <c r="M48" s="188"/>
      <c r="N48" s="188"/>
    </row>
    <row r="49" spans="1:14">
      <c r="A49" s="188"/>
      <c r="B49" s="188"/>
      <c r="C49" s="188"/>
      <c r="D49" s="188"/>
      <c r="E49" s="188"/>
      <c r="F49" s="188"/>
      <c r="G49" s="188"/>
      <c r="H49" s="188"/>
      <c r="I49" s="188"/>
      <c r="J49" s="188"/>
      <c r="K49" s="188"/>
      <c r="L49" s="188"/>
      <c r="M49" s="188"/>
      <c r="N49" s="188"/>
    </row>
    <row r="50" spans="1:14" ht="6.75" customHeight="1">
      <c r="A50" s="188"/>
      <c r="B50" s="188"/>
      <c r="C50" s="188"/>
      <c r="D50" s="188"/>
      <c r="E50" s="188"/>
      <c r="F50" s="188"/>
      <c r="G50" s="188"/>
      <c r="H50" s="188"/>
      <c r="I50" s="188"/>
      <c r="J50" s="188"/>
      <c r="K50" s="188"/>
      <c r="L50" s="188"/>
      <c r="M50" s="188"/>
      <c r="N50" s="188"/>
    </row>
    <row r="51" spans="1:14">
      <c r="A51" s="188"/>
      <c r="B51" s="188"/>
      <c r="C51" s="188"/>
      <c r="D51" s="188"/>
      <c r="E51" s="188"/>
      <c r="F51" s="188"/>
      <c r="G51" s="188"/>
      <c r="H51" s="188"/>
      <c r="I51" s="188"/>
      <c r="J51" s="188"/>
      <c r="K51" s="188"/>
      <c r="L51" s="188"/>
      <c r="M51" s="188"/>
      <c r="N51" s="188"/>
    </row>
    <row r="52" spans="1:14">
      <c r="A52" s="188"/>
      <c r="B52" s="188"/>
      <c r="C52" s="188"/>
      <c r="D52" s="188"/>
      <c r="E52" s="188"/>
      <c r="F52" s="188"/>
      <c r="G52" s="188"/>
      <c r="H52" s="188"/>
      <c r="I52" s="188"/>
      <c r="J52" s="188"/>
      <c r="K52" s="188"/>
      <c r="L52" s="188"/>
      <c r="M52" s="188"/>
      <c r="N52" s="188"/>
    </row>
    <row r="53" spans="1:14" ht="6.75" customHeight="1">
      <c r="A53" s="188"/>
      <c r="B53" s="188"/>
      <c r="C53" s="188"/>
      <c r="D53" s="188"/>
      <c r="E53" s="188"/>
      <c r="F53" s="188"/>
      <c r="G53" s="188"/>
      <c r="H53" s="188"/>
      <c r="I53" s="188"/>
      <c r="J53" s="188"/>
      <c r="K53" s="188"/>
      <c r="L53" s="188"/>
      <c r="M53" s="188"/>
      <c r="N53" s="188"/>
    </row>
    <row r="54" spans="1:14">
      <c r="A54" s="188"/>
      <c r="B54" s="188"/>
      <c r="C54" s="188"/>
      <c r="D54" s="188"/>
      <c r="E54" s="188"/>
      <c r="F54" s="188"/>
      <c r="G54" s="188"/>
      <c r="H54" s="188"/>
      <c r="I54" s="188"/>
      <c r="J54" s="188"/>
      <c r="K54" s="188"/>
      <c r="L54" s="188"/>
      <c r="N54" s="188"/>
    </row>
    <row r="55" spans="1:14">
      <c r="M55" s="188"/>
    </row>
  </sheetData>
  <mergeCells count="8">
    <mergeCell ref="A20:M20"/>
    <mergeCell ref="A14:M14"/>
    <mergeCell ref="A7:M7"/>
    <mergeCell ref="A12:M12"/>
    <mergeCell ref="K2:M2"/>
    <mergeCell ref="B16:C16"/>
    <mergeCell ref="B18:C18"/>
    <mergeCell ref="F16:H16"/>
  </mergeCells>
  <phoneticPr fontId="12" type="noConversion"/>
  <printOptions horizontalCentered="1" verticalCentered="1"/>
  <pageMargins left="0.59055118110236227" right="0.39370078740157483" top="0" bottom="0.39370078740157483" header="0" footer="0"/>
  <pageSetup paperSize="9" orientation="portrait" blackAndWhite="1" r:id="rId1"/>
  <headerFooter alignWithMargins="0">
    <oddFooter>&amp;L&amp;8Edité le &amp;D&amp;C&amp;P/&amp;N</oddFooter>
  </headerFooter>
  <rowBreaks count="1" manualBreakCount="1">
    <brk id="22" max="16383" man="1"/>
  </row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E00-000000000000}">
  <sheetPr>
    <tabColor indexed="42"/>
    <pageSetUpPr fitToPage="1"/>
  </sheetPr>
  <dimension ref="A1:P40"/>
  <sheetViews>
    <sheetView view="pageBreakPreview" zoomScaleNormal="100" zoomScaleSheetLayoutView="100" workbookViewId="0">
      <selection activeCell="I15" sqref="I15"/>
    </sheetView>
  </sheetViews>
  <sheetFormatPr baseColWidth="10" defaultColWidth="11.42578125" defaultRowHeight="15"/>
  <cols>
    <col min="1" max="1" width="1.7109375" style="991" customWidth="1"/>
    <col min="2" max="2" width="4.5703125" style="991" customWidth="1"/>
    <col min="3" max="3" width="12.5703125" style="991" customWidth="1"/>
    <col min="4" max="4" width="2.85546875" style="991" customWidth="1"/>
    <col min="5" max="5" width="11" style="991" customWidth="1"/>
    <col min="6" max="6" width="10.85546875" style="991" customWidth="1"/>
    <col min="7" max="7" width="9.85546875" style="991" customWidth="1"/>
    <col min="8" max="8" width="12" style="991" customWidth="1"/>
    <col min="9" max="9" width="10.85546875" style="991" customWidth="1"/>
    <col min="10" max="10" width="9.28515625" style="991" customWidth="1"/>
    <col min="11" max="11" width="10.42578125" style="991" customWidth="1"/>
    <col min="12" max="12" width="7" style="991" customWidth="1"/>
    <col min="13" max="13" width="4.28515625" style="991" customWidth="1"/>
    <col min="14" max="16384" width="11.42578125" style="991"/>
  </cols>
  <sheetData>
    <row r="1" spans="1:16" ht="15" customHeight="1">
      <c r="A1" s="1211"/>
      <c r="B1" s="1211"/>
      <c r="C1" s="1211"/>
      <c r="D1" s="1941" t="s">
        <v>1234</v>
      </c>
      <c r="E1" s="1941"/>
      <c r="F1" s="1941"/>
      <c r="G1" s="1941"/>
      <c r="H1" s="1941"/>
      <c r="I1" s="1941"/>
      <c r="J1" s="1941"/>
      <c r="K1" s="1941"/>
      <c r="L1" s="1008"/>
      <c r="M1" s="1008"/>
    </row>
    <row r="2" spans="1:16" ht="23.25" customHeight="1">
      <c r="A2" s="1211"/>
      <c r="B2" s="1211"/>
      <c r="C2" s="1211"/>
      <c r="D2" s="1941"/>
      <c r="E2" s="1941"/>
      <c r="F2" s="1941"/>
      <c r="G2" s="1941"/>
      <c r="H2" s="1941"/>
      <c r="I2" s="1941"/>
      <c r="J2" s="1941"/>
      <c r="K2" s="1941"/>
      <c r="L2" s="1008"/>
      <c r="M2" s="1008"/>
    </row>
    <row r="3" spans="1:16" ht="19.5" customHeight="1">
      <c r="A3" s="988"/>
      <c r="B3" s="988"/>
      <c r="C3" s="988"/>
      <c r="D3" s="1941"/>
      <c r="E3" s="1941"/>
      <c r="F3" s="1941"/>
      <c r="G3" s="1941"/>
      <c r="H3" s="1941"/>
      <c r="I3" s="1941"/>
      <c r="J3" s="1941"/>
      <c r="K3" s="1941"/>
      <c r="L3" s="1008"/>
      <c r="M3" s="1008"/>
    </row>
    <row r="4" spans="1:16">
      <c r="E4" s="992"/>
      <c r="F4" s="992"/>
      <c r="G4" s="992"/>
      <c r="H4" s="992"/>
      <c r="I4" s="992"/>
      <c r="J4" s="992"/>
    </row>
    <row r="5" spans="1:16" s="672" customFormat="1" ht="12.75">
      <c r="E5" s="864"/>
      <c r="F5" s="864"/>
      <c r="G5" s="864"/>
      <c r="H5" s="864"/>
      <c r="I5" s="864"/>
      <c r="J5" s="864"/>
    </row>
    <row r="6" spans="1:16" ht="7.5" customHeight="1">
      <c r="A6" s="993"/>
      <c r="B6" s="994"/>
      <c r="C6" s="995"/>
      <c r="D6" s="995"/>
      <c r="E6" s="995"/>
      <c r="F6" s="995"/>
      <c r="G6" s="995"/>
      <c r="H6" s="995"/>
      <c r="I6" s="995"/>
      <c r="J6" s="995"/>
      <c r="K6" s="995"/>
      <c r="L6" s="994"/>
      <c r="M6" s="996"/>
    </row>
    <row r="7" spans="1:16" s="673" customFormat="1" ht="27.75" customHeight="1">
      <c r="A7" s="997"/>
      <c r="B7" s="1942" t="s">
        <v>1056</v>
      </c>
      <c r="C7" s="1942"/>
      <c r="D7" s="1942"/>
      <c r="E7" s="1942"/>
      <c r="F7" s="1009" t="e">
        <f>IF(ISBLANK(oLibelleOTP),"",oLibelleOTP)</f>
        <v>#REF!</v>
      </c>
      <c r="G7" s="1009"/>
      <c r="H7" s="1009"/>
      <c r="I7" s="1009"/>
      <c r="J7" s="1009"/>
      <c r="K7" s="1009"/>
      <c r="L7" s="1009"/>
      <c r="M7" s="998"/>
      <c r="N7" s="988"/>
      <c r="P7" s="988"/>
    </row>
    <row r="8" spans="1:16" s="673" customFormat="1" ht="21.95" customHeight="1">
      <c r="A8" s="997"/>
      <c r="B8" s="1943" t="s">
        <v>869</v>
      </c>
      <c r="C8" s="1943"/>
      <c r="D8" s="1010"/>
      <c r="E8" s="1009" t="e">
        <f>IF(ISBLANK(oeOTP),"",oeOTP)</f>
        <v>#REF!</v>
      </c>
      <c r="F8" s="1011"/>
      <c r="G8" s="1011"/>
      <c r="H8" s="1016" t="s">
        <v>1057</v>
      </c>
      <c r="I8" s="1010"/>
      <c r="J8" s="1011"/>
      <c r="K8" s="1011"/>
      <c r="L8" s="1011"/>
      <c r="M8" s="999"/>
      <c r="P8" s="988"/>
    </row>
    <row r="9" spans="1:16" s="673" customFormat="1" ht="21.95" customHeight="1">
      <c r="A9" s="997"/>
      <c r="B9" s="1943" t="s">
        <v>1235</v>
      </c>
      <c r="C9" s="1943"/>
      <c r="D9" s="1010"/>
      <c r="E9" s="1011"/>
      <c r="F9" s="1011"/>
      <c r="G9" s="1011"/>
      <c r="H9" s="1012"/>
      <c r="I9" s="1012"/>
      <c r="J9" s="1013"/>
      <c r="K9" s="1014"/>
      <c r="L9" s="1014"/>
      <c r="M9" s="999"/>
      <c r="P9" s="988"/>
    </row>
    <row r="10" spans="1:16" s="673" customFormat="1" ht="21.95" customHeight="1">
      <c r="A10" s="997"/>
      <c r="B10" s="1011" t="s">
        <v>1205</v>
      </c>
      <c r="C10" s="1012"/>
      <c r="D10" s="1010"/>
      <c r="E10" s="1011"/>
      <c r="F10" s="1011"/>
      <c r="G10" s="1015"/>
      <c r="H10" s="1015"/>
      <c r="I10" s="1015"/>
      <c r="J10" s="1015"/>
      <c r="K10" s="1014"/>
      <c r="L10" s="1014"/>
      <c r="M10" s="999"/>
      <c r="P10" s="988"/>
    </row>
    <row r="11" spans="1:16" ht="7.5" customHeight="1">
      <c r="A11" s="1000"/>
      <c r="B11" s="1001"/>
      <c r="C11" s="1001"/>
      <c r="D11" s="1002"/>
      <c r="E11" s="1002"/>
      <c r="F11" s="1002"/>
      <c r="G11" s="1002"/>
      <c r="H11" s="1002"/>
      <c r="I11" s="1002"/>
      <c r="J11" s="1002"/>
      <c r="K11" s="1002"/>
      <c r="L11" s="1002"/>
      <c r="M11" s="1003"/>
    </row>
    <row r="12" spans="1:16" ht="10.5" customHeight="1">
      <c r="D12" s="681"/>
      <c r="E12" s="681"/>
      <c r="F12" s="681"/>
      <c r="G12" s="681"/>
      <c r="H12" s="681"/>
      <c r="I12" s="681"/>
      <c r="J12" s="681"/>
      <c r="K12" s="681"/>
      <c r="L12" s="681"/>
      <c r="M12" s="681"/>
    </row>
    <row r="13" spans="1:16" s="672" customFormat="1" ht="15.75">
      <c r="A13" s="1937"/>
      <c r="B13" s="1937"/>
      <c r="C13" s="1937"/>
      <c r="D13" s="1937"/>
      <c r="E13" s="1937"/>
      <c r="F13" s="1937"/>
      <c r="G13" s="1937"/>
      <c r="H13" s="1937"/>
      <c r="I13" s="1937"/>
      <c r="J13" s="1937"/>
      <c r="K13" s="1937"/>
      <c r="L13" s="1937"/>
      <c r="M13" s="1937"/>
    </row>
    <row r="14" spans="1:16" s="1004" customFormat="1" ht="29.25" customHeight="1">
      <c r="C14" s="865" t="s">
        <v>1237</v>
      </c>
    </row>
    <row r="15" spans="1:16" s="672" customFormat="1" ht="29.25" customHeight="1">
      <c r="B15" s="864"/>
      <c r="C15" s="672" t="s">
        <v>1238</v>
      </c>
      <c r="M15" s="903"/>
    </row>
    <row r="16" spans="1:16" s="672" customFormat="1" ht="29.25" customHeight="1">
      <c r="A16" s="864"/>
      <c r="B16" s="1005"/>
      <c r="C16" s="1938" t="s">
        <v>1239</v>
      </c>
      <c r="D16" s="1938"/>
      <c r="E16" s="1938"/>
      <c r="F16" s="1938"/>
      <c r="G16" s="1938"/>
      <c r="H16" s="1938"/>
      <c r="I16" s="1938"/>
      <c r="J16" s="1938"/>
      <c r="K16" s="1938"/>
      <c r="L16" s="1005"/>
      <c r="M16" s="1005"/>
    </row>
    <row r="17" spans="1:13" s="672" customFormat="1" ht="29.25" customHeight="1">
      <c r="A17" s="864"/>
      <c r="B17" s="864"/>
      <c r="C17" s="672" t="s">
        <v>1240</v>
      </c>
      <c r="L17" s="1005"/>
      <c r="M17" s="1005"/>
    </row>
    <row r="18" spans="1:13" s="672" customFormat="1" ht="29.25" customHeight="1">
      <c r="A18" s="864"/>
      <c r="B18" s="864"/>
      <c r="C18" s="672" t="s">
        <v>1241</v>
      </c>
      <c r="L18" s="903"/>
      <c r="M18" s="903"/>
    </row>
    <row r="19" spans="1:13" s="672" customFormat="1" ht="12.75">
      <c r="A19" s="864"/>
      <c r="B19" s="864"/>
      <c r="C19" s="864"/>
      <c r="D19" s="903"/>
      <c r="E19" s="903"/>
      <c r="F19" s="903"/>
      <c r="G19" s="903"/>
      <c r="H19" s="903"/>
      <c r="I19" s="903"/>
      <c r="J19" s="903"/>
      <c r="K19" s="903"/>
      <c r="L19" s="903"/>
      <c r="M19" s="903"/>
    </row>
    <row r="20" spans="1:13" s="672" customFormat="1" ht="12.75">
      <c r="C20" s="1939"/>
      <c r="D20" s="1939"/>
      <c r="E20" s="1939"/>
      <c r="F20" s="1939"/>
      <c r="G20" s="1939"/>
      <c r="H20" s="1939"/>
      <c r="I20" s="1939"/>
      <c r="J20" s="1939"/>
      <c r="K20" s="1939"/>
      <c r="L20" s="865"/>
      <c r="M20" s="865"/>
    </row>
    <row r="21" spans="1:13" s="672" customFormat="1" ht="12.75">
      <c r="C21" s="1939"/>
      <c r="D21" s="1939"/>
      <c r="E21" s="1939"/>
      <c r="F21" s="1939"/>
      <c r="G21" s="1939"/>
      <c r="H21" s="1939"/>
      <c r="I21" s="1939"/>
      <c r="J21" s="1939"/>
      <c r="K21" s="1939"/>
      <c r="L21" s="865"/>
      <c r="M21" s="865"/>
    </row>
    <row r="22" spans="1:13" s="672" customFormat="1" ht="12.75">
      <c r="B22" s="864"/>
      <c r="C22" s="864"/>
      <c r="D22" s="903"/>
      <c r="E22" s="903"/>
      <c r="F22" s="903"/>
      <c r="G22" s="903"/>
      <c r="H22" s="903"/>
      <c r="I22" s="903"/>
      <c r="J22" s="903"/>
      <c r="K22" s="903"/>
      <c r="L22" s="903"/>
      <c r="M22" s="865"/>
    </row>
    <row r="23" spans="1:13" s="672" customFormat="1" ht="21.95" customHeight="1">
      <c r="B23" s="864"/>
      <c r="C23" s="1940" t="s">
        <v>1236</v>
      </c>
      <c r="D23" s="1940"/>
      <c r="E23" s="1940"/>
      <c r="F23" s="1940"/>
      <c r="G23" s="1940"/>
      <c r="H23" s="1940"/>
      <c r="I23" s="1940"/>
      <c r="J23" s="1940"/>
      <c r="K23" s="1940"/>
      <c r="L23" s="903"/>
      <c r="M23" s="865"/>
    </row>
    <row r="24" spans="1:13" s="672" customFormat="1" ht="21.95" customHeight="1">
      <c r="B24" s="864"/>
      <c r="C24" s="864" t="s">
        <v>174</v>
      </c>
      <c r="D24" s="903"/>
      <c r="E24" s="864"/>
      <c r="F24" s="864"/>
      <c r="G24" s="864"/>
      <c r="H24" s="675"/>
      <c r="I24" s="903"/>
      <c r="J24" s="903"/>
      <c r="K24" s="903"/>
      <c r="L24" s="903"/>
      <c r="M24" s="865"/>
    </row>
    <row r="25" spans="1:13" s="672" customFormat="1" ht="196.5" customHeight="1">
      <c r="B25" s="864"/>
      <c r="C25" s="864"/>
      <c r="D25" s="903"/>
      <c r="E25" s="903"/>
      <c r="F25" s="903"/>
      <c r="G25" s="903"/>
      <c r="H25" s="903"/>
      <c r="I25" s="903"/>
      <c r="J25" s="903"/>
      <c r="K25" s="903"/>
      <c r="L25" s="903"/>
      <c r="M25" s="865"/>
    </row>
    <row r="26" spans="1:13" s="672" customFormat="1" ht="12.75">
      <c r="B26" s="864"/>
      <c r="C26" s="864"/>
      <c r="D26" s="903"/>
      <c r="E26" s="1006"/>
      <c r="F26" s="1006"/>
      <c r="G26" s="1006"/>
      <c r="H26" s="903"/>
      <c r="I26" s="903"/>
      <c r="J26" s="903"/>
      <c r="K26" s="903"/>
      <c r="L26" s="903"/>
      <c r="M26" s="865"/>
    </row>
    <row r="27" spans="1:13" s="672" customFormat="1" ht="12.75">
      <c r="B27" s="864"/>
      <c r="C27" s="864"/>
      <c r="D27" s="903"/>
      <c r="E27" s="903"/>
      <c r="F27" s="903"/>
      <c r="G27" s="903"/>
      <c r="H27" s="903"/>
      <c r="I27" s="903"/>
      <c r="J27" s="903"/>
      <c r="K27" s="903"/>
      <c r="L27" s="903"/>
      <c r="M27" s="865"/>
    </row>
    <row r="28" spans="1:13">
      <c r="D28" s="1007"/>
      <c r="E28" s="1007"/>
      <c r="F28" s="1007"/>
      <c r="G28" s="1007"/>
      <c r="H28" s="1007"/>
      <c r="I28" s="1007"/>
      <c r="J28" s="1007"/>
      <c r="K28" s="1007"/>
      <c r="L28" s="1007"/>
      <c r="M28" s="1007"/>
    </row>
    <row r="29" spans="1:13" ht="6.75" customHeight="1">
      <c r="D29" s="1007"/>
      <c r="E29" s="1007"/>
      <c r="F29" s="1007"/>
      <c r="G29" s="1007"/>
      <c r="H29" s="1007"/>
      <c r="I29" s="1007"/>
      <c r="J29" s="1007"/>
      <c r="K29" s="1007"/>
      <c r="L29" s="1007"/>
      <c r="M29" s="1007"/>
    </row>
    <row r="30" spans="1:13" ht="15.75" customHeight="1">
      <c r="D30" s="1007"/>
      <c r="E30" s="1007"/>
      <c r="F30" s="1007"/>
      <c r="G30" s="1007"/>
      <c r="H30" s="1007"/>
      <c r="I30" s="1007"/>
      <c r="J30" s="1007"/>
      <c r="K30" s="1007"/>
      <c r="L30" s="1007"/>
      <c r="M30" s="1007"/>
    </row>
    <row r="31" spans="1:13">
      <c r="D31" s="1007"/>
      <c r="E31" s="1007"/>
      <c r="F31" s="1007"/>
      <c r="G31" s="1007"/>
      <c r="H31" s="1007"/>
      <c r="I31" s="1007"/>
      <c r="J31" s="1007"/>
      <c r="K31" s="1007"/>
      <c r="L31" s="1007"/>
      <c r="M31" s="1007"/>
    </row>
    <row r="32" spans="1:13" ht="6.75" customHeight="1">
      <c r="D32" s="1007"/>
      <c r="E32" s="1007"/>
      <c r="F32" s="1007"/>
      <c r="G32" s="1007"/>
      <c r="H32" s="1007"/>
      <c r="I32" s="1007"/>
      <c r="J32" s="1007"/>
      <c r="K32" s="1007"/>
      <c r="L32" s="1007"/>
      <c r="M32" s="1007"/>
    </row>
    <row r="33" spans="4:13">
      <c r="D33" s="1007"/>
      <c r="E33" s="1007"/>
      <c r="F33" s="1007"/>
      <c r="G33" s="1007"/>
      <c r="H33" s="1007"/>
      <c r="I33" s="1007"/>
      <c r="J33" s="1007"/>
      <c r="K33" s="1007"/>
      <c r="L33" s="1007"/>
      <c r="M33" s="1007"/>
    </row>
    <row r="34" spans="4:13">
      <c r="D34" s="1007"/>
      <c r="E34" s="1007"/>
      <c r="F34" s="1007"/>
      <c r="G34" s="1007"/>
      <c r="H34" s="1007"/>
      <c r="I34" s="1007"/>
      <c r="J34" s="1007"/>
      <c r="K34" s="1007"/>
      <c r="L34" s="1007"/>
      <c r="M34" s="1007"/>
    </row>
    <row r="35" spans="4:13" ht="6.75" customHeight="1">
      <c r="D35" s="1007"/>
      <c r="E35" s="1007"/>
      <c r="F35" s="1007"/>
      <c r="G35" s="1007"/>
      <c r="H35" s="1007"/>
      <c r="I35" s="1007"/>
      <c r="J35" s="1007"/>
      <c r="K35" s="1007"/>
      <c r="L35" s="1007"/>
      <c r="M35" s="1007"/>
    </row>
    <row r="36" spans="4:13">
      <c r="D36" s="1007"/>
      <c r="E36" s="1007"/>
      <c r="F36" s="1007"/>
      <c r="G36" s="1007"/>
      <c r="H36" s="1007"/>
      <c r="I36" s="1007"/>
      <c r="J36" s="1007"/>
      <c r="K36" s="1007"/>
      <c r="L36" s="1007"/>
      <c r="M36" s="1007"/>
    </row>
    <row r="37" spans="4:13">
      <c r="D37" s="1007"/>
      <c r="E37" s="1007"/>
      <c r="F37" s="1007"/>
      <c r="G37" s="1007"/>
      <c r="H37" s="1007"/>
      <c r="I37" s="1007"/>
      <c r="J37" s="1007"/>
      <c r="K37" s="1007"/>
      <c r="L37" s="1007"/>
      <c r="M37" s="1007"/>
    </row>
    <row r="38" spans="4:13" ht="6.75" customHeight="1">
      <c r="D38" s="1007"/>
      <c r="E38" s="1007"/>
      <c r="F38" s="1007"/>
      <c r="G38" s="1007"/>
      <c r="H38" s="1007"/>
      <c r="I38" s="1007"/>
      <c r="J38" s="1007"/>
      <c r="K38" s="1007"/>
      <c r="L38" s="1007"/>
      <c r="M38" s="1007"/>
    </row>
    <row r="39" spans="4:13">
      <c r="D39" s="1007"/>
      <c r="E39" s="1007"/>
      <c r="F39" s="1007"/>
      <c r="G39" s="1007"/>
      <c r="H39" s="1007"/>
      <c r="I39" s="1007"/>
      <c r="J39" s="1007"/>
      <c r="K39" s="1007"/>
      <c r="L39" s="1007"/>
    </row>
    <row r="40" spans="4:13">
      <c r="M40" s="1007"/>
    </row>
  </sheetData>
  <mergeCells count="9">
    <mergeCell ref="A13:M13"/>
    <mergeCell ref="C16:K16"/>
    <mergeCell ref="C20:K21"/>
    <mergeCell ref="C23:K23"/>
    <mergeCell ref="D1:K3"/>
    <mergeCell ref="A1:C2"/>
    <mergeCell ref="B7:E7"/>
    <mergeCell ref="B8:C8"/>
    <mergeCell ref="B9:C9"/>
  </mergeCells>
  <pageMargins left="0.70866141732283472" right="0.70866141732283472" top="0.74803149606299213" bottom="0.74803149606299213" header="0.31496062992125984" footer="0.31496062992125984"/>
  <pageSetup paperSize="9" scale="83" orientation="portrait" blackAndWhite="1" verticalDpi="4294967292" r:id="rId1"/>
  <headerFooter>
    <oddFooter>&amp;LEdité le &amp;D&amp;C&amp;P/&amp;N</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0-000000000000}">
  <sheetPr>
    <tabColor rgb="FFCCFFCC"/>
    <pageSetUpPr fitToPage="1"/>
  </sheetPr>
  <dimension ref="A1:J64"/>
  <sheetViews>
    <sheetView showGridLines="0" view="pageBreakPreview" zoomScaleNormal="130" zoomScaleSheetLayoutView="100" workbookViewId="0">
      <selection activeCell="A27" sqref="A27:J27"/>
    </sheetView>
  </sheetViews>
  <sheetFormatPr baseColWidth="10" defaultColWidth="11.42578125" defaultRowHeight="12.75"/>
  <cols>
    <col min="1" max="1" width="12.5703125" style="665" customWidth="1"/>
    <col min="2" max="2" width="15.140625" style="665" customWidth="1"/>
    <col min="3" max="3" width="15.28515625" style="665" customWidth="1"/>
    <col min="4" max="4" width="21" style="665" customWidth="1"/>
    <col min="5" max="5" width="8.5703125" style="665" customWidth="1"/>
    <col min="6" max="6" width="13.5703125" style="665" customWidth="1"/>
    <col min="7" max="7" width="9.140625" style="665" customWidth="1"/>
    <col min="8" max="8" width="13.7109375" style="665" customWidth="1"/>
    <col min="9" max="9" width="11.42578125" style="665"/>
    <col min="10" max="10" width="14.28515625" style="665" customWidth="1"/>
    <col min="11" max="11" width="4.5703125" style="665" customWidth="1"/>
    <col min="12" max="16384" width="11.42578125" style="665"/>
  </cols>
  <sheetData>
    <row r="1" spans="1:10" ht="41.25" customHeight="1" thickBot="1">
      <c r="A1" s="1944" t="s">
        <v>1151</v>
      </c>
      <c r="B1" s="1945"/>
      <c r="C1" s="1945"/>
      <c r="D1" s="1945"/>
      <c r="E1" s="1945"/>
      <c r="F1" s="1945"/>
      <c r="G1" s="1945"/>
      <c r="H1" s="1945"/>
      <c r="I1" s="1945"/>
      <c r="J1" s="958" t="s">
        <v>1202</v>
      </c>
    </row>
    <row r="2" spans="1:10" ht="19.5" customHeight="1" thickBot="1">
      <c r="A2" s="1946" t="s">
        <v>1169</v>
      </c>
      <c r="B2" s="1947"/>
      <c r="C2" s="1948"/>
      <c r="D2" s="1948"/>
      <c r="E2" s="1948"/>
      <c r="F2" s="1949"/>
      <c r="G2" s="1947" t="s">
        <v>1171</v>
      </c>
      <c r="H2" s="1947"/>
      <c r="I2" s="1948"/>
      <c r="J2" s="1949"/>
    </row>
    <row r="3" spans="1:10" ht="21.75" customHeight="1" thickBot="1">
      <c r="A3" s="1946" t="s">
        <v>1170</v>
      </c>
      <c r="B3" s="1947"/>
      <c r="C3" s="1948"/>
      <c r="D3" s="1948"/>
      <c r="E3" s="1948"/>
      <c r="F3" s="1949"/>
      <c r="G3" s="1946" t="s">
        <v>1172</v>
      </c>
      <c r="H3" s="1947"/>
      <c r="I3" s="1948"/>
      <c r="J3" s="1949"/>
    </row>
    <row r="4" spans="1:10" ht="20.100000000000001" customHeight="1" thickBot="1">
      <c r="A4" s="1958" t="s">
        <v>1090</v>
      </c>
      <c r="B4" s="1958"/>
      <c r="C4" s="1958"/>
      <c r="D4" s="1958"/>
      <c r="E4" s="1958"/>
      <c r="F4" s="1958"/>
      <c r="G4" s="1958"/>
      <c r="H4" s="1958"/>
      <c r="I4" s="1958"/>
      <c r="J4" s="1958"/>
    </row>
    <row r="5" spans="1:10" ht="24.75" customHeight="1">
      <c r="A5" s="1959" t="s">
        <v>1091</v>
      </c>
      <c r="B5" s="1960"/>
      <c r="C5" s="1961"/>
      <c r="D5" s="1961"/>
      <c r="E5" s="1961"/>
      <c r="F5" s="1961"/>
      <c r="G5" s="1961"/>
      <c r="H5" s="959" t="s">
        <v>1093</v>
      </c>
      <c r="I5" s="1960"/>
      <c r="J5" s="1962"/>
    </row>
    <row r="6" spans="1:10" ht="23.25" customHeight="1" thickBot="1">
      <c r="A6" s="1963" t="s">
        <v>1092</v>
      </c>
      <c r="B6" s="1964"/>
      <c r="C6" s="1965"/>
      <c r="D6" s="1965"/>
      <c r="E6" s="1965"/>
      <c r="F6" s="1965"/>
      <c r="G6" s="1965"/>
      <c r="H6" s="1965"/>
      <c r="I6" s="1965"/>
      <c r="J6" s="1966"/>
    </row>
    <row r="7" spans="1:10" ht="19.5" customHeight="1">
      <c r="A7" s="1950" t="s">
        <v>1094</v>
      </c>
      <c r="B7" s="1951"/>
      <c r="C7" s="1951"/>
      <c r="D7" s="1952"/>
      <c r="E7" s="1952"/>
      <c r="F7" s="1952"/>
      <c r="G7" s="1952"/>
      <c r="H7" s="1952"/>
      <c r="I7" s="1952"/>
      <c r="J7" s="1953"/>
    </row>
    <row r="8" spans="1:10" ht="18.75" customHeight="1">
      <c r="A8" s="1954" t="s">
        <v>1095</v>
      </c>
      <c r="B8" s="1955"/>
      <c r="C8" s="1956"/>
      <c r="D8" s="1956"/>
      <c r="E8" s="1956"/>
      <c r="F8" s="1955" t="s">
        <v>1096</v>
      </c>
      <c r="G8" s="1955"/>
      <c r="H8" s="1956"/>
      <c r="I8" s="1956"/>
      <c r="J8" s="1957"/>
    </row>
    <row r="9" spans="1:10" ht="18" customHeight="1">
      <c r="A9" s="1954" t="s">
        <v>1097</v>
      </c>
      <c r="B9" s="1955"/>
      <c r="C9" s="1956"/>
      <c r="D9" s="1956"/>
      <c r="E9" s="1956"/>
      <c r="F9" s="1955" t="s">
        <v>1098</v>
      </c>
      <c r="G9" s="1955"/>
      <c r="H9" s="1956"/>
      <c r="I9" s="1956"/>
      <c r="J9" s="1957"/>
    </row>
    <row r="10" spans="1:10" ht="15">
      <c r="A10" s="1979" t="s">
        <v>1099</v>
      </c>
      <c r="B10" s="1980"/>
      <c r="C10" s="1980"/>
      <c r="D10" s="1980"/>
      <c r="E10" s="1980"/>
      <c r="F10" s="1980"/>
      <c r="G10" s="1980"/>
      <c r="H10" s="1980"/>
      <c r="I10" s="1980"/>
      <c r="J10" s="1981"/>
    </row>
    <row r="11" spans="1:10" ht="19.5" customHeight="1" thickBot="1">
      <c r="A11" s="1982" t="s">
        <v>1152</v>
      </c>
      <c r="B11" s="1983"/>
      <c r="C11" s="1983"/>
      <c r="D11" s="1983"/>
      <c r="E11" s="1983"/>
      <c r="F11" s="1983" t="s">
        <v>1153</v>
      </c>
      <c r="G11" s="1983"/>
      <c r="H11" s="1983"/>
      <c r="I11" s="1983"/>
      <c r="J11" s="1984"/>
    </row>
    <row r="12" spans="1:10" ht="20.100000000000001" customHeight="1" thickBot="1">
      <c r="A12" s="1967" t="s">
        <v>1165</v>
      </c>
      <c r="B12" s="1967"/>
      <c r="C12" s="1967"/>
      <c r="D12" s="1967"/>
      <c r="E12" s="1967"/>
      <c r="F12" s="1967"/>
      <c r="G12" s="1967"/>
      <c r="H12" s="1967"/>
      <c r="I12" s="1967"/>
      <c r="J12" s="1967"/>
    </row>
    <row r="13" spans="1:10" ht="25.5" customHeight="1">
      <c r="A13" s="1959" t="s">
        <v>1100</v>
      </c>
      <c r="B13" s="1960"/>
      <c r="C13" s="1961"/>
      <c r="D13" s="1961"/>
      <c r="E13" s="1961"/>
      <c r="F13" s="1961"/>
      <c r="G13" s="1961"/>
      <c r="H13" s="1961"/>
      <c r="I13" s="1961"/>
      <c r="J13" s="1968"/>
    </row>
    <row r="14" spans="1:10" ht="15.75" thickBot="1">
      <c r="A14" s="1969" t="s">
        <v>1101</v>
      </c>
      <c r="B14" s="1970"/>
      <c r="C14" s="1970"/>
      <c r="D14" s="1970"/>
      <c r="E14" s="1970"/>
      <c r="F14" s="1970"/>
      <c r="G14" s="1970"/>
      <c r="H14" s="1970"/>
      <c r="I14" s="1970"/>
      <c r="J14" s="1971"/>
    </row>
    <row r="15" spans="1:10" ht="15.75" thickBot="1">
      <c r="A15" s="1972" t="s">
        <v>1102</v>
      </c>
      <c r="B15" s="1973"/>
      <c r="C15" s="1973"/>
      <c r="D15" s="1973"/>
      <c r="E15" s="1973"/>
      <c r="F15" s="1973"/>
      <c r="G15" s="1973"/>
      <c r="H15" s="1973"/>
      <c r="I15" s="1973"/>
      <c r="J15" s="1974"/>
    </row>
    <row r="16" spans="1:10" ht="15.75" thickBot="1">
      <c r="A16" s="1975" t="s">
        <v>1154</v>
      </c>
      <c r="B16" s="1976"/>
      <c r="C16" s="1976"/>
      <c r="D16" s="1976"/>
      <c r="E16" s="1976"/>
      <c r="F16" s="1977" t="s">
        <v>1155</v>
      </c>
      <c r="G16" s="1977"/>
      <c r="H16" s="1977"/>
      <c r="I16" s="1977"/>
      <c r="J16" s="1978"/>
    </row>
    <row r="17" spans="1:10" ht="45" customHeight="1" thickBot="1">
      <c r="A17" s="1994" t="s">
        <v>1138</v>
      </c>
      <c r="B17" s="1995"/>
      <c r="C17" s="1995"/>
      <c r="D17" s="1995"/>
      <c r="E17" s="1995"/>
      <c r="F17" s="1995"/>
      <c r="G17" s="1995"/>
      <c r="H17" s="1995"/>
      <c r="I17" s="1995"/>
      <c r="J17" s="1996"/>
    </row>
    <row r="18" spans="1:10" ht="20.100000000000001" customHeight="1" thickBot="1">
      <c r="A18" s="1967" t="s">
        <v>1104</v>
      </c>
      <c r="B18" s="1967"/>
      <c r="C18" s="1967"/>
      <c r="D18" s="1967"/>
      <c r="E18" s="1967"/>
      <c r="F18" s="1967"/>
      <c r="G18" s="1967"/>
      <c r="H18" s="1967"/>
      <c r="I18" s="1967"/>
      <c r="J18" s="1967"/>
    </row>
    <row r="19" spans="1:10" ht="18" customHeight="1" thickBot="1">
      <c r="A19" s="960" t="s">
        <v>1156</v>
      </c>
      <c r="B19" s="961" t="s">
        <v>1157</v>
      </c>
      <c r="C19" s="962" t="s">
        <v>1158</v>
      </c>
      <c r="D19" s="1960" t="s">
        <v>1159</v>
      </c>
      <c r="E19" s="1997"/>
      <c r="F19" s="961"/>
      <c r="G19" s="961"/>
      <c r="H19" s="961"/>
      <c r="I19" s="961"/>
      <c r="J19" s="963"/>
    </row>
    <row r="20" spans="1:10" ht="24.75" customHeight="1" thickBot="1">
      <c r="A20" s="964" t="s">
        <v>1105</v>
      </c>
      <c r="E20" s="965"/>
      <c r="F20" s="965"/>
      <c r="G20" s="965"/>
      <c r="H20" s="965"/>
      <c r="I20" s="965"/>
      <c r="J20" s="966"/>
    </row>
    <row r="21" spans="1:10" ht="45" customHeight="1" thickBot="1">
      <c r="A21" s="1998" t="s">
        <v>1138</v>
      </c>
      <c r="B21" s="1999"/>
      <c r="C21" s="1999"/>
      <c r="D21" s="1999"/>
      <c r="E21" s="1999"/>
      <c r="F21" s="1999"/>
      <c r="G21" s="1999"/>
      <c r="H21" s="1999"/>
      <c r="I21" s="1999"/>
      <c r="J21" s="2000"/>
    </row>
    <row r="22" spans="1:10" ht="20.100000000000001" customHeight="1" thickBot="1">
      <c r="A22" s="1967" t="s">
        <v>1106</v>
      </c>
      <c r="B22" s="1967"/>
      <c r="C22" s="1967"/>
      <c r="D22" s="1967"/>
      <c r="E22" s="1967"/>
      <c r="F22" s="1967"/>
      <c r="G22" s="1967"/>
      <c r="H22" s="1967"/>
      <c r="I22" s="1967"/>
      <c r="J22" s="1967"/>
    </row>
    <row r="23" spans="1:10" ht="24.75" customHeight="1" thickBot="1">
      <c r="A23" s="2001" t="s">
        <v>1160</v>
      </c>
      <c r="B23" s="2002"/>
      <c r="C23" s="1997" t="s">
        <v>1161</v>
      </c>
      <c r="D23" s="1997"/>
      <c r="E23" s="2002" t="s">
        <v>1162</v>
      </c>
      <c r="F23" s="2002"/>
      <c r="G23" s="2002"/>
      <c r="H23" s="961" t="s">
        <v>1163</v>
      </c>
      <c r="I23" s="1997" t="s">
        <v>1164</v>
      </c>
      <c r="J23" s="2003"/>
    </row>
    <row r="24" spans="1:10" ht="15">
      <c r="A24" s="1985" t="s">
        <v>1203</v>
      </c>
      <c r="B24" s="1986"/>
      <c r="C24" s="1986"/>
      <c r="D24" s="1986"/>
      <c r="E24" s="1986"/>
      <c r="F24" s="1986"/>
      <c r="G24" s="1986"/>
      <c r="H24" s="1986"/>
      <c r="I24" s="1986"/>
      <c r="J24" s="1987"/>
    </row>
    <row r="25" spans="1:10" ht="64.5" customHeight="1">
      <c r="A25" s="1988"/>
      <c r="B25" s="1989"/>
      <c r="C25" s="1989"/>
      <c r="D25" s="1989"/>
      <c r="E25" s="1989"/>
      <c r="F25" s="1989"/>
      <c r="G25" s="1989"/>
      <c r="H25" s="1989"/>
      <c r="I25" s="1989"/>
      <c r="J25" s="1990"/>
    </row>
    <row r="26" spans="1:10" ht="18" customHeight="1">
      <c r="A26" s="1988" t="s">
        <v>1103</v>
      </c>
      <c r="B26" s="1989"/>
      <c r="C26" s="1989"/>
      <c r="D26" s="1989"/>
      <c r="E26" s="1989"/>
      <c r="F26" s="1989"/>
      <c r="G26" s="1989"/>
      <c r="H26" s="1989"/>
      <c r="I26" s="1989"/>
      <c r="J26" s="1990"/>
    </row>
    <row r="27" spans="1:10" ht="45" customHeight="1" thickBot="1">
      <c r="A27" s="1991"/>
      <c r="B27" s="1992"/>
      <c r="C27" s="1992"/>
      <c r="D27" s="1992"/>
      <c r="E27" s="1992"/>
      <c r="F27" s="1992"/>
      <c r="G27" s="1992"/>
      <c r="H27" s="1992"/>
      <c r="I27" s="1992"/>
      <c r="J27" s="1993"/>
    </row>
    <row r="28" spans="1:10" ht="20.100000000000001" customHeight="1" thickBot="1">
      <c r="A28" s="1958" t="s">
        <v>1211</v>
      </c>
      <c r="B28" s="1958"/>
      <c r="C28" s="1948" t="s">
        <v>1212</v>
      </c>
      <c r="D28" s="1948"/>
      <c r="E28" s="1948"/>
      <c r="F28" s="977"/>
      <c r="G28" s="1948" t="s">
        <v>1213</v>
      </c>
      <c r="H28" s="1948"/>
      <c r="I28" s="1948"/>
      <c r="J28" s="1948"/>
    </row>
    <row r="29" spans="1:10" ht="20.100000000000001" customHeight="1" thickBot="1">
      <c r="A29" s="1967" t="s">
        <v>1107</v>
      </c>
      <c r="B29" s="1967"/>
      <c r="C29" s="1967"/>
      <c r="D29" s="1967"/>
      <c r="E29" s="1967"/>
      <c r="F29" s="1967"/>
      <c r="G29" s="1967"/>
      <c r="H29" s="1967"/>
      <c r="I29" s="1967"/>
      <c r="J29" s="1967"/>
    </row>
    <row r="30" spans="1:10" ht="32.25" customHeight="1">
      <c r="A30" s="1959" t="s">
        <v>1108</v>
      </c>
      <c r="B30" s="1960"/>
      <c r="C30" s="1960"/>
      <c r="D30" s="1960"/>
      <c r="E30" s="1960"/>
      <c r="F30" s="1960"/>
      <c r="G30" s="1960"/>
      <c r="H30" s="1960"/>
      <c r="I30" s="1960"/>
      <c r="J30" s="1962"/>
    </row>
    <row r="31" spans="1:10" ht="35.25" customHeight="1" thickBot="1">
      <c r="A31" s="2011" t="s">
        <v>1109</v>
      </c>
      <c r="B31" s="2012"/>
      <c r="C31" s="2012"/>
      <c r="D31" s="2012"/>
      <c r="E31" s="2012"/>
      <c r="F31" s="2012"/>
      <c r="G31" s="2012"/>
      <c r="H31" s="2012"/>
      <c r="I31" s="2012"/>
      <c r="J31" s="2013"/>
    </row>
    <row r="32" spans="1:10" ht="15.75" thickBot="1">
      <c r="A32" s="2014" t="s">
        <v>1110</v>
      </c>
      <c r="B32" s="2014"/>
      <c r="C32" s="2014"/>
      <c r="D32" s="2014"/>
      <c r="E32" s="2014"/>
      <c r="F32" s="2014"/>
      <c r="G32" s="2014"/>
      <c r="H32" s="2014"/>
      <c r="I32" s="2014"/>
      <c r="J32" s="2014"/>
    </row>
    <row r="33" spans="1:10" ht="32.25" customHeight="1">
      <c r="A33" s="1959" t="s">
        <v>1204</v>
      </c>
      <c r="B33" s="1960"/>
      <c r="C33" s="1960"/>
      <c r="D33" s="1960"/>
      <c r="E33" s="1960"/>
      <c r="F33" s="1960"/>
      <c r="G33" s="1960"/>
      <c r="H33" s="1960"/>
      <c r="I33" s="1960"/>
      <c r="J33" s="1962"/>
    </row>
    <row r="34" spans="1:10" ht="15" customHeight="1" thickBot="1">
      <c r="A34" s="2011" t="s">
        <v>1111</v>
      </c>
      <c r="B34" s="2012"/>
      <c r="C34" s="2012"/>
      <c r="D34" s="2012"/>
      <c r="E34" s="2012"/>
      <c r="F34" s="2012"/>
      <c r="G34" s="2012"/>
      <c r="H34" s="2012"/>
      <c r="I34" s="2012"/>
      <c r="J34" s="2013"/>
    </row>
    <row r="35" spans="1:10" ht="15">
      <c r="A35" s="2015" t="s">
        <v>1112</v>
      </c>
      <c r="B35" s="2015"/>
      <c r="C35" s="2015"/>
      <c r="D35" s="2015"/>
      <c r="E35" s="2015"/>
      <c r="F35" s="2015"/>
      <c r="G35" s="2015"/>
      <c r="H35" s="2015"/>
      <c r="I35" s="2015"/>
      <c r="J35" s="2015"/>
    </row>
    <row r="36" spans="1:10" ht="18.75" customHeight="1">
      <c r="A36" s="1955" t="s">
        <v>1113</v>
      </c>
      <c r="B36" s="1955"/>
      <c r="C36" s="1955"/>
      <c r="D36" s="1955"/>
      <c r="E36" s="1955"/>
      <c r="F36" s="1955"/>
      <c r="G36" s="1955"/>
      <c r="H36" s="1955"/>
      <c r="I36" s="1955"/>
      <c r="J36" s="1955"/>
    </row>
    <row r="37" spans="1:10" ht="15.75" thickBot="1">
      <c r="A37" s="2004" t="s">
        <v>1114</v>
      </c>
      <c r="B37" s="2004"/>
      <c r="C37" s="2004"/>
      <c r="D37" s="2004"/>
      <c r="E37" s="2004"/>
      <c r="F37" s="2004"/>
      <c r="G37" s="2004"/>
      <c r="H37" s="2004"/>
      <c r="I37" s="2004"/>
      <c r="J37" s="2004"/>
    </row>
    <row r="38" spans="1:10" ht="17.25" customHeight="1" thickTop="1" thickBot="1">
      <c r="A38" s="2005" t="s">
        <v>1115</v>
      </c>
      <c r="B38" s="2006"/>
      <c r="C38" s="2006"/>
      <c r="D38" s="2006"/>
      <c r="E38" s="2006"/>
      <c r="F38" s="2005" t="s">
        <v>1137</v>
      </c>
      <c r="G38" s="2006"/>
      <c r="H38" s="2006"/>
      <c r="I38" s="2006"/>
      <c r="J38" s="2007"/>
    </row>
    <row r="39" spans="1:10" ht="76.5" customHeight="1" thickTop="1" thickBot="1">
      <c r="A39" s="2008"/>
      <c r="B39" s="2009"/>
      <c r="C39" s="2009"/>
      <c r="D39" s="2009"/>
      <c r="E39" s="2009"/>
      <c r="F39" s="2008"/>
      <c r="G39" s="2009"/>
      <c r="H39" s="2009"/>
      <c r="I39" s="2009"/>
      <c r="J39" s="2010"/>
    </row>
    <row r="40" spans="1:10" ht="13.5" thickTop="1">
      <c r="A40" s="967"/>
      <c r="B40" s="967"/>
      <c r="C40" s="967"/>
      <c r="D40" s="967"/>
      <c r="E40" s="967"/>
      <c r="F40" s="967"/>
      <c r="G40" s="967"/>
      <c r="H40" s="967"/>
      <c r="I40" s="967"/>
      <c r="J40" s="967"/>
    </row>
    <row r="41" spans="1:10" ht="13.5" thickBot="1"/>
    <row r="42" spans="1:10" ht="46.5" customHeight="1" thickBot="1">
      <c r="A42" s="1944" t="s">
        <v>1141</v>
      </c>
      <c r="B42" s="1945"/>
      <c r="C42" s="1945"/>
      <c r="D42" s="1945"/>
      <c r="E42" s="1945"/>
      <c r="F42" s="1945"/>
      <c r="G42" s="1945"/>
      <c r="H42" s="1945"/>
      <c r="I42" s="1945"/>
      <c r="J42" s="968" t="str">
        <f>J1</f>
        <v>DAGRH003 Indice b</v>
      </c>
    </row>
    <row r="43" spans="1:10" ht="26.25" customHeight="1" thickBot="1">
      <c r="A43" s="2020" t="s">
        <v>1116</v>
      </c>
      <c r="B43" s="2021"/>
      <c r="C43" s="2021"/>
      <c r="D43" s="969"/>
      <c r="E43" s="970"/>
      <c r="F43" s="971" t="s">
        <v>1117</v>
      </c>
      <c r="G43" s="2030"/>
      <c r="H43" s="2030"/>
      <c r="I43" s="2030"/>
      <c r="J43" s="2027"/>
    </row>
    <row r="44" spans="1:10" ht="32.25" customHeight="1" thickBot="1">
      <c r="A44" s="2020" t="s">
        <v>1118</v>
      </c>
      <c r="B44" s="2021"/>
      <c r="C44" s="2031"/>
      <c r="D44" s="2031"/>
      <c r="E44" s="2031"/>
      <c r="F44" s="2031"/>
      <c r="G44" s="2031"/>
      <c r="H44" s="2031"/>
      <c r="I44" s="2031"/>
      <c r="J44" s="2032"/>
    </row>
    <row r="45" spans="1:10" ht="24.75" customHeight="1" thickBot="1">
      <c r="A45" s="971" t="s">
        <v>1119</v>
      </c>
      <c r="B45" s="970"/>
      <c r="C45" s="972" t="s">
        <v>607</v>
      </c>
      <c r="D45" s="2030"/>
      <c r="E45" s="2030"/>
      <c r="F45" s="2030"/>
      <c r="G45" s="2030"/>
      <c r="H45" s="2030"/>
      <c r="I45" s="2030"/>
      <c r="J45" s="2027"/>
    </row>
    <row r="46" spans="1:10" ht="51.75" customHeight="1" thickBot="1">
      <c r="A46" s="2033" t="s">
        <v>1120</v>
      </c>
      <c r="B46" s="2034"/>
      <c r="C46" s="2030"/>
      <c r="D46" s="2030"/>
      <c r="E46" s="2030"/>
      <c r="F46" s="2030"/>
      <c r="G46" s="2030"/>
      <c r="H46" s="2030"/>
      <c r="I46" s="2030"/>
      <c r="J46" s="2027"/>
    </row>
    <row r="47" spans="1:10" ht="24.95" customHeight="1" thickBot="1">
      <c r="A47" s="2016" t="s">
        <v>1121</v>
      </c>
      <c r="B47" s="2017"/>
      <c r="C47" s="2017"/>
      <c r="D47" s="2017"/>
      <c r="E47" s="2017"/>
      <c r="F47" s="2017"/>
      <c r="G47" s="2017"/>
      <c r="H47" s="2017"/>
      <c r="I47" s="2017"/>
      <c r="J47" s="2018"/>
    </row>
    <row r="48" spans="1:10" ht="27" customHeight="1" thickBot="1">
      <c r="A48" s="2019" t="s">
        <v>1152</v>
      </c>
      <c r="B48" s="1948"/>
      <c r="C48" s="1948"/>
      <c r="D48" s="1948"/>
      <c r="E48" s="1948" t="s">
        <v>1153</v>
      </c>
      <c r="F48" s="1948"/>
      <c r="G48" s="1948"/>
      <c r="H48" s="1948"/>
      <c r="I48" s="1948"/>
      <c r="J48" s="1949"/>
    </row>
    <row r="49" spans="1:10" ht="24.95" customHeight="1" thickBot="1">
      <c r="A49" s="2020" t="s">
        <v>1122</v>
      </c>
      <c r="B49" s="2021"/>
      <c r="C49" s="2021"/>
      <c r="D49" s="2021"/>
      <c r="E49" s="2021"/>
      <c r="F49" s="2021"/>
      <c r="G49" s="2021"/>
      <c r="H49" s="2021"/>
      <c r="I49" s="2021"/>
      <c r="J49" s="2022"/>
    </row>
    <row r="50" spans="1:10" ht="23.25" customHeight="1" thickBot="1">
      <c r="A50" s="2023" t="s">
        <v>1123</v>
      </c>
      <c r="B50" s="2024"/>
      <c r="C50" s="2025"/>
      <c r="D50" s="973" t="s">
        <v>1124</v>
      </c>
      <c r="E50" s="2026" t="s">
        <v>865</v>
      </c>
      <c r="F50" s="2027"/>
      <c r="G50" s="2026" t="s">
        <v>1125</v>
      </c>
      <c r="H50" s="2027"/>
      <c r="I50" s="2028" t="s">
        <v>1126</v>
      </c>
      <c r="J50" s="2029"/>
    </row>
    <row r="51" spans="1:10" ht="35.1" customHeight="1" thickBot="1">
      <c r="A51" s="2035" t="s">
        <v>1166</v>
      </c>
      <c r="B51" s="2036"/>
      <c r="C51" s="2037"/>
      <c r="D51" s="970"/>
      <c r="E51" s="2035"/>
      <c r="F51" s="2037"/>
      <c r="G51" s="2035"/>
      <c r="H51" s="2037"/>
      <c r="I51" s="2026"/>
      <c r="J51" s="2027"/>
    </row>
    <row r="52" spans="1:10" ht="35.1" customHeight="1" thickBot="1">
      <c r="A52" s="2035" t="s">
        <v>1127</v>
      </c>
      <c r="B52" s="2036"/>
      <c r="C52" s="2037"/>
      <c r="D52" s="970"/>
      <c r="E52" s="2035"/>
      <c r="F52" s="2037"/>
      <c r="G52" s="2035"/>
      <c r="H52" s="2037"/>
      <c r="I52" s="2026"/>
      <c r="J52" s="2027"/>
    </row>
    <row r="53" spans="1:10" ht="35.1" customHeight="1" thickBot="1">
      <c r="A53" s="2035" t="s">
        <v>1128</v>
      </c>
      <c r="B53" s="2036"/>
      <c r="C53" s="2037"/>
      <c r="D53" s="970"/>
      <c r="E53" s="2035"/>
      <c r="F53" s="2037"/>
      <c r="G53" s="2035"/>
      <c r="H53" s="2037"/>
      <c r="I53" s="2026"/>
      <c r="J53" s="2027"/>
    </row>
    <row r="54" spans="1:10" ht="35.1" customHeight="1" thickBot="1">
      <c r="A54" s="2035" t="s">
        <v>866</v>
      </c>
      <c r="B54" s="2036"/>
      <c r="C54" s="2037"/>
      <c r="D54" s="970"/>
      <c r="E54" s="2035"/>
      <c r="F54" s="2037"/>
      <c r="G54" s="2035"/>
      <c r="H54" s="2037"/>
      <c r="I54" s="2038"/>
      <c r="J54" s="2039"/>
    </row>
    <row r="55" spans="1:10" ht="24.95" customHeight="1" thickBot="1">
      <c r="A55" s="2020" t="s">
        <v>1129</v>
      </c>
      <c r="B55" s="2021"/>
      <c r="C55" s="2021"/>
      <c r="D55" s="2021"/>
      <c r="E55" s="2021"/>
      <c r="F55" s="2021"/>
      <c r="G55" s="2021"/>
      <c r="H55" s="2021"/>
      <c r="I55" s="2021"/>
      <c r="J55" s="2022"/>
    </row>
    <row r="56" spans="1:10" ht="31.5" customHeight="1">
      <c r="A56" s="974" t="s">
        <v>1139</v>
      </c>
      <c r="B56" s="2042" t="s">
        <v>1140</v>
      </c>
      <c r="C56" s="2042"/>
      <c r="D56" s="2043" t="s">
        <v>1130</v>
      </c>
      <c r="E56" s="2043"/>
      <c r="F56" s="2043"/>
      <c r="G56" s="2043"/>
      <c r="H56" s="1960" t="s">
        <v>1131</v>
      </c>
      <c r="I56" s="1960"/>
      <c r="J56" s="1962"/>
    </row>
    <row r="57" spans="1:10" ht="35.25" customHeight="1" thickBot="1">
      <c r="A57" s="2044"/>
      <c r="B57" s="2045"/>
      <c r="C57" s="2045"/>
      <c r="D57" s="1992" t="s">
        <v>1132</v>
      </c>
      <c r="E57" s="1992"/>
      <c r="F57" s="1992"/>
      <c r="G57" s="1992"/>
      <c r="H57" s="2012" t="s">
        <v>1133</v>
      </c>
      <c r="I57" s="2012"/>
      <c r="J57" s="2013"/>
    </row>
    <row r="58" spans="1:10" ht="20.25" customHeight="1">
      <c r="A58" s="2016" t="s">
        <v>1167</v>
      </c>
      <c r="B58" s="2017"/>
      <c r="C58" s="2017"/>
      <c r="D58" s="2017"/>
      <c r="E58" s="2017"/>
      <c r="F58" s="2017"/>
      <c r="G58" s="2017"/>
      <c r="H58" s="2017"/>
      <c r="I58" s="2017"/>
      <c r="J58" s="2018"/>
    </row>
    <row r="59" spans="1:10" ht="21" customHeight="1">
      <c r="A59" s="2016" t="s">
        <v>1168</v>
      </c>
      <c r="B59" s="2017"/>
      <c r="C59" s="2017"/>
      <c r="D59" s="2017"/>
      <c r="E59" s="2017"/>
      <c r="F59" s="2017"/>
      <c r="G59" s="2017"/>
      <c r="H59" s="2017"/>
      <c r="I59" s="2017"/>
      <c r="J59" s="2018"/>
    </row>
    <row r="60" spans="1:10" ht="17.25" customHeight="1" thickBot="1">
      <c r="A60" s="1954" t="s">
        <v>1134</v>
      </c>
      <c r="B60" s="1955"/>
      <c r="C60" s="1955"/>
      <c r="D60" s="1955"/>
      <c r="E60" s="1955"/>
      <c r="F60" s="1955"/>
      <c r="G60" s="1955"/>
      <c r="H60" s="1955"/>
      <c r="I60" s="1955"/>
      <c r="J60" s="2040"/>
    </row>
    <row r="61" spans="1:10" ht="109.5" customHeight="1" thickBot="1">
      <c r="A61" s="2033" t="s">
        <v>1135</v>
      </c>
      <c r="B61" s="2034"/>
      <c r="C61" s="2034"/>
      <c r="D61" s="2034"/>
      <c r="E61" s="2034"/>
      <c r="F61" s="2034"/>
      <c r="G61" s="2034"/>
      <c r="H61" s="2034"/>
      <c r="I61" s="2034"/>
      <c r="J61" s="2041"/>
    </row>
    <row r="62" spans="1:10" ht="126.75" customHeight="1" thickBot="1">
      <c r="A62" s="2033" t="s">
        <v>1136</v>
      </c>
      <c r="B62" s="2034"/>
      <c r="C62" s="2034"/>
      <c r="D62" s="2034"/>
      <c r="E62" s="2034"/>
      <c r="F62" s="2034"/>
      <c r="G62" s="2034"/>
      <c r="H62" s="2034"/>
      <c r="I62" s="2034"/>
      <c r="J62" s="2041"/>
    </row>
    <row r="63" spans="1:10">
      <c r="A63" s="967"/>
      <c r="B63" s="967"/>
      <c r="C63" s="967"/>
      <c r="D63" s="967"/>
      <c r="E63" s="967"/>
      <c r="F63" s="967"/>
      <c r="G63" s="967"/>
      <c r="H63" s="967"/>
      <c r="I63" s="967"/>
    </row>
    <row r="64" spans="1:10">
      <c r="A64" s="975"/>
    </row>
  </sheetData>
  <mergeCells count="109">
    <mergeCell ref="A58:J58"/>
    <mergeCell ref="A59:J59"/>
    <mergeCell ref="A60:J60"/>
    <mergeCell ref="A61:J61"/>
    <mergeCell ref="A62:J62"/>
    <mergeCell ref="A55:J55"/>
    <mergeCell ref="B56:C56"/>
    <mergeCell ref="D56:G56"/>
    <mergeCell ref="H56:J56"/>
    <mergeCell ref="A57:C57"/>
    <mergeCell ref="D57:G57"/>
    <mergeCell ref="H57:J57"/>
    <mergeCell ref="A53:C53"/>
    <mergeCell ref="E53:F53"/>
    <mergeCell ref="G53:H53"/>
    <mergeCell ref="I53:J53"/>
    <mergeCell ref="A54:C54"/>
    <mergeCell ref="E54:F54"/>
    <mergeCell ref="G54:H54"/>
    <mergeCell ref="I54:J54"/>
    <mergeCell ref="A51:C51"/>
    <mergeCell ref="E51:F51"/>
    <mergeCell ref="G51:H51"/>
    <mergeCell ref="I51:J51"/>
    <mergeCell ref="A52:C52"/>
    <mergeCell ref="E52:F52"/>
    <mergeCell ref="G52:H52"/>
    <mergeCell ref="I52:J52"/>
    <mergeCell ref="A47:J47"/>
    <mergeCell ref="A48:D48"/>
    <mergeCell ref="E48:J48"/>
    <mergeCell ref="A49:J49"/>
    <mergeCell ref="A50:C50"/>
    <mergeCell ref="E50:F50"/>
    <mergeCell ref="G50:H50"/>
    <mergeCell ref="I50:J50"/>
    <mergeCell ref="A43:C43"/>
    <mergeCell ref="G43:J43"/>
    <mergeCell ref="A44:B44"/>
    <mergeCell ref="C44:J44"/>
    <mergeCell ref="D45:J45"/>
    <mergeCell ref="A46:B46"/>
    <mergeCell ref="C46:J46"/>
    <mergeCell ref="A37:J37"/>
    <mergeCell ref="A38:E38"/>
    <mergeCell ref="F38:J38"/>
    <mergeCell ref="A39:E39"/>
    <mergeCell ref="F39:J39"/>
    <mergeCell ref="A42:I42"/>
    <mergeCell ref="A31:J31"/>
    <mergeCell ref="A32:J32"/>
    <mergeCell ref="A33:J33"/>
    <mergeCell ref="A34:J34"/>
    <mergeCell ref="A35:J35"/>
    <mergeCell ref="A36:C36"/>
    <mergeCell ref="D36:J36"/>
    <mergeCell ref="A24:J24"/>
    <mergeCell ref="A25:J25"/>
    <mergeCell ref="A26:J26"/>
    <mergeCell ref="A27:J27"/>
    <mergeCell ref="A29:J29"/>
    <mergeCell ref="A30:J30"/>
    <mergeCell ref="A17:J17"/>
    <mergeCell ref="A18:J18"/>
    <mergeCell ref="D19:E19"/>
    <mergeCell ref="A21:J21"/>
    <mergeCell ref="A22:J22"/>
    <mergeCell ref="A23:B23"/>
    <mergeCell ref="C23:D23"/>
    <mergeCell ref="E23:G23"/>
    <mergeCell ref="I23:J23"/>
    <mergeCell ref="A28:B28"/>
    <mergeCell ref="C28:E28"/>
    <mergeCell ref="G28:J28"/>
    <mergeCell ref="A12:J12"/>
    <mergeCell ref="A13:B13"/>
    <mergeCell ref="C13:J13"/>
    <mergeCell ref="A14:J14"/>
    <mergeCell ref="A15:J15"/>
    <mergeCell ref="A16:E16"/>
    <mergeCell ref="F16:J16"/>
    <mergeCell ref="A9:B9"/>
    <mergeCell ref="C9:E9"/>
    <mergeCell ref="F9:G9"/>
    <mergeCell ref="H9:J9"/>
    <mergeCell ref="A10:J10"/>
    <mergeCell ref="A11:E11"/>
    <mergeCell ref="F11:J11"/>
    <mergeCell ref="A7:C7"/>
    <mergeCell ref="D7:J7"/>
    <mergeCell ref="A8:B8"/>
    <mergeCell ref="C8:E8"/>
    <mergeCell ref="F8:G8"/>
    <mergeCell ref="H8:J8"/>
    <mergeCell ref="A4:J4"/>
    <mergeCell ref="A5:B5"/>
    <mergeCell ref="C5:G5"/>
    <mergeCell ref="I5:J5"/>
    <mergeCell ref="A6:B6"/>
    <mergeCell ref="C6:J6"/>
    <mergeCell ref="A1:I1"/>
    <mergeCell ref="A2:B2"/>
    <mergeCell ref="C2:F2"/>
    <mergeCell ref="G2:H2"/>
    <mergeCell ref="I2:J2"/>
    <mergeCell ref="A3:B3"/>
    <mergeCell ref="C3:F3"/>
    <mergeCell ref="G3:H3"/>
    <mergeCell ref="I3:J3"/>
  </mergeCells>
  <pageMargins left="0.25" right="0.25" top="0.75" bottom="0.75" header="0.3" footer="0.3"/>
  <pageSetup paperSize="9" scale="75" fitToHeight="0" orientation="portrait" r:id="rId1"/>
  <rowBreaks count="1" manualBreakCount="1">
    <brk id="40" max="9" man="1"/>
  </row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FiralpActivite xmlns="537c2f0c-c3b0-4e5a-b5d4-e0a21f83717f">Electricité</_FiralpActivite>
    <_FiralpDocumentsLies_Hidden xmlns="537c2f0c-c3b0-4e5a-b5d4-e0a21f83717f" xsi:nil="true"/>
    <_FiralpDocumentsLies_HTML xmlns="537c2f0c-c3b0-4e5a-b5d4-e0a21f83717f">&lt;a href="/EtudesTravaux/_layouts/_Firalp.GED/DocumentsLies.aspx?List=2ddae909-9965-4cc4-b7bf-c5de0358d5f6&amp;amp;ID=460" name="_Firalp.lnkDocumentsLies"&gt;0&lt;/a&gt;</_FiralpDocumentsLies_HTML>
    <_FiralpAffichageObligatoire xmlns="537c2f0c-c3b0-4e5a-b5d4-e0a21f83717f">Non</_FiralpAffichageObligatoir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ssiers chantiers" ma:contentTypeID="0x010100AAAAAAAABBBBCCCCDDDD00000000000100A43612104B43484994E478DFFEBE5164004961F5EBEA34754B930D16FDEF717FE7" ma:contentTypeVersion="16" ma:contentTypeDescription="" ma:contentTypeScope="" ma:versionID="27691affbb09e48bde47f8dde9d88798">
  <xsd:schema xmlns:xsd="http://www.w3.org/2001/XMLSchema" xmlns:xs="http://www.w3.org/2001/XMLSchema" xmlns:p="http://schemas.microsoft.com/office/2006/metadata/properties" xmlns:ns2="537c2f0c-c3b0-4e5a-b5d4-e0a21f83717f" targetNamespace="http://schemas.microsoft.com/office/2006/metadata/properties" ma:root="true" ma:fieldsID="cb2a36ad41251f9dd78f8f8f50fbfbef" ns2:_="">
    <xsd:import namespace="537c2f0c-c3b0-4e5a-b5d4-e0a21f83717f"/>
    <xsd:element name="properties">
      <xsd:complexType>
        <xsd:sequence>
          <xsd:element name="documentManagement">
            <xsd:complexType>
              <xsd:all>
                <xsd:element ref="ns2:_FiralpDocumentsLies_Hidden" minOccurs="0"/>
                <xsd:element ref="ns2:_FiralpDocumentsLies_HTML" minOccurs="0"/>
                <xsd:element ref="ns2:_FiralpActivite" minOccurs="0"/>
                <xsd:element ref="ns2:_FiralpAffichageObligatoir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7c2f0c-c3b0-4e5a-b5d4-e0a21f83717f" elementFormDefault="qualified">
    <xsd:import namespace="http://schemas.microsoft.com/office/2006/documentManagement/types"/>
    <xsd:import namespace="http://schemas.microsoft.com/office/infopath/2007/PartnerControls"/>
    <xsd:element name="_FiralpDocumentsLies_Hidden" ma:index="8" nillable="true" ma:displayName="_FiralpDocumentsLies_Hidden" ma:internalName="_FiralpDocumentsLies_Hidden" ma:readOnly="false">
      <xsd:simpleType>
        <xsd:restriction base="dms:Note">
          <xsd:maxLength value="255"/>
        </xsd:restriction>
      </xsd:simpleType>
    </xsd:element>
    <xsd:element name="_FiralpDocumentsLies_HTML" ma:index="9" nillable="true" ma:displayName="Documents liés" ma:internalName="_FiralpDocumentsLies_HTML" ma:readOnly="false">
      <xsd:simpleType>
        <xsd:restriction base="dms:Unknown"/>
      </xsd:simpleType>
    </xsd:element>
    <xsd:element name="_FiralpActivite" ma:index="10" nillable="true" ma:displayName="Activité" ma:format="Dropdown" ma:internalName="_FiralpActivite">
      <xsd:simpleType>
        <xsd:restriction base="dms:Choice">
          <xsd:enumeration value="Allégé"/>
          <xsd:enumeration value="Chauffage Urbain"/>
          <xsd:enumeration value="Divers"/>
          <xsd:enumeration value="Electricité"/>
          <xsd:enumeration value="Gaz"/>
          <xsd:enumeration value="HTB-CSE"/>
          <xsd:enumeration value="Indus Tertiaire"/>
          <xsd:enumeration value="Réseaux humides"/>
          <xsd:enumeration value="SOBECAMAT"/>
          <xsd:enumeration value="Télécom-Fibre"/>
          <xsd:enumeration value="Travaux ferroviaires"/>
          <xsd:enumeration value="VRD"/>
        </xsd:restriction>
      </xsd:simpleType>
    </xsd:element>
    <xsd:element name="_FiralpAffichageObligatoire" ma:index="11" nillable="true" ma:displayName="Affichage obligatoire" ma:default="Non" ma:format="Dropdown" ma:internalName="_FiralpAffichageObligatoire" ma:readOnly="false">
      <xsd:simpleType>
        <xsd:restriction base="dms:Choice">
          <xsd:enumeration value="Affichage obligatoire"/>
          <xsd:enumeration value="Non"/>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haredContentType xmlns="Microsoft.SharePoint.Taxonomy.ContentTypeSync" SourceId="cc6df594-ea68-4a76-b1a1-90504efec55e" ContentTypeId="0x010100AAAAAAAABBBBCCCCDDDD000000000001" PreviousValue="false"/>
</file>

<file path=customXml/itemProps1.xml><?xml version="1.0" encoding="utf-8"?>
<ds:datastoreItem xmlns:ds="http://schemas.openxmlformats.org/officeDocument/2006/customXml" ds:itemID="{F81879CA-53A1-418F-9DD1-D84F10174B10}">
  <ds:schemaRefs>
    <ds:schemaRef ds:uri="http://schemas.openxmlformats.org/package/2006/metadata/core-properties"/>
    <ds:schemaRef ds:uri="537c2f0c-c3b0-4e5a-b5d4-e0a21f83717f"/>
    <ds:schemaRef ds:uri="http://schemas.microsoft.com/office/2006/documentManagement/types"/>
    <ds:schemaRef ds:uri="http://purl.org/dc/terms/"/>
    <ds:schemaRef ds:uri="http://purl.org/dc/dcmitype/"/>
    <ds:schemaRef ds:uri="http://schemas.microsoft.com/office/2006/metadata/properties"/>
    <ds:schemaRef ds:uri="http://purl.org/dc/elements/1.1/"/>
    <ds:schemaRef ds:uri="http://schemas.microsoft.com/office/infopath/2007/PartnerControls"/>
    <ds:schemaRef ds:uri="http://www.w3.org/XML/1998/namespace"/>
  </ds:schemaRefs>
</ds:datastoreItem>
</file>

<file path=customXml/itemProps2.xml><?xml version="1.0" encoding="utf-8"?>
<ds:datastoreItem xmlns:ds="http://schemas.openxmlformats.org/officeDocument/2006/customXml" ds:itemID="{72B28563-0B4B-4EA7-BB85-F051098B6AF2}">
  <ds:schemaRefs>
    <ds:schemaRef ds:uri="http://schemas.microsoft.com/sharepoint/v3/contenttype/forms"/>
  </ds:schemaRefs>
</ds:datastoreItem>
</file>

<file path=customXml/itemProps3.xml><?xml version="1.0" encoding="utf-8"?>
<ds:datastoreItem xmlns:ds="http://schemas.openxmlformats.org/officeDocument/2006/customXml" ds:itemID="{CEA95DF6-0E4B-4F30-9ED0-D034B92E29E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7c2f0c-c3b0-4e5a-b5d4-e0a21f83717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88AEDAA2-268C-402A-B72D-8AEA3FEBA4D6}">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40</vt:i4>
      </vt:variant>
      <vt:variant>
        <vt:lpstr>Plages nommées</vt:lpstr>
      </vt:variant>
      <vt:variant>
        <vt:i4>70</vt:i4>
      </vt:variant>
    </vt:vector>
  </HeadingPairs>
  <TitlesOfParts>
    <vt:vector size="110" baseType="lpstr">
      <vt:lpstr>Feuil2</vt:lpstr>
      <vt:lpstr>NOTICE</vt:lpstr>
      <vt:lpstr>MISE A JOUR</vt:lpstr>
      <vt:lpstr>Impression</vt:lpstr>
      <vt:lpstr>Page de Garde</vt:lpstr>
      <vt:lpstr>Croisement réseaux</vt:lpstr>
      <vt:lpstr>Déroulage</vt:lpstr>
      <vt:lpstr>Fiche prépa</vt:lpstr>
      <vt:lpstr>Compactage</vt:lpstr>
      <vt:lpstr>1.Ch</vt:lpstr>
      <vt:lpstr>1.2.Ch</vt:lpstr>
      <vt:lpstr>1.3.Ch</vt:lpstr>
      <vt:lpstr>2.Ch</vt:lpstr>
      <vt:lpstr>3.Ch</vt:lpstr>
      <vt:lpstr>4.Ch</vt:lpstr>
      <vt:lpstr>5.Ch</vt:lpstr>
      <vt:lpstr>5.2.Ch</vt:lpstr>
      <vt:lpstr>5.6.Ch</vt:lpstr>
      <vt:lpstr>5.8.Ch</vt:lpstr>
      <vt:lpstr>5.9.Ch</vt:lpstr>
      <vt:lpstr>5.11.Ch</vt:lpstr>
      <vt:lpstr>5.14.Ch</vt:lpstr>
      <vt:lpstr>5.15.Ch</vt:lpstr>
      <vt:lpstr>5.16.Ch</vt:lpstr>
      <vt:lpstr>5.17.Ch</vt:lpstr>
      <vt:lpstr>5.18.Ch</vt:lpstr>
      <vt:lpstr>5.18.B.Ch</vt:lpstr>
      <vt:lpstr>5.23.Ch</vt:lpstr>
      <vt:lpstr>5.58.Ch</vt:lpstr>
      <vt:lpstr>5.59.Ch</vt:lpstr>
      <vt:lpstr>5.67.Ch</vt:lpstr>
      <vt:lpstr>6.Ch</vt:lpstr>
      <vt:lpstr>6.4.Ch</vt:lpstr>
      <vt:lpstr>6.5.Ch</vt:lpstr>
      <vt:lpstr>6.10.Ch</vt:lpstr>
      <vt:lpstr>6.16.Ch</vt:lpstr>
      <vt:lpstr>7.Ch</vt:lpstr>
      <vt:lpstr>7.3.Ch</vt:lpstr>
      <vt:lpstr>10.15.Ch</vt:lpstr>
      <vt:lpstr>13.6.Ch</vt:lpstr>
      <vt:lpstr>'13.6.Ch'!CaseACocher1</vt:lpstr>
      <vt:lpstr>'13.6.Ch'!CaseACocher12</vt:lpstr>
      <vt:lpstr>'13.6.Ch'!CaseACocher16</vt:lpstr>
      <vt:lpstr>'13.6.Ch'!CaseACocher2</vt:lpstr>
      <vt:lpstr>'13.6.Ch'!CaseACocher54</vt:lpstr>
      <vt:lpstr>'13.6.Ch'!CaseACocher57</vt:lpstr>
      <vt:lpstr>'13.6.Ch'!CaseACocher62</vt:lpstr>
      <vt:lpstr>'13.6.Ch'!CaseACocher65</vt:lpstr>
      <vt:lpstr>'13.6.Ch'!CaseACocher68</vt:lpstr>
      <vt:lpstr>'13.6.Ch'!CaseACocher75</vt:lpstr>
      <vt:lpstr>'13.6.Ch'!CaseACocher77</vt:lpstr>
      <vt:lpstr>'13.6.Ch'!CaseACocher78</vt:lpstr>
      <vt:lpstr>'13.6.Ch'!CaseACocher79</vt:lpstr>
      <vt:lpstr>Liste_Agences</vt:lpstr>
      <vt:lpstr>'6.10.Ch'!oAdresseChantier</vt:lpstr>
      <vt:lpstr>oAdresseChantier</vt:lpstr>
      <vt:lpstr>oAgence</vt:lpstr>
      <vt:lpstr>'6.10.Ch'!oDebut_travaux</vt:lpstr>
      <vt:lpstr>oDebut_travaux</vt:lpstr>
      <vt:lpstr>'6.10.Ch'!oeOTP</vt:lpstr>
      <vt:lpstr>oeOTP</vt:lpstr>
      <vt:lpstr>'6.10.Ch'!oFinTravaux</vt:lpstr>
      <vt:lpstr>oFinTravaux</vt:lpstr>
      <vt:lpstr>'6.10.Ch'!oLibelleOTP</vt:lpstr>
      <vt:lpstr>oLibelleOTP</vt:lpstr>
      <vt:lpstr>'6.10.Ch'!oMOE</vt:lpstr>
      <vt:lpstr>oMOE</vt:lpstr>
      <vt:lpstr>'6.10.Ch'!oN°MARCHE</vt:lpstr>
      <vt:lpstr>oN°MARCHE</vt:lpstr>
      <vt:lpstr>'6.10.Ch'!oReferenceCommande</vt:lpstr>
      <vt:lpstr>oReferenceCommande</vt:lpstr>
      <vt:lpstr>'6.10.Ch'!oRespAffaire</vt:lpstr>
      <vt:lpstr>oRespAffaire</vt:lpstr>
      <vt:lpstr>'6.10.Ch'!oRespChantier</vt:lpstr>
      <vt:lpstr>oRespChantier</vt:lpstr>
      <vt:lpstr>'6.10.Ch'!oTelRespAff</vt:lpstr>
      <vt:lpstr>oTelRespAff</vt:lpstr>
      <vt:lpstr>oTelRespChantier</vt:lpstr>
      <vt:lpstr>'6.10.Ch'!oVille</vt:lpstr>
      <vt:lpstr>oVille</vt:lpstr>
      <vt:lpstr>'1.2.Ch'!Zone_d_impression</vt:lpstr>
      <vt:lpstr>'1.3.Ch'!Zone_d_impression</vt:lpstr>
      <vt:lpstr>'1.Ch'!Zone_d_impression</vt:lpstr>
      <vt:lpstr>'10.15.Ch'!Zone_d_impression</vt:lpstr>
      <vt:lpstr>'13.6.Ch'!Zone_d_impression</vt:lpstr>
      <vt:lpstr>'2.Ch'!Zone_d_impression</vt:lpstr>
      <vt:lpstr>'3.Ch'!Zone_d_impression</vt:lpstr>
      <vt:lpstr>'5.15.Ch'!Zone_d_impression</vt:lpstr>
      <vt:lpstr>'5.16.Ch'!Zone_d_impression</vt:lpstr>
      <vt:lpstr>'5.17.Ch'!Zone_d_impression</vt:lpstr>
      <vt:lpstr>'5.18.B.Ch'!Zone_d_impression</vt:lpstr>
      <vt:lpstr>'5.18.Ch'!Zone_d_impression</vt:lpstr>
      <vt:lpstr>'5.23.Ch'!Zone_d_impression</vt:lpstr>
      <vt:lpstr>'5.58.Ch'!Zone_d_impression</vt:lpstr>
      <vt:lpstr>'5.59.Ch'!Zone_d_impression</vt:lpstr>
      <vt:lpstr>'5.6.Ch'!Zone_d_impression</vt:lpstr>
      <vt:lpstr>'5.67.Ch'!Zone_d_impression</vt:lpstr>
      <vt:lpstr>'6.10.Ch'!Zone_d_impression</vt:lpstr>
      <vt:lpstr>'6.16.Ch'!Zone_d_impression</vt:lpstr>
      <vt:lpstr>'6.4.Ch'!Zone_d_impression</vt:lpstr>
      <vt:lpstr>'6.5.Ch'!Zone_d_impression</vt:lpstr>
      <vt:lpstr>'6.Ch'!Zone_d_impression</vt:lpstr>
      <vt:lpstr>'7.3.Ch'!Zone_d_impression</vt:lpstr>
      <vt:lpstr>'7.Ch'!Zone_d_impression</vt:lpstr>
      <vt:lpstr>Compactage!Zone_d_impression</vt:lpstr>
      <vt:lpstr>'Croisement réseaux'!Zone_d_impression</vt:lpstr>
      <vt:lpstr>Déroulage!Zone_d_impression</vt:lpstr>
      <vt:lpstr>'Fiche prépa'!Zone_d_impression</vt:lpstr>
      <vt:lpstr>Impression!Zone_d_impression</vt:lpstr>
      <vt:lpstr>'Page de Garde'!Zone_d_impression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Dossier chantier - Electricité.xlsm</dc:title>
  <dc:creator>Microsoft Corporation</dc:creator>
  <cp:lastModifiedBy>CABROL Näthan</cp:lastModifiedBy>
  <cp:lastPrinted>2022-06-16T13:22:06Z</cp:lastPrinted>
  <dcterms:created xsi:type="dcterms:W3CDTF">1996-10-21T11:03:58Z</dcterms:created>
  <dcterms:modified xsi:type="dcterms:W3CDTF">2023-10-09T14:51:40Z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0x010100AAAAAAAABBBBCCCCDDDD00000000000100A43612104B43484994E478DFFEBE5164004961F5EBEA34754B930D16FDEF717FE7</vt:lpwstr>
  </property>
</Properties>
</file>