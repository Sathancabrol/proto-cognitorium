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itations" sheetId="1" r:id="rId4"/>
    <sheet state="visible" name="Bar Graph" sheetId="2" r:id="rId5"/>
    <sheet state="hidden" name="Pivot Table 2" sheetId="3" r:id="rId6"/>
  </sheets>
  <definedNames>
    <definedName hidden="1" localSheetId="0" name="_xlnm._FilterDatabase">Citations!$A$1:$L$851</definedName>
  </definedNames>
  <calcPr/>
  <pivotCaches>
    <pivotCache cacheId="0" r:id="rId7"/>
  </pivotCaches>
</workbook>
</file>

<file path=xl/sharedStrings.xml><?xml version="1.0" encoding="utf-8"?>
<sst xmlns="http://schemas.openxmlformats.org/spreadsheetml/2006/main" count="6750" uniqueCount="4660">
  <si>
    <t>Year</t>
  </si>
  <si>
    <t>OpenBCI Product Used</t>
  </si>
  <si>
    <t>Electrode / Other Products</t>
  </si>
  <si>
    <t>Author(s)</t>
  </si>
  <si>
    <t>Title</t>
  </si>
  <si>
    <t>Website</t>
  </si>
  <si>
    <t>Journal/Conference</t>
  </si>
  <si>
    <t>DOI</t>
  </si>
  <si>
    <t>Language</t>
  </si>
  <si>
    <t>Keyword(s)</t>
  </si>
  <si>
    <t>Abstract</t>
  </si>
  <si>
    <t>Notes</t>
  </si>
  <si>
    <t>Cyton Board</t>
  </si>
  <si>
    <t xml:space="preserve"> </t>
  </si>
  <si>
    <t>Homayounfar, Seyedeh Zohreh; Mukherjee, Manideepa; Patamia, Evan Douglas; Rastikerdar, Mohammad Mehdi; Ganesan, Deepak; Andrew, Trisha</t>
  </si>
  <si>
    <t>NeuroComb: A Novel Hydrogel-Integrated 3D Printed EEG Headband for Daytime Cognitive Load Monitoring</t>
  </si>
  <si>
    <t>https://ieeexplore.ieee.org/document/11652984/</t>
  </si>
  <si>
    <t>IEEE Access</t>
  </si>
  <si>
    <t>10.1109/ACCESS.2026.3723089</t>
  </si>
  <si>
    <t xml:space="preserve"> EEG Sensor, Cognitive load monitoring, Wearable EEG device, Forward modeling,
Machine learning</t>
  </si>
  <si>
    <t>Wiga Maulana Baihaqi, Indriana Hidayah, Sri Kusrohmaniah, Noor Akhmad Setiawan</t>
  </si>
  <si>
    <t>Beyond Local Power: Functional Connectivity Analysis for Subject-Independent Learning Style Recognition</t>
  </si>
  <si>
    <t>https://arxiv.org/abs/2608.12000</t>
  </si>
  <si>
    <t>10.48550/arXiv.2608.12000</t>
  </si>
  <si>
    <t>Narantuya, Binderiya; Vanchindorj, Munkhkherlen; Bayarsaikhan, Battsetseg</t>
  </si>
  <si>
    <t>Optimized Real-Time Eye-Blink–Based Control Using EEG</t>
  </si>
  <si>
    <t>https://ieeexplore.ieee.org/document/11633092/</t>
  </si>
  <si>
    <t>2026 6th International Conference on Electrical, Computer and Energy Technologies (ICECET)</t>
  </si>
  <si>
    <t>10.1109/ICECET65726.2026.11633092</t>
  </si>
  <si>
    <t>False Positive, Stable Performance, Signal Amplitude, Assistive Technology, Human-computer Interaction, EEG Signals, Reliable Detection, Control Applications, Neural Signals, Eye Blinks, Optimal Detection, Interface System, Brain-computer Interface System, Python Environment, Real-time Data, Graphical User Interface, Real-time Performance, Maximum Amplitude, Changes In Amplitude, Face Recognition, Amplitude Threshold, Root Mean Square Values, Frontal Channels, EEG Data, Real-time Conditions, Data Streams, Full Sensitivity, Facial Movements, Parameter Sensitivity Analysis, Dry Electrodes, Brain-Computer Interface, Human-Computer Interaction, EEG, Eye-Blink Detection, Real-Time Control, OpenBCI</t>
  </si>
  <si>
    <t>Palmisciano, Andrea Costanzo; Farabbi, Andrea; Latino, Francesco; Rossi, Matteo; Antonello, Niccolò; Cerveri, Pietro; Mainardi, Luca T</t>
  </si>
  <si>
    <t>A Gated Artifact Management Pipeline for Low-Density Eyewear EEG</t>
  </si>
  <si>
    <t>https://iopscience.iop.org/article/10.1088/1361-6579/ae99ab</t>
  </si>
  <si>
    <t>Physiological Measurement</t>
  </si>
  <si>
    <t>10.1088/1361-6579/ae99ab</t>
  </si>
  <si>
    <t xml:space="preserve">  EEG artifacts, Eyewear EEG, Artifact Correction</t>
  </si>
  <si>
    <t>Wu, Qiyou; Mi, Gaotian; Wood, Dan</t>
  </si>
  <si>
    <t>Calibration-Light Subject-Independent Motor Imagery BCI via Self-Supervised Pretraining and Conformer</t>
  </si>
  <si>
    <t>https://jtie.stekom.ac.id/index.php/jtie/article/view/493</t>
  </si>
  <si>
    <t>Journal of Technology Informatics and Engineering</t>
  </si>
  <si>
    <t>10.51903/jtie.v5i1.493</t>
  </si>
  <si>
    <t>motor imagery, eeg, brain–computer interface, subject-independent learning abstract motor imagery (mi) electroencephalography (eeg) is a foundational paradigm for non-invasive brain–computer interfaces (bcis)</t>
  </si>
  <si>
    <t>Yakubovsky, Dmitry; Mironov, Mikhail; Ermolaev, Georgy; Khrebtov, Aleksandr; Slavich, Aleksandr; Narute, Prashant; Chowdhury, Pritom; Kirtaev, Roman; Khramtsov, Igor; Minnekhanov, Anton; Tselikov, Gleb; Grudinin, Dmitriy; Sidorova, Maria; Pak, Nikolay; Maslov, Pavel; Vyshnevyy, Andrey; Zhou, Hongkai; Kravets, Vasyl G.; Grigorenko, Alexander N.; Kruglov, Ivan; Orekhov, Nikita; Kireev, Dmitry; Arsenin, Aleksey; Novoselov, Kostya S.; Volkov, Valentyn</t>
  </si>
  <si>
    <t>Wafer‐Scale Atomically‐Thin Gold: Transferable Platform for Flexible Optoelectronics, Thermal Management and Bio‐Interfaces</t>
  </si>
  <si>
    <t>https://advanced.onlinelibrary.wiley.com/doi/10.1002/advs.76495</t>
  </si>
  <si>
    <t>Advanced Science</t>
  </si>
  <si>
    <t>10.1002/advs.76495</t>
  </si>
  <si>
    <t>en</t>
  </si>
  <si>
    <t xml:space="preserve"> epidermal sensors | flexible optoelectronics | thermal camouflage | transparent electrodes | ultrathin gold films</t>
  </si>
  <si>
    <t>Cyton Board, Cyton Board</t>
  </si>
  <si>
    <t>Frei, Vanessa; Mainar, Pablo; Fritz, Thomas; Chardon, Jean-Michel; Giroud, Nathalie</t>
  </si>
  <si>
    <t>Signal-specific performance of in-ear EEG: strengths and limitations</t>
  </si>
  <si>
    <t>https://www.frontiersin.org/articles/10.3389/fnins.2026.1859327/full</t>
  </si>
  <si>
    <t>Frontiers in Neuroscience</t>
  </si>
  <si>
    <t>10.3389/fnins.2026.1859327</t>
  </si>
  <si>
    <t>auditory erp , eeg , eeg validation , in</t>
  </si>
  <si>
    <t>Kim, Kahyeon; Kim, Sumin; Gim, Juhui</t>
  </si>
  <si>
    <t>EEG-based Analysis of Driver Cognitive Responses to Leading Vehicle Braking</t>
  </si>
  <si>
    <t>https://ieeexplore.ieee.org/document/11623827/</t>
  </si>
  <si>
    <t>2026 IEEE Intelligent Vehicles Symposium (IV)</t>
  </si>
  <si>
    <t>10.1109/IV66570.2026.11623827</t>
  </si>
  <si>
    <t xml:space="preserve"> Cognitive Responses,EEG-based Analysis,Cognitive Processes,Process Evaluation,Neural Dynamics,Driver Behavior,Vehicle Behavior,Aggressive Conditions,Smooth Conditions,Driver State,Parietal Cortex,Time Domain,Cognitive Load,Frontal Regions,Neural Responses,Independent Component Analysis,EEG Signals,Discrete Fourier Transform,Event-related Potentials Components,Event-related Potentials Analysis,N1 Component,N2 Component,P3 Component,P2 Component,Electrode Pz,Event-related Potential Responses,Hazard Perception,Fz Electrode,Conflict Detection,Within-subject Differences</t>
  </si>
  <si>
    <t>Cyton+Daisy Board</t>
  </si>
  <si>
    <t>Bouallagui, Hamza; Chniter, Hamza; Ghaffari, Fakhreddine; Romain, Olivier</t>
  </si>
  <si>
    <t>Dual-Mechanism Benefits of Mixed Reality in Motor Imagery BCIs: Simultaneous Signal Enhancement and Fatigue Mitigation</t>
  </si>
  <si>
    <t>https://www.researchsquare.com/article/rs-9336892/v1</t>
  </si>
  <si>
    <t>10.21203/rs.3.rs-9336892/v1</t>
  </si>
  <si>
    <t xml:space="preserve"> G, Motor Imagery, Mixed Reality, BCI, Hololens 2, Fatigue assessment, OpenBCI,
event-related desynchronisation, Cognitive load</t>
  </si>
  <si>
    <t>Headband kit</t>
  </si>
  <si>
    <t>Ayanga Imesha Kumari Kalupahana, Vishruti Ranjan, Li-Shiuan Peh</t>
  </si>
  <si>
    <t>E-MagDiP: Electro-Magnetic based Differential Privacy for EEG based Community Sensing</t>
  </si>
  <si>
    <t>https://arxiv.org/abs/2607.25968</t>
  </si>
  <si>
    <t>10.48550/arXiv.2607.25968</t>
  </si>
  <si>
    <t>OpenBCI GUI, OpenBCI Hardware</t>
  </si>
  <si>
    <t>Cavalcanti de Albuquerque, Mateus; Vasconcelos, Edvaldo; Alves, Ruanderson; Gomes, Andre; Diniz, Margareth; Becker, Valdecir</t>
  </si>
  <si>
    <t>Visualizer: An HCI-Driven System for Translating Complex EEG Data Into Applied Insights for Non-expert Domains</t>
  </si>
  <si>
    <t>https://link.springer.com/10.1007/978-3-032-29593-4_14</t>
  </si>
  <si>
    <t>Lecture Notes in Computer Science</t>
  </si>
  <si>
    <t>10.1007/978-3-032-29593-4_14</t>
  </si>
  <si>
    <t>openbci eeg visualizer dsr publish with us policies and ethics profiles margareth diniz view author profile access this chapter log in via an institution subscribe and save springer</t>
  </si>
  <si>
    <t>OpenBCI Galea</t>
  </si>
  <si>
    <t>Daniel J. Buxton, Mufti Mahmud, Jordan J. Bird, Thomas Hughes-Roberts, David J. Brown</t>
  </si>
  <si>
    <t>A Platform-Agnostic Multimodal Digital Human Modelling Framework: Neurophysiological Sensing in Game-Based Interaction</t>
  </si>
  <si>
    <t>https://arxiv.org/abs/2603.10680</t>
  </si>
  <si>
    <t>10.48550/arXiv.2603.10680</t>
  </si>
  <si>
    <t>Liu, Haoxian; Ouyang, Xiaomin</t>
  </si>
  <si>
    <t>Poster Abstract: Benchmarking Signal Quality and Enhancement Methods for Real-World Wearable BCI Datasets</t>
  </si>
  <si>
    <t>https://ieeexplore.ieee.org/document/11575023/</t>
  </si>
  <si>
    <t>2026 ACM/IEEE International Conference on Embedded Artificial Intelligence and Sensing Systems - Posters and Demos (SenSys-Adjunct)</t>
  </si>
  <si>
    <t>10.1109/SenSys-Adjunct71932.2026.00070</t>
  </si>
  <si>
    <t xml:space="preserve"> Benchmark, Wearable, Signal Quality, Enhancement Method, Deep Learning, Deep Learning Models, Body Movements, Spatial Dimensions, EEG Signals, Motion Intensity, Indoor Navigation, Neural Activity, Alpha Peak, Artifact Suppression</t>
  </si>
  <si>
    <t>Hai, Xiao; Shen, Ruiyang; Wang, Xiaoyi; Yang, Guo‐Min</t>
  </si>
  <si>
    <t>Noninvasive Intelligent Brain‐Metasurface System for Real‐Time Electromagnetic Wave Manipulation</t>
  </si>
  <si>
    <t>https://onlinelibrary.wiley.com/doi/10.1002/nap2.70194</t>
  </si>
  <si>
    <t>Nanophotonics</t>
  </si>
  <si>
    <t>10.1002/nap2.70194</t>
  </si>
  <si>
    <t xml:space="preserve">  BCI | CNN | metasurfaces | motor imagery</t>
  </si>
  <si>
    <t>Ultracortex Mark IV, Dry EEG Comb Electrodes</t>
  </si>
  <si>
    <t>Sharawi, Marwa; Althekair, Abdulaziz; Odeh, Mohanned; AlBayaa, Mohammad; Abu Doush, Iyad; Almulla, Maryam</t>
  </si>
  <si>
    <t>MGaming EEG‐BCI: Advancing Inclusive and Gesture‐Free Neural Interaction for Mobile Gaming Applications</t>
  </si>
  <si>
    <t>https://onlinelibrary.wiley.com/doi/10.1155/js/9983391</t>
  </si>
  <si>
    <t>Journal of Sensors</t>
  </si>
  <si>
    <t>10.1155/js/9983391</t>
  </si>
  <si>
    <t>Khouliya Zalda, Riries Rulaningtyas, Khusnul Ain, Osmalina Nur Rahma, Sayyidul Istigfhar Ittaqillah, Annie Anak Joseph, Rafi Ihsana Azka, Nabila Nayara Fawza</t>
  </si>
  <si>
    <t>Development of driver drowsiness classification based on EEG signals using long short-term memory method</t>
  </si>
  <si>
    <t>https://doi.org/10.29354/diag/225253</t>
  </si>
  <si>
    <t>Diagnostyka. 2026;27(2):2026215.</t>
  </si>
  <si>
    <t>10.29354/diag/225253</t>
  </si>
  <si>
    <t>EEG, LSTM, virtual reality, discrete wavelet transform, driver drowsiness</t>
  </si>
  <si>
    <t>Sameer, T.; Deekshith, R. V. M.; Karthik, P.; Pati, Peeta Basa; Bhattacharya, Debanjali</t>
  </si>
  <si>
    <t>Learning Latent Neural Signatures from EEG Scalograms for Robust Biometric Identification</t>
  </si>
  <si>
    <t>https://www.researchsquare.com/article/rs-9858854/v1</t>
  </si>
  <si>
    <t>10.21203/rs.3.rs-9858854/v1</t>
  </si>
  <si>
    <t xml:space="preserve"> Biometrics, Continuous Wavelet Transform, Electroencephalography, Convolutional
Autoencoder, Residual Neural Networks, Good health and well-being</t>
  </si>
  <si>
    <t>Botao He, Zhi Wang, Linna Kuang, Ishaan Ghosh, Jitendra Malik, Cornelia Fermuller, Tingfan Wu, Jiayuan Mao, Ruoshi Liu, Haozhi Qi, Yiannis Aloimonos</t>
  </si>
  <si>
    <t>ForceBand: Learning Forceful Manipulation with sEMG</t>
  </si>
  <si>
    <t>https://arxiv.org/abs/2606.26093</t>
  </si>
  <si>
    <t>10.48550/arXiv.2606.26093</t>
  </si>
  <si>
    <t>Ha, Juchan; Bok, Junsoo; Lee, Yunjin; Kim, Yong Sung; Kim, June Sic; Kim, Hee-Jin; Jang, Yongwoo</t>
  </si>
  <si>
    <t>Noninvasive Electrophysiological Biomarkers of Olfactory Responses Across Cognitive States in Alzheimer Dementia: Cross-Sectional Study</t>
  </si>
  <si>
    <t>https://mhealth.jmir.org/2026/1/e76245</t>
  </si>
  <si>
    <t>JMIR mHealth and uHealth</t>
  </si>
  <si>
    <t>10.2196/76245</t>
  </si>
  <si>
    <t xml:space="preserve">noninvasive olfactory recording (1); machine learning (2131); digital biomarker (24); olfactory dysfunction (4); early diagnosis of dementia 
</t>
  </si>
  <si>
    <t>Ganglion Board</t>
  </si>
  <si>
    <t>Engr. Aymen Jamil,Khawaja Uneeb Ullah</t>
  </si>
  <si>
    <t>VOICE CONTROLLED AND TFT TOUCHSCREEN CONTROLLED WHEELCHAIR</t>
  </si>
  <si>
    <t>https://zenodo.org/doi/10.5281/zenodo.20756330</t>
  </si>
  <si>
    <t xml:space="preserve">SPECTRUM OF ENGINEERING SCIENCES
</t>
  </si>
  <si>
    <t>10.5281/zenodo.20756330</t>
  </si>
  <si>
    <t xml:space="preserve">Smart wheelchair; Human–machine interface; Voice-controlled system; Embedded systems; TFT display
</t>
  </si>
  <si>
    <t>Tan, Dingming; Ni, Zifeng; Zhang, Baiqiao; Zhou, Chao; Bai, Tianshuo; Liu, Juan; Li, Xiangxian; Bian, Yulong</t>
  </si>
  <si>
    <t>TongueBCI: An Interaction Method Based on EEG Signals from Tongue Movement Direction</t>
  </si>
  <si>
    <t>https://link.springer.com/10.1007/978-981-95-7195-6_26</t>
  </si>
  <si>
    <t>10.1007/978-981-95-7195-6_26</t>
  </si>
  <si>
    <t>Brain-computer interface, Tongue-Machine Interface(TMI), accessible interaction, non-intrusive, hands-free, Motor Imagery (MI)</t>
  </si>
  <si>
    <t>Li, Yichen; Zheng, Kai; Zhang, Guangtian; Chen, Wentao; Liu, Chengtan; Shin, Seonho; Yang, Bihai; Cai, Ran; Hu, Bin</t>
  </si>
  <si>
    <t>Intelligent Breathing Electronic Skin Inspired by Nepenthes for Active Sweat Management, Multimodal Sensing and High-Fidelity Electromyographic Teleoperation Using Machine Learning</t>
  </si>
  <si>
    <t>https://link.springer.com/10.1007/s40820-026-02252-2</t>
  </si>
  <si>
    <t>Nano-Micro Letters</t>
  </si>
  <si>
    <t>10.1007/s40820-026-02252-2</t>
  </si>
  <si>
    <t>Electronic skin, Nepenthes-inspired, Electrospinning, Unidirectional sweat transport, EMG teleoperation</t>
  </si>
  <si>
    <t>Ganglion</t>
  </si>
  <si>
    <t>Kunireddy, Venkata Sai Jyothsna; Goru, Hema Kumar; Nittla, Yuva Teja; Kumbha, Srinivas</t>
  </si>
  <si>
    <t>Auditory EEG-based Biometric Identification using an SE-Enhanced CNN Model</t>
  </si>
  <si>
    <t>https://ieeexplore.ieee.org/document/11542044/</t>
  </si>
  <si>
    <t>2026 9th International Conference on Trends in Electronics and Informatics (ICOEI)</t>
  </si>
  <si>
    <t>10.1109/ICOEI68323.2026.11542044</t>
  </si>
  <si>
    <t xml:space="preserve"> Convolutional Neural Network, Convolutional Neural Network Model, Biometric Identification, Neural Network, Feature Representation, EEG Recordings, EEG Signals, Auditory Stimulation, Channel Attention Mechanism, Secure Authentication, Biometric Technologies, Receiver Operating Characteristic Curve, Spatial Patterns, Brain Activity, Convolutional Layers, Cohen’s Kappa, Feature Maps, Temporal Dimension, Confusion Matrix, Feature Learning, Convolutional Neural Network Architecture, Channel Attention, EEG Data, Biometric Systems, Channel-wise Feature, Conventional Convolutional Neural Networks, EEG Channels, Batch Normalization, Temporal Features, Auditory Signals</t>
  </si>
  <si>
    <t>OpenBCI GUI, Cyton Board</t>
  </si>
  <si>
    <t>Acuña, Italo A.; Suárez, Juan C.; Abarca, Victoria E.; Elias, Dante A.</t>
  </si>
  <si>
    <t>Design of a Low-Cost Test Bench for Surface EMG Signal Reproduction Using a Raspberry Pi Platform</t>
  </si>
  <si>
    <t>https://link.springer.com/10.1007/978-3-032-24724-7_18</t>
  </si>
  <si>
    <t>IFMBE Proceedings</t>
  </si>
  <si>
    <t>10.1007/978-3-032-24724-7_18</t>
  </si>
  <si>
    <t>surface electromyography signal reproduction raspberry pi pulse</t>
  </si>
  <si>
    <t>Rahmat, Muhammad Mirza; Yunidar, Yunidar; Melinda, Melinda</t>
  </si>
  <si>
    <t>A Comparative Study of MSPCA and MSICA Denoising for EEG Based Autism Spectrum Disorder Classification Using LightGBM and TCN-SA.</t>
  </si>
  <si>
    <t>https://doi.org/10.22266/ijies2026.0630.11</t>
  </si>
  <si>
    <t>International Journal of Intelligent Engineering &amp; Systems, 2026, Vol 19, Issue 6, p186</t>
  </si>
  <si>
    <t>10.22266/ijies2026.0630.11</t>
  </si>
  <si>
    <t>SIGNAL denoising; AUTISM spectrum disorders; PRINCIPAL components analysis; ELECTROENCEPHALOGRAPHY; BOOSTING algorithms; INDEPENDENT component analysis; ARTIFICIAL neural networks</t>
  </si>
  <si>
    <t>Nittla, Yuva Teja; Kumar Goru, Hema; Jyothsna Kunireddy, Venkata Sai; Kumbha, Srinivas</t>
  </si>
  <si>
    <t>Auditory Evoked EEG-Based Biometric Authentication Using a Hybrid CNN-Transformer Model</t>
  </si>
  <si>
    <t>https://ieeexplore.ieee.org/document/11518027/</t>
  </si>
  <si>
    <t>2026 Third International Conference on Networking and Communications (ICNWC)</t>
  </si>
  <si>
    <t>10.1109/ICNWC68145.2026.11518027</t>
  </si>
  <si>
    <t xml:space="preserve"> Biometric Identification, Hybrid CNN-Transformer, Convolutional Neural Network, Convolutional Layers, Graphical User Interface, Transformer Model, EEG Features, Transformer Encoder, Authentication System, Fingerprint, Performance Metrics, Cohen’s Kappa, Feature Learning, Batch Normalization, EEG Data, EEG Signals, Brain Signals, Matthews Correlation Coefficient, Encoder Layer, Auditory Evoked Potentials, Secure Authentication, EEG Segments, Biometric Systems, Authentication Scheme, EEG Samples, Registration Phase, Attention Heads, Multi-channel Signals, Auditory Evoked Potentials, Biometric Authentication, EEG Biometrics, Graphical User Interface, Open-set Recognition, Transformer models</t>
  </si>
  <si>
    <t>Vergara-Morales, J.; Matamala, B.; Retamal, B.; Gantiva, C.</t>
  </si>
  <si>
    <t>Ethical Decision-Making in Chilean University Students: Behavioral and Electroencephalographic Evidence from Professional Ethical Dilemmas</t>
  </si>
  <si>
    <t>https://doi.org/10.3390/bs16050815</t>
  </si>
  <si>
    <t>Behavioral Sciences. 2026; 16(5):815.</t>
  </si>
  <si>
    <t>10.3390/bs16050815</t>
  </si>
  <si>
    <t xml:space="preserve"> ethical decision making; dual-process theory; higher education</t>
  </si>
  <si>
    <t>Concatto, Fernando; Freitas, Maurício Pasetto de; González-Dalmau, Evelio; Legal, Eduardo; Ramírez, Alejandro García</t>
  </si>
  <si>
    <t>A suitable EEG System for Cognitive Monitoring in Aphasia Rehabilitation: A Pilot Feasibility Study</t>
  </si>
  <si>
    <t>https://www.authorea.com/doi/full/10.22541/au.177260770.08096523/v1</t>
  </si>
  <si>
    <t>10.22541/au.177260770.08096523/v1</t>
  </si>
  <si>
    <t>biomedical electronics brain</t>
  </si>
  <si>
    <t>Cao, Nhan; Loyd, Brian; Kittelson, Andy; Nguyen, Anh</t>
  </si>
  <si>
    <t>Objective quantification of motion-induced dizziness using a proof-of-concept multimodal wearable platform</t>
  </si>
  <si>
    <t>https://www.nature.com/articles/s41598-026-52443-5</t>
  </si>
  <si>
    <t>Scientific Reports</t>
  </si>
  <si>
    <t>10.1038/s41598-026-52443-5</t>
  </si>
  <si>
    <t xml:space="preserve"> Engineering, Health care, Medical research, Neurology, Neuroscience</t>
  </si>
  <si>
    <t>Maaz, Jacob; Dia, Alexandra; Waroquier, Laurent; Paban, Véronique; Rey, Arnaud</t>
  </si>
  <si>
    <t>Non-specific increase in alpha power during a neurofeedback session targeting its downregulation</t>
  </si>
  <si>
    <t>https://direct.mit.edu/imag/article/doi/10.1162/IMAG.a.1258/136565/Non-specific-increase-in-alpha-power-during-a</t>
  </si>
  <si>
    <t>Imaging Neuroscience</t>
  </si>
  <si>
    <t>10.1162/IMAG.a.1258</t>
  </si>
  <si>
    <t xml:space="preserve"> EEG; Neurofeedback; Non-specific influences; Alpha activity</t>
  </si>
  <si>
    <t>Jin, Ye-Ji; Mi, Eidmann Ammienn Bin Eh; Dulamsuren, Sharkhuu; Tamura, Shun; Kang, Na-Yun; Mao, Xiaoyang; Chang, Won-Du</t>
  </si>
  <si>
    <t>On the Feasibility of Eog-Based Eye-Writing in Virtual Reality</t>
  </si>
  <si>
    <t>https://ieeexplore.ieee.org/document/11489690/</t>
  </si>
  <si>
    <t>2026 IEEE Conference on Virtual Reality and 3D User Interfaces Abstracts and Workshops (VRW)</t>
  </si>
  <si>
    <t>10.1109/VRW70859.2026.00263</t>
  </si>
  <si>
    <t xml:space="preserve"> Virtual Reality (VR), Human-Computer Interaction (HCI), Electrooculography (EOG), Eye-writing interfaces, Assistive communication systems, Virtually, Immersive Environment, Eye Movements, Head Movements, Human-computer Interaction, Ecological Validity, Virtual Reality Applications</t>
  </si>
  <si>
    <t>Cyton Board, OpenBCI Board, OpenBCI GUI</t>
  </si>
  <si>
    <t>Selçuk, Elif Nur; Çakmak, Gökçenur; Usal, Mustafa Reşit</t>
  </si>
  <si>
    <t>Gelatin‐Based Head Phantoms: A Practical Guide for Artificial Brain Signal Research</t>
  </si>
  <si>
    <t>https://onlinelibrary.wiley.com/doi/10.1155/ijbm/2255123</t>
  </si>
  <si>
    <t>International Journal of Biomaterials</t>
  </si>
  <si>
    <t>10.1155/ijbm/2255123</t>
  </si>
  <si>
    <t xml:space="preserve"> artificial brain wave, electroencephalography, tissue mimicking phantoms</t>
  </si>
  <si>
    <t>Ultracortex Mark IV</t>
  </si>
  <si>
    <t>Concha-Pérez, Elsa; Gonzalez-Hernandez, Hugo G.; Reyes-Avendaño, Jorge A.; Beltrán-Rodríguez, María; Olazagoitia, José Luis; Luengo, Javier Fernández de Gorostiza</t>
  </si>
  <si>
    <t>Movement Intention Recognition Using Wearable Dry-Electrode Sensors and Multimodal EEG-EMG data</t>
  </si>
  <si>
    <t>https://ieeexplore.ieee.org/document/11494659/</t>
  </si>
  <si>
    <t>10.1109/ACCESS.2026.3687486</t>
  </si>
  <si>
    <t>Intention decoding, BiLSTM, voluntary movement, self-paced task</t>
  </si>
  <si>
    <t>M. Hanafi, A. Sahroni, S. Kusumadewi, H. Setiawan, and F. Firdaus</t>
  </si>
  <si>
    <t>Processing and Analysis of Electrogastrogram (EGG) Signals to Evaluate Stressor and Motion Sickness Conditions in Virtual Reality Environments</t>
  </si>
  <si>
    <t>https://doi.org/10.35882/jeeemi.v8i2.1531</t>
  </si>
  <si>
    <t>j.electron.electromedical.eng.med.inform, vol. 8, no. 2, pp. 789-805</t>
  </si>
  <si>
    <t>10.35882/jeeemi.v8i2.1531</t>
  </si>
  <si>
    <t xml:space="preserve"> Virtual Reality (VR); Motion Sickness; Stressor; EGG; Likert Scale</t>
  </si>
  <si>
    <t>https://jeeemi.org/index.php/jeeemi/article/view/1531</t>
  </si>
  <si>
    <t>De Angelis, Davide; Manco, Manuel; Garzia, Emilio; Di Nardo, Emanuel; Ciaramella, Angelo</t>
  </si>
  <si>
    <t>Emotion Recognition Tool for Brain-Computer Interface</t>
  </si>
  <si>
    <t>https://link.springer.com/10.1007/978-981-95-4072-3_11</t>
  </si>
  <si>
    <t>Smart Innovation, Systems and Technologies</t>
  </si>
  <si>
    <t>10.1007/978-981-95-4072-3_11</t>
  </si>
  <si>
    <t>eeg brain computer interface</t>
  </si>
  <si>
    <t>Syiva, Cut Siti Azola; Melinda, Melinda; Syahrial, Syahrial; Rahman, Imam Fathur; Das, Souvik; Heryanto, M. Ary</t>
  </si>
  <si>
    <t>Dual-Domain Temporal–Spatial Denoising Approach for Autism Spectrum Disorder EEG Signals Based on Stationary Wavelet Transform and SPHARA</t>
  </si>
  <si>
    <t>https://publikasi.dinus.ac.id/jcta/article/view/15875</t>
  </si>
  <si>
    <t>Journal of Computing Theories and Applications</t>
  </si>
  <si>
    <t>10.62411/jcta.15875</t>
  </si>
  <si>
    <t>autism spectrum disorder, biomedical signal processing, eeg preprocessing, electroencephalography, signal denoising, multichannel eeg, stationary wavelet transform, sphara abstract electroencephalography (eeg) signals are highly susceptible to noise and artifacts, which can degrade analysis accuracy, particularly in autism spectrum disorder (asd) studies</t>
  </si>
  <si>
    <t>S, Samweslin; D, Hepsiba; Anand, L. D Vijay; Varthini, R. Kogila; Isaac, J. Samson</t>
  </si>
  <si>
    <t>Neuromuscular Fatigue Detection Using Hybrid Machine Learning Classifier</t>
  </si>
  <si>
    <t>https://ieeexplore.ieee.org/document/11479272/</t>
  </si>
  <si>
    <t>2026 Twelfth International Conference on Bio Signals, Images, and Instrumentation (ICBSII)</t>
  </si>
  <si>
    <t>10.1109/ICBSII69710.2026.11479272</t>
  </si>
  <si>
    <t xml:space="preserve"> NeuromuscularFatigue, EEG-EMGSignalProcessing, HybridMachineLearning, SVM-CNNClassifier, RehabilitationEngineering, FatigueDetection</t>
  </si>
  <si>
    <t>Channa, Asma; Jelinek, Herbert F.; Belkacem, Abdelkader Nasreddine; Atef, Mohamed; Elfadel, Ibrahim (Abe) M.</t>
  </si>
  <si>
    <t>In-ear EEG wearables for brain activity assessment and cognitive rehabilitation: the emerging role of multimodal embedded intelligence</t>
  </si>
  <si>
    <t>https://www.frontiersin.org/articles/10.3389/fnhum.2026.1793705/full</t>
  </si>
  <si>
    <t>Frontiers in Human Neuroscience</t>
  </si>
  <si>
    <t>10.3389/fnhum.2026.1793705</t>
  </si>
  <si>
    <t>brain activity , cognitive monitoring , cognitive rehabilitation , eeg , embedded intelligence , in</t>
  </si>
  <si>
    <t>Hatchett, Seth; Viana, Connor; Sargolzaei, Arman; Sargolzaei, Saman</t>
  </si>
  <si>
    <t>Assessment of Driver Cognitive Load in Autonomous Driving Using Extended Reality Simulation</t>
  </si>
  <si>
    <t>https://ieeexplore.ieee.org/document/11476058/</t>
  </si>
  <si>
    <t>SoutheastCon 2026</t>
  </si>
  <si>
    <t>10.1109/SoutheastCon63549.2026.11476058</t>
  </si>
  <si>
    <t xml:space="preserve"> EEG, HRV, Eye tracking, Driving simulation, autonomous driving, Cognitive Load
</t>
  </si>
  <si>
    <t>Jayaraman Rajendiran, Dinesh Kumar; Chidambaram, Ganesh Babu; Kolluru, Vinothkumar; Adli, Gerald</t>
  </si>
  <si>
    <t>Comprehensive Examination of Cognitive Skills Using Hybrid Optimized Convolutional Neural Networks for EEG Signal Classification with OpenBCI Validation</t>
  </si>
  <si>
    <t>https://spj.science.org/doi/10.34133/bosn.0003</t>
  </si>
  <si>
    <t>Brain Organoid and Systems Neuroscience Journal</t>
  </si>
  <si>
    <t>10.34133/bosn.0003</t>
  </si>
  <si>
    <t xml:space="preserve">  BCI- Brain Computer Interface, HCNN- Hybrid Convolution neural network , EEG -Electroencephalography,
G2WO- Grasshopper and Grey Wolf Optimization, Ho- Hybrid optimization, PSO-Particle swarm optimization.</t>
  </si>
  <si>
    <t>Haoxian Liu, Hengle Jiang, Lanxuan Hong, Xiaomin Ouyang</t>
  </si>
  <si>
    <t>WearBCI Dataset: Understanding and Benchmarking Real-World Wearable Brain-Computer Interfaces Signals</t>
  </si>
  <si>
    <t>https://arxiv.org/abs/2604.09649</t>
  </si>
  <si>
    <t>SenSys ’26, May 11–14, 2026</t>
  </si>
  <si>
    <t>10.48550/arXiv.2604.09649</t>
  </si>
  <si>
    <t>Wearable BCI System, EEG Signal Enhancement, Multimodal Sensing, Motion Artifacts</t>
  </si>
  <si>
    <t>OpenBCI GUI</t>
  </si>
  <si>
    <t>Schick, Lukas; Frey, Emilia; Putze, Felix; Knierim, Michael T.</t>
  </si>
  <si>
    <t>Rest Assured: Detecting Mental Fatigue and Recovery with EEG Headphones</t>
  </si>
  <si>
    <t>https://dl.acm.org/doi/10.1145/3772318.3791781</t>
  </si>
  <si>
    <t>Proceedings of the 2026 CHI Conference on Human Factors in Computing Systems</t>
  </si>
  <si>
    <t>10.1145/3772318.3791781</t>
  </si>
  <si>
    <t>WASHIO, Subaru; NOGUCHI, Ryohei; ASAKURA, Takumi; HASEGAWA, Ryohei P.</t>
  </si>
  <si>
    <t>Frontal EEG and Emotional Impressions in Response to Chord Progressions: Interactions of Musical Mode and Chord Type</t>
  </si>
  <si>
    <t>https://www.jstage.jst.go.jp/article/ijae/advpub/0/advpub_IJAE-D-25-00037/_article</t>
  </si>
  <si>
    <t>International Journal of Affective Engineering</t>
  </si>
  <si>
    <t>10.5057/ijae.IJAE-D-25-00037</t>
  </si>
  <si>
    <t>chord structure , musical mode , eeg , alpha power , harmonic ambiguity journal open access advance online publication article id: ijae-d-25-00037 doi https://doi</t>
  </si>
  <si>
    <t>R, Shwethaa. A.; Aswini, G.V.</t>
  </si>
  <si>
    <t>IoT Based Epilepsy Monitoring Device for Children</t>
  </si>
  <si>
    <t>https://ieeexplore.ieee.org/document/10816932/</t>
  </si>
  <si>
    <t>2024 8th International Conference on Computational System and Information Technology for Sustainable Solutions (CSITSS)</t>
  </si>
  <si>
    <t>10.1109/CSITSS64042.2024.10816932</t>
  </si>
  <si>
    <t xml:space="preserve"> Epilepsy, seizures, sensors, controller</t>
  </si>
  <si>
    <t>Ahn, Ji Won; Yu, Gi Yeon; Kim, Seong-Wan; Seok, Young-Seek; Byun, Kyung-Min; Choi, Seung Ho</t>
  </si>
  <si>
    <t>A Cheonjiin Layout Mental Speller: Developing a Simple and Cost-Effective EEG-Based Brain–Computer Interface System</t>
  </si>
  <si>
    <t>https://www.mdpi.com/1424-8220/26/7/2265</t>
  </si>
  <si>
    <t>Sensors</t>
  </si>
  <si>
    <t>10.3390/s26072265</t>
  </si>
  <si>
    <t>Inoue, Masakazu; Hatakeyama, Eri; Kita, Yuya; Sasai, Shuntaro</t>
  </si>
  <si>
    <t>Large-scale training data enhances silent speech decoding with around-ear EEG</t>
  </si>
  <si>
    <t>https://iopscience.iop.org/article/10.1088/1741-2552/ae54d0</t>
  </si>
  <si>
    <t>Journal of Neural Engineering</t>
  </si>
  <si>
    <t>10.1088/1741-2552/ae54d0</t>
  </si>
  <si>
    <t xml:space="preserve"> Silent speech decoding, Electroencephalogram, Electromyography, Around ear EEG, Online system, Wearable neurotechnology, Assistive communication</t>
  </si>
  <si>
    <t>Hu, Qingyong; Zhou, Yuxuan; Wang, Jinjian; Gong, Yanbin; Zhang, Yizhen; Sun, Jingnan; Yao, Jian; Shao, Qijia; Qiu, Lili; Zhang, Qian; Li, Guihua</t>
  </si>
  <si>
    <t>The EasyCog Dataset: Towards Easier Cognitive Assessment with Passive Video Watching</t>
  </si>
  <si>
    <t>https://dl.acm.org/doi/10.1145/3789682</t>
  </si>
  <si>
    <t>Proceedings of the ACM on Interactive, Mobile, Wearable and Ubiquitous Technologies</t>
  </si>
  <si>
    <t>10.1145/3789682</t>
  </si>
  <si>
    <t>Chowdhury, Nahian S; Rawsthorne, Joshua; Hesam-Shariati, Negin; Quidé, Yann; McIntyre, Angus; Restrepo, Sebastian; Chen, Kevin; Lin, Chin-Teng; John, Toby Newton; Middleton, James W; Craig, Ashley; Jensen, Mark P; McAuley, James; Gustin, Sylvia M</t>
  </si>
  <si>
    <t>Evaluation of PainWaive: A consumer-grade EEG headset for remotely delivered neurofeedback and monitoring in chronic pain</t>
  </si>
  <si>
    <t>http://medrxiv.org/lookup/doi/10.64898/2026.03.05.26347650</t>
  </si>
  <si>
    <t>10.64898/2026.03.05.26347650</t>
  </si>
  <si>
    <t>Galea</t>
  </si>
  <si>
    <t>Buxton, Daniel and Mahmud, Mufti and Bird, Jordan and Hughes-Roberts, Thomas and Brown, David</t>
  </si>
  <si>
    <t>Digital Human Modelling · Multimodal Neurophysiological Sensing · PlatformAgnostic Frameworks · Game-Based Interaction · Accessibility and Inclusion.</t>
  </si>
  <si>
    <t>Chan, Yean Ling; Tew, Yiqi; Goh, Ching Pang; Chan, Choon Kit</t>
  </si>
  <si>
    <t>Multi-Class Electroencephalography Motor Imagery Classification of Limb Movements Using Convolutional Neural Network</t>
  </si>
  <si>
    <t>https://www.mdpi.com/2673-4591/128/1/20</t>
  </si>
  <si>
    <t>IEEE ICCBE 2025</t>
  </si>
  <si>
    <t>10.3390/engproc2026128020</t>
  </si>
  <si>
    <t xml:space="preserve"> electroencephalography (EEG); motor imagery classification; convolutional neural network (CNN); brain–computer interface (BCI); limb movement classification; human health</t>
  </si>
  <si>
    <t>Roque, Thiago Rossi; Sun, Ruojia; Do, Ellen Yi-Luen; Leslie, Grace</t>
  </si>
  <si>
    <t>HyperDance: Real-Time Vibrotactile Stimulation Feedback of Inter-Brain Connectivity in Partner Dance</t>
  </si>
  <si>
    <t>https://dl.acm.org/doi/10.1145/3731459.3773332</t>
  </si>
  <si>
    <t>COUNTA of Title</t>
  </si>
  <si>
    <t>Proceedings of the Twentieth International Conference on Tangible, Embedded, and Embodied Interaction</t>
  </si>
  <si>
    <t>10.1145/3731459.3773332</t>
  </si>
  <si>
    <t>Ahmad Fauzi , Ohnishi Ayumi , Tsutomu Terada , Masahiko Tsukamoto</t>
  </si>
  <si>
    <t>Evaluating Wearable Sensors for Combined Physical and Mental Fatigue Assessment</t>
  </si>
  <si>
    <t>https://zenodo.org/doi/10.5281/zenodo.18081032</t>
  </si>
  <si>
    <t>Grand Total</t>
  </si>
  <si>
    <t>Journal of Bioinformatics and Neuroscience (JBINS), 12 (1): 637 - 649, December 30, 2025</t>
  </si>
  <si>
    <t xml:space="preserve">10.5281/zenodo.18081032 </t>
  </si>
  <si>
    <t>Fatigue Assessment, Mental Fatigue, Wearable Sensors</t>
  </si>
  <si>
    <t>Giusy Spacone, Sebastian Frey, Giovanni Pollo, Alessio Burrello, Daniele Jahier Pagliari, Victor Kartsch, Andrea Cossettini, Luca Benini</t>
  </si>
  <si>
    <t>SilentWear: an Ultra-Low Power Wearable System for EMG-based Silent Speech Recognition</t>
  </si>
  <si>
    <t>https://arxiv.org/abs/2603.02847</t>
  </si>
  <si>
    <t>IEEE SENSORS JOURNAL, VOL. XX, NO. XX, XXXX 2026</t>
  </si>
  <si>
    <t>10.48550/arXiv.2603.02847</t>
  </si>
  <si>
    <t>Guler, Saygun; Mirbakht, Seyed Sajjad; Tasdelen, Melih Can; Kuzubasoglu, Burcu Arman; Ballipinar, Faruk; Yapici, Murat Kaya</t>
  </si>
  <si>
    <t>Inkjet-Printed Graphene Electrodes on a Plastic Armband for Mobile Electrocardiography</t>
  </si>
  <si>
    <t>https://link.springer.com/10.1007/s10916-026-02357-6</t>
  </si>
  <si>
    <t>Journal of Medical Systems</t>
  </si>
  <si>
    <t>10.1007/s10916-026-02357-6</t>
  </si>
  <si>
    <t>inkjet printing graphene mobile health ecg electrode flexible wearable plastic armband internet of things</t>
  </si>
  <si>
    <t>Hansika Medagedara, M.; Gopura, R.A.R.C.; Nandasiri, Gayani K.</t>
  </si>
  <si>
    <t>Towards the Development of Knitted Surface EMG Sensors: Impact of Knit Structures and Configuration on Monitoring Dynamic Muscle Contractions</t>
  </si>
  <si>
    <t>https://ieeexplore.ieee.org/document/11420897/</t>
  </si>
  <si>
    <t>IEEE Sensors Journal</t>
  </si>
  <si>
    <t>10.1109/JSEN.2026.3667982</t>
  </si>
  <si>
    <t xml:space="preserve"> Electrodes, Sensors, Yarn, Finite element analysis, Impedance, Electromyography, Geometry, Deformation, Monitoring, Fabrics, sensor testing and evaluation (PHEN), knitted sensors (MATR), surface EMG, signal processing (SIGP), textile based EMG sensors.</t>
  </si>
  <si>
    <t>Iván Arcos, Paolo Rosso, Elena Gomis-Vicent</t>
  </si>
  <si>
    <t>Human-Centered Multimodal Fusion for Sexism Detection in Memes with Eye-Tracking, Heart Rate, and EEG Signals</t>
  </si>
  <si>
    <t>https://arxiv.org/abs/2602.23862</t>
  </si>
  <si>
    <t>Proceedings of LREC 2026</t>
  </si>
  <si>
    <t>10.48550/arXiv.2602.23862</t>
  </si>
  <si>
    <t>M. Tairab, Alaeldin; Liu, Weiqun; Zhuo, Junchao; Yi, Menglong; Chen, Hongyu; Hao, Daning; Emmanuel, Bisengimana; Aslam, Touqeer</t>
  </si>
  <si>
    <t>A centrifugal mechanism hybrid energy harvester with AI-enabled self-sensing and self-powered for railway monitoring</t>
  </si>
  <si>
    <t>https://iopscience.iop.org/article/10.1088/1361-665X/ae4aec</t>
  </si>
  <si>
    <t>Smart Materials and Structures</t>
  </si>
  <si>
    <t>10.1088/1361-665X/ae4aec</t>
  </si>
  <si>
    <t>Saglam, Abdullah Yigit; Tezel, Tugce Gulseren; Kucukselbes, Hezzal; Sayilgan, Ebru</t>
  </si>
  <si>
    <t>Video game-driven EEG signal classification for rehabilitation applications using LSTM networks</t>
  </si>
  <si>
    <t>https://www.spiedigitallibrary.org/conference-proceedings-of-spie/14114/3096307/Video-game-driven-EEG-signal-classification-for-rehabilitation-applications-using/10.1117/12.3096307.full</t>
  </si>
  <si>
    <t>Eighteenth International Conference on Machine Vision (ICMV 2025)</t>
  </si>
  <si>
    <t>10.1117/12.3096307</t>
  </si>
  <si>
    <t>Ghadah Alosaimi, Maha Alsayyari, Yixin Sun, Stamos Katsigiannis, Amir Atapour-Abarghouei, Toby P. Breckon</t>
  </si>
  <si>
    <t>EEG-Driven Intention Decoding: Offline Deep Learning Benchmarking on a Robotic Rover</t>
  </si>
  <si>
    <t>https://arxiv.org/abs/2602.20041</t>
  </si>
  <si>
    <t>10.48550/arXiv.2602.20041</t>
  </si>
  <si>
    <t>N, Keerthika.; V, Kiruthika.</t>
  </si>
  <si>
    <t>Comparison of preprocessing techniques for effective cognitive analysis using electroencephalography (EEG)</t>
  </si>
  <si>
    <t>https://linkinghub.elsevier.com/retrieve/pii/S2215016126000385</t>
  </si>
  <si>
    <t>MethodsX</t>
  </si>
  <si>
    <t>10.1016/j.mex.2026.103821</t>
  </si>
  <si>
    <t>electroencephalography</t>
  </si>
  <si>
    <t>İbili, Aysel Burcu; Fidan, Ugur; Ibılı, Emin; Çavuşoğlu, Dilek; Özkan Yılmaz, Neşe; Okumuş, Nurullah</t>
  </si>
  <si>
    <t>Çocuklarda Migren Tespiti İçin Işıklı Uyarım Frekansı ve EEG Kanallarının Belirlenmesi: Makine Öğrenmesi Algoritmaları ile Bir Yaklaşım</t>
  </si>
  <si>
    <t>https://dergipark.org.tr/tr/doi/10.35414/akufemubid.1711013</t>
  </si>
  <si>
    <t>Afyon Kocatepe University Journal of Sciences and Engineering</t>
  </si>
  <si>
    <t>10.35414/akufemubid.1711013</t>
  </si>
  <si>
    <t>tr</t>
  </si>
  <si>
    <t xml:space="preserve"> ELECTROENCEPHALOGRAPHY; MACHINE learning; DIAGNOSIS; SENSORY stimulation; SUPPORT vector machines; WAVELET transforms; ARTIFICIAL neural networks; MIGRAINE
</t>
  </si>
  <si>
    <t>Xiong, Qinqin; Gui, Longjin; Shu, Chuan</t>
  </si>
  <si>
    <t>Support vector machine algorithm-based wearable device in sports rehabilitation training for people with disabilities</t>
  </si>
  <si>
    <t>https://www.nature.com/articles/s41598-026-39904-7</t>
  </si>
  <si>
    <t>10.1038/s41598-026-39904-7</t>
  </si>
  <si>
    <t>support vector machine wearable devices people with disabilities rehabilitation training quality of life compliance intelligent algorithms download pdf advertisement explore content research articles news</t>
  </si>
  <si>
    <t>Abdollahzadeh, Hamed; Montaldi, Elisa; Olivieri, Riccardo; Esposito, Paolo; Barile, Gianluca; Ferri, Giuseppe; Stornelli, Vincenzo</t>
  </si>
  <si>
    <t>Peak-Independent Cuffless Blood Pressure Monitoring Using a Smart Sock: The Role of Temporal Lag Modeling in Foot-Based PPG</t>
  </si>
  <si>
    <t>https://www.mdpi.com/1424-8220/26/4/1269</t>
  </si>
  <si>
    <t>10.3390/s26041269</t>
  </si>
  <si>
    <t>D’Amico, Alessandro; de Sa, Virginia R.</t>
  </si>
  <si>
    <t>Comparing Simultaneous Scalp EEG Recordings from the OpenBCI Cyton and Brain Products BrainAmp</t>
  </si>
  <si>
    <t>https://www.mdpi.com/1424-8220/26/4/1153</t>
  </si>
  <si>
    <t>10.3390/s26041153</t>
  </si>
  <si>
    <t>Ramu, Vadivelan; Lakshminarayanan, Kishor</t>
  </si>
  <si>
    <t>IoT‐Enabled Framework for OpenViBE‐Based Online BCI with an OSC‐Driven Somatosensory Stimulator and Unity Animation Control</t>
  </si>
  <si>
    <t>https://onlinelibrary.wiley.com/doi/10.1002/9781394336166.ch27</t>
  </si>
  <si>
    <t>Artificial Intelligence in Instrumentation, Control and Automation</t>
  </si>
  <si>
    <t>10.1002/9781394336166.ch27</t>
  </si>
  <si>
    <t>Bahramsari, Parsa; Behzadipour, Saeed</t>
  </si>
  <si>
    <t>Classification of the lower limb motor imagery and execution using high vs. low channel EEG devices</t>
  </si>
  <si>
    <t>http://biorxiv.org/lookup/doi/10.64898/2026.02.10.704620</t>
  </si>
  <si>
    <t>10.64898/2026.02.10.704620</t>
  </si>
  <si>
    <t>Gornale, Shivanand S.; Palaiahnakote, Shivakumara; Unki, Amruta; Moreno-Garcia, Carlos Francisco</t>
  </si>
  <si>
    <t>A Novel EEG-ECG Based Fusion Model for Multimodal Emotional Classification</t>
  </si>
  <si>
    <t>https://www.worldscientific.com/doi/10.1142/S0218001426590081</t>
  </si>
  <si>
    <t>International Journal of Pattern Recognition and Artificial Intelligence</t>
  </si>
  <si>
    <t>10.1142/S0218001426590081</t>
  </si>
  <si>
    <t>Palmisciano, Andrea Costanzo; Farabbi, Andrea; Rossi, Matteo; Antonello, Niccolò; Trojaniello, Diana; Cerveri, Pietro; Mainardi, Luca T</t>
  </si>
  <si>
    <t>Form factor meets function: Anatomy-dependent electrode-skin coupling and signal content in consumer eyewear EEG systems</t>
  </si>
  <si>
    <t>https://iopscience.iop.org/article/10.1088/1741-2552/ae4271</t>
  </si>
  <si>
    <t>10.1088/1741-2552/ae4271</t>
  </si>
  <si>
    <t xml:space="preserve"> EEG-eyewear, smartglasses, neurophysiological monitoring.</t>
  </si>
  <si>
    <t>Muhammad, Riaz; Nettey-Oppong, Ezekiel Edward; Usman, Muhammad; Abro, Saeed Ahmed Khan; Soomro, Toufique Ahmed; Ali, Ahmed</t>
  </si>
  <si>
    <t>Neural Efficiency and Attentional Instability in Gaming Disorder: A Task-Based Occipital EEG and Machine Learning Study</t>
  </si>
  <si>
    <t>https://www.mdpi.com/2306-5354/13/2/152</t>
  </si>
  <si>
    <t>Bioengineering</t>
  </si>
  <si>
    <t>10.3390/bioengineering13020152</t>
  </si>
  <si>
    <t xml:space="preserve"> gaming disorder; task-based EEG; occipital cortex; machine learning; spectral slowing</t>
  </si>
  <si>
    <t>Alawee, Wissam H.; Al-Haddad, Luttfi A.; Basem, Ali</t>
  </si>
  <si>
    <t>Enhancing a task recognition model for real-time control of artificial limbs using data-driven boosting-based stacking on the MILimbEEG dataset</t>
  </si>
  <si>
    <t>https://link.springer.com/10.1007/s11042-026-21351-1</t>
  </si>
  <si>
    <t>Multimedia Tools and Applications</t>
  </si>
  <si>
    <t>10.1007/s11042-026-21351-1</t>
  </si>
  <si>
    <t>biomedical engineering artificial intelligence artificial limbs relieff task recognition profiles luttfi a</t>
  </si>
  <si>
    <t>Fathur Rahman, Imam; Melinda, Melinda; Yunidar, Yunidar; Basir, Nurlida; Rafiki, Aufa</t>
  </si>
  <si>
    <t>MEWT-Enhanced EEGNet for ASD EEG Classification: Performance Evaluation with k-Fold Cross-Validation</t>
  </si>
  <si>
    <t>https://ijeeemi.org/index.php/ijeeemi/article/view/313</t>
  </si>
  <si>
    <t>Indonesian Journal of Electronics, Electromedical Engineering, and Medical Informatics</t>
  </si>
  <si>
    <t>10.35882/ijeeemi.v8i1.313</t>
  </si>
  <si>
    <t xml:space="preserve"> Autism spectrum disorder Electroencephalography Multivariate Empirical Wavelet Transform EEGNet Cross-validation</t>
  </si>
  <si>
    <t>Zhang, Hexiang; Wu, Jiaoyi; Zou, Rui; Fan, Chengliang; Zhang, Zutao; Pan, Yajia; Luo, Dabing</t>
  </si>
  <si>
    <t>AI-Enabled Sensing Wristband for Student Behavior Detection</t>
  </si>
  <si>
    <t>https://pubs.acs.org/doi/10.1021/acsami.5c19985</t>
  </si>
  <si>
    <t>ACS Applied Materials &amp;amp; Interfaces</t>
  </si>
  <si>
    <t>10.1021/acsami.5c19985</t>
  </si>
  <si>
    <t>what are keywords article keywords are supplied by the authors and highlight key terms and topics of the paper</t>
  </si>
  <si>
    <t>Fauzi, Ahmad; Ohnishi, Ayumi; Terada, Tsutomu; Tsukamoto, Masahiko</t>
  </si>
  <si>
    <t>Evaluation of Wearable Sensors for Mental Fatigue Level Estimation under Physical Fatigue</t>
  </si>
  <si>
    <t>https://ieeexplore.ieee.org/document/11316703/</t>
  </si>
  <si>
    <t>2025 10th International Conference on Intelligent Informatics and Biomedical Sciences (ICIIBMS)</t>
  </si>
  <si>
    <t>10.1109/ICIIBMS66230.2025.11316703</t>
  </si>
  <si>
    <t>Altoé, Rodrigo Oliveira; da Silva Braz, Gabriel; Furtado, Guilherme Rangel; Felipe Blanco-Diaz, Cristian; Guerrero-Mendez, Cristian David; Milanezi de Andrade, Rafhael</t>
  </si>
  <si>
    <t>Preliminary Investigation of Virtual Reality versus Non-Virtual Reality Visualization Impact on EEG-based Movement Identification for Future Prosthetic Control Applications</t>
  </si>
  <si>
    <t>https://ieeexplore.ieee.org/document/11338702/</t>
  </si>
  <si>
    <t>2025 IEEE International Conference on Advanced Robotics (ICAR)</t>
  </si>
  <si>
    <t>10.1109/ICAR65334.2025.11338702</t>
  </si>
  <si>
    <t>Katherine, undefined; Rulaningtyas, Riries; Chellappan, Kalaivani</t>
  </si>
  <si>
    <t>EMG-Spectrogram-Empowered CNN Stroke-Classifier Model Development</t>
  </si>
  <si>
    <t>https://www.mdpi.com/2075-1729/16/1/114</t>
  </si>
  <si>
    <t>Life</t>
  </si>
  <si>
    <t>10.3390/life16010114</t>
  </si>
  <si>
    <t xml:space="preserve">  EMG; deep learning; spectrogram; stroke classification; CNN</t>
  </si>
  <si>
    <t>Glazebrook, AJ; Shakespeare-Finch, Jane; Andrew, Brooke; van der Meer, Johan</t>
  </si>
  <si>
    <t>Enhancing Posttraumatic Growth Using EEG Neurofeedback: Feasibility Case Studies with Healthy Trauma-Exposed Adults</t>
  </si>
  <si>
    <t>https://www.tandfonline.com/doi/full/10.1080/15325024.2025.2585079</t>
  </si>
  <si>
    <t>Journal of Loss and Trauma</t>
  </si>
  <si>
    <t>10.1080/15325024.2025.2585079</t>
  </si>
  <si>
    <t>alpha transformation intervention neural flexibility posttraumatic stress disorder (ptsd) resilience acknowledgements the authors are grateful to dr trevor brown for providing helpful comment during the editing phase of this manuscript and the australian government research training program for providing a merit-based stipend scholarship to the lead author</t>
  </si>
  <si>
    <t>Arnesano, Marco; Arpaia, Pasquale; Balatti, Simone; Cosoli, Gloria; Luca, Matteo De; Gargiulo, Ludovica; Moccaldi, Nicola; Pollastro, Andrea; Zanto, Theodore; Forenza, Antonio</t>
  </si>
  <si>
    <t>Development of a Measurement Procedure for Emotional States Detection Based on Single-Channel Ear-EEG: A Proof-of-Concept Study</t>
  </si>
  <si>
    <t>https://www.mdpi.com/1424-8220/26/2/385</t>
  </si>
  <si>
    <t>10.3390/s26020385</t>
  </si>
  <si>
    <t>Ramadhan, Irfan Wahyu; Adinandra, Sisdarmanto</t>
  </si>
  <si>
    <t>Optimization of Electromyography (EMG) Signal Parameters for Assistive Device Control Using a Convolutional Neural Network (CNN)</t>
  </si>
  <si>
    <t>https://cst.kipmi.or.id/journal/article/view/1758</t>
  </si>
  <si>
    <t>Communications in Science and Technology</t>
  </si>
  <si>
    <t>10.21924/cst.10.2.2025.1758</t>
  </si>
  <si>
    <t>assistive device control, deep learning, facial emg, neural networks, hyperparameters main article content irfan wahyu ramadhan department of electrical engineering, islamic university of indonesia, yogyakarta 55584, indonesia sisdarmanto adinandra department of electrical engineering, islamic university of indonesia, yogyakarta 55584, indonesia abstract facial electromyography (emg) signals offer a promising modality for intuitive human-machine interfaces (hmis)</t>
  </si>
  <si>
    <t>Primartha, Rifkie; Adji, Teguh Bharata; Setiawan, Noor Akhmad</t>
  </si>
  <si>
    <t>Active-Reflective Learning Style Detection Using EEG  and Abrupt Change Detection</t>
  </si>
  <si>
    <t>https://cst.kipmi.or.id/journal/article/view/1737</t>
  </si>
  <si>
    <t>10.21924/cst.10.2.2025.1737</t>
  </si>
  <si>
    <t>learning-style detection, eeg features, cusum, feature extraction, felder–silverman learning-style main article content rifkie primartha department of electrical and information engineering, universitas gadjah mada, yogyakarta 55281, indonesia; department of informatics, universitas sriwijaya, palembang 30662, indonesia teguh bharata adji department of electrical and information engineering, universitas gadjah mada, yogyakarta 55281, indonesia noor akhmad setiawan department of electrical and information engineering, universitas gadjah mada, yogyakarta 55281, indonesia abstract recognizing the varying learning styles of students is vital to creating customized educational approaches and maximizing academic success</t>
  </si>
  <si>
    <t>Gnonhoue, George; Tabiai, Ilyass; Voix, Jérémie; David, Éric</t>
  </si>
  <si>
    <t>Electrical and thermo-mechanical properties of styrene-ethylene-butylene-styrene/carbon nanotube and styrene-ethylene-butylene-styrene/carbon black multipin electrodes for electroencephalography</t>
  </si>
  <si>
    <t>https://linkinghub.elsevier.com/retrieve/pii/S092442472501252X</t>
  </si>
  <si>
    <t>Sensors and Actuators A: Physical</t>
  </si>
  <si>
    <t>10.1016/j.sna.2025.117446</t>
  </si>
  <si>
    <t>flexible eeg electrodes electrical conductivity contact impedance signal quality multipin electrodes wearable neurotechnology recommended articles data availability the data that has been used is confidential</t>
  </si>
  <si>
    <t>Rada, Juliana Moreno; Saldarriaga, Luisa María Zapata; Garcia‐Cifuentes, Elkin; Niño, David Fernando Aguillón; Ramírez, María José Hidalgo; Guerrero, Alejandro; Gómez, John Fredy Ochoa</t>
  </si>
  <si>
    <t>Quantitative EEG obtained from Dual‐Task paradigms for the study of preclinical populations at risk of Alzheimer Disease</t>
  </si>
  <si>
    <t>https://alz-journals.onlinelibrary.wiley.com/doi/10.1002/alz70863_110642</t>
  </si>
  <si>
    <t>Alzheimer's &amp;amp; Dementia</t>
  </si>
  <si>
    <t>10.1002/alz70863_110642</t>
  </si>
  <si>
    <t>Jain, Darshan; Pal, Amitangshu</t>
  </si>
  <si>
    <t>Silent Speech Recognition using Electromyography Signals</t>
  </si>
  <si>
    <t>https://ieeexplore.ieee.org/document/11284651/</t>
  </si>
  <si>
    <t>2025 IEEE 6th International Symposium on the Internet of Sounds (IS2)</t>
  </si>
  <si>
    <t>10.1109/IS264627.2025.11284651</t>
  </si>
  <si>
    <t>Praseeda, undefined; Srinivasa, Srinath</t>
  </si>
  <si>
    <t>Conflicting competencies and their individual variability</t>
  </si>
  <si>
    <t>https://linkinghub.elsevier.com/retrieve/pii/S2590291125010575</t>
  </si>
  <si>
    <t>Social Sciences &amp;amp; Humanities Open</t>
  </si>
  <si>
    <t>10.1016/j.ssaho.2025.102326</t>
  </si>
  <si>
    <t>teaching</t>
  </si>
  <si>
    <t>Sadhu, Shehjar; Bhagat, Nishtha; Castillo, Elijah; Weyandt, Lisa; Mankodiya, Kunal; Solanki, Dhaval</t>
  </si>
  <si>
    <t>Is wearable data reliable for monitoring behavior?  Design of a wearable-based IoMT puzzle game for remote behavior monitoring</t>
  </si>
  <si>
    <t>https://dl.acm.org/doi/10.1145/3770501.3770523</t>
  </si>
  <si>
    <t>Proceedings of the 15th International Conference on the Internet of Things</t>
  </si>
  <si>
    <t>10.1145/3770501.3770523</t>
  </si>
  <si>
    <t>Flexible Dry Electrodes Based on Styrene‐Ethylene‐Butylene‐Styrene/Carbon Black and Ethylene‐Vinyl Acetate/Carbon Black for Electroencephalography: Electrical, Thermal and Mechanical Properties</t>
  </si>
  <si>
    <t>https://onlinelibrary.wiley.com/doi/10.1002/app.70163</t>
  </si>
  <si>
    <t>Journal of Applied Polymer Science</t>
  </si>
  <si>
    <t>10.1002/app.70163</t>
  </si>
  <si>
    <t>Cabral, Fernando Bermudes; Mehrpour, Sheida; de Souza, Fernanda Vaz; Lima, Jessica Paola Souza; Gonzalez-Cely, Aura Ximena; Bastos-Filho, Teodiano Freire</t>
  </si>
  <si>
    <t>tDCS may enhance post-stroke neuroplasticity via real-time motor imagery BCI</t>
  </si>
  <si>
    <t>https://link.springer.com/10.1007/s42600-025-00446-y</t>
  </si>
  <si>
    <t>Research on Biomedical Engineering</t>
  </si>
  <si>
    <t>10.1007/s42600-025-00446-y</t>
  </si>
  <si>
    <t>motor imagery brain computer interface transcranial direct current stimulation functional electrical stimulation stroke neuroplasticity profiles jessica paola souza lima view author profile aura ximena gonzalez</t>
  </si>
  <si>
    <t>Zárate-Ruiz, Ángel del Rosario; Arias-Montiel, Manuel; Millán-Hernández, Christian Eduardo</t>
  </si>
  <si>
    <t>A Brain–Computer Interface for Control of a Virtual Prosthetic Hand</t>
  </si>
  <si>
    <t>https://www.mdpi.com/2079-3197/13/12/287</t>
  </si>
  <si>
    <t>Computation</t>
  </si>
  <si>
    <t>10.3390/computation13120287</t>
  </si>
  <si>
    <t>Xiong, Haolin and Fu, Tianwen and Prasad, Pratusha and Cai, Yunxuan and Chen, Haiwei and Teng, Wenbin and Xiao, Hanyuan and Zhao, Yajie</t>
  </si>
  <si>
    <t>Mind-to-Face: Neural-Driven Photorealistic Avatar Synthesis via EEG Decoding</t>
  </si>
  <si>
    <t>https://arxiv.org/abs/2512.04313</t>
  </si>
  <si>
    <t>10.48550/arXiv.2512.04313</t>
  </si>
  <si>
    <t>Gupta, Kurusetti Vinay; Kumar Reddy Bollu, Tharun; Behera, Laxmidhar; Ika, Krishna; Pachori, Ram Bilas</t>
  </si>
  <si>
    <t>MFG-RNN: A Multi-Feedback Gated Recurrent Neural Network with HJB-Based Weight Update for EEG-Based Concealed Information Detection</t>
  </si>
  <si>
    <t>https://linkinghub.elsevier.com/retrieve/pii/S105120042500822X</t>
  </si>
  <si>
    <t>Digital Signal Processing</t>
  </si>
  <si>
    <t>10.1016/j.dsp.2025.105806</t>
  </si>
  <si>
    <t>ThinkPulse, Ultracortex headset</t>
  </si>
  <si>
    <t>Gnonhoue, George; David, Éric; Voix, Jérémie; Tabiai, Ilyass</t>
  </si>
  <si>
    <t>Hybrid Flexible Dry Electrodes for Electroencephalography: Electrical and Thermo‐Mechanical Properties</t>
  </si>
  <si>
    <t>https://onlinelibrary.wiley.com/doi/10.1002/app.70099</t>
  </si>
  <si>
    <t>10.1002/app.70099</t>
  </si>
  <si>
    <t xml:space="preserve">  applications | dielectric properties | mechanical properties | sensors and actuators | thermogravimetric analysis (TGA)</t>
  </si>
  <si>
    <t>Palanichamy, Chandresh; Thirumoorthi, Subash Palaniappan; Lakshminarayanan, Kishor; Madathil, Deepa; Rahman, Mohammad Habibur</t>
  </si>
  <si>
    <t>Multimodal brain-computer interface for robotic control: integration of real-time gaze tracking and EEG-based motor imagery</t>
  </si>
  <si>
    <t>https://link.springer.com/10.1007/s11517-025-03489-6</t>
  </si>
  <si>
    <t>Medical &amp;amp; Biological Engineering &amp;amp; Computing</t>
  </si>
  <si>
    <t>10.1007/s11517-025-03489-6</t>
  </si>
  <si>
    <t>brain computer interface, Brain computer interface (BCI), Electroencephalogram (EEG), Motor imagery (MI), Real time gaze tracking, Unity</t>
  </si>
  <si>
    <t>Cyton Board, OpenBCI Hardware</t>
  </si>
  <si>
    <t>undefined, undefined; Zhuravlev, D.V.; Golubinsky, A.N.; undefined, undefined; Letov, N.A.; undefined, undefined</t>
  </si>
  <si>
    <t>Development of active resistive-capacitive electrodes and study of circuit engineering methods for minimizing electrode noise in the “Open BCI” EEG signal recording system</t>
  </si>
  <si>
    <t>http://jre.cplire.ru/jre/nov25/33/abstract_e.html</t>
  </si>
  <si>
    <t>Journal of Radio Electronics</t>
  </si>
  <si>
    <t>10.30898/1684-1719.2025.11.33</t>
  </si>
  <si>
    <t>Ortiz-Espinoza, Alexandro; Cebral-Loureda, Manuel; Hernandez-Morales, José; Torres-Huitzil, César; Ramírez-Moreno, Mauricio A.</t>
  </si>
  <si>
    <t>Real-time generative AI experience of the Vanitas painting</t>
  </si>
  <si>
    <t>https://www.tandfonline.com/doi/full/10.1080/23311983.2025.2591387</t>
  </si>
  <si>
    <t>Cogent Arts &amp;amp; Humanities</t>
  </si>
  <si>
    <t>10.1080/23311983.2025.2591387</t>
  </si>
  <si>
    <t>neurohumanities eeg biometrics computer vision emotion recognition human-centred technologies subjects: communication studies art and visual culture filmmaking and postproduction media communication photography visual arts media and film studies critical theory film philosohy 1</t>
  </si>
  <si>
    <t>Chen, Yinghua; Tan, Ting; Yan, Zhimiao</t>
  </si>
  <si>
    <t>General-purpose mechanical computing enabled by origami circuit reconfiguration with robotic addressing and activation</t>
  </si>
  <si>
    <t>https://www.nature.com/articles/s41467-025-65464-x</t>
  </si>
  <si>
    <t>Nature Communications</t>
  </si>
  <si>
    <t>10.1038/s41467-025-65464-x</t>
  </si>
  <si>
    <t>Tairab, Alaeldin M.; Zhuo, Junchao; Liu, Weiqun; Bisengimana, Emmanuel; Mugheri, Shoukat Ali; Aslam, Touqeer; Hao, Daning</t>
  </si>
  <si>
    <t>A hybrid galloping energy harvester for unmanned surface vehicles with a double-magnet mechanism</t>
  </si>
  <si>
    <t>https://linkinghub.elsevier.com/retrieve/pii/S0960148125024735</t>
  </si>
  <si>
    <t>Renewable Energy</t>
  </si>
  <si>
    <t>10.1016/j.renene.2025.124809</t>
  </si>
  <si>
    <t>Joodaki, Mahyar; Rodgers, Griffin; Hopf, Alois; Koller, Mathias R.; Guzman, Raphael; Santarnecchi, Emiliano; Vögerl, Johannes S.; Ferchow, Julian; Ruffner, Annina; Funken, Marc; Meboldt, Mirko; Osmani, Bekim</t>
  </si>
  <si>
    <t>A patient-specific, 3D printed neurostimulator enabling focal transcranial electrical stimulation and EEG at home</t>
  </si>
  <si>
    <t>https://jneuroengrehab.biomedcentral.com/articles/10.1186/s12984-025-01769-8</t>
  </si>
  <si>
    <t>Journal of NeuroEngineering and Rehabilitation</t>
  </si>
  <si>
    <t>10.1186/s12984-025-01769-8</t>
  </si>
  <si>
    <t>Lin, Sheng-Kai; Lee, Jui-Hua; Tsai, Hao-Sin; Chen, Yen-Chun; Zhang, Ming-Xiang; Kuo, Wen-Cheng; Yang, Yao-Joe</t>
  </si>
  <si>
    <t>A SILENT SPEECH INTERFACE WITH MACHINE LEARNING RECOGNITION MODEL USING MICRONEEDLE ARRAY ELECTRODES AND POLYMER-BASED STRAIN SENSORS</t>
  </si>
  <si>
    <t>https://linkinghub.elsevier.com/retrieve/pii/S2666053925001249</t>
  </si>
  <si>
    <t>Sensors and Actuators Reports</t>
  </si>
  <si>
    <t>10.1016/j.snr.2025.100407</t>
  </si>
  <si>
    <t>silent speech interface microneedle array polymer</t>
  </si>
  <si>
    <t>Blanco-Díaz, Cristian Felipe; González-Cely, Aura Ximena; Guerrero-Mendez, Cristian David; Villa-Parra, Ana Cecilia; Bastos-Filho, Teodiano</t>
  </si>
  <si>
    <t>Enhancing cortical rhythms through robotic glove-assisted motor imagery training</t>
  </si>
  <si>
    <t>https://revistas.utb.edu.co/tesea/article/view/580</t>
  </si>
  <si>
    <t>Transactions on Energy Systems and Engineering Applications</t>
  </si>
  <si>
    <t>10.32397/tesea.vol6.n2.580</t>
  </si>
  <si>
    <t>eeg, hand motor imagery, robotic glove, upper-limb rehabilitation, action observation abstract improving motor imagery (mi) results in amplified event-related desynchronization/synchoronization (erd/ers), which is crucial for mi-based brain-computer interface (bcis) and neuromotor rehabilitation</t>
  </si>
  <si>
    <t>Abdallah, Ismail Ben; Bouteraa, Yassine; Alotaibi, Ahmed</t>
  </si>
  <si>
    <t>A hybrid EMG–EEG interface for robust intention detection and fatigue-adaptive control of an elbow rehabilitation robot</t>
  </si>
  <si>
    <t>https://www.nature.com/articles/s41598-025-24831-w</t>
  </si>
  <si>
    <t>10.1038/s41598-025-24831-w</t>
  </si>
  <si>
    <t>upper</t>
  </si>
  <si>
    <t>Bhaskara, Sreenivas; Shabari Girishan, K. V.; Murugaiyan, Saravanan; Dwivedi, Anand Arun; Krishnakumaran, R.; Pandya, Hardik Jeetendra</t>
  </si>
  <si>
    <t>An L-shaped flexible neural implant for chronic ECoG signal acquisition in M2 region of control and Parkinsonian rat models</t>
  </si>
  <si>
    <t>https://www.nature.com/articles/s41598-025-23049-0</t>
  </si>
  <si>
    <t>10.1038/s41598-025-23049-0</t>
  </si>
  <si>
    <t>flexible neural implant chronic signal acquisition parkinsonian rat model ecog signal secondary motor area bilateral craniotomy download pdf advertisement explore content research articles news</t>
  </si>
  <si>
    <t>EEG Electrode Cap Kit</t>
  </si>
  <si>
    <t>Aulenkamp, Jana Luisa; Nedergaard, Rasmus; Niazi, Imran Khan; Liao, Donghua; Kuhlmann, Louise; Rojas, Fredy; Rasool, Kamran; Phillips, Anna; Yadav, Dhiraj; De-Madaria, Enrique; Hegyi, Peter; Garg, Pramod; Olesen, Søren; Jagannath, Soumya; Hagn-Meincke, Rasmus; Hajnády, Zoltán; Brock, Christina; Drewes, Asbjørn</t>
  </si>
  <si>
    <t>Individual Autonomic Profiles Influence Brain–Heart Connectivity in Tonic Pain</t>
  </si>
  <si>
    <t>https://www.dovepress.com/individual-autonomic-profiles-influence-brainheart-connectivity-in-ton-peer-reviewed-fulltext-article-JPR</t>
  </si>
  <si>
    <t>Journal of Pain Research</t>
  </si>
  <si>
    <t>10.2147/JPR.S526855</t>
  </si>
  <si>
    <t>heart rate variability, electrocardiogram, electroencephalogram, interoception introduction pain poses a substantial burden to patients and elicits distinct physiological changes, including alterations in cortical activity and autonomic nervous system regulation</t>
  </si>
  <si>
    <t>Campelo, T.; Aime, M.; Rusterholz, T.; Gutierrez Herrera, C.; Adamantidis, A.</t>
  </si>
  <si>
    <t>REM sleep reduces subthreshold depolarization in cortical pyramidal neurons in a region-specific manner</t>
  </si>
  <si>
    <t>https://linkinghub.elsevier.com/retrieve/pii/S221112472501277X</t>
  </si>
  <si>
    <t>Cell Reports</t>
  </si>
  <si>
    <t>10.1016/j.celrep.2025.116506</t>
  </si>
  <si>
    <t xml:space="preserve"> sleep, excitability, subthreshold membrane potentials, synaptic mechanisms, synaptic plasticityin vivo patch clamp recording</t>
  </si>
  <si>
    <t>Done, Christian; Palmer, Jaden; Oakey, Kayson; Gupta, Atulan; Thiros, Constantine; Franklin, Janet; Schoen, Marco P.</t>
  </si>
  <si>
    <t>Reinforcement Learning-Driven Prosthetic Hand Actuation in a Virtual Environment Using Unity ML-Agents</t>
  </si>
  <si>
    <t>https://www.mdpi.com/2813-2084/4/4/53</t>
  </si>
  <si>
    <t>Virtual Worlds</t>
  </si>
  <si>
    <t>10.3390/virtualworlds4040053</t>
  </si>
  <si>
    <t xml:space="preserve"> augmented reality; mixed reality; reinforcement learning; Unity ML-Agents; prosthetic actuation</t>
  </si>
  <si>
    <t>LaRocco, John; Tahmina, Qudsia; Zia, Saideh; Merchant, Shahil; Forrester, Jason; He, Eason; Lin, Ye</t>
  </si>
  <si>
    <t>Decoding Temporally Encoded 3D Objects from Low-Cost Wearable Electroencephalography</t>
  </si>
  <si>
    <t>https://www.mdpi.com/2227-7080/13/11/501</t>
  </si>
  <si>
    <t>Technologies</t>
  </si>
  <si>
    <t>10.3390/technologies13110501</t>
  </si>
  <si>
    <t xml:space="preserve"> EEG; electroencephalography; image reconstruction; generative AI; 3D printing</t>
  </si>
  <si>
    <t>Song, Kunpeng; Liu, Yamei; Xu, Peng</t>
  </si>
  <si>
    <t>Acute Effects of Portable Dry‐EEG Neurofeedback on Classical Chinese Learning: A Three‐Arm Repeated‐Measures Study</t>
  </si>
  <si>
    <t>https://onlinelibrary.wiley.com/doi/10.1002/brb3.70977</t>
  </si>
  <si>
    <t>Brain and Behavior</t>
  </si>
  <si>
    <t>10.1002/brb3.70977</t>
  </si>
  <si>
    <t>classical Chinese learning | dry EEG | neurofeedback</t>
  </si>
  <si>
    <t>Bastos-Filho, Teodiano; González-Cely, Aura Ximena; Mehrpour, Sheida; Schreider, Sheila; Souza, Fernanda; Cabral, Fernando; Villa-Parra, Ana Cecilia</t>
  </si>
  <si>
    <t>BCI in Stroke Rehabilitation with Robotic Devices, tACS and FES: A Case Study</t>
  </si>
  <si>
    <t>https://jbeb.avestia.com/2025/002.html</t>
  </si>
  <si>
    <t>Journal of Biomedical Engineering and Biosciences</t>
  </si>
  <si>
    <t>10.11159/jbeb.2025.002</t>
  </si>
  <si>
    <t>brain-computer interface, functional electrical stimulation, neurorehabilitation, robotic devices, stroke, transcranial alternating current stimulation</t>
  </si>
  <si>
    <t>Xu, Wei; Shi, Haopeng; Gu, Yuzhe; Ruan, Tingwen; Zhang, Yinghai; He, Wei; Li, Yang; He, Jingyu; Zheng, Shiyu; Wang, Yuxin; Chen, Qiumeng; Chen, Qingyun; Ren, Qingying; Xie, Yannan; Li, Wei</t>
  </si>
  <si>
    <t>A multifunctional wearable hydrogel-based charge-trapping TENG enabling electrophysiological signal monitoring and high-efficiency energy harvesting with enhanced stability</t>
  </si>
  <si>
    <t>https://xlink.rsc.org/?DOI=D5NR03106K</t>
  </si>
  <si>
    <t>Nanoscale</t>
  </si>
  <si>
    <t>10.1039/D5NR03106K</t>
  </si>
  <si>
    <t>Zhu, Howe Yuan; Hieu, Nguyen Quang; Hoang, Dinh Thai; Nguyen, Diep N.; Lin, Chin-Teng</t>
  </si>
  <si>
    <t>A Human-Centric Metaverse Enabled by Brain-Computer Interface: A Survey</t>
  </si>
  <si>
    <t>https://ieeexplore.ieee.org/document/10496440/</t>
  </si>
  <si>
    <t>IEEE Communications Surveys &amp;amp; Tutorials</t>
  </si>
  <si>
    <t>10.1109/COMST.2024.3387124</t>
  </si>
  <si>
    <t>Metaverse;Sensors;Surveys;Robot sensing systems;Avatars;Temperature sensors;Tutorials;Metaverse;brain-computer interface;human digital twin;non-invasive BCI;computer vision;AI;IoT;sensors;VR;machine learning</t>
  </si>
  <si>
    <t>Bernal, Guillermo; Jung, Hahrin; Yassı, İsmail Emir; Hidalgo, Nelson; Alemu, Yodahe; Barnes-Diana, Tyler; Maes, Pattie</t>
  </si>
  <si>
    <t>Unraveling the Dynamics of Mental and Visuospatial Workload in Virtual Reality Environments</t>
  </si>
  <si>
    <t>https://www.mdpi.com/2073-431X/13/10/246</t>
  </si>
  <si>
    <t>Computers</t>
  </si>
  <si>
    <t>10.3390/computers13100246</t>
  </si>
  <si>
    <t>mental workload, visuospatial processing, virtual reality, EEG, heart rate variability</t>
  </si>
  <si>
    <t>Gupta, Kunal; Chang, Zhuang; Gunasekaran, Tamil Selvan; Zhang, Yuewei; Nunnerley, Joanne; King, Marcus; Murphy, Peta; Pitts, Philip; Russomanno, Conor; Billinghurst, Mark</t>
  </si>
  <si>
    <t>Healing Horizons: Adaptive VR for Traumatic Brain Injury Rehabilitation</t>
  </si>
  <si>
    <t>https://dl.acm.org/doi/10.1145/3610549.3614600</t>
  </si>
  <si>
    <t>SIGGRAPH Asia 2023 XR</t>
  </si>
  <si>
    <t>10.1145/3610549.3614600</t>
  </si>
  <si>
    <t>Gupta, Kunal; Zhang, Yuewei; Gunasekaran, Tamil Selvan; Sasikumar, Prasanth; Krishna, Nanditha; Pits, Philip; Russomanno, Conor; Billinghurst, Mark</t>
  </si>
  <si>
    <t>SensoryScape: Context-Aware Empathic VR Photography</t>
  </si>
  <si>
    <t>https://dl.acm.org/doi/10.1145/3610549.3614596</t>
  </si>
  <si>
    <t>10.1145/3610549.3614596</t>
  </si>
  <si>
    <t>Gupta, Kunal; Zhang, Yuewei; Gunasekaran, Tamil Selvan; Sasikumar, Prasanth; Krishna, Nanditha; Pai, Yun Suen; Billinghurst, Mark</t>
  </si>
  <si>
    <t>VRdoGraphy: An Empathic VR Photography Experience</t>
  </si>
  <si>
    <t>https://ieeexplore.ieee.org/document/10108725/</t>
  </si>
  <si>
    <t>2023 IEEE Conference on Virtual Reality and 3D User Interfaces Abstracts and Workshops (VRW)</t>
  </si>
  <si>
    <t>10.1109/VRW58643.2023.00352</t>
  </si>
  <si>
    <t>photography, three-dimensional displays, conferences, virtual reality, resists, user interfaces, electromyography</t>
  </si>
  <si>
    <t>Bernal, Guillermo; Hidalgo, Nelson; Russomanno, Conor; Maes, Pattie</t>
  </si>
  <si>
    <t>Galea: A physiological sensing system for behavioral research in Virtual Environments</t>
  </si>
  <si>
    <t>https://ieeexplore.ieee.org/document/9756768/</t>
  </si>
  <si>
    <t>2022 IEEE Conference on Virtual Reality and 3D User Interfaces (VR)</t>
  </si>
  <si>
    <t>10.1109/VR51125.2022.00024</t>
  </si>
  <si>
    <t>heart, visualization, virtual environments, sensor phenomena and characterization, physiology, skin, real-time systems</t>
  </si>
  <si>
    <t>Cyton Board, OpenBCI GUI</t>
  </si>
  <si>
    <t>Viriyopase, Atthaphon; Narajeenron, Khuansiri</t>
  </si>
  <si>
    <t>Correlation Between Electroencephalogram Brain-to-Brain Synchronization and Team Strategies and Tools to Enhance Performance and Patient Safety Scores During Online Hexad Virtual Simulation-Based Interprofessional Education: Cross-Sectional Correlational Study</t>
  </si>
  <si>
    <t>https://mededu.jmir.org/2025/1/e69725</t>
  </si>
  <si>
    <t>JMIR Medical Education</t>
  </si>
  <si>
    <t>10.2196/69725</t>
  </si>
  <si>
    <t>brain</t>
  </si>
  <si>
    <t>Wu, Xiaolong; Long, Dingfu; Yang, Jianhong</t>
  </si>
  <si>
    <t>Generative motor imagery dynamic networks: EEG-controlled grasping via individualized model training</t>
  </si>
  <si>
    <t>https://link.springer.com/10.1007/s11571-025-10360-9</t>
  </si>
  <si>
    <t>Cognitive Neurodynamics</t>
  </si>
  <si>
    <t>10.1007/s11571-025-10360-9</t>
  </si>
  <si>
    <t>Motor imagery, Morphology pattern spectrum, Phase-amplitude coupling, Granger causality, Generative adversarial network</t>
  </si>
  <si>
    <t>Alif Haiqal Khairul Shah, undefined; A Rahman, Khairul Azlan; Goh Thing Thing, undefined; Sin Jin Tan, undefined; Christian Ritz, undefined; Fuad, Norfaiza</t>
  </si>
  <si>
    <t>Investigation of Electroencephalographic (EEG) Brainwave Signal on Mental Stress through Psychomotor Activities</t>
  </si>
  <si>
    <t>https://semarakilmu.com.my/journals/index.php/applied_sciences_eng_tech/article/view/13544</t>
  </si>
  <si>
    <t>Journal of Advanced Research in Applied Sciences and Engineering Technology</t>
  </si>
  <si>
    <t>10.37934/araset.62.2.245258</t>
  </si>
  <si>
    <t>eeg technology, stress response, brainwave alterations, real-time monitoring system abstract mental well-being plays a crucial aspect in human life alongside physical health</t>
  </si>
  <si>
    <t>EmotiBit</t>
  </si>
  <si>
    <t>Bello, Khalid; Aqlan, Faisal</t>
  </si>
  <si>
    <t>Recurrence Quantification Analysis of Physiological Responses in Mixed Reality Environments: Exploring the Impact of Cognitive Workload</t>
  </si>
  <si>
    <t>https://journals.sagepub.com/doi/10.1177/10711813251358251</t>
  </si>
  <si>
    <t>Proceedings of the Human Factors and Ergonomics Society Annual Meeting</t>
  </si>
  <si>
    <t>10.1177/10711813251358251</t>
  </si>
  <si>
    <t>cognitive workload heart rate variability physiological response mixed reality rights and permissions copyright</t>
  </si>
  <si>
    <t>Kucukselbes, Hezzal; Sayilgan, Ebru</t>
  </si>
  <si>
    <t>Real-Time EEG Decoding of Motor Imagery via Nonlinear Dimensionality Reduction (Manifold Learning) and Shallow Classifiers</t>
  </si>
  <si>
    <t>https://www.mdpi.com/2079-6374/15/10/692</t>
  </si>
  <si>
    <t>Biosensors</t>
  </si>
  <si>
    <t>10.3390/bios15100692</t>
  </si>
  <si>
    <t xml:space="preserve"> SCI; EEG; BCI; rehabilitation systems; manifold learning</t>
  </si>
  <si>
    <t>Reis Carneiro, Manuel; Lopes, Telmo; Silva, André F.; Majidi, Carmel; Tavakoli, Mahmoud</t>
  </si>
  <si>
    <t>Micropatterned Biphasic Printed Electrodes for High‐Fidelity on‐Skin Bioelectronics</t>
  </si>
  <si>
    <t>https://advanced.onlinelibrary.wiley.com/doi/10.1002/adfm.202505419</t>
  </si>
  <si>
    <t>Advanced Functional Materials</t>
  </si>
  <si>
    <t>10.1002/adfm.202505419</t>
  </si>
  <si>
    <t>Alamalhoda, MohammadAmin; Leesch, Friederike; Giovanetti, Francesca; Dunne, Eoghan; Pilloni, Giuseppina; Caffrey, Mark; O’Keeffe, Jack; Venturino, Alessandro; Ferretti, Maria Teresa</t>
  </si>
  <si>
    <t>Exploring neural entrainment and synchrony in response to repeated 60 Hz flickering white light in healthy volunteers</t>
  </si>
  <si>
    <t>https://dx.plos.org/10.1371/journal.pone.0332310</t>
  </si>
  <si>
    <t>PLOS One</t>
  </si>
  <si>
    <t>10.1371/journal.pone.0332310</t>
  </si>
  <si>
    <t>Ganglion board</t>
  </si>
  <si>
    <t>Dale, Yash; Anirvan, Nanduri Kowshik; Karjigi, Suhas S; H. S, Sameena</t>
  </si>
  <si>
    <t>A Novel Method for Brain Control Interface Wheelchair Implementation</t>
  </si>
  <si>
    <t>https://ieeexplore.ieee.org/document/11182424/</t>
  </si>
  <si>
    <t>2025 International Conference on Modern Sustainable Systems (CMSS)</t>
  </si>
  <si>
    <t>10.1109/CMSS66566.2025.11182424</t>
  </si>
  <si>
    <t xml:space="preserve"> Ganglia, Signal Processing, Brain Activity, Actuator, Signal Acquisition, Arduino, Motor Imagery, Adaptive Control Algorithm, Brain-computer Interface Technology, Wireless, Convolutional Neural Network, Support Vector Machine, Amyotrophic Lateral Sclerosis, Motor Control, Spinal Cord Injury, Long Short-term Memory, Assistive Technology, System Architecture, Machine Learning Classifiers, EEG Signals, EMG Signals, Bluetooth Low Energy, Signal Classification, Electrode Placement, Eye Blinks, Brain-computer Interface System, Facial Muscles, EEG Electrodes, Adaptive Threshold, Machine Learning</t>
  </si>
  <si>
    <t>OpenBCI GUI software</t>
  </si>
  <si>
    <t>Sayilgan, Ebru</t>
  </si>
  <si>
    <t>Interactive and Deep Learning-Powered EEG-BCI for Wrist Rehabilitation: A Game-based Prototype Study</t>
  </si>
  <si>
    <t>https://www.lidsen.com/journals/neurobiology/neurobiology-09-03-302</t>
  </si>
  <si>
    <t>OBM Neurobiology</t>
  </si>
  <si>
    <t>10.21926/obm.neurobiol.2503302</t>
  </si>
  <si>
    <t>eeg</t>
  </si>
  <si>
    <t>González, Pablo Villanueva; Cuevas, Cristobal Subiabre; Jeldez, Lino; Troncoso, Benjamin Torrealba; Guiñazú, María Flavia; Velásquez, Juan D.</t>
  </si>
  <si>
    <t>A gender-aware saliency prediction system for web interfaces using deep learning and eye-tracking data</t>
  </si>
  <si>
    <t>https://braininformatics.springeropen.com/articles/10.1186/s40708-025-00274-x</t>
  </si>
  <si>
    <t>Brain Informatics</t>
  </si>
  <si>
    <t>10.1186/s40708-025-00274-x</t>
  </si>
  <si>
    <t>eye tracking gaze behavior gender differences saliency prediction visual attention user segmentation web experience multimodal dataset download pdf advertisement support and contact jobs language editing for authors scientific editing for authors leave feedback terms and conditions privacy statement accessibility cookies follow springeropen springeropen twitter page springeropen facebook page by using this website, you agree to our terms and conditions , your us state privacy rights , privacy statement and cookies policy</t>
  </si>
  <si>
    <t>P S, Prof. Sharanya; Prithviraj, Prithviraj; Roopesh, Roopesh; Kotian, S Vaishnavi; Rao S, Shreesha</t>
  </si>
  <si>
    <t>Mindcare: A Mental Health Intervention System using Linguistic Intelligence</t>
  </si>
  <si>
    <t>https://ijarcce.com/wp-content/uploads/2024/05/IJARCCE.2024.13525.pdf</t>
  </si>
  <si>
    <t>IJARCCE</t>
  </si>
  <si>
    <t>10.17148/IJARCCE.2024.13525</t>
  </si>
  <si>
    <t>depression screening, EEG biomarkers, mobile health applications, artificial intelligence, digital therapeutics</t>
  </si>
  <si>
    <t>AL-Quraishi, Maged S.; Ahmed, Gamil; AbouOmar, Mahmoud S.; Ouerdane, Fethi; Eltayeb, Ahmed; Alyazidi, Nezar M.; Ali, Syed Saad Azhar</t>
  </si>
  <si>
    <t>A Brain–Machine Interface Framework for Motor Imagery Classification Using Functional Connectivity and Ensemble Learning: Toward Real-Time Applications in Healthcare and Industry</t>
  </si>
  <si>
    <t>https://link.springer.com/10.1007/s13369-025-10616-w</t>
  </si>
  <si>
    <t>Arabian Journal for Science and Engineering</t>
  </si>
  <si>
    <t>10.1007/s13369-025-10616-w</t>
  </si>
  <si>
    <t>Brain–machine interface, EEG, Motor imagery, Movements, Machine learning, Functional connectivity</t>
  </si>
  <si>
    <t>Evgeniya Anisimova, Sameer N.B. Alladin, Styliani Tsamaz, Edwin S. Dalmaijer</t>
  </si>
  <si>
    <t>A tutorial on electrogastrography using low-cost hardware and open-source software</t>
  </si>
  <si>
    <t>https://arxiv.org/abs/2509.17260</t>
  </si>
  <si>
    <t>10.48550/arXiv.2509.17260</t>
  </si>
  <si>
    <t>Suto, Jozsef; Kumar, Rahul Suresh</t>
  </si>
  <si>
    <t>EEG-Based Music Stimuli Classification Using Artificial Neural Network and the OpenBCI CytonDaisy System</t>
  </si>
  <si>
    <t>https://www.mdpi.com/2227-7080/13/9/426</t>
  </si>
  <si>
    <t>10.3390/technologies13090426</t>
  </si>
  <si>
    <t xml:space="preserve"> EEG; brain-computer interface; music classification; neural network</t>
  </si>
  <si>
    <t>Huang, Wei-Han; Chen, Jian-Yu; Lin, Chun-Chang; Chang, Po-Hsueh; Lin, Ru-Zheng; Chiueh, Herming; Huang, Wei-Chen</t>
  </si>
  <si>
    <t>A Portable Real-time Multi-channel Frontal EEG Acquisition System Integrated with an Ultra-thin Biocompliant Anti-oxidation Electrode Patch</t>
  </si>
  <si>
    <t>https://ieeexplore.ieee.org/document/11164920/</t>
  </si>
  <si>
    <t>10.1109/JSEN.2025.3607407</t>
  </si>
  <si>
    <t xml:space="preserve"> Portable System, Multichannel System, Portable EEG, Multi-channel EEG, Real-time EEG, EEG Acquisition System, Signal Acquisition System, EEG Recordings, EEG Signals, EEG Measures, Brain Activity, Dynamics of Brain Activity, Gamma Oscillations, Signal Quality, Conductive, High Conductivity, Stretchable Electrodes, Patch Electrodes, Commercial Electrodes, Donor Substrate, Adhesion Ability, Antioxidant Ability, Resistance Change, Teflon Tape, Bluetooth Low Energy, Low Power Consumption, Work Systems, Peeling Off, Relaxed State, ACS Reagent</t>
  </si>
  <si>
    <t>Sahoo, Shivani; Sumitra, S; BS, Manoj</t>
  </si>
  <si>
    <t>IIST BCI Dataset-14: Male and Female EEG Dataset for Odia Vowels and Consonants</t>
  </si>
  <si>
    <t>https://www.techrxiv.org/users/785192/articles/1326344-iist-bci-dataset-14-male-and-female-eeg-dataset-for-odia-vowels-and-consonants?commit=54933b9addbc8c9b008b54a467aafe1f50102385</t>
  </si>
  <si>
    <t>10.36227/techrxiv.175687390.02101648/v1</t>
  </si>
  <si>
    <t>Cyton+Daisy Board, OpenBCI GUI</t>
  </si>
  <si>
    <t>Dry EEG Comb Electrodes</t>
  </si>
  <si>
    <t>Hanafy, Mohamed A.; Yusufjonov, Saykhun; Sharafian Ardakani, Payman; Rayguru, Madan M.; Popa, Dan O.</t>
  </si>
  <si>
    <t>A Dual-Validation Framework for Temporal Robustness Assessment in Brain-Computer Interfaces for Motor Imagery</t>
  </si>
  <si>
    <t>https://www.preprints.org/manuscript/202509.0429/v1</t>
  </si>
  <si>
    <t>10.20944/preprints202509.0429.v1</t>
  </si>
  <si>
    <t>brain-computer interface; motor imagery; dual-validation framework; cross-session validation;
within-session validation; temporal robustness; machine learning; EEG classification; clinical translation;
performance degradation</t>
  </si>
  <si>
    <t>Choi, TaeHo; Ji, SeungYeul; Jun, HanJong</t>
  </si>
  <si>
    <t>Electroencephalogram-based analysis of attention in void and solid architectural spaces</t>
  </si>
  <si>
    <t>https://www.tandfonline.com/doi/full/10.1080/13467581.2025.2557018</t>
  </si>
  <si>
    <t>Journal of Asian Architecture and Building Engineering</t>
  </si>
  <si>
    <t>10.1080/13467581.2025.2557018</t>
  </si>
  <si>
    <t xml:space="preserve"> Electroencephalography, architectural space design, cognitive performance, learning environments</t>
  </si>
  <si>
    <t xml:space="preserve"> bioengineering, signal processing and analysis, brain computer interface, eeg signal, neurodegenerative diseases, odia alphabets</t>
  </si>
  <si>
    <t>Shao, Qijia; Chen, Junxiao; Leung, Ho Man Colman; Zhao, Meiqi; Xu, Ruoyu; Liu, Jiting; García, Lisa Maria DiSalvo; Jiang, Xiaofan; St-Onge, Marie-Pierre; Zhou, Xia</t>
  </si>
  <si>
    <t>My Pillow Knows My Sleep: Sleep Monitoring with Computational Fabrics in the Pillowcase</t>
  </si>
  <si>
    <t>https://dl.acm.org/doi/10.1145/3749550</t>
  </si>
  <si>
    <t>10.1145/3749550</t>
  </si>
  <si>
    <t>ECoG</t>
  </si>
  <si>
    <t>Purohit, Mahaveer P.; Yu, Brenda J.; Roy, Kanchan Sinha; Xiang, Yun; Ewbank, Sedona N.; Azadian, Matine M.; Hart, Alex R.; Muwanga, Gabriella P. B.; Martinez, Payton J.; Wang, Jeffrey B.; Taoube, Ali K.; Markarian, Eric; Macedo, Nicholas; Kwan, Audrey K.; Lopez, Diego Gomez; Airan, Raag D.</t>
  </si>
  <si>
    <t>Acoustically activatable liposomes as a translational nanotechnology for site-targeted drug delivery and noninvasive neuromodulation</t>
  </si>
  <si>
    <t>https://www.nature.com/articles/s41565-025-01990-5</t>
  </si>
  <si>
    <t>Nature Nanotechnology</t>
  </si>
  <si>
    <t>10.1038/s41565-025-01990-5</t>
  </si>
  <si>
    <t>rats ; animal studies ; ECoG ; nanotechnology ; drug</t>
  </si>
  <si>
    <t xml:space="preserve">Victoria Peterson, Valeria Spagnolo, Catalina M Galván, Nicolás Nieto, Rubén D Spies, Diego H Milone </t>
  </si>
  <si>
    <t>Towards subject-centered co-adaptive brain-computer interfaces based on backward optimal transport</t>
  </si>
  <si>
    <t>https://iopscience.iop.org/article/10.1088/1741-2552/addb7a</t>
  </si>
  <si>
    <t>10.1088/1741-2552/addb7a</t>
  </si>
  <si>
    <t>BCI skills; Optimal transport; co-adaptive BCI; domain adaptation; user-centered BCI</t>
  </si>
  <si>
    <t>Yekani, Milad; Abolghasemi, Mohammad-Mahdi; Rezghi Shirsavar, Shahriar; Bahramani, Amirreza</t>
  </si>
  <si>
    <t xml:space="preserve">An affordable solution for investigating zebra finch intracranial EEG signals V.3 </t>
  </si>
  <si>
    <t>https://www.protocols.io/view/an-affordable-solution-for-investigating-zebra-fin-dkiq4udw</t>
  </si>
  <si>
    <t>10.17504/protocols.io.q26g7y2w8gwz/v3</t>
  </si>
  <si>
    <t>implantable ; animal studies ; zebra finch ; EEG</t>
  </si>
  <si>
    <t>Castro-Moncada, Christian Armando; Pérez-Vidal, Alan Francisco; Ortiz-Torres, Gerardo; Sorcia-Vázquez, Felipe De Jesús; Rumbo-Morales, Jesse Yoe; Cervantes, José-Antonio; Hernández-Magaña, Carmen Elvira; Figueroa-Jiménez, María Dolores; Brizuela-Mendoza, Jorge Aurelio; Rodríguez-Cerda, Julio César</t>
  </si>
  <si>
    <t>Development and Analysis of an Exoskeleton for Upper Limb Elbow Joint Rehabilitation Using EEG Signals</t>
  </si>
  <si>
    <t>https://www.mdpi.com/2571-5577/8/5/126</t>
  </si>
  <si>
    <t>Applied System Innovation</t>
  </si>
  <si>
    <t>10.3390/asi8050126</t>
  </si>
  <si>
    <t>exoskeleton ; brain&amp;ndash;computer interface ; robot-assisted rehabilitation ; healthcare ; biomedical engineering ; eeg ; neurorehabilitation ; real-time control ; assistive technology 1</t>
  </si>
  <si>
    <t>Leng, Jun; Li, Pengcheng; Guo, Shuxiang; Chen, Weiyu; Li, Chunying</t>
  </si>
  <si>
    <t>Attention-Enhanced sEMG-EEG Fusion Network for Continuous Joint Angle Estimation in Home-Based Rehabilitation</t>
  </si>
  <si>
    <t>https://ieeexplore.ieee.org/document/11120699/</t>
  </si>
  <si>
    <t>2025 IEEE International Conference on Mechatronics and Automation (ICMA)</t>
  </si>
  <si>
    <t>10.1109/ICMA65362.2025.11120699</t>
  </si>
  <si>
    <t>joint angles, continuous estimation, angle estimation, home-based rehabilitation, continuous joint, joint angle estimation, continuous joint angle, convolutional network, convolutional neural network, upper limb, electromyography signals, gated recurrent unit, elbow joint, continuous motion, signal prediction, motion prediction, motor intention, complement signaling, sEMG signals, angle prediction, fully-connected layer, convolutional neural network model, upper limb rehabilitation, motor imagery, convolutional layers, bioelectric activity, convolutional features, angle regression, spatial features, temporal convolutional network</t>
  </si>
  <si>
    <t>Sayilgan, Ebru; Kucukselbes, Hezzal</t>
  </si>
  <si>
    <t>https://www.preprints.org/manuscript/202508.0873/v1</t>
  </si>
  <si>
    <t>10.20944/preprints202508.0873.v1</t>
  </si>
  <si>
    <t>eeg ; brain-computer interface (bci) ; manifold learning ; dimensionality reduction ; shallow classifiers ; t-sne subject: engineering - electrical and electronic engineering 1</t>
  </si>
  <si>
    <t>Wibawa, Adhi Dharma; Suryani, Siti Dwi; Pratasik, Stralen</t>
  </si>
  <si>
    <t>Classifying Electroencephalogram (EEG) Signals via Brain Activity Mapping to Distinguish Identified vs Unidentified Information</t>
  </si>
  <si>
    <t>https://journal.binus.ac.id/index.php/commit/article/view/12500</t>
  </si>
  <si>
    <t>CommIT (Communication and Information Technology) Journal</t>
  </si>
  <si>
    <t>10.21512/commit.v19i1.12500</t>
  </si>
  <si>
    <t>electroencephalogram (eeg) signals, brain activity, identified information, unidentified information abstract conventional lie detectors have often been questioned for their accuracy and reliability, which can lead to wrongful accusations</t>
  </si>
  <si>
    <t>Huang, Xingyue; Fan, Chengliang; Yang, Lin; Chen, Hongyu; Zong, Qianqian; Sun, Jiantong; Kong, Lingji; Xiao, Enzan; Zhang, Zutao</t>
  </si>
  <si>
    <t>An AI‐Enabled Cargo Ship Monitoring System Based on Ball‐Joint Tandem Array Triboelectric Nanogenerators</t>
  </si>
  <si>
    <t>https://advanced.onlinelibrary.wiley.com/doi/10.1002/adsu.202500727</t>
  </si>
  <si>
    <t>Advanced Sustainable Systems</t>
  </si>
  <si>
    <t>10.1002/adsu.202500727</t>
  </si>
  <si>
    <t>Roque, Thiago Rossi; Sun, Ruojia; Do, Yi Luen Ellen; Maldonado, Daniel Llamas; Leslie, Grace</t>
  </si>
  <si>
    <t>Real-Time Mobile EEG Hyperscanning: A Precise and Accessible Platform for Social Brain-Computer Interfaces</t>
  </si>
  <si>
    <t>https://www.techrxiv.org/users/951601/articles/1320935-real-time-mobile-eeg-hyperscanning-a-precise-and-accessible-platform-for-social-brain-computer-interfaces?commit=86389fb8b88f9869138971a263f45d8c4cc69a03</t>
  </si>
  <si>
    <t>10.36227/techrxiv.175459869.90598348/v1</t>
  </si>
  <si>
    <t>Aunchit, Sasithon; Angsuwatanakul, Thanate; Phairot, Ekkapon; Jinawan, Chulikon; Sirirattanapan, Boonrut; Thongyu, Ratree; Srimanee, Jarinya; Khamanuwong, Thapanee</t>
  </si>
  <si>
    <t>Alleviating Chronic Stress in University Students: An EEG Analysis of Binaural Beat Therapy</t>
  </si>
  <si>
    <t>https://ieeexplore.ieee.org/document/11113810/</t>
  </si>
  <si>
    <t>2025 17th Biomedical Engineering International Conference (BMEiCON)</t>
  </si>
  <si>
    <t xml:space="preserve">10.1109/BMEiCON66226.2025.11113810
</t>
  </si>
  <si>
    <t xml:space="preserve"> Chronic Stress, Binaural Beats, Mental Health, Stress Levels, Electroencephalography, Power Spectrum, Reduction In Score, Stress Scores, Auditory Stimulation, Brain Activity, Frequency Band, Neural Activity, Course Of Treatment, Emotion Regulation, Auditory Stimuli, Mean Power, Greater Complexity, Relaxed State, Sample Entropy, Musical Stimuli, Event-related Spectral Perturbation, Stress Scale-21, Alpha Band, Time-frequency Analysis, Beta Waves, Neural Synchrony, Alpha Rhythm, Conductive Gel</t>
  </si>
  <si>
    <t>Ganglion, OpenBCI Board, OpenBCI GUI</t>
  </si>
  <si>
    <t>Angthong, Sorawich; Angsuwatanakul, Thanate; Phairot, Ekkapon; Bunyasuwan, Meena; Khieukhajee, Jedsada; Khemanuwong, Thapanee</t>
  </si>
  <si>
    <t>Memory Training in Dementia: A VR-BCI Prototype with N-Back and Brainwave Analysis</t>
  </si>
  <si>
    <t>https://ieeexplore.ieee.org/document/11113736/</t>
  </si>
  <si>
    <t>10.1109/BMEiCON66226.2025.11113736</t>
  </si>
  <si>
    <t xml:space="preserve"> Memory Training, Dementia Training, Brain Wave Analysis, Healthy Volunteers, Brain Activity, Wave Amplitude, Power Ratio, Recall Period, Memory Encoding, N-back Task, Alpha Rhythm, Theta Rhythm, Cognitive Rehabilitation, Beta Waves, Virtual Reality Games, Brain-computer Interface Technology, Neurological Disorders, Brain Function, Comparable Levels, Montreal Cognitive Assessment, Recollection, Working Memory, Difficulty Level, Virtual Reality Headset, EEG Signals, EEG Data, Electrodeposition, Recall Phase, Human Lifespan</t>
  </si>
  <si>
    <t>Abdul Basit, Maha Nawaz, Saim Rehman, Muhammad Shafique</t>
  </si>
  <si>
    <t>CognitiveArm: Enabling Real-Time EEG-Controlled Prosthetic Arm Using Embodied Machine Learning</t>
  </si>
  <si>
    <t>https://arxiv.org/abs/2508.07731</t>
  </si>
  <si>
    <t>eBRAIN Lab, Division of Engineering</t>
  </si>
  <si>
    <t>10.48550/arXiv.2508.07731</t>
  </si>
  <si>
    <t>Post-Stroke Upper and Lower-Limb Rehabilitation Through BrainComputer Interface, Robotic Devices and Transcranial Alternating Current &amp;amp; Functional Electrical Stimulations</t>
  </si>
  <si>
    <t>https://avestia.com/CDSR2025_Proceedings/files/paper/CDSR_135.pdf</t>
  </si>
  <si>
    <t>International Conference of Control, Dynamic Systems, and Robotics</t>
  </si>
  <si>
    <t>10.11159/cdsr25.135</t>
  </si>
  <si>
    <t xml:space="preserve"> Stroke, Neurorehabilitation, Brain-Computer Interface, Transcranial Alternating Current Stimulation,
Functional Electrical Stimulation, Robotic Devices</t>
  </si>
  <si>
    <t>G, Jisha Daphne; Vivek, Vuppala; Sumitra, S; Manoj, B S</t>
  </si>
  <si>
    <t>IIST BCI Dataset-13: A BCI Dataset for Emotion Detection for Human Space Missions</t>
  </si>
  <si>
    <t>https://www.techrxiv.org/users/933156/articles/1303897-iist-bci-dataset-13-a-bci-dataset-for-emotion-detection-for-human-space-missions?commit=bbf50015c0a62690936cdd596a80ed9e260df49b</t>
  </si>
  <si>
    <t>10.36227/techrxiv.174970463.33604978/v1</t>
  </si>
  <si>
    <t>Zare Lahijan, Lida; Meshgini, Saeed; Afrouzian, Reza; Danishvar, Sebelan</t>
  </si>
  <si>
    <t>Improved Automatic Deep Model for Automatic Detection of Movement Intention from EEG Signals</t>
  </si>
  <si>
    <t>https://www.mdpi.com/2313-7673/10/8/506</t>
  </si>
  <si>
    <t>Biomimetics</t>
  </si>
  <si>
    <t>10.3390/biomimetics10080506</t>
  </si>
  <si>
    <t>bci ; cnn ; graph theory ; eeg ; movement intention ; finger tapping 1</t>
  </si>
  <si>
    <t>Hariyadi, Dedy; Wibawa, Adhi Dharma; Wirawan, Wirawan</t>
  </si>
  <si>
    <t>A Stress Level Monitoring System for Rescue Teams During Search and Rescue Operations Based on Electroencephalography</t>
  </si>
  <si>
    <t>http://jaree.its.ac.id/index.php/jaree/article/view/437</t>
  </si>
  <si>
    <t>JAREE (Journal on Advanced Research in Electrical Engineering)</t>
  </si>
  <si>
    <t>10.12962/jaree.v9i2.437</t>
  </si>
  <si>
    <t xml:space="preserve"> coherence analysis, eeg, stress, visual simulation</t>
  </si>
  <si>
    <t>Torres, Kamila; Vargas, Fabiana; Flores, Joes; Díaz, Alejandra; Cardwood, Zoemar; Cordero, Taina; Ortiz, Yami; Vigo, Kevin; Hernández, Ariana; Espinel, Arnaldo; Santiago, Yadiel; Cabrera, Juan; Rivera, Jan; Cruz, Jose; Valentin, Yovana</t>
  </si>
  <si>
    <t>BUZZ-PR: Wearable Neuroadaptive System for Enhancing Astronaut Health in Long-Duration Missions</t>
  </si>
  <si>
    <t>https://arc.aiaa.org/doi/10.2514/6.2025-4112</t>
  </si>
  <si>
    <t>AIAA AVIATION FORUM AND ASCEND 2025</t>
  </si>
  <si>
    <t>10.2514/6.2025-4112</t>
  </si>
  <si>
    <t>Mohamed A. Hanafy, Saykhun Yusufjonov, Djaykhun Yusufjonov, Payman Sharafianardakani, Madan M. Rayguru, Dan O. Popa</t>
  </si>
  <si>
    <t>A Robust EEG Brain-Computer Interface Approach for Decoding Hand and Foot Motor Imagery</t>
  </si>
  <si>
    <t>https://dl.acm.org/doi/10.1145/3733155.3733220</t>
  </si>
  <si>
    <t>PETRA '25</t>
  </si>
  <si>
    <t>10.1145/3733155.3733220</t>
  </si>
  <si>
    <t>Brain Computer Interface(BCI), Electroencephalograph (EEG), Machine Learning, Classification, Performance evaluation</t>
  </si>
  <si>
    <t>Schick, Lukas; Knierim, Michael Thomas; Gaube, Benjamin; Nadj, Mario; Mädche, Alexander</t>
  </si>
  <si>
    <t>Mental Readiness and Fatigue: Extended Perspectives on Cognitive Functioning and Flow Experiences at Work</t>
  </si>
  <si>
    <t>https://dl.acm.org/doi/10.1145/3706599.3719836</t>
  </si>
  <si>
    <t>Proceedings of the Extended Abstracts of the CHI Conference on Human Factors in Computing Systems</t>
  </si>
  <si>
    <t>10.1145/3706599.3719836</t>
  </si>
  <si>
    <t xml:space="preserve"> Human-centered computing, Human computer interaction (HCI), Empirical studies in HCI</t>
  </si>
  <si>
    <t>Nguyen-Duy, Xuan-Bach; Nguyen-Thanh, Khiem; Dinh-Duc, Anh-Vu</t>
  </si>
  <si>
    <t>Analyze EEG and IMU Signals Base on Machine Learning to Predict Patients with Possible Depression</t>
  </si>
  <si>
    <t>https://ieeexplore.ieee.org/document/11009041/</t>
  </si>
  <si>
    <t>2024 RIVF International Conference on Computing and Communication Technologies (RIVF)</t>
  </si>
  <si>
    <t>10.1109/RIVF64335.2024.11009041</t>
  </si>
  <si>
    <t xml:space="preserve"> EEG Signals, IMU Signals, Support Vector Machine, Body And Brain, Amygdala, Electrodeposition, Emotion Recognition, Circuit Board, Limbic System, Emotion Categories, Frequency Index, Gamma Oscillations, Alpha Rhythm, Beta Waves, Motion Frequency, Average Acceleration, Input-referred Noise, Bluetooth</t>
  </si>
  <si>
    <t>Yugaraju, Gunda; Masood, Mohd Maneeb; Gupta, Suprakash</t>
  </si>
  <si>
    <t>A comprehensive approach to proactive performance assessment in safety-critical industries through EEG monitoring and advanced analysis</t>
  </si>
  <si>
    <t>https://www.tandfonline.com/doi/full/10.1080/10255842.2025.2527385</t>
  </si>
  <si>
    <t>Computer Methods in Biomechanics and Biomedical Engineering</t>
  </si>
  <si>
    <t>10.1080/10255842.2025.2527385</t>
  </si>
  <si>
    <t>human performance safety-critical systems electroencephalography machine learning cognitive assessment acknowledgments we extend our sincere gratitude to our dedicated participants of eeg experiments whose invaluable contributions and commitment were integral to the success of this study</t>
  </si>
  <si>
    <t>Rathi, G.; Anuradha, R.; Pramila, M.</t>
  </si>
  <si>
    <t>Impact of yoga asanas on primary dysmenorrhea-EEG band power analysis and deep learning based classification</t>
  </si>
  <si>
    <t>https://linkinghub.elsevier.com/retrieve/pii/S1110866525001343</t>
  </si>
  <si>
    <t>Egyptian Informatics Journal</t>
  </si>
  <si>
    <t>10.1016/j.eij.2025.100741</t>
  </si>
  <si>
    <t>dysmenorrhea yoga with asanas young women eeg psd open bci bi</t>
  </si>
  <si>
    <t>Sharghilavan, Sara; Geman, Oana; Abbasi, Hadi; Toderean, Roxana; Postolachee, Octavian; Mihai, Alexandra-Stefania</t>
  </si>
  <si>
    <t>Explainable AI in EEG Waves Based Classification for Early Identification in Autism</t>
  </si>
  <si>
    <t>https://ieeexplore.ieee.org/document/11068079/</t>
  </si>
  <si>
    <t>2025 IEEE Medical Measurements &amp;amp;amp; Applications (MeMeA)</t>
  </si>
  <si>
    <t>10.1109/MeMeA65319.2025.11068079</t>
  </si>
  <si>
    <t xml:space="preserve"> Explainable Artificial Intelligence, Decision-making Process, Early Diagnosis, Deep Network, EEG Data, Normal Individuals, Communication Difficulties, Artificial Intelligence Applications, Bidirectional Long Short-term Memory, Artificial Intelligence Models, Gamma Oscillations, Alpha Rhythm, Delta Activity, SHapley Additive exPlanations, Autism Group, Neural Network, Convolutional Neural Network, Emotional Responses, Frequency Band, Alpha Band, Frontal Regions, Key Metrics, EEG Signals, Long Short-term Memory, Theta Activity, Delta Band, Alpha Activity, Prevalence Of Autism, Potential Biomarkers</t>
  </si>
  <si>
    <t>Mannan, Malik Muhammad Naeem; Lloyd, David G.; Pizzolato, Claudio</t>
  </si>
  <si>
    <t>Optimising Continuous Control of Real-Time Brain-Computer Interfaces Through Trial Length and Feedback Update Interval Selection</t>
  </si>
  <si>
    <t>https://ieeexplore.ieee.org/document/11063010/</t>
  </si>
  <si>
    <t>2025 International Conference On Rehabilitation Robotics (ICORR)</t>
  </si>
  <si>
    <t>10.1109/ICORR66766.2025.11063010</t>
  </si>
  <si>
    <t xml:space="preserve"> Interval Length, Trial Length, Classification Accuracy, Difference In Accuracy, EEG Data, Saturation Effect, Motor Imagery, Real-time Response, Brain-computer Interface System, Evaluate Classification Performance, Brain-computer Interfaces Performance, Walking, Leisure, Spatial Patterns, Physical Disability, Linear Discriminant Analysis, Spinal Cord Injury, User Experience, EEG Signals, Motor Imagery Tasks, Neurofeedback, Calibration Phase, Common Spatial Pattern, Increase In Accuracy, Perceived Control, Neurophysiological Measures, Robot Operating System, Increase In Classification Accuracy, Individual Rehabilitation</t>
  </si>
  <si>
    <t>Bastos-Filho, Teodiano; Gonzalez-Cely, Aura Ximena; Mehrpour, Sheida; Souza, Fernanda; Villa-Parra, Ana Cecilia; Cabral, Fernando</t>
  </si>
  <si>
    <t>Rehabilitation of Chronic Stroke Using Neurofeedback, Functional Electrical Stimulation and Cerebrospinal Direct Current Stimulation</t>
  </si>
  <si>
    <t>https://ieeexplore.ieee.org/document/11063073/</t>
  </si>
  <si>
    <t>10.1109/ICORR66766.2025.11063073</t>
  </si>
  <si>
    <t xml:space="preserve"> Chronic Stroke, Neurofeedback, Functional Electrical Stimulation, Left Hand, Motor Performance, Hand Movements, Botulinum, Performance Gain, Improvement In Strength, Tibialis Anterior, Left Leg, Application Of Protocol, Maximal Voluntary Contraction, Extensor Muscles, Surface Electromyography, Improve Muscle Strength, Motor Imagery, Non-invasive Brain Stimulation, Functional Independence Measure, Upper Limb, Calibration Stage, Muscle Stiffness, Participant's Hand, Transcranial Magnetic Stimulation, Lower Limb, Range Of Motion, Electrode, Supplementary Motor Area, Beta Band</t>
  </si>
  <si>
    <t>Md. Mahbub Hasan, Md Rakibul Hasan, Md Zakir Hossain, Tom Gedeon</t>
  </si>
  <si>
    <t>Frequency-Specific Neural Response and Cross-Correlation Analysis of Envelope
Following Responses to Native Speech and Music Using Multichannel EEG Signals: A
Case Study</t>
  </si>
  <si>
    <t>https://arxiv.org/abs/2507.05635</t>
  </si>
  <si>
    <t>arXiv</t>
  </si>
  <si>
    <t>10.48550/arXiv.2507.05635</t>
  </si>
  <si>
    <t>Envelope following response, Time-varying system, Transfer function, Dominant spectral response, Cross-spectral density, EEG</t>
  </si>
  <si>
    <t>Lee, Jae-Hyun; Jang, Ye-Seul; Chang, Won-Du</t>
  </si>
  <si>
    <t>The cartilage-generated bioelectric potentials induced by dynamic joint movement; an exploratory study</t>
  </si>
  <si>
    <t>https://bmcmusculoskeletdisord.biomedcentral.com/articles/10.1186/s12891-025-08939-8</t>
  </si>
  <si>
    <t>BMC Musculoskeletal Disorders</t>
  </si>
  <si>
    <t>10.1186/s12891-025-08939-8</t>
  </si>
  <si>
    <t>knee cartilage biomechanics kinematics and kinetics rehabilitation download pdf advertisement bmc musculoskeletal disorders issn</t>
  </si>
  <si>
    <t>Naas, Adrian; Sonderegger, Andreas; Lemay, Delphine Ribes; Shabestari, Payam S.; Meyer, Martin; Neff, Patrick</t>
  </si>
  <si>
    <t>Auditory Phantom Perceptions (Tinnitus) and Neurofeedback Training ‘In the Wild’: A Feasibility Study on Home Treatment</t>
  </si>
  <si>
    <t>https://ieeexplore.ieee.org/document/11058796/</t>
  </si>
  <si>
    <t>2025 IEEE 38th International Symposium on Computer-Based Medical Systems (CBMS)</t>
  </si>
  <si>
    <t>10.1109/CBMS65348.2025.00189</t>
  </si>
  <si>
    <t>Duplevska, Diana; Savicka, Anete; Ivanovs, Maksims</t>
  </si>
  <si>
    <t>Motor Imagery EEG Classification with Real-World and EEG-GAN-Generated Data</t>
  </si>
  <si>
    <t>https://ieeexplore.ieee.org/document/11050769/</t>
  </si>
  <si>
    <t>2025 IEEE 12th Workshop on Advances in Information, Electronic and Electrical Engineering (AIEEE)</t>
  </si>
  <si>
    <t>10.1109/AIEEE66149.2025.11050769</t>
  </si>
  <si>
    <t xml:space="preserve"> Motor Imagery, EEG Classification, Short-term Memory, F1 Score, Real-world Data, Long Short-term Memory, EEG Data, EEG Signals, Long Short-term Memory Network, Long Short-term Memory Model, Elbow Flexion, Average F1-score, Elbow Extension, Synthetic Signals, Hand Opening, Motor Imagery Tasks, Neural Network, Deep Learning, Training Dataset, Learning Rate, Synthetic Data Generation, Analysis Of Imagery, Convolutional Neural Network, Recall Score, Recurrent Neural Network, Seizure Detection, Independent Component Analysis, Autoencoder, Brain-computer Interface System, Individual Electrodes</t>
  </si>
  <si>
    <t>Wu, Keqi; Fan, Chengliang; Tang, Minfeng; Chen, Hongyu; Pan, Yajia; Luo, Dabing; Zhang, Zutao</t>
  </si>
  <si>
    <t>Symbiotic energy-sensing wind generator enabled AI for smart roads</t>
  </si>
  <si>
    <t>https://xlink.rsc.org/?DOI=D5SE00510H</t>
  </si>
  <si>
    <t>Sustainable Energy &amp;amp; Fuels</t>
  </si>
  <si>
    <t>10.1039/D5SE00510H</t>
  </si>
  <si>
    <t>Kremenska, Adelina; Lekova, Anna; Kremenski, Svetoslav; Dimitrov, Georgi</t>
  </si>
  <si>
    <t>Validating the оpenBCI Nodes through EEG-based BCI Application for Smart Home Automation Control</t>
  </si>
  <si>
    <t>https://jcoms.fesb.unist.hr/10.24138/jcomss-2025-0012/</t>
  </si>
  <si>
    <t>Journal of Communications Software and Systems</t>
  </si>
  <si>
    <t>10.24138/jcomss-2025-0012</t>
  </si>
  <si>
    <t>Zeng, Jianhuan; LI, Xiao; Zhang, Zenan</t>
  </si>
  <si>
    <t>ConPPMF: Construction Datasets for Privacy-Preserving Mental Fatigue</t>
  </si>
  <si>
    <t>https://docs.lib.purdue.edu/cib-conferences/vol1/iss1/381</t>
  </si>
  <si>
    <t>CIB Conferences</t>
  </si>
  <si>
    <t>10.7771/3067-4883.1540</t>
  </si>
  <si>
    <t>Liu, Yijun; bin Mustafa, Mohd Shafie; bin Saripan, MIqbal; bin Kamel Ariffin, Muhammad Rezal; Wan, Xianglong; Dong, Xianling; Lan, Xifa; Wen, Dong</t>
  </si>
  <si>
    <t>Task-state EEG feature extraction for spatial cognition analysis: a power spectral density and permutation conditional mutual information approach</t>
  </si>
  <si>
    <t>https://linkinghub.elsevier.com/retrieve/pii/S0306452225007183</t>
  </si>
  <si>
    <t>Neuroscience</t>
  </si>
  <si>
    <t>10.1016/j.neuroscience.2025.06.036</t>
  </si>
  <si>
    <t xml:space="preserve"> Spatial cognitive training, Virtual reality, Task-state EEG signals, Power spectral density permutation conditional mutual information</t>
  </si>
  <si>
    <t>Souza, Filipe Luis; Min, Chuang Yu; Catecatti, Tiago; Garcia-Ramirez, Alejandro Rafael</t>
  </si>
  <si>
    <t>An upper limb orthosis for people neurological limitations controlled via brain-computer interface: a crossover-controlled trial and development of a prototype</t>
  </si>
  <si>
    <t>https://ojs.studiespublicacoes.com.br/ojs/index.php/cadped/article/view/17138</t>
  </si>
  <si>
    <t>Caderno Pedagógico</t>
  </si>
  <si>
    <t>10.54033/cadpedv22n8-114</t>
  </si>
  <si>
    <t xml:space="preserve"> BCI. Assitive Technologies. Open-technology. Randomized
Controlled Trial. Rehabilitation. EEG.</t>
  </si>
  <si>
    <t>Liu, Ning; Rossi, Wendy; Kireev, Dmitry; Akinwande, Deji</t>
  </si>
  <si>
    <t>Electrophysiological Sensing with Graphene Electronic Tattoos for Saline and Underwater Environments</t>
  </si>
  <si>
    <t>https://pubs.acs.org/doi/10.1021/acsaelm.5c00310</t>
  </si>
  <si>
    <t>ACS Applied Electronic Materials</t>
  </si>
  <si>
    <t>10.1021/acsaelm.5c00310</t>
  </si>
  <si>
    <t>Vivek, Vuppala; G, Jisha Daphne; Sumitra, S; Manoj, B S</t>
  </si>
  <si>
    <t>IIST BCI Dataset-12 : A BCI Dataset for Telugu Vocal and Subvocal Commands with Dialect Variation for Wheelchair Control</t>
  </si>
  <si>
    <t>https://www.techrxiv.org/users/931774/articles/1302738-iist-bci-dataset-12-a-bci-dataset-for-telugu-vocal-and-subvocal-commands-with-dialect-variation-for-wheelchair-control?commit=6c69035d34e3b4bfefe627f0c5761afcfbf6f11c</t>
  </si>
  <si>
    <t>10.36227/techrxiv.174953154.47572870/v1</t>
  </si>
  <si>
    <t>Tobias King, Michael Knierim, Philipp Lepold, Christopher Clarke, Hans Gellersen, Michael Beigl, Tobias Röddiger</t>
  </si>
  <si>
    <t>earEOG via Periauricular Electrodes to Facilitate Eye Tracking in a Natural Headphone Form Factor</t>
  </si>
  <si>
    <t>https://arxiv.org/abs/2506.07193</t>
  </si>
  <si>
    <t>10.48550/arXiv.2506.07193</t>
  </si>
  <si>
    <t>Liu, Xulong; Jia, Ziwei; Xun, Meng; Wan, Xianglong; Lu, Huibin; Zhou, Yanhong</t>
  </si>
  <si>
    <t>MSFHNet: a hybrid deep learning network for multi-scale spatiotemporal feature extraction of spatial cognitive EEG signals in BCI-VR systems</t>
  </si>
  <si>
    <t>https://link.springer.com/10.1007/s11517-025-03386-y</t>
  </si>
  <si>
    <t>10.1007/s11517-025-03386-y</t>
  </si>
  <si>
    <t>spatial cognition electroencephalogram feature extraction hybrid neural network access this article log in via an institution subscribe and save springer</t>
  </si>
  <si>
    <t>Arceo, Alejandro; Candela-Leal, Milton O.; Gutiérrez-Garza, Rodrigo; Tudon-Martinez, Juan C.; Ramirez-Moreno, Mauricio A.; de J. Lozoya-Santos, Jorge; Cebral-Loureda, Manuel</t>
  </si>
  <si>
    <t>Innovative Spaces with Advanced Technologies such as Research Activity Simulators for Engineering Education</t>
  </si>
  <si>
    <t>https://ieeexplore.ieee.org/document/11016540/</t>
  </si>
  <si>
    <t>2025 IEEE Global Engineering Education Conference (EDUCON)</t>
  </si>
  <si>
    <t>10.1109/EDUCON62633.2025.11016540</t>
  </si>
  <si>
    <t>Hang, Wenhua; Yang, Qin; Ye, Mengxiong; Li, Jincheng; Cai, Shaojun; Zhang, Qing; Nie, Jiachen; Ding, Li</t>
  </si>
  <si>
    <t>A Multi-operator Study of Collaborative Communication During Cognitive Interaction</t>
  </si>
  <si>
    <t>https://link.springer.com/10.1007/978-3-031-93838-2_14</t>
  </si>
  <si>
    <t>10.1007/978-3-031-93838-2_14</t>
  </si>
  <si>
    <t>Fujikawa, Ibuki; Fujikawa, Joji; Fujiwara, Masayuki; Takagi, Yasushi; Morigaki, Ryoma</t>
  </si>
  <si>
    <t>Effect of inaudible 40 Hz binaural beats on attention</t>
  </si>
  <si>
    <t>https://link.springer.com/10.1007/s00221-025-07097-6</t>
  </si>
  <si>
    <t>Experimental Brain Research</t>
  </si>
  <si>
    <t>10.1007/s00221-025-07097-6</t>
  </si>
  <si>
    <t>binaural beat frequencies attention inaudible range attention network test access this article log in via an institution subscribe and save springer</t>
  </si>
  <si>
    <t>S., Sibi M.; K., Seetha D.; Sunil, Nancy; S., Parvathy S.; Sumitra, S.; S., Manoj B.</t>
  </si>
  <si>
    <t>IIST BCI Dataset-11: Male and Female EEG Dataset for Malayalam Vowels and Consonants</t>
  </si>
  <si>
    <t>https://www.techrxiv.org/users/916094/articles/1296844-iist-bci-dataset-11-male-and-female-eeg-dataset-for-malayalam-vowels-and-consonants?commit=af296277931ef2186a95f7847bcb3c0671217514</t>
  </si>
  <si>
    <t>10.36227/techrxiv.174803857.76103011/v1</t>
  </si>
  <si>
    <t xml:space="preserve"> Brain-Computer Interface, EEG, Signal Processing, Machine Learning, Malayalam Language, Regional
Accents</t>
  </si>
  <si>
    <t>Chepyk, Oleksiy; Bruna, Arcangelo; Tomaselli, Valeria; Mammone, Nadia; Campolo, Maurizio; Ruggeri, Giuseppe; Ieracitano, Cosimo; Morabito, Francesco C.</t>
  </si>
  <si>
    <t>A Deep Neural Model for Embedded Brain-Computer Interfaces Controlled by EEG Signals</t>
  </si>
  <si>
    <t>https://link.springer.com/10.1007/978-981-96-0994-9_18</t>
  </si>
  <si>
    <t>10.1007/978-981-96-0994-9_18</t>
  </si>
  <si>
    <t>OpenBCI Hardware</t>
  </si>
  <si>
    <t>Fang, Zheng; Kong, Lingji; Chen, Hongyu; Zhao, Xinyi; Wang, Yuan; Fan, Chengliang; Zhang, Zutao; Bai, Luyao</t>
  </si>
  <si>
    <t>An intelligent traffic anomaly detection system based on self-supervised learning and self-powered hybrid nano-sensor</t>
  </si>
  <si>
    <t>https://linkinghub.elsevier.com/retrieve/pii/S1474034625003544</t>
  </si>
  <si>
    <t>Advanced Engineering Informatics</t>
  </si>
  <si>
    <t>10.1016/j.aei.2025.103461</t>
  </si>
  <si>
    <t>Huang, Shiqi; Meng, Xingyu; Zhu, Yuanxi; He, Aijun</t>
  </si>
  <si>
    <t>FreeBCI: Android application for portable EEG signal acquisition system</t>
  </si>
  <si>
    <t>https://www.spiedigitallibrary.org/conference-proceedings-of-spie/13637/3056815/FreeBCI-Android-application-for-portable-EEG-signal-acquisition-system/10.1117/12.3056815.full</t>
  </si>
  <si>
    <t>Third International Conference on Informatics, Networking, and Computing (ICINC 2024)</t>
  </si>
  <si>
    <t>10.1117/12.3056815</t>
  </si>
  <si>
    <t>electroencephalography data processing signal processing data transmission electrodes human</t>
  </si>
  <si>
    <t>Gold Cup Electrodes</t>
  </si>
  <si>
    <t>Afolalu, Sunday A.; Alexander, Aminone O.; Ogunnigbo, Olawale C.; Ting, Tin T.</t>
  </si>
  <si>
    <t>Development of a Brain Controlled Assistive Feeding System with OpenBCI</t>
  </si>
  <si>
    <t>https://iieta.org/journals/jesa/paper/10.18280/jesa.580203</t>
  </si>
  <si>
    <t>Journal Européen des Systèmes Automatisés​</t>
  </si>
  <si>
    <t>10.18280/jesa.580203</t>
  </si>
  <si>
    <t xml:space="preserve">amyotrophic lateral sclerosis, disabilities, electroencephalogram, brain computer interface, feeding </t>
  </si>
  <si>
    <t>Bastos-Filho, Teodiano; Villa-Parra, Ana Cecilia; Guerrero-Méndez, Cristian David; González-Cely, Aura Ximena; Mehrpour, Sheida; Ferreira, Matheus; de Souza, Fernanda Vaz; Delisle-Rodríguez, Denis</t>
  </si>
  <si>
    <t>Towards a Complete System for Upper- and Lower-Limb Rehabilitation for Post-stroke Patients Based on Brain-Computer Interface and Robotic Devices</t>
  </si>
  <si>
    <t>https://link.springer.com/10.1007/978-3-031-89510-4_4</t>
  </si>
  <si>
    <t>10.1007/978-3-031-89510-4_4</t>
  </si>
  <si>
    <t>Heim, Mavin; Heinrichs, Florian; Hueppe, Michael; Nunez, Fran; Szameitat, Alexander; Reuter, Muriel; Goetz, Stefan M.; Weber, Corinna</t>
  </si>
  <si>
    <t>Real-Time EEG-Based BCI for Self-Paced Motor Imagery and Motor Execution Using Functional Neural Networks</t>
  </si>
  <si>
    <t>https://ieeexplore.ieee.org/document/11004003/</t>
  </si>
  <si>
    <t>10.1109/ACCESS.2025.3569932</t>
  </si>
  <si>
    <t xml:space="preserve"> auto labeling, brain-computer interface (BCI), BCI-illiteracy, electroencephalography
(EEG), functional neural network (FNN), gamification, inertial measurement unit (IMU), motor execution
(ME), motor imagery (MI)</t>
  </si>
  <si>
    <t>Guler, Saygun; Golparvar, Ata; Ozturk, Ozberk; Yapici, Murat Kaya</t>
  </si>
  <si>
    <t>Ear Electrocardiography With Soft Graphene Textiles for Hearable Applications</t>
  </si>
  <si>
    <t>https://ieeexplore.ieee.org/document/9855407/</t>
  </si>
  <si>
    <t>IEEE Sensors Letters</t>
  </si>
  <si>
    <t>10.1109/LSENS.2022.3198279</t>
  </si>
  <si>
    <t xml:space="preserve"> Virtually, Vital Signs, Headphones, Electrodeposition, Heart Rate Variability, Cardiac Activity, Cardiac Monitoring, Virtual Reality Headset, Electrocardiographic Monitoring, Body Parts, Dynamic Conditions, Graphene Oxide, Motion Artifacts, Body Area, Electrode Placement, Activity Tracker, QRS Complex, Electrocardiography Signals, Remove Motion Artifacts, Wet Electrodes, Electrodes, Electrocardiography, Ear, Textiles, Graphene, Monitoring, Signal-to-noise Ratio</t>
  </si>
  <si>
    <t>Alhasan, Seba Nur; Mirbakht, S. Sajjad; Guler, Saygun; Sahin, Osman; Umar, Muhammad; Arman Kuzubasoglu, Burcu; Yapici, Murat Kaya</t>
  </si>
  <si>
    <t>Artificially Weaved Textile‐like Surface Micromachined Graphene‐Polymer Flexible Bioelectrodes</t>
  </si>
  <si>
    <t>https://advanced.onlinelibrary.wiley.com/doi/10.1002/admt.202402032</t>
  </si>
  <si>
    <t>Advanced Materials Technologies</t>
  </si>
  <si>
    <t>10.1002/admt.202402032</t>
  </si>
  <si>
    <t>Guler, Saygun; Aslanger, Emre; Yapici, Murat Kaya</t>
  </si>
  <si>
    <t>Wearable armband with a floating mobile exploratory electrode at fingertip for on-demand touch-and-measure multilead electrocardiography</t>
  </si>
  <si>
    <t>https://www.cambridge.org/core/product/identifier/S2631717625000118/type/journal_article</t>
  </si>
  <si>
    <t>Wearable Technologies</t>
  </si>
  <si>
    <t>10.1017/wtc.2025.11</t>
  </si>
  <si>
    <t>electrocardiography flexible bioelectrode wearable graphene textile smart medical garment on</t>
  </si>
  <si>
    <t>Xiong, Kaixiao; Fan, Chengliang; He, Deqiang; Chen, Hongyu; Zhao, Xinyi; Feng, Xihui; Zhang, Zutao; Wu, Xiaoping</t>
  </si>
  <si>
    <t>A wearable driver gesture recognition system enabled AI application in virtual reality interaction for smart traffic</t>
  </si>
  <si>
    <t>https://linkinghub.elsevier.com/retrieve/pii/S0360544225020766</t>
  </si>
  <si>
    <t>Energy</t>
  </si>
  <si>
    <t>10.1016/j.energy.2025.136434</t>
  </si>
  <si>
    <t xml:space="preserve"> Smart transportation; Wearable devices; Deep learning; TENG; Digital twin
</t>
  </si>
  <si>
    <t>Boddapu, Likhith; Sumitra, S; BS, Manoj</t>
  </si>
  <si>
    <t>IIST BCI Dataset-10 for Telugu Vowels and Consonants</t>
  </si>
  <si>
    <t>https://www.techrxiv.org/users/814488/articles/1289920-iist-bci-dataset-10-for-telugu-vowels-and-consonants?commit=ee45063fd8e9ece1121bb713db6669cc8b41aab4</t>
  </si>
  <si>
    <t>10.36227/techrxiv.174612068.80718242/v1</t>
  </si>
  <si>
    <t>Ashwin, Amal Jude; Bajpai, Alok; Tiwari, Hari Prakash; Priyanka B, Nandini; Balasubramani, Pragathi Priyadharsini</t>
  </si>
  <si>
    <t>Assessing the utility of brain and gut cognitive electrophysiology for early prediction of treatment outcome in major depressive disorder</t>
  </si>
  <si>
    <t>http://medrxiv.org/lookup/doi/10.1101/2025.03.07.25323496</t>
  </si>
  <si>
    <t xml:space="preserve"> PREPRINT (Version 1) available at Research Square</t>
  </si>
  <si>
    <t>10.1101/2025.03.07.25323496</t>
  </si>
  <si>
    <t>Xiang, Yu; Zhang, Xu; Zhang, Wenqiang; Dou, Ziheng; Wang, Taihong</t>
  </si>
  <si>
    <t>Wrist Motion Regression Using EMG Attention Feature Fusion Algorithm</t>
  </si>
  <si>
    <t>https://www.techrxiv.org/users/914536/articles/1287616-wrist-motion-regression-using-emg-attention-feature-fusion-algorithm?commit=d43654d376c0b8fff40576d2106bcd26326bdd50</t>
  </si>
  <si>
    <t xml:space="preserve"> IEEE SENSORS JOURNAL, VOL. XX, NO. XX, XXXX 2024</t>
  </si>
  <si>
    <t>10.36227/techrxiv.174537492.21807413/v1</t>
  </si>
  <si>
    <t>Rivera, Mayumi; Tamang, Abigail; Dorjee, Lhatso</t>
  </si>
  <si>
    <t>Closed-Loop Mu-Rhythm Brain–Computer Interface for Neuroadaptive Control of the Chrome Dinosaur Game</t>
  </si>
  <si>
    <t>https://engrxiv.org/preprint/view/4555/version/6202</t>
  </si>
  <si>
    <t>10.31224/4555</t>
  </si>
  <si>
    <t>brain–computer interface, mu rhythm, vibrotactile feedback, eeg, arduino abstract background: mu-rhythm bcis provide a noninvasive entry to motor control via event-related desynchronization detection over the sensorimotor cortex during motor imagery</t>
  </si>
  <si>
    <t>K, Seetha D; S, Sibi M; Sahoo, Shivani; Sheetal, K B; Anil, Navya; Sajeev, Neethu; K, Anjana; T, Sruthi N; Sumitra, S; S., Manoj B.</t>
  </si>
  <si>
    <t>IIST BCI Dataset-9: EEG Dataset For Malayalam Vocal and Subvocal Commands with Dialect Variation For Wheelchair Control</t>
  </si>
  <si>
    <t>https://www.techrxiv.org/users/916082/articles/1288937-iist-bci-dataset-9-eeg-dataset-for-malayalam-vocal-and-subvocal-commands-with-dialect-variation-for-wheelchair-control?commit=df5d65312bcbd1f300d25acf679cb35d35ff29c8</t>
  </si>
  <si>
    <t>10.36227/techrxiv.174586818.88790131/v1</t>
  </si>
  <si>
    <t>Li, Sining; Liu, Gan; Feng, Fan; Chang, Ziqing; Li, Wenyu; Duan, Feng</t>
  </si>
  <si>
    <t>An Interventional Brain-Computer Interface for Long-Term EEG Collection and Motion Classification of a Quadruped Mammal</t>
  </si>
  <si>
    <t>https://ieeexplore.ieee.org/document/10972026/</t>
  </si>
  <si>
    <t>IEEE Transactions on Neural Systems and Rehabilitation Engineering</t>
  </si>
  <si>
    <t>10.1109/TNSRE.2025.3562922</t>
  </si>
  <si>
    <t xml:space="preserve"> Interventional BCI, EEG, Motion Classification</t>
  </si>
  <si>
    <t>Hernandez-Navarro, Asaf J.; Ortiz-Torres, Gerardo; Pérez-Vidal, Alan F.; Cervantes, José-Antonio; Sorcia-Vázquez, Felipe D. J.; López, Sonia; Ramos-Martinez, Moises; Lozoya-Ponce, R. E.; Jauregui, Néstor Fernando Delgadillo; Rumbo-Morales, Jesse Y.; Rumbo-Morales, Reyna I.</t>
  </si>
  <si>
    <t>Design, Manufacturing, and Electroencephalography of the Chameleon-1 Helmet: Technological Innovation Applied for Diverse Neurological Therapies</t>
  </si>
  <si>
    <t>https://www.mdpi.com/2571-5577/8/2/56</t>
  </si>
  <si>
    <t>10.3390/asi8020056</t>
  </si>
  <si>
    <t>brain disorders ; eeg ; helmet ; chameleon-1 1</t>
  </si>
  <si>
    <t>Thomas Krämer, Francesco Chiossi, Thomas Kosch</t>
  </si>
  <si>
    <t>Evaluating Eye Tracking and Electroencephalography as Indicator for Selective Exposure During Online News Reading</t>
  </si>
  <si>
    <t>https://arxiv.org/abs/2503.22018</t>
  </si>
  <si>
    <t>10.48550/arXiv.2503.22018</t>
  </si>
  <si>
    <t>Selective Exposure, Electroencephalography, Eye Tracking, CoRegistration, News, Reading</t>
  </si>
  <si>
    <t>Ahn, Seong-Ho; Kim, Zion; Jung, Jun Ha; Lee, Hyeon-Jun; Kim, Heejin; Cho, Jungu; Jeong, Jaeseung</t>
  </si>
  <si>
    <t>Decoding EEG-Based Motor Imagery of Hand Grasp Types for an Amputee Due to Birth Trauma</t>
  </si>
  <si>
    <t>https://ieeexplore.ieee.org/document/10931531/</t>
  </si>
  <si>
    <t>2025 13th International Conference on Brain-Computer Interface (BCI)</t>
  </si>
  <si>
    <t>10.1109/BCI65088.2025.10931531</t>
  </si>
  <si>
    <t>Sheikh, Jahanzeb; Swee, Tan Tian; Salim, Maheza Irna Mohamad; Tan, Michael Loong Peng; Chai, Hum Yan; Alang, Tengku Ahmad T.</t>
  </si>
  <si>
    <t>Motorised bionic arms using SSVEP with enhanced hand gesture accuracy and reliability</t>
  </si>
  <si>
    <t>http://www.inderscience.com/link.php?id=145218</t>
  </si>
  <si>
    <t>International Journal of Biomedical Engineering and Technology</t>
  </si>
  <si>
    <t>10.1504/IJBET.2025.145218</t>
  </si>
  <si>
    <t>abstract journal title quick search anywhere enter words</t>
  </si>
  <si>
    <t>de Jesus, Belmir J.; Perreault, Léa; Lopes, Marilia K. S.; Roberge, Marie-Claude; Oliveira, Alcyr A.; Falk, Tiago H.</t>
  </si>
  <si>
    <t>Instrumenting a Virtual Reality Headset to Monitor Changes in Electroencephalograms of PTSD Patients During Multisensory Immersion</t>
  </si>
  <si>
    <t>https://ieeexplore.ieee.org/document/10938306/</t>
  </si>
  <si>
    <t>IEEE Journal of Selected Areas in Sensors</t>
  </si>
  <si>
    <t>10.1109/JSAS.2025.3554131</t>
  </si>
  <si>
    <t>Electroencephalography, mental health, multisensory, olfactory, post-traumatic stress disorder, relaxation training, virtual reality</t>
  </si>
  <si>
    <t>Perur, Shrivatsa D.; Kenchannava, Harish H.</t>
  </si>
  <si>
    <t>Enhancing Mental Well-Being Through OpenBCI: An Intelligent Approach to Stress Measurement</t>
  </si>
  <si>
    <t>https://link.springer.com/10.1007/978-981-97-9262-7_17</t>
  </si>
  <si>
    <t>Cognitive Science and Technology</t>
  </si>
  <si>
    <t>10.1007/978-981-97-9262-7_17</t>
  </si>
  <si>
    <t>intelligent computing, prediction of stress, machine learning, algorithms, mental health, personalized interventions</t>
  </si>
  <si>
    <t>Soberanes, Montse; Pérez-Ramírez, Carlos A.; Assaneo, M. Florencia</t>
  </si>
  <si>
    <t>Insights Into the Effect of General Attentional State, Coarticulation, and Primed Speech Rate in Phoneme Production Time</t>
  </si>
  <si>
    <t>https://pubs.asha.org/doi/10.1044/2025_JSLHR-24-00595</t>
  </si>
  <si>
    <t>Journal of Speech, Language, and Hearing Research</t>
  </si>
  <si>
    <t>10.1044/2025_JSLHR-24-00595</t>
  </si>
  <si>
    <t>Bashar Hmaza, Asmaa; K. Hasoun, Rajaa</t>
  </si>
  <si>
    <t>Hybrid Optimized Feature Selection and Deep Learning Method for Emotion Recognition That Uses EEG Data</t>
  </si>
  <si>
    <t>https://ijci.uoitc.edu.iq/index.php/ijci/article/view/545</t>
  </si>
  <si>
    <t>Iraqi Journal for Computers and Informatics</t>
  </si>
  <si>
    <t>10.25195/ijci.v51i1.545</t>
  </si>
  <si>
    <t>: : human interaction, gated recurrent unit (gru), electroencephalogram (eeg), recurrent neural networks (rnn) , emotion identification, long short-term memory (lstm) , particle swarm optimization (pso)</t>
  </si>
  <si>
    <t>Nirabi, Ali; Rahman, Faridah Abd; Habaebi, Mohamed Hadi; Sidek, Khairul Azami; Yusoff, Siti</t>
  </si>
  <si>
    <t>Cognitive Load Assessment Through EEG: A Dataset from Arithmetic and Stroop Tasks.</t>
  </si>
  <si>
    <t>https://linkinghub.elsevier.com/retrieve/pii/S2352340925002094</t>
  </si>
  <si>
    <t>Data in Brief</t>
  </si>
  <si>
    <t>10.1016/j.dib.2025.111477</t>
  </si>
  <si>
    <t>eeg signals mental stress stress detection dataset artificial intelligence deep learning algorithms recommended articles data availability cognitive load assessment through eeg</t>
  </si>
  <si>
    <t>Şahin, Elif Bilge; Onay Durdu, Pınar</t>
  </si>
  <si>
    <t>Evaluating the potential of using EEG based BCI method in user experience research</t>
  </si>
  <si>
    <t>https://link.springer.com/10.1007/s10209-025-01207-5</t>
  </si>
  <si>
    <t>Universal Access in the Information Society</t>
  </si>
  <si>
    <t>10.1007/s10209-025-01207-5</t>
  </si>
  <si>
    <t>Mista, Christian Ariel; Young, Elizabeth Loreley; Laugero, Silvio Jorge; Biurrun Manresa, José Alberto</t>
  </si>
  <si>
    <t>Radiofrequency evoked potentials: A new window into the nociceptive system</t>
  </si>
  <si>
    <t>https://linkinghub.elsevier.com/retrieve/pii/S1388245725000045</t>
  </si>
  <si>
    <t>Clinical Neurophysiology</t>
  </si>
  <si>
    <t>10.1016/j.clinph.2024.12.022</t>
  </si>
  <si>
    <t>He, Deqiang; Chen, Hongyu; Zhao, Xinyi; Fan, Chengliang; Xiong, Kaixiao; Zhang, Yue; Zhang, Zutao</t>
  </si>
  <si>
    <t>Portable and Self-Powered Sensing AI-Enabled Mask for Emotional Recognition in Virtual Reality</t>
  </si>
  <si>
    <t>https://pubs.acs.org/doi/10.1021/acsami.5c01936</t>
  </si>
  <si>
    <t>10.1021/acsami.5c01936</t>
  </si>
  <si>
    <t>Ganglion, OpenBCI GUI</t>
  </si>
  <si>
    <t>Palatinus, Zsolt; Lukovics, Miklós; Volosin, Márta; Dudás, Zsolt; Prónay, Szabolcs; Majó-Petri, Zoltán; Lengyel, Henrietta; Szalay, Zsolt</t>
  </si>
  <si>
    <t>Passenger physiology in self-driving vehicles during unexpected events</t>
  </si>
  <si>
    <t>https://www.nature.com/articles/s41598-024-81960-4</t>
  </si>
  <si>
    <t>10.1038/s41598-024-81960-4</t>
  </si>
  <si>
    <t>Self-driving, Technology acceptance, EEG, Eye-tracking, Wearable sensors, Multiscale analysis</t>
  </si>
  <si>
    <t>Fan, Chengliang; Huang, Xingyue; He, Deqiang; Tang, Hongjie; Xiong, Kaixiao; Tang, Minfeng; Zong, Qianqian; Zhang, Zutao; Zhou, Zijie</t>
  </si>
  <si>
    <t>A self-powered sensing wearable watch application in ship driver metaverse interaction</t>
  </si>
  <si>
    <t>https://linkinghub.elsevier.com/retrieve/pii/S2468519425001120</t>
  </si>
  <si>
    <t>Materials Today Chemistry</t>
  </si>
  <si>
    <t>10.1016/j.mtchem.2025.102622</t>
  </si>
  <si>
    <t>Salih, Muwafaq Abdullah; Sattar, Muhammed Abdul</t>
  </si>
  <si>
    <t>Robotic head-neck brace control through EEG signals and BCI sensors using the Savitzky-Golay filter</t>
  </si>
  <si>
    <t>https://pubs.aip.org/aip/acp/article-lookup/doi/10.1063/5.0259169</t>
  </si>
  <si>
    <t>AIP Conference Proceedings</t>
  </si>
  <si>
    <t>10.1063/5.0259169</t>
  </si>
  <si>
    <t>Zeng, Fangmeng; Wang, Guanghua; Sun, Chenyi; Gao, Jiayi; Ji, Shanqun; Zhang, Quanxi</t>
  </si>
  <si>
    <t>Flexible and Washable Poly(3,4-ethylenedioxythiophene): Polystyrene Sulfonate/Polyvinyl Alcohol Fabric Dry Electrode for Long-Term Electroencephalography Signals Measurement</t>
  </si>
  <si>
    <t>https://www.mdpi.com/2073-4360/17/5/683</t>
  </si>
  <si>
    <t>Polymers</t>
  </si>
  <si>
    <t>10.3390/polym17050683</t>
  </si>
  <si>
    <t>eeg signals ; dry electrode ; pedot: pss ; conductive fabric ; smart textiles 1</t>
  </si>
  <si>
    <t>Ultracortex Mark IV, cEEGrid</t>
  </si>
  <si>
    <t>Knierim, Michael T.; Zimny, Christian; Ivucic, Gabriel; Röddiger, Tobias</t>
  </si>
  <si>
    <t>Advancing Wearable BCI: Headphone EEG for Cognitive Load Detection in Lab and Field</t>
  </si>
  <si>
    <t>https://dl.acm.org/doi/10.1145/3712283</t>
  </si>
  <si>
    <t>10.1145/3712283</t>
  </si>
  <si>
    <t xml:space="preserve"> Hardware, Emerging technologies, Biology-related information processing, Neural systems, Human-centered computing, Human-computer interaction (HCI), Empirical studies in HCI</t>
  </si>
  <si>
    <t>Sahbel, Anwar; Nasif, Andrew; Magdy, Ahmed; Elaydi, Mohamed; Sobhy, Nermeen; Abbas, Ayman</t>
  </si>
  <si>
    <t>A Low-Cost Lightweight Prosthetic Arm with Soft Gripping Fingers Controlled Using CNN</t>
  </si>
  <si>
    <t>https://ieeexplore.ieee.org/document/10566461/</t>
  </si>
  <si>
    <t>2024 14th International Conference on Electrical Engineering (ICEENG)</t>
  </si>
  <si>
    <t>10.1109/ICEENG58856.2024.10566461</t>
  </si>
  <si>
    <t>González-Cely, Aura Ximena; Blanco-Diaz, Cristian Felipe; Rivera-Flor, Hamilton; Delisle-Rodriguez, Denis; Rodriguez-Diaz, Camilo Arturo; Callejas-Cuervo, Mauro; Bastos-Filho, Teodiano</t>
  </si>
  <si>
    <t>Multi-Sensory Human-Machine Interfaces for Wheelchair Operation and Posture Monitoring</t>
  </si>
  <si>
    <t>https://ieeexplore.ieee.org/document/10906643/</t>
  </si>
  <si>
    <t>IEEE Transactions on Instrumentation and Measurement</t>
  </si>
  <si>
    <t>10.1109/TIM.2025.3546388</t>
  </si>
  <si>
    <t xml:space="preserve"> Wheelchairs, Sensors, Neck, Pressure sensors, Optical fibers, Optical fiber sensors, Monitoring, Electroencephalography, Sensor systems, Visualization
</t>
  </si>
  <si>
    <t>Leerskov, Kasper</t>
  </si>
  <si>
    <t>Hybrid FES-Robotic Rehabilitation System for Lower Limb Neurorehabilitation: Design and evaluation</t>
  </si>
  <si>
    <t>https://vbn.aau.dk/da/publications/hybrid-fes-robotic-rehabilitation-system-for-lower-limb-neuroreha</t>
  </si>
  <si>
    <t xml:space="preserve"> Aalborg Universitet</t>
  </si>
  <si>
    <t>10.54337/aau768141147</t>
  </si>
  <si>
    <t>Martínez, Isis; Gamero-V., Manuel Adalid</t>
  </si>
  <si>
    <t>Comparative Analysis of Brain Waves in Children with Autism and Typical Development During Recreational Activities</t>
  </si>
  <si>
    <t>https://ieeexplore.ieee.org/document/10891090/</t>
  </si>
  <si>
    <t>2024 IEEE Central America and Panama Student Conference (CONESCAPAN)</t>
  </si>
  <si>
    <t>10.1109/CONESCAPAN62181.2024.10891090</t>
  </si>
  <si>
    <t xml:space="preserve"> Technical requirements, Brain, Autism, Statistical analysis, Software, Complexity theory, Synchronization, Frequency synchronization, Signal resolution, Systematic literature review</t>
  </si>
  <si>
    <t>Yeswanth Kumar, K. R.; Rithik Nair, M. H.; Alex, John Sahaya Rani; Priyadarshini, B.</t>
  </si>
  <si>
    <t>Parkin sense: Multi modal monitoring of Parkinson's disease using open BCI</t>
  </si>
  <si>
    <t>https://www.taylorfrancis.com/books/9781003606208/chapters/10.1201/9781003606208-25</t>
  </si>
  <si>
    <t>Integrated Technologies in Electrical, Electronics and Biotechnology Engineering</t>
  </si>
  <si>
    <t>10.1201/9781003606208-25</t>
  </si>
  <si>
    <t>Gupta, Ekansh; Sivakumar, Raghupathy</t>
  </si>
  <si>
    <t>Response coupling with an auxiliary neural signal for enhancing brain signal detection</t>
  </si>
  <si>
    <t>https://www.nature.com/articles/s41598-025-87414-9</t>
  </si>
  <si>
    <t>10.1038/s41598-025-87414-9</t>
  </si>
  <si>
    <t xml:space="preserve"> Brain–machine interface, Electrical and electronic engineering</t>
  </si>
  <si>
    <t>Sahoo, Shivani; Tayade, Shubham; Sumitra, S.; Manoj, B. S.</t>
  </si>
  <si>
    <t>EEG Data Classification of Odia Words Using ML and DL for BCI Applications</t>
  </si>
  <si>
    <t>https://ieeexplore.ieee.org/document/10882414/</t>
  </si>
  <si>
    <t>2024 International Conference on Brain Computer Interface &amp;amp;amp; Healthcare Technologies (iCon-BCIHT)</t>
  </si>
  <si>
    <t>10.1109/iCon-BCIHT63907.2024.10882414</t>
  </si>
  <si>
    <t xml:space="preserve"> EEG Data, Part-of-speech, Brain-computer Interface Applications, Native Speakers, Support Vector Machine, Highest Accuracy, Machine Learning Classifiers, EEG Recordings, EEG Signals, Brain Signals, Patient Datasets, External Devices, Machine Learning Classification Algorithms, Solution For Patients, Gradient Boosting Machine, Indian Languages, Indian Individuals, Learning Algorithms, Low-pass, Confusion Matrix, Approximation Coefficients, Wavelet Decomposition, Independent Component Analysis, Txt File, CSV File, Wavelet Transform, Simulation Setup, Signal Extraction, Support vector machines, Training, Accuracy, Translation, Medical services, Electroencephalography, Classification algorithms, Bayes methods, Recording, Research and development
</t>
  </si>
  <si>
    <t>Hernández-Cuevas, Bryan Y.; Lewis, Myles; Junkins, Wesley; Crawford, Chris S.; Denham, Andre; Luo, Feiya</t>
  </si>
  <si>
    <t>PhysioML: A Web-Based Tool for Machine Learning Education with Real-Time Physiological Data</t>
  </si>
  <si>
    <t>https://dl.acm.org/doi/10.1145/3641554.3701815</t>
  </si>
  <si>
    <t>Proceedings of the 56th ACM Technical Symposium on Computer Science Education V. 1</t>
  </si>
  <si>
    <t>10.1145/3641554.3701815</t>
  </si>
  <si>
    <t xml:space="preserve"> Applied computing, Education, Interactive learning environments, Computing methodologies, Machine learning, Social and professional topics, Professional topics, Computing education</t>
  </si>
  <si>
    <t>Gelfree BCI Electrode Cap Kit</t>
  </si>
  <si>
    <t>Rao, Wenhao; Xu, Meiyan; Wang, Haochen; Hua, Weicheng; Guo, Jiayang; Zhang, Yongheng; Zhu, Haibin; Zhou, Ziqiu; Xiong, Jiawei; Zhang, Jianbin; Pan, Yijie; Gu, Peipei; Chen, Duo</t>
  </si>
  <si>
    <t>Acupuncture State Detection at Zusanli (ST-36) Based on Scalp EEG and Transformer</t>
  </si>
  <si>
    <t>https://ieeexplore.ieee.org/document/10882902/</t>
  </si>
  <si>
    <t>IEEE Journal of Biomedical and Health Informatics</t>
  </si>
  <si>
    <t>10.1109/JBHI.2025.3540924</t>
  </si>
  <si>
    <t xml:space="preserve"> Acupuncture, Electroencephalography, Transformers, Convolutional neural networks, Needles, Brain modeling, Medical diagnostic imaging, Training, Temperature measurement, Feature extraction</t>
  </si>
  <si>
    <t>Kimoto, Ryosuke; Ohhira, Takashi; Hashimoto, Hideki</t>
  </si>
  <si>
    <t>Body Motion Noise Reduction of Silent Speech Recognition Using Facial Surface EMG&lt;sup&gt;*&lt;/sup&gt;</t>
  </si>
  <si>
    <t>https://ieeexplore.ieee.org/document/10870878/</t>
  </si>
  <si>
    <t>2025 IEEE/SICE International Symposium on System Integration (SII)</t>
  </si>
  <si>
    <t>10.1109/SII59315.2025.10870878</t>
  </si>
  <si>
    <t xml:space="preserve"> Electrodes, Wireless communication, Wireless sensor networks, Accuracy, Noise, Speech recognition, Electromyography, Facial muscles, Surface treatment, Wearable sensors</t>
  </si>
  <si>
    <t>Konno, Daisuke; Izawa, Jun</t>
  </si>
  <si>
    <t>A neural signature of error processing in motor learning measured as error-related negativity</t>
  </si>
  <si>
    <t>https://linkinghub.elsevier.com/retrieve/pii/S2665917424006822</t>
  </si>
  <si>
    <t>Measurement: Sensors</t>
  </si>
  <si>
    <t>10.1016/j.measen.2024.101706</t>
  </si>
  <si>
    <t>motor control trajectory errors internal model error</t>
  </si>
  <si>
    <t>Kao, Hsiao-Wen; Chen, Yan-Cyuan; Wu, Eric Hsiao-Kuang; Yeh, Shih-Ching; Kao, Shih-Chun</t>
  </si>
  <si>
    <t>Loka: A Cross-Platform Virtual Reality Streaming Framework for the Metaverse</t>
  </si>
  <si>
    <t>https://www.mdpi.com/1424-8220/25/4/1066</t>
  </si>
  <si>
    <t>10.3390/s25041066</t>
  </si>
  <si>
    <t>metaverse ; virtual reality ; cloud rendering ; internet of things 1</t>
  </si>
  <si>
    <t>OpenBCI GUI, Cyton+Daisy Board</t>
  </si>
  <si>
    <t>Hamza, Hamza Waleed; Al-Hamadani, Ammar A.; Al-Qazzaz, Noor Kamal</t>
  </si>
  <si>
    <t>EEG Signals Classification Using Novel Acquisition Protocol for Lie Detection System</t>
  </si>
  <si>
    <t>https://iieta.org/journals/isi/paper/10.18280/isi.300113</t>
  </si>
  <si>
    <t>Ingénierie des systèmes d information</t>
  </si>
  <si>
    <t>10.18280/isi.300113</t>
  </si>
  <si>
    <t>&amp;nbsp; electroencephalogram, deep learning algorithms, lie detection, convolution neural network, long short-term memory, multilayer perceptron 1</t>
  </si>
  <si>
    <t>cEEGrid</t>
  </si>
  <si>
    <t>Michael T. Knierim, Fabio Stano, Fabio Kurz, Antonius Heusch, Max L. Wilson</t>
  </si>
  <si>
    <t>Exploring Flow in Real-World Knowledge Work Using Discreet cEEGrid Sensors</t>
  </si>
  <si>
    <t>https://arxiv.org/abs/2501.19217</t>
  </si>
  <si>
    <t>Cornell University</t>
  </si>
  <si>
    <t>10.48550/arXiv.2501.19217</t>
  </si>
  <si>
    <t>Khan, Sallar; Ali, Khawaja Usman; Qadri, Ali Raza Ali; Rizvi, Maisam</t>
  </si>
  <si>
    <t>Silent Speech Interfaces: Non-Invasive Neuromuscular Signal Processing for Assistive Communication</t>
  </si>
  <si>
    <t>https://ieeexplore.ieee.org/document/10849081/</t>
  </si>
  <si>
    <t>2025 IEEE 4th International Conference on AI in Cybersecurity (ICAIC)</t>
  </si>
  <si>
    <t>10.1109/ICAIC63015.2025.10849081</t>
  </si>
  <si>
    <t>N, Keerthika; V, Kiruthika; Sukriti, undefined; E, Sathish; A, Maadesh</t>
  </si>
  <si>
    <t>Feature based cognitive analysis in sports and non-sports individuals using real-time EEG</t>
  </si>
  <si>
    <t>http://digital-library.theiet.org/doi/10.1049/icp.2024.4404</t>
  </si>
  <si>
    <t>IET Conference Proceedings</t>
  </si>
  <si>
    <t>10.1049/icp.2024.4404</t>
  </si>
  <si>
    <t>cognition decision trees electroencephalography feature extraction feature selection independent component analysis learning</t>
  </si>
  <si>
    <t>Flickering white light stimulation at 60 Hz induces strong, widespread neural entrainment and synchrony in healthy subjects</t>
  </si>
  <si>
    <t>http://biorxiv.org/lookup/doi/10.1101/2025.01.27.634699</t>
  </si>
  <si>
    <t>10.1101/2025.01.27.634699</t>
  </si>
  <si>
    <t>Camelo Roa, Sandra Milena; Rodríguez, Belman Jahir</t>
  </si>
  <si>
    <t>Neurofeedback-driven Emotional Regulation Training in a virtual reality environment: a machine learning approach using OpenBCI</t>
  </si>
  <si>
    <t>https://revistas.usb.edu.co/index.php/IJPR/article/view/7467</t>
  </si>
  <si>
    <t>International Journal of Psychological Research</t>
  </si>
  <si>
    <t>10.21500/20112084.7467</t>
  </si>
  <si>
    <t>neurofeedback emotional regulation virtual reality machine learning openbci training neurofeedback regulaci</t>
  </si>
  <si>
    <t>A. Thanabalasingam, D. J. T. Fernando, S. Mahendran, A. G. B. P. Jayasekara and R. A. R. C. Gopura</t>
  </si>
  <si>
    <t>Brain-Controlled Wheelchair Navigation Using Visual Perception in Simulated Indoor Environments</t>
  </si>
  <si>
    <t>https://doi.org/doi: 10.1109/EECon64470.2024.10841863.</t>
  </si>
  <si>
    <t>2024 4th International Conference on Electrical Engineering (EECon)</t>
  </si>
  <si>
    <t>doi: 10.1109/EECon64470.2024.10841863.</t>
  </si>
  <si>
    <t>English</t>
  </si>
  <si>
    <t>Training;Time-frequency analysis;Accuracy;Navigation;Fast Fourier transforms;Wheelchairs;Signal processing algorithms;Electroencephalography;Real-time systems;Classification algorithms;SSVEP;EEG;ROS;Autonomous Wheelchair Navigation;Brain Signal Processing</t>
  </si>
  <si>
    <t>Theeban Raj Shivaraja, Rabani Remli, Wan Asyraf Wan Zaidi, and Kalaivani Chellappan</t>
  </si>
  <si>
    <t>Remote Epilepsy Monitoring: Signal Quality and Reliability Comparative Analysis</t>
  </si>
  <si>
    <t>https://scholar.google.com/scholar_url?url=https://ieeexplore.ieee.org/iel8/6287639/6514899/10844263.pdf&amp;hl=en&amp;sa=X&amp;d=6550892119441711207&amp;ei=aGGOZ5-UEemmy9YPy-7GuAE&amp;scisig=AFWwaeYWiRiddSJsqekFhuzSJoWA&amp;oi=scholaralrt&amp;hist=8WBGhdYAAAAJ:5437843588291773220:AFWwaebmzrq9zPN1CYXQ5l-OkEG-&amp;html=&amp;pos=0&amp;folt=kw</t>
  </si>
  <si>
    <t>IEEE Access PP(99):1-1</t>
  </si>
  <si>
    <t>DOI:10.1109/ACCESS.2025.3531130</t>
  </si>
  <si>
    <t>Electroencephalography, epilepsy, remote monitoring, signal analysis, wearable
technology</t>
  </si>
  <si>
    <t>Minfeng Tang, Chengliang Fan, Juhuang Song, Hongyu Chen, Luyao Bai, Zheng Fang, Yugang Liu, Zutao Zhang</t>
  </si>
  <si>
    <t>A hybrid vibration energy harvester based on flexible connection for train monitoring</t>
  </si>
  <si>
    <t>https://scholar.google.com/scholar_url?url=https://www.sciencedirect.com/science/article/pii/S0888327025000482&amp;hl=en&amp;sa=X&amp;d=13744526941664129611&amp;ei=qd-MZ8HTNKHfy9YPq-HH2AY&amp;scisig=AFWwaeYxkkdItlMzKO9MitGinngO&amp;oi=scholaralrt&amp;hist=8WBGhdYAAAAJ:5437843588291773220:AFWwaebmzrq9zPN1CYXQ5l-OkEG-&amp;html=&amp;pos=0&amp;folt=kw</t>
  </si>
  <si>
    <t>Mechanical Systems and Signal Processing
Volume 226, 1 March 2025, 112347</t>
  </si>
  <si>
    <t>https://doi.org/10.1016/j.ymssp.2025.112347.</t>
  </si>
  <si>
    <t xml:space="preserve">Vibration energy recovery; Self-powered vibration-sensing; Host-friendliness; Train transportation
</t>
  </si>
  <si>
    <t xml:space="preserve">Saffaryazdi, Nastaran &amp; Gunasekaran, Tamil &amp; Laveys, Kate &amp; Broadbent, Elizabeth &amp; Billinghurst, Mark. </t>
  </si>
  <si>
    <t>Empathetic Conversational Agents: Utilizing Neural and Physiological Signals for Enhanced Empathetic Interactions</t>
  </si>
  <si>
    <t>https://scholar.google.com/scholar_url?url=https://arxiv.org/pdf/2501.08393&amp;hl=en&amp;sa=X&amp;d=4019097504527394886&amp;ei=nH6LZ7maN8-Z6rQPtZnLgAg&amp;scisig=AFWwaeY3S4dinGP_g3vPCZNAt0A_&amp;oi=scholaralrt&amp;hist=8WBGhdYAAAAJ:5437843588291773220:AFWwaebmzrq9zPN1CYXQ5l-OkEG-&amp;html=&amp;pos=0&amp;folt=kw</t>
  </si>
  <si>
    <t>Association for Computing Machinery.</t>
  </si>
  <si>
    <t xml:space="preserve">DOI:  10.48550/arXiv.2501.08393. </t>
  </si>
  <si>
    <t xml:space="preserve"> Conversational agent, emotion recognition, empathy, physiological signals,
Electroencephalogram, Electrodermal activity, Photoplethysmogram</t>
  </si>
  <si>
    <t xml:space="preserve">Lu, Jianchao &amp; Tian, Yuzhe &amp; Zhang, Yang &amp; Sheng, Quan &amp; Zheng, Xi. </t>
  </si>
  <si>
    <t>LGL-BCI: A Motor-Imagery-Based Brain–Computer Interface with
Geometric Learning</t>
  </si>
  <si>
    <t>https://scholar.google.com/scholar_url?url=https://arxiv.org/pdf/2501.05589&amp;hl=en&amp;sa=X&amp;d=3703460010045057963&amp;ei=b8aHZ8WjBKHfy9YPq-HH2AY&amp;scisig=AFWwaebPXQCk2sImtTgOT6gPzs2m&amp;oi=scholaralrt&amp;hist=8WBGhdYAAAAJ:5437843588291773220:AFWwaebmzrq9zPN1CYXQ5l-OkEG-&amp;html=&amp;pos=0&amp;folt=kw</t>
  </si>
  <si>
    <t xml:space="preserve">10.48550/arXiv.2501.05589. </t>
  </si>
  <si>
    <t xml:space="preserve">DOI: 10.48550/arXiv.2501.05589. </t>
  </si>
  <si>
    <t>Brain–computer interface, Motor imagery, Electroencephalogram signal processing, Geometric deep learning, Symmetric positive definite manifold</t>
  </si>
  <si>
    <t>D. del Rosario-Gilabert, I. Vigué-Guix</t>
  </si>
  <si>
    <t>Unveiling the EEG signatures of extrasensory perception during spiritual experiences: A single-case study with a well-renowned channeler</t>
  </si>
  <si>
    <t>https://scholar.google.com/scholar_url?url=https://www.sciencedirect.com/science/article/pii/S1550830725000059&amp;hl=en&amp;sa=X&amp;d=5013894352339868070&amp;ei=pOyEZ_O_OLO5y9YPw734iAo&amp;scisig=AFWwaebyI-8nUdrfVV-FJ0ib7ISq&amp;oi=scholaralrt&amp;hist=8WBGhdYAAAAJ:5437843588291773220:AFWwaebmzrq9zPN1CYXQ5l-OkEG-&amp;html=&amp;pos=0&amp;folt=kw</t>
  </si>
  <si>
    <t>EXPLORE, Volume 21, Issue 2, 2025, 103114, ISSN 1550-8307</t>
  </si>
  <si>
    <t>https://doi.org/10.1016/j.explore.2025.103114.</t>
  </si>
  <si>
    <t xml:space="preserve">Mediumship; Channeling; EEG; Extrasensory perception; Mental states
</t>
  </si>
  <si>
    <t>Salman Al Maghribi Suwandi, Ayumi Ohnishi, Tsutomo Terada, Masahiko Tsukamoto</t>
  </si>
  <si>
    <t>SSVEP Brain-Computer Interface Performance Examination Based on the
Color and Shape Stimulus Configuration</t>
  </si>
  <si>
    <t>https://scholar.google.com/scholar_url?url=https://www.ascspublications.org/wp-content/uploads/woocommerce_uploads/2024/12/Jbins3Vol.Issue1_12_30_2024.pdf&amp;hl=en&amp;sa=X&amp;d=16576539562819622197&amp;ei=dpaDZ77zD8qP6rQP6LbOiQ4&amp;scisig=AFWwaeZwUFy-cLfcxEuehYvt068p&amp;oi=scholaralrt&amp;hist=8WBGhdYAAAAJ:5437843588291773220:AFWwaebmzrq9zPN1CYXQ5l-OkEG-&amp;html=&amp;pos=0&amp;folt=kw</t>
  </si>
  <si>
    <t xml:space="preserve">Journal of Bioinformatics and Neuroscience (JBINS), 11 </t>
  </si>
  <si>
    <t>Brain-computer Interface, SSVEP, Electroencephalograph, Human Visual System</t>
  </si>
  <si>
    <t>S.I. Chuprina, I.A. Labutin</t>
  </si>
  <si>
    <t>A High-Level Adaptation Toolkit for Unified Integration of Software Systems with Neural Interfaces</t>
  </si>
  <si>
    <t>https://scholar.google.com/scholar_url?url=https://sv-journal.org/2024-4/02/en.pdf&amp;hl=en&amp;sa=X&amp;d=9301085894881901819&amp;ei=-LV7Z8zaF4qay9YP7vuXyQg&amp;scisig=AFWwaeYabZlRfggAZxeoilgEn1gr&amp;oi=scholaralrt&amp;hist=8WBGhdYAAAAJ:5437843588291773220:AFWwaebmzrq9zPN1CYXQ5l-OkEG-&amp;html=&amp;pos=0&amp;folt=kw</t>
  </si>
  <si>
    <t>Scientific Visualization, 2024, volume 16, number 4, pages 11 - 24</t>
  </si>
  <si>
    <t>https://doi.org/10.26583/sv.16.4.02</t>
  </si>
  <si>
    <t>neurointerface, brain-computer interface, Internet of Things, ontology engineering, high-level integration, real-time data visualization</t>
  </si>
  <si>
    <t>Batista, I.T.P., Queiroz, K.M., Souza Menezes, C.E. et al.</t>
  </si>
  <si>
    <t>Development of a digital memory and learning test for elderly individuals</t>
  </si>
  <si>
    <t>https://bmcgeriatr.biomedcentral.com/articles/10.1186/s12877-024-05421-3</t>
  </si>
  <si>
    <t xml:space="preserve"> BMC Geriatr 25, 3</t>
  </si>
  <si>
    <t>https://doi.org/10.1186/s12877-024-05421-3</t>
  </si>
  <si>
    <t>Elderly, Cognitive training, Memory and learning tests, Neuropsychological tests, Electroencephalography</t>
  </si>
  <si>
    <t>Joel S Burma et al</t>
  </si>
  <si>
    <t>A multimodal neuroimaging study of cerebrovascular regulation: protocols and insights of combining electroencephalography, functional near-infrared spectroscopy, transcranial Doppler ultrasound, and physiological parameters</t>
  </si>
  <si>
    <t>https://scholar.google.com/scholar_url?url=https://iopscience.iop.org/article/10.1088/1741-2552/ada4de/pdf&amp;hl=en&amp;sa=X&amp;d=1143076876349024365&amp;ei=ZVp6Z4a7H5OW6rQP3-rzuQM&amp;scisig=AFWwaeaNbeC4RyZKFdd1Iz4AWooq&amp;oi=scholaralrt&amp;hist=8WBGhdYAAAAJ:5437843588291773220:AFWwaebmzrq9zPN1CYXQ5l-OkEG-&amp;html=&amp;pos=0&amp;folt=kw</t>
  </si>
  <si>
    <t>J. Neural Eng. 22 016003</t>
  </si>
  <si>
    <t>https://doi.org/10.1088/1741-2552/ada4de</t>
  </si>
  <si>
    <t>electroencephalography, functional near-infrared spectroscopy, transcranial Doppler ultrasound, multimodal, neuroimaging, cerebrovascular</t>
  </si>
  <si>
    <t>Liu, Y., Huang, S., Xu, W. et al.</t>
  </si>
  <si>
    <t>An fMRI study on the generalization of motor learning after brain actuated supernumerary robot training</t>
  </si>
  <si>
    <t>https://scholar.google.com/scholar_url?url=https://www.nature.com/articles/s41539-024-00294-y&amp;hl=en&amp;sa=X&amp;d=13030632392103648732&amp;ei=ih91Z8_yKZOW6rQP3-rzuQM&amp;scisig=AFWwaeZnaks68xwREhdPvkLTQO6k&amp;oi=scholaralrt&amp;hist=8WBGhdYAAAAJ:5437843588291773220:AFWwaebmzrq9zPN1CYXQ5l-OkEG-&amp;html=&amp;pos=0&amp;folt=kw</t>
  </si>
  <si>
    <t xml:space="preserve">npj Science of Learning volume 9, Article number: 80 (2024) </t>
  </si>
  <si>
    <t>https://doi.org/10.1038/s41539-024-00294-y</t>
  </si>
  <si>
    <t>S. SharghiLavan, O. Geman and R. Toderean</t>
  </si>
  <si>
    <t>Speech Perception and Speech Attention: A Case Study Based on Event-Related Potential Using the OpenBCI System</t>
  </si>
  <si>
    <t>https://scholar.google.com/scholar_url?url=https://ieeexplore.ieee.org/abstract/document/10805747/&amp;hl=en&amp;sa=X&amp;d=4645206465876728450&amp;ei=Tj9xZ4uhF4qay9YP7vuXyQg&amp;scisig=AFWwaeb1_f_MHmVHvYyCDx3IhZGh&amp;oi=scholaralrt&amp;hist=8WBGhdYAAAAJ:5437843588291773220:AFWwaebmzrq9zPN1CYXQ5l-OkEG-&amp;html=&amp;pos=0&amp;folt=kw</t>
  </si>
  <si>
    <t>2024 E-Health and Bioengineering Conference (EHB), IASI, Romania, 2024, pp. 1-4</t>
  </si>
  <si>
    <t>doi: 10.1109/EHB64556.2024.10805747.</t>
  </si>
  <si>
    <t>Autism;Design methodology;Syntactics;Biomedical engineering;Event-Related Potential (ERP);Autism;Language;Speech;BCl;Auditory;Perception;Attention</t>
  </si>
  <si>
    <t>Kiyn Chin, Michael Vinciguerra, Dinesh K. Patel, Peter Roberts Olcay,
Eldy S. Lazaro Vasquez, and Carmel Majidi</t>
  </si>
  <si>
    <t>Accessible Soft Electronics with Silver-Gelatin Conductive Hydrogel Composite</t>
  </si>
  <si>
    <t>https://scholar.google.com/scholar_url?url=https://advanced.onlinelibrary.wiley.com/doi/pdf/10.1002/admt.202401193&amp;hl=en&amp;sa=X&amp;d=16228187293792314233&amp;ei=_hBsZ_yDAsKM6rQP6_3j2Ao&amp;scisig=AFWwaeaQ4UlHNq6HsUt_2ev8J3TE&amp;oi=scholaralrt&amp;hist=8WBGhdYAAAAJ:5437843588291773220:AFWwaebmzrq9zPN1CYXQ5l-OkEG-&amp;html=&amp;pos=0&amp;folt=kw</t>
  </si>
  <si>
    <t xml:space="preserve">Adv. Mater. Technol. 2024, 2401193 </t>
  </si>
  <si>
    <t>DOI: 10.1002/admt.202401193</t>
  </si>
  <si>
    <t>biomaterials, conductive composites, gelatin, hydrogels, soft electronics</t>
  </si>
  <si>
    <t>Guptasarma, S., Vuong, B.B., Okamura, A.M., Kennedy III, M.</t>
  </si>
  <si>
    <t>Facial Haptic Feedback for Robotic Prostheses</t>
  </si>
  <si>
    <t>https://link.springer.com/chapter/10.1007/978-3-031-77584-0_61</t>
  </si>
  <si>
    <t>Biosystems &amp; Biorobotics ((BIOSYSROB,volume 32))</t>
  </si>
  <si>
    <t>DOI: https://doi.org/10.1007/978-3-031-77584-0_61</t>
  </si>
  <si>
    <t>Katelyn Lee, Runsheng Wang, Ava Chen, Lauren Winterbottom, Ho Man Colman Leung, Lisa Maria DiSalvo, Iris Xu, Jingxi Xu, Dawn M. Nilsen, Joel Stein, Xia Zhou and Matei Ciocarlie</t>
  </si>
  <si>
    <t>Fabric Sensing of Intrinsic Hand Muscle Activity</t>
  </si>
  <si>
    <t>https://arxiv.org/pdf/2412.14185</t>
  </si>
  <si>
    <t>arXiv:2412.14185v1</t>
  </si>
  <si>
    <t>Image-to-Text, text Classification, Table Question Answering, Question Answering, Summarization, Feature, Extraction, Text Generation, Text2Text Generation, Time Series Forecasting, Robotics</t>
  </si>
  <si>
    <t>Lucila Capurro, Michael Radloff, Luis Ignacio Brusco, Rodrigo Ramele, Cecilia Forcato</t>
  </si>
  <si>
    <t>Changes in Brain Oscillatory Dynamics in Elderly Adults as a Consequence of Natural Aging</t>
  </si>
  <si>
    <t>https://scholar.google.com/scholar_url?url=https://www.researchsquare.com/article/rs-5655250/latest.pdf&amp;hl=en&amp;sa=X&amp;d=4145350129779656241&amp;ei=TF5oZ8y1HYCX6rQPjNn28Q0&amp;scisig=AFWwaeYHkoOvC8JOmE5FR83RA2m5&amp;oi=scholaralrt&amp;hist=8WBGhdYAAAAJ:15302681845162797931:AFWwaeb_A56JmNpp1X3JC5DUfQEA&amp;html=&amp;pos=0&amp;folt=kw</t>
  </si>
  <si>
    <t>Research Square</t>
  </si>
  <si>
    <r>
      <rPr>
        <rFont val="Arial"/>
      </rPr>
      <t xml:space="preserve">DOI: </t>
    </r>
    <r>
      <rPr>
        <rFont val="Arial"/>
        <color rgb="FF1155CC"/>
        <u/>
      </rPr>
      <t>https://doi.org/10.21203/rs.3.rs-5655250/v1</t>
    </r>
  </si>
  <si>
    <t>Aura Ximena Gonzalez-Cely, Cristian Felipe Blanco-Diaz, Cristian David Guerrero-Mendez, Ana Cecilia Villa-Parra  and Teodiano Bastos-Filho</t>
  </si>
  <si>
    <t>Classification of opening/closing hand motor imagery induced by left and right robotic gloves through EEG signals</t>
  </si>
  <si>
    <t>https://scholar.google.com/scholar_url?url=https://revistas.utb.edu.co/tesea/article/download/579/433&amp;hl=en&amp;sa=X&amp;d=10056253333484240099&amp;ei=3pVlZ5WcMYCX6rQPjNn28Q0&amp;scisig=AFWwaeZNKhLuJfhv2-n7unnOKoJE&amp;oi=scholaralrt&amp;hist=8WBGhdYAAAAJ:5437843588291773220:AFWwaebmzrq9zPN1CYXQ5l-OkEG-&amp;html=&amp;pos=1&amp;folt=kw</t>
  </si>
  <si>
    <t>Transactions on Energy Systems and Engineering Applications, 5(2): 579, 2024</t>
  </si>
  <si>
    <t>https://doi.org/10.32397/tesea.vol5.n2.579</t>
  </si>
  <si>
    <t>S. A. M. Suwandi, A. Ohnishi, T. Terada and M. Tsukamoto</t>
  </si>
  <si>
    <t>Investigation of Color and Shape Stimulus Configuration to SSVEP Brain-Computer Interface Performance</t>
  </si>
  <si>
    <t>https://ieeexplore.ieee.org/abstract/document/10792829</t>
  </si>
  <si>
    <t>2024 9th International Conference on Intelligent Informatics and Biomedical Sciences (ICIIBMS)</t>
  </si>
  <si>
    <t>doi: 10.1109/ICIIBMS62405.2024.10792829.</t>
  </si>
  <si>
    <t>Visualization;Shape;Color;Visual systems;Brain-computer interfaces;Steady-state;Recording;Time factors;Informatics;Monitoring;Brain-Computer Interface;SSVEP;Electroencephalograph;Human Visual System</t>
  </si>
  <si>
    <t>Huang, F. C.; Sun, X. D.; Shi, Y.; Pan, L. J.</t>
  </si>
  <si>
    <t>Textile electronics for ubiquitous health monitoring</t>
  </si>
  <si>
    <t>https://www.oaepublish.com/articles/ss.2024.37</t>
  </si>
  <si>
    <t>Soft Sci. 2024, 4, 40</t>
  </si>
  <si>
    <r>
      <rPr>
        <rFont val="Arial"/>
      </rPr>
      <t xml:space="preserve"> </t>
    </r>
    <r>
      <rPr>
        <rFont val="Arial"/>
        <color rgb="FF1155CC"/>
        <u/>
      </rPr>
      <t>http://dx.doi.org/10.20517/ss.2024.37</t>
    </r>
    <r>
      <rPr>
        <rFont val="Arial"/>
      </rPr>
      <t xml:space="preserve">
</t>
    </r>
  </si>
  <si>
    <t>Textile electronics, functional fiber, healthcare monitoring, integration strategies, wearable electronics</t>
  </si>
  <si>
    <t>J. M. Rada, L. M. Zapata Saldarriaga, E. M. Guevara, S. G. Cuartas, D. F. Aguillón Niño and J. F. Ochoa Gómez</t>
  </si>
  <si>
    <t>Simultaneous Dual-Task and Brain Activity Evaluation</t>
  </si>
  <si>
    <t>https://scholar.google.com/scholar_url?url=https://ieeexplore.ieee.org/abstract/document/10784772/&amp;hl=en&amp;sa=X&amp;d=9670495188076322322&amp;ei=HuVfZ_OHBvuh6rQP5JSQeA&amp;scisig=AFWwaeaACSUd5Wesu1G5aIr2-QK0&amp;oi=scholaralrt&amp;hist=8WBGhdYAAAAJ:5437843588291773220:AFWwaebmzrq9zPN1CYXQ5l-OkEG-&amp;html=&amp;pos=3&amp;folt=kw</t>
  </si>
  <si>
    <t>2024 3rd International Congress of Biomedical Engineering and Bioengineering (CIIBBI), Cali, Colombia, 2024, pp. 1-6</t>
  </si>
  <si>
    <t>doi: 10.1109/CIIBBI63846.2024.10784772</t>
  </si>
  <si>
    <t>Protocols;Telemedicine;Kinematics;Motors;Electroencephalography;Medical diagnosis;Elbow;Monitoring;Diseases;Biomedical engineering;Dual-task;EEG;monitoring;neurodegenerative diseases;older adults</t>
  </si>
  <si>
    <t>B. P. Prathaban, R. Subash, S. D, D. Ferlin Deva Shahila and S. Usha</t>
  </si>
  <si>
    <t>BCI based Ambient Assisted Living (AAL) of Lock-in-Syndrome (LIS)</t>
  </si>
  <si>
    <t>https://scholar.google.com/scholar_url?url=https://ieeexplore.ieee.org/abstract/document/10780287/&amp;hl=en&amp;sa=X&amp;d=5764204531683563830&amp;ei=HuVfZ_OHBvuh6rQP5JSQeA&amp;scisig=AFWwaeZ7QWtdU9_QWDawckU2LaBb&amp;oi=scholaralrt&amp;hist=8WBGhdYAAAAJ:5437843588291773220:AFWwaebmzrq9zPN1CYXQ5l-OkEG-&amp;html=&amp;pos=1&amp;folt=kw</t>
  </si>
  <si>
    <t>2024 International Conference on Power, Energy, Control and Transmission Systems (ICPECTS)</t>
  </si>
  <si>
    <t>doi: 10.1109/ICPECTS62210.2024.10780287.</t>
  </si>
  <si>
    <t>Drugs;Visualization;Electric potential;Ambient assisted living;Brainstem;Brain modeling;Electroencephalography;Brain-computer interfaces;Software;Steady-state;Brain Computer Interface;EEG;ERP;OpenBCI;P300;Steady State Visual Evoked Potential;Event Related Potential</t>
  </si>
  <si>
    <t>Kabeer, A. and Megalingam, Rajesh Kannan and Sakthiprasad, K.</t>
  </si>
  <si>
    <t>Brain–Computer Interfaces for Mobility Assistance: A Comparative Analysis of EEG-Based Classification Models for Brain-Controlled Wheelchairs</t>
  </si>
  <si>
    <t>https://www.researchgate.net/publication/385389496_Brain-Computer_Interfaces_for_Mobility_Assistance_A_Comparative_Analysis_of_EEG-Based_Classification_Models_for_Brain-Controlled_Wheelchairs</t>
  </si>
  <si>
    <t>Proceedings of the Second Congress on Control, Robotics, and Mechatronics (pp.245-256)</t>
  </si>
  <si>
    <t>DOI: 10.1007/978-981-97-6810-3_20</t>
  </si>
  <si>
    <t>S. G. Cuartas, E. M. Guevara, J. M. Rada, L. M. Zapata Saldarriaga and J. F. Ochoa Gomez</t>
  </si>
  <si>
    <t>BrainView: A Novel Platform for Acquisition, Processing, and Warehouse of EEG Signals from a Portable Device</t>
  </si>
  <si>
    <t>https://scholar.google.com/scholar_url?url=https://ieeexplore.ieee.org/abstract/document/10784751/&amp;hl=en&amp;sa=X&amp;d=18349905168998312162&amp;ei=HuVfZ_OHBvuh6rQP5JSQeA&amp;scisig=AFWwaeaRfrhTth35RJ7WIDPFv034&amp;oi=scholaralrt&amp;hist=8WBGhdYAAAAJ:5437843588291773220:AFWwaebmzrq9zPN1CYXQ5l-OkEG-&amp;html=&amp;pos=0&amp;folt=kw</t>
  </si>
  <si>
    <t>2024 3rd International Congress of Biomedical Engineering and Bioengineering (CIIBBI)</t>
  </si>
  <si>
    <t>doi: 10.1109/CIIBBI63846.2024.10784751.</t>
  </si>
  <si>
    <t>Data visualization;Electroencephalography;Real-time systems;Recording;Visual databases;Usability;Monitoring;Diseases;Testing;Biomedical engineering;electroencephalography (EEG);Wearable Technologies;OpenBCI;Acquisition Platform;Visualization and Storage of Biosignals</t>
  </si>
  <si>
    <t>MO XIA, HONGXI XUE, BONING LI, and JIANTING CAO</t>
  </si>
  <si>
    <t>Real-time Detection of Deep Sleep and Intervention</t>
  </si>
  <si>
    <t>https://scholar.google.com/scholar_url?url=https://ieeexplore.ieee.org/iel8/6287639/6514899/10788712.pdf&amp;hl=en&amp;sa=X&amp;d=338561209553599573&amp;ei=xvpeZ6ziK57Iy9YP6KKEiAM&amp;scisig=AFWwaeb1m_k7UHh0irVasnk8yQot&amp;oi=scholaralrt&amp;hist=8WBGhdYAAAAJ:5437843588291773220:AFWwaebmzrq9zPN1CYXQ5l-OkEG-&amp;html=&amp;pos=0&amp;folt=kw</t>
  </si>
  <si>
    <t>DOI: 10.1109/ACCESS.2024.3514890</t>
  </si>
  <si>
    <t>Deep Learning, EEG, Real-time Detection, Sleep Health</t>
  </si>
  <si>
    <t>Syed Saim Gardezi, Soyiba Jawed, Mahnoor Khan, Muneeba Bukhari, and Rizwan Ahmed Khan</t>
  </si>
  <si>
    <t>Robust Feature Engineering Techniques for Designing Efficient Motor Imagery-Based BCI-Systems</t>
  </si>
  <si>
    <t>https://scholar.google.com/scholar_url?url=https://arxiv.org/pdf/2412.07175&amp;hl=en&amp;sa=X&amp;d=8600538035406407004&amp;ei=8O5bZ_2MBdXEy9YP1J6M0AQ&amp;scisig=AFWwaeaQJlBpZF6eC676iyuTaP-B&amp;oi=scholaralrt&amp;hist=8WBGhdYAAAAJ:5437843588291773220:AFWwaebmzrq9zPN1CYXQ5l-OkEG-&amp;html=&amp;pos=0&amp;folt=kw</t>
  </si>
  <si>
    <t xml:space="preserve"> arXiv:2412.07175</t>
  </si>
  <si>
    <t>DOI:10.48550/arXiv.2412.07175</t>
  </si>
  <si>
    <t>Neuro-rehabilitation, BCI System, Motor Imagery,
Feature Engineering, MI Limb EEG Dataset, Machine Learning</t>
  </si>
  <si>
    <t xml:space="preserve">Niforatos, E., He, T., Vourvopoulos, A., &amp; Giannakos, M. </t>
  </si>
  <si>
    <t>Democratizing EEG: Embedding Electroencephalography in a Head-Mounted Display for Ubiquitous Brain-Computer Interfacing</t>
  </si>
  <si>
    <t>https://www.tandfonline.com/doi/full/10.1080/10447318.2024.2388368</t>
  </si>
  <si>
    <t>International Journal of Human–Computer Interaction, 1–25.</t>
  </si>
  <si>
    <t>https://doi.org/10.1080/10447318.2024.2388368</t>
  </si>
  <si>
    <t>Electroencephalography, head-mounted displays, smart glasses, brain-computer interfaces, neuroergononics</t>
  </si>
  <si>
    <t>I. Grichi, M. Jaberi and T. H. Falk</t>
  </si>
  <si>
    <t>Biosensor-Instrumented xR Headsets: A Double-Edged Sword for User Identity and Privacy Management in the Metaverse</t>
  </si>
  <si>
    <t>https://ieeexplore.ieee.org/abstract/document/10765181</t>
  </si>
  <si>
    <t>2024 IEEE International Symposium on Mixed and Augmented Reality Adjunct (ISMAR-Adjunct)</t>
  </si>
  <si>
    <t>doi: 10.1109/ISMAR-Adjunct64951.2024.00012.</t>
  </si>
  <si>
    <t>Headphones;Access control;Privacy;Data privacy;Metaverse;Electroencephalography;Information filtering;Biosensors;Biomedical monitoring;Information integrity;xR;biosensors;identity;privacy;anonymization</t>
  </si>
  <si>
    <t xml:space="preserve">Shyamal Y. Dharia </t>
  </si>
  <si>
    <t>Advancing EEG-Based Emotion Recognition: Multimodal Techniques, Channel Optimization, and Insights into Subjective Emotion Perception</t>
  </si>
  <si>
    <t>https://winnspace.uwinnipeg.ca/bitstream/handle/10680/2180/Dharia_Shyamal_MSc_thesis_2024.pdf?sequence=1</t>
  </si>
  <si>
    <t xml:space="preserve">Department of Applied Computer Science
University of Winnipeg </t>
  </si>
  <si>
    <t xml:space="preserve"> Electroencephalography (EEG), Emotion Recognition, Event-Related Potentials
(ERPs), Multimodal Deep Learning </t>
  </si>
  <si>
    <t>M. Ogino</t>
  </si>
  <si>
    <t>Evaluating the Feasibility of Affordable Auditory BCIs for Communication in ALS Patients</t>
  </si>
  <si>
    <t>https://scholar.google.com/scholar_url?url=https://ieeexplore.ieee.org/abstract/document/10760317/&amp;hl=en&amp;sa=X&amp;d=1934303467678149086&amp;ei=U6RMZ5bhJZ7Iy9YPk5DIuQU&amp;scisig=AFWwaeZ69K_9-OJbjFtEtuIfFtMx&amp;oi=scholaralrt&amp;hist=8WBGhdYAAAAJ:5437843588291773220:AFWwaebmzrq9zPN1CYXQ5l-OkEG-&amp;html=&amp;pos=0&amp;folt=kw</t>
  </si>
  <si>
    <t>2024 IEEE 13th Global Conference on Consumer Electronics (GCCE)</t>
  </si>
  <si>
    <t>doi: 10.1109/GCCE62371.2024.10760317.</t>
  </si>
  <si>
    <t>Performance evaluation;Neurological diseases;Electric potential;Brain;Accuracy;Muscles;Electroencephalography;Consumer electronics;brain–computer interface;signal processing;electroencephalogram;communication</t>
  </si>
  <si>
    <t>Hironori Watanabe, Satoshi Shibuya, Yuta Masuda, Taisuke Sugi, Kiyoshi Saito, Kei Nagashima</t>
  </si>
  <si>
    <t>Spatial and temporal patterns of brain neural activity mediating human thermal sensations</t>
  </si>
  <si>
    <t>https://scholar.google.com/scholar_url?url=https://www.ibroneuroscience.org/article/S0306-4522(24)00633-X/fulltext&amp;hl=en&amp;sa=X&amp;d=5270483328089068148&amp;ei=2ZtEZ7i_ENyj6rQPg__02QQ&amp;scisig=AFWwaea3eIE-m-UFCVE1H_IWsZa1&amp;oi=scholaralrt&amp;hist=8WBGhdYAAAAJ:5437843588291773220:AFWwaebmzrq9zPN1CYXQ5l-OkEG-&amp;html=&amp;pos=0&amp;folt=kw</t>
  </si>
  <si>
    <t>Neuroscience, Volume 564 p260-270 January 09, 2025</t>
  </si>
  <si>
    <t>https://doi.org/10.1016/j.neuroscience.2024.11.045</t>
  </si>
  <si>
    <t>Thermal perception, Discriminative component, Electroencephalography, Dipole analysis, Event-related spectral perturbation, Thermal stimulus</t>
  </si>
  <si>
    <t>C. Likhitha, P. S. S, N. Sunil, S. Tayade, S. Sumitra and B. S. Manoj</t>
  </si>
  <si>
    <t>Classification of EEG Signals for Telugu Vowels</t>
  </si>
  <si>
    <t>https://scholar.google.com/scholar_url?url=https://ieeexplore.ieee.org/abstract/document/10752265/&amp;hl=en&amp;sa=X&amp;d=12044883069830944302&amp;ei=zU9AZ7GGBJ236rQP5I_LyQE&amp;scisig=AFWwaeZLkIX0di1m1cD_YrTnKBXn&amp;oi=scholaralrt&amp;hist=8WBGhdYAAAAJ:5437843588291773220:AFWwaebmzrq9zPN1CYXQ5l-OkEG-&amp;html=&amp;pos=1&amp;folt=kw</t>
  </si>
  <si>
    <t>2024 IEEE Region 10 Symposium (TENSYMP)</t>
  </si>
  <si>
    <t>doi: 10.1109/TENSYMP61132.2024.10752265.</t>
  </si>
  <si>
    <t>Accuracy;Process control;Linguistics;Boosting;Feature extraction;Electroencephalography;Robustness;Ensemble learning;Random forests;Testing;EEG;Machine learning;Neurodegenerative Disorders;Power spectral density;Classification;Vocal;Subvocal</t>
  </si>
  <si>
    <t>S. Tayade, C. Likhitha, S. Sumitra and B. S. Manoi</t>
  </si>
  <si>
    <t>Machine Learning-Based Classification of Marathi Words for Brain-Computer Interface Applications</t>
  </si>
  <si>
    <t>https://scholar.google.com/scholar_url?url=https://ieeexplore.ieee.org/abstract/document/10752169/&amp;hl=en&amp;sa=X&amp;d=15724404164648191371&amp;ei=zU9AZ7GGBJ236rQP5I_LyQE&amp;scisig=AFWwaeYtJobLtyUdMI1MZrpa6q-S&amp;oi=scholaralrt&amp;hist=8WBGhdYAAAAJ:5437843588291773220:AFWwaebmzrq9zPN1CYXQ5l-OkEG-&amp;html=&amp;pos=0&amp;folt=kw</t>
  </si>
  <si>
    <t>doi: 10.1109/TENSYMP61132.2024.10752169.</t>
  </si>
  <si>
    <t>Support vector machines;Training;Performance evaluation;Accuracy;Machine learning;Feature extraction;Electroencephalography;Brain-computer interfaces;Bayes methods;Testing;Brain-Computer Interface;Machine Learning;EEG;Signal Processing;Marathi</t>
  </si>
  <si>
    <t>AlQahtani, Nouf Jubran, Ibraheem Al-Naib, Ijlal Shahrukh Ateeq, and Murad Althobaiti</t>
  </si>
  <si>
    <t>Hybrid Functional Near-Infrared Spectroscopy System and Electromyography for Prosthetic Knee Control</t>
  </si>
  <si>
    <t>https://scholar.google.com/scholar_url?url=https://www.mdpi.com/2079-6374/14/11/553&amp;hl=en&amp;sa=X&amp;d=11773865635898594621&amp;ei=yJc5Z7KUG9-uy9YP_sbV-Qs&amp;scisig=AFWwaeaCtARLseJ4h4Ikj-wpZULD&amp;oi=scholaralrt&amp;hist=8WBGhdYAAAAJ:5437843588291773220:AFWwaebmzrq9zPN1CYXQ5l-OkEG-&amp;html=&amp;pos=1&amp;folt=kw</t>
  </si>
  <si>
    <t>Biosensors 2024, 14, 553.</t>
  </si>
  <si>
    <t>https://doi.org/10.3390/bios14110553</t>
  </si>
  <si>
    <t>neurorehabilitation; electromyography (EMG); brain–computer interfaces (BCIs); functional near-infrared spectroscopy (fNIRS); motor imagery (MI); lower prosthetic limbs</t>
  </si>
  <si>
    <t>R. Šajina, R. Šajina and N. Tanković</t>
  </si>
  <si>
    <t>Efficient Personalized EEG-Based Action Recognition: Unveiling Minimal Training Requirements</t>
  </si>
  <si>
    <t>https://scholar.google.com/scholar_url?url=https://ieeexplore.ieee.org/abstract/document/10737575/&amp;hl=en&amp;sa=X&amp;d=13619585751740314394&amp;ei=xDYvZ7mwE7Os6rQPzZTH4AM&amp;scisig=AFWwaeZP5e3zy82FM6cSmz8BKRTK&amp;oi=scholaralrt&amp;hist=8WBGhdYAAAAJ:5437843588291773220:AFWwaebmzrq9zPN1CYXQ5l-OkEG-&amp;html=&amp;pos=0&amp;folt=kw</t>
  </si>
  <si>
    <t>2024 IEEE 22nd Jubilee International Symposium on Intelligent Systems and Informatics (SISY)</t>
  </si>
  <si>
    <t>doi: 10.1109/SISY62279.2024.10737575.</t>
  </si>
  <si>
    <t>Training;Analytical models;Accuracy;Transfer learning;Training data;Brain modeling;Data models;Electroencephalography;Optimization;Batch normalization;EEG;OpenBCI;CNN;personalization;visual perception</t>
  </si>
  <si>
    <t>Sulistyono, Marcelinus Yosep Teguh; Pane, Evi Septiana; Yuniarno, Eko Mulyanto; Purnono, Mauridhi Hery</t>
  </si>
  <si>
    <t>Hybrid Significant Stroke Feature: A Novel Stroke Feature Analysis Approach for Stroke Severity Classification of EEG Signals Based on Time Domain, Frequency Domain, and Signal Decomposition Domain.</t>
  </si>
  <si>
    <t>https://scholar.google.com/scholar_url?url=https://search.ebscohost.com/login.aspx%3Fdirect%3Dtrue%26profile%3Dehost%26scope%3Dsite%26authtype%3Dcrawler%26jrnl%3D2185310X%26AN%3D180507192%26h%3D9bYLS8S56zKCZotkYWnOXejc0jM4qy%252BT0Ag304y6NSdz%252FZfdhEIdhYFM7BQGtZIZUllK%252BZ5oQYCBP1A55%252FsYrA%253D%253D%26crl%3Dc&amp;hl=en&amp;sa=X&amp;d=16775695688880039376&amp;ei=VlspZ5WEItio6rQPisnvsQI&amp;scisig=AFWwaebCKeGMG9cXwHN0C2Z9VGWw&amp;oi=scholaralrt&amp;hist=8WBGhdYAAAAJ:5437843588291773220:AFWwaebmzrq9zPN1CYXQ5l-OkEG-&amp;html=&amp;pos=2&amp;folt=kw</t>
  </si>
  <si>
    <t>International Journal of Intelligent Engineering &amp; Systems, 2024, Vol 17, Issue 6, p1241</t>
  </si>
  <si>
    <t>DOI: 10.22266/ijies2024.1231.91</t>
  </si>
  <si>
    <t>STROKE; FEATURE extraction; SIGNAL processing; STROKE patients; SIGNAL classification</t>
  </si>
  <si>
    <t xml:space="preserve">Ulises Nieto-García, Julia Yazmín Arana-Llanes, Tomás Emmanuel Higareda-Pliego, Gabriel Sánchez-Bautista </t>
  </si>
  <si>
    <t>Sensors for stress detection: first analysis</t>
  </si>
  <si>
    <t>https://www.researchgate.net/publication/384543331_The_Sensors_for_stress_detection_first_analysis</t>
  </si>
  <si>
    <t>International Journal of Combinatorial Optimization Problems and
Informatics, 15(3), Sep-Dec 2024, 205-210. ISSN: 2007-1558.</t>
  </si>
  <si>
    <t>https://doi.org/10.61467/2007.1558.2024.v15i3.358</t>
  </si>
  <si>
    <t>stress, covid-19, EMG, EEG, ECG, Galvanic skin response</t>
  </si>
  <si>
    <t xml:space="preserve"> Fahad Bin Zahid et al</t>
  </si>
  <si>
    <t>Enhancement of impact synchronous modal analysis with brain-computer interface</t>
  </si>
  <si>
    <t>https://iopscience.iop.org/article/10.1088/1361-6501/ad8df4</t>
  </si>
  <si>
    <t>2025 Meas. Sci. Technol. 36 016030</t>
  </si>
  <si>
    <t>DOI 10.1088/1361-6501/ad8df4</t>
  </si>
  <si>
    <t>Hernández-Mustieles, M.A., Magaña-Cruz, E., Machado-Trejo, J., Corona-González, C.E., Lozoya-Santos, J.d.J., Ramírez-Moreno, M.A.</t>
  </si>
  <si>
    <t>Design of a Virtual Chatbot Platform for Basic Needs Communication Through Imagined Speech BCI</t>
  </si>
  <si>
    <t>https://link.springer.com/chapter/10.1007/978-3-031-66656-8_16</t>
  </si>
  <si>
    <t>Discovering the Frontiers of Human-Robot Interaction. Springer, Cham.</t>
  </si>
  <si>
    <t>https://doi.org/10.1007/978-3-031-66656-8_16</t>
  </si>
  <si>
    <t>A. X. Gonzalez-Cely, C. F. Blanco-Diaz, D. Delisle-Rodriguez and T. Bastos-Filho</t>
  </si>
  <si>
    <t>EEG-Based Multi-Class Classification for Recognizing Pedaling Velocities: A Promising Approach for Brain-Computer Interface-Enhanced Lower-Limb Robotic Rehabilitation</t>
  </si>
  <si>
    <t>https://scholar.google.com/scholar_url?url=https://ieeexplore.ieee.org/abstract/document/10719823/&amp;hl=en&amp;sa=X&amp;d=4495119380336621313&amp;ei=PVcjZ-buMdaw6rQPj5OakAk&amp;scisig=AFWwaeZsApIa-sjVbhrT0mQYtJtd&amp;oi=scholaralrt&amp;hist=8WBGhdYAAAAJ:5437843588291773220:AFWwaebmzrq9zPN1CYXQ5l-OkEG-&amp;html=&amp;pos=1&amp;folt=kw</t>
  </si>
  <si>
    <t>2024 10th IEEE RAS/EMBS International Conference for Biomedical Robotics and Biomechatronics (BioRob)</t>
  </si>
  <si>
    <t>doi: 10.1109/BioRob60516.2024.10719823.</t>
  </si>
  <si>
    <t>Support vector machines;Protocols;Accuracy;Robot kinematics;Stroke (medical condition);Feature extraction;Real-time systems;Electroencephalography;Brain-computer interfaces;Spinal cord injury</t>
  </si>
  <si>
    <t>Maha Nawaz and Abdul Basit and Muhammad Shafique</t>
  </si>
  <si>
    <t>MindArm: Mechanized Intelligent Non-Invasive Neuro-Driven Prosthetic Arm System</t>
  </si>
  <si>
    <t>https://arxiv.org/html/2403.19992v2</t>
  </si>
  <si>
    <t>2024 18th International Conference on Control, Automation, Robotics and Vision (ICARCV)</t>
  </si>
  <si>
    <t>DOI:10.1109/ICARCV63323.2024.10821508</t>
  </si>
  <si>
    <t>EEG, OpenBCI, non-invasive, prosthetic arm, deep learning, low cost.</t>
  </si>
  <si>
    <t>Nguyen-Ngan-Ha Lam, Chiao-Hsin Lin, Yi-Lu Li, Wei-Siang Ciou, Yi-Chun Du</t>
  </si>
  <si>
    <t>An IoT-enabled EEG headphones with customized music for chronic tinnitus assessment and symptom management</t>
  </si>
  <si>
    <t>https://scholar.google.com/scholar_url?url=https://www.sciencedirect.com/science/article/pii/S2542660524003524&amp;hl=en&amp;sa=X&amp;d=9171480725589675706&amp;ei=zJIWZ6rwL4iCy9YP4oSS6As&amp;scisig=AFWwaeYaA6uu4FGOp_gH-6HIjoWb&amp;oi=scholaralrt&amp;hist=8WBGhdYAAAAJ:5437843588291773220:AFWwaebmzrq9zPN1CYXQ5l-OkEG-&amp;html=&amp;pos=0&amp;folt=kw</t>
  </si>
  <si>
    <t>Internet of Things,Volume 28, 2024, 101411, ISSN 2542-6605</t>
  </si>
  <si>
    <t>https://doi.org/10.1016/j.iot.2024.101411.</t>
  </si>
  <si>
    <t>Chronic tinnitus; IoT-enabled EEG sensing (IEES); Customized Music (CM); Pitch matching (PM); EEG measurement</t>
  </si>
  <si>
    <t>Wang, X., Bai, G., Liang, J. et al.</t>
  </si>
  <si>
    <t>Gustatory interface for operative assessment and taste decoding in patients with tongue cancer</t>
  </si>
  <si>
    <t>https://www.nature.com/articles/s41467-024-53379-y</t>
  </si>
  <si>
    <t>Nat Commun 15, 8967 (2024).</t>
  </si>
  <si>
    <t>https://doi.org/10.1038/s41467-024-53379-y</t>
  </si>
  <si>
    <t>Biomedical engineering, Electrical and electronic engineering, Oral cancer detection</t>
  </si>
  <si>
    <t>Mariam Al-Mohammadi, Auns Al-Nuaimi, Lama Bou Farah</t>
  </si>
  <si>
    <t>Smart home based on BCI for disabled people: A state-of-the-art review</t>
  </si>
  <si>
    <t>https://pubs.aip.org/aip/acp/article-abstract/3232/1/040033/3316695/Smart-home-based-on-BCI-for-disabled-people-A</t>
  </si>
  <si>
    <t>AIP Conf. Proc. 11 October 2024; 3232 (1): 040033</t>
  </si>
  <si>
    <r>
      <rPr>
        <color rgb="FF1155CC"/>
        <u/>
      </rPr>
      <t>https://doi.org/10.1063/5.0236305</t>
    </r>
  </si>
  <si>
    <t>Robotics, Prosthetics, Electroencephalography, Brain machine interfaces, Review</t>
  </si>
  <si>
    <t>C. F. Blanco-Diaz, C. David Guerrero-Mendez, G. R. Furtado, T. Bastos-Filho and R. M. de Andrade</t>
  </si>
  <si>
    <t>Deep Learning Approach for EEG Classification in Lower-Limb Movement Phases: Towards Enhanced Brain-Computer Interface Control</t>
  </si>
  <si>
    <t>https://ieeexplore.ieee.org/abstract/document/10704914</t>
  </si>
  <si>
    <t>2024 20th IEEE/ASME International Conference on Mechatronic and Embedded Systems and Applications (MESA)</t>
  </si>
  <si>
    <t>doi: 10.1109/MESA61532.2024.10704914.</t>
  </si>
  <si>
    <t>Legged locomotion;Deep learning;Mechatronics;Kinematics;Electroencephalography;Brain-computer interfaces;Convolutional neural networks;Proposals;Usability;Robots;Brain-Computer Interfaces;Embedded Human-Machine Interfaces;Gait Assistance;Pedaling Rehabilitation;Data-driven Methods</t>
  </si>
  <si>
    <t>Jennie Couchman, Orestis Kaparounakis, Chatura Samarakoon, and Phillip Stanley-Marbell</t>
  </si>
  <si>
    <t>Simulated Eyeblink Artifact Removal with ICA: Effect of Measurement Uncertainty</t>
  </si>
  <si>
    <t>https://arxiv.org/pdf/2410.03261</t>
  </si>
  <si>
    <t>CoRR abs/2410.03261</t>
  </si>
  <si>
    <t>DOI:10.48550/arXiv.2410.03261</t>
  </si>
  <si>
    <t>Independent component analysis, measurement uncertainty, EEG, BCI</t>
  </si>
  <si>
    <t xml:space="preserve">JINSHA LIU, BONING LI, TAKAHARU YAMAZAKI, AND JIANTING CAO </t>
  </si>
  <si>
    <t>Developing an SSVEP-Based BCI System for Multi-Objective Control via IoT Integration</t>
  </si>
  <si>
    <t>https://ieeexplore.ieee.org/stamp/stamp.jsp?arnumber=10704624</t>
  </si>
  <si>
    <t>DOI: 10.1109/ACCESS.2024.3472909</t>
  </si>
  <si>
    <t>BCI, IoT, EEG, machine learning, SSVEP</t>
  </si>
  <si>
    <t>Dhananjaya, Praveen and Adikari, Isurika and Lakmali, Sumudu and Devindi, Isuri and Liyanage, Sashini and Wickramasinghe, Mahanama and Dissanayake, Theekshana and Ragel, Roshan and Nawinne, Isuru</t>
  </si>
  <si>
    <t>EEG Based Brain-Computer Interface for Inner Speech Classification</t>
  </si>
  <si>
    <t>https://ieeexplore.ieee.org/abstract/document/10688451</t>
  </si>
  <si>
    <t>2024 Moratuwa Engineering Research Conference (MERCon)</t>
  </si>
  <si>
    <t>doi: 10.1109/MERCon63886.2024.10688451.</t>
  </si>
  <si>
    <t>Training; Accuracy; transfer learning; Signal processing; Brain modeling; Electroencephalography; Brain-computer interfaces; Biological neural networks; Residual neural networks; Testing; BCI; real-time neural networks; EEG inner speech classification; transfer learning; EEG feature extraction</t>
  </si>
  <si>
    <t>Athapattu, A.D. and Dassanayake, P.S.B. and Nanayakkara, G.S.C. and Liyanage, S.N. and Devindi, G.A.I. and Ragel, Roshan and Dissanayake, Theekshana and Nawinne, Isuru</t>
  </si>
  <si>
    <t xml:space="preserve">Self-Paced Brain-Computer Interface on Sensorimotor Rhythms for Controlling Virtual Objects
</t>
  </si>
  <si>
    <t>https://ieeexplore.ieee.org/abstract/document/10688894</t>
  </si>
  <si>
    <t xml:space="preserve"> doi: 10.1109/MERCon63886.2024.10688894.</t>
  </si>
  <si>
    <t>Wavelet transforms; Support vector machines; Fast Fourier transforms; Nearest neighbor methods; Feature extraction; Brain modeling; Brain-computer interfaces; Electroencephalography; Signal representation; Standards; Brain-Computer Interface; Self-Paced; Eeg; Sensorimotor Rhythms; Machine Learning</t>
  </si>
  <si>
    <t>María Fernanda Carballo Turcios, Manuel Adalid Gamero</t>
  </si>
  <si>
    <t>Development of a hand prosthesis controlled by electroencephalographic signals using Arduino and Mindflex technology</t>
  </si>
  <si>
    <t>https://laccei.org/LACCEI2024-CostaRica/full-papers/Contribution_1418_final_a.pdf</t>
  </si>
  <si>
    <t>22nd LACCEI International Multi-Conference for Engineering, Education, and Technology</t>
  </si>
  <si>
    <t>DOI:  10.18687/LACCEI2024.1.1.1418</t>
  </si>
  <si>
    <t>Arduino technology, control, disability, Mind- flex,
Neurosky chip, hand prosthesis, electroencephalographic signals.</t>
  </si>
  <si>
    <t>Arnau Dillen, Mohsen Omidi, Fakhreddine Ghaffari, Bram Vanderborght,
Bart Roelands, Olivier Romain, Ann Nowé and Kevin De Pauw</t>
  </si>
  <si>
    <t>A shared robot control system combining augmented reality and motor imagery brain–computer interfaces with eye tracking</t>
  </si>
  <si>
    <t>https://iopscience.iop.org/article/10.1088/1741-2552/ad7f8d/pdf</t>
  </si>
  <si>
    <t>J. Neural Eng. 21 (2024) 056028</t>
  </si>
  <si>
    <t>https://doi.org/10.1088/1741-2552/ad7f8d</t>
  </si>
  <si>
    <t>shared robot control, brain–computer interface, augmented reality, motor imagery, electroencephalogram, user evaluation, eye tracking</t>
  </si>
  <si>
    <t>Alexandra Katsoulakis, Favour Nakyazze,  Max Mchugh, Sean Morris, Monil Bhavsar, Om Tank, Dmitry Kireev</t>
  </si>
  <si>
    <t>Squishy bioelectronic circuits</t>
  </si>
  <si>
    <t>https://www.cell.com/device/fulltext/S2666-9986(24)00475-7</t>
  </si>
  <si>
    <t>Life &amp; medical sciences journals</t>
  </si>
  <si>
    <t>wearables, bioelectronics, conductive putty, electrophysiology, self-healing, e-tattoos, biointerfaces</t>
  </si>
  <si>
    <t>Qiao, Yi and Shi, Ruochuan and Guo, Fengrui and Zhao, Bo and Li, Wenyu and Liu, Zhongxin and Duan, Feng</t>
  </si>
  <si>
    <t>A Hierarchical Intelligent Rehabilitation Robotic System Based on MI-EEG</t>
  </si>
  <si>
    <t>https://ieeexplore.ieee.org/abstract/document/10662738</t>
  </si>
  <si>
    <t>2024 43rd Chinese Control Conference (CCC)</t>
  </si>
  <si>
    <t>doi: 10.23919/CCC63176.2024.10662738.</t>
  </si>
  <si>
    <t>Training; Accuracy; Robot control; Stroke (medical condition); Motors; Assistive robots; Feature extraction; brain-computer interface; motor imagery; human-machine interaction; rehabilitation robot</t>
  </si>
  <si>
    <t>V. Ramu and K. Lakshminarayanan</t>
  </si>
  <si>
    <t>Virtual Embodiment: Revolutionizing Motor Imagery in VR-Enabled BCI with Digital Twins</t>
  </si>
  <si>
    <t>https://ieeexplore.ieee.org/abstract/document/10677025</t>
  </si>
  <si>
    <t>2024 IEEE International Conference on Electronics, Computing and Communication Technologies (CONECCT)</t>
  </si>
  <si>
    <t>doi: 10.1109/CONECCT62155.2024.10677025.</t>
  </si>
  <si>
    <t>Visualization; Three-dimensional displays; Protocols; Avatars; Refining; Virtual environments; Motors; Motor imagery; virtual reality; brain-computer interfacing; digital twin</t>
  </si>
  <si>
    <t>Mounesi Rad, Shokoufeh, and Sebelan Danishvar</t>
  </si>
  <si>
    <t>Emotion Recognition Using EEG Signals through the Design of a Dry Electrode Based on the Combination of Type 2 Fuzzy Sets and Deep Convolutional Graph Networks</t>
  </si>
  <si>
    <t>https://www.mdpi.com/2313-7673/9/9/562</t>
  </si>
  <si>
    <t>Biomimetics 2024, 9, 562.</t>
  </si>
  <si>
    <t>https://doi.org/10.3390/biomimetics9090562</t>
  </si>
  <si>
    <t>CNN; dry electrode; deep learning networks; emotion; graph theory; EEG; recognition</t>
  </si>
  <si>
    <t>M. Benusa and C. -H. Min</t>
  </si>
  <si>
    <t>Wearable Driver Monitoring System</t>
  </si>
  <si>
    <t>https://ieeexplore.ieee.org/abstract/document/10658722</t>
  </si>
  <si>
    <t>2024 IEEE 67th International Midwest Symposium on Circuits and Systems (MWSCAS)</t>
  </si>
  <si>
    <t>doi: 10.1109/MWSCAS60917.2024.10658722.</t>
  </si>
  <si>
    <t>Heart rate; Accuracy; Urban areas; Gaze tracking; Brain modeling; Feature extraction; Electroencephalography; driver condition monitoring; EEG; biosensing; detection; classification</t>
  </si>
  <si>
    <t>Y. Sugimoto, G. Pongthanisorn and G. Capi</t>
  </si>
  <si>
    <t>Image Generation using EEG data: A Contrastive Learning based Approach</t>
  </si>
  <si>
    <t>https://ieeexplore.ieee.org/abstract/document/10667256</t>
  </si>
  <si>
    <t>2024 IEEE Canadian Conference on Electrical and Computer Engineering (CCECE)</t>
  </si>
  <si>
    <t>doi: 10.1109/CCECE59415.2024.10667256.</t>
  </si>
  <si>
    <t>Learning systems; Electrodes; Deep learning; Visualization; Image synthesis; Contrastive learning; Motors; Visual Imagery; EEG signals; Contrastive Learning</t>
  </si>
  <si>
    <t>M. Y. L. Lejap, A. D. Wibawa and P. H. Mukti</t>
  </si>
  <si>
    <t>EEG Brain Heatmap Visualization for Sweet and Sour Tasting</t>
  </si>
  <si>
    <t>https://ieeexplore.ieee.org/abstract/document/10668352</t>
  </si>
  <si>
    <t>2024 International Seminar on Intelligent Technology and Its Applications (ISITIA)</t>
  </si>
  <si>
    <t>doi: 10.1109/ISITIA63062.2024.10668352.</t>
  </si>
  <si>
    <t>Heating systems; Surveys; Seminars; Visualization; Brain; Accuracy; Electroencephalography; Electroencephalography; Taste Perception; Sweet and Sour; Brain Signals; MAV; Variance; Brain Heatmap</t>
  </si>
  <si>
    <t>Brandon Fobugwe, B.Sc., Julian Klabes, M.Sc., Dr.-Ing. Alexander Herzog, Prof.
Tran Quoc Khanh</t>
  </si>
  <si>
    <t>Identification, Localization and Classification of the Color VEP for Application in Color Science</t>
  </si>
  <si>
    <t>https://www.tu-ilmenau.de/fileadmin/Bereiche/MB/lichttechnik/Lux_junior/2024/Fobugwe_Paper_Lux_junior_2024.pdf</t>
  </si>
  <si>
    <t>Lux Junior 2024</t>
  </si>
  <si>
    <t>DOI: 10.22032/dbt.xxxxx</t>
  </si>
  <si>
    <t>EEG, VEP, Visual processing, Color Preference</t>
  </si>
  <si>
    <t>S. M. Asish, A. K. Kulshreshth, C. W. Borst and S. Sutradhar</t>
  </si>
  <si>
    <t>Classification of Internal and External Distractions in an Educational VR Environment Using Multimodal Features</t>
  </si>
  <si>
    <t>https://ieeexplore.ieee.org/abstract/document/10670586</t>
  </si>
  <si>
    <t>IEEE Transactions on Visualization and Computer Graphics, vol. 30, no. 11, pp. 7332-7342, Nov. 2024</t>
  </si>
  <si>
    <t>doi: 10.1109/TVCG.2024.3456207.</t>
  </si>
  <si>
    <t>Electroencephalography; Feature extraction; Gaze tracking; Brain modeling; Physiology; Avatars; Convolutional neural networks; Machine Learning; Human-centered computing; EEG; Eye-tracking</t>
  </si>
  <si>
    <t>Jongsook Sanguantrakul, Apit Hemakom, Tharapong Soonrach and Pasin Israsena</t>
  </si>
  <si>
    <t>PDMS/CNT electrodes with bioamplifier for practical in-the-ear and conventional biosignal recordings</t>
  </si>
  <si>
    <t>https://iopscience.iop.org/article/10.1088/1741-2552/ad7905/meta</t>
  </si>
  <si>
    <t>DOI 10.1088/1741-2552/ad7905</t>
  </si>
  <si>
    <t>OpenBCI Headband kit</t>
  </si>
  <si>
    <t>R. Ahad, L. M. Foong, M. Z. Mustafa, A. A. Rahman, N. Fuad and F. F. Seri Kawi</t>
  </si>
  <si>
    <t>Analysis of Electroencephalogram Data Activity During Reading Using Scanning and Survey Question Read Recite Review Techniques</t>
  </si>
  <si>
    <t>https://ieeexplore.ieee.org/abstract/document/10663155</t>
  </si>
  <si>
    <t>2024 9th International STEM Education Conference (iSTEM-Ed)</t>
  </si>
  <si>
    <t>doi: 10.1109/iSTEM-Ed62750.2024.10663155.</t>
  </si>
  <si>
    <t>Training; Surveys; Learning  systems; Brain; Correlation; Reviews; Electroencephalography; reading; EEG; Scanning technique; SQ3R</t>
  </si>
  <si>
    <t>Sameer N.B. Alladin, Dani Berry, Evgeniya Anisimova, Ruth Judson, Poppy Whittaker, Edwin S. Dalmaijer</t>
  </si>
  <si>
    <t>Children aged 5–13 years show adult-like disgust avoidance, but not proto-nausea</t>
  </si>
  <si>
    <t>https://journals.sagepub.com/doi/10.1177/23982128241279616</t>
  </si>
  <si>
    <t>Brain and Neuroscience Advances
Volume 8</t>
  </si>
  <si>
    <t>https://doi.org/10.1177/23982128241279616</t>
  </si>
  <si>
    <t>Development, disgust, electrogastrography, gut–brain axis, interoception</t>
  </si>
  <si>
    <t>Guo, Jun, Xuanqi Wang, Ruiyu Bai, Zimo Zhang, Huazhen Chen, Kai Xue, Chuang Ma, Dawei Zang, Erwei Yin, Kunpeng Gao, and et al.</t>
  </si>
  <si>
    <t>A Cost-Effective and Easy-to-Fabricate Conductive Velcro Dry Electrode for Durable and High-Performance Biopotential Acquisition</t>
  </si>
  <si>
    <t>https://www.mdpi.com/2079-6374/14/9/432</t>
  </si>
  <si>
    <t>Biosensors 2024, 14, 432</t>
  </si>
  <si>
    <r>
      <rPr>
        <rFont val="Arial"/>
        <color rgb="FF1155CC"/>
        <sz val="10.0"/>
        <u/>
      </rPr>
      <t>https://doi.org/10.3390/bios14090432</t>
    </r>
    <r>
      <rPr>
        <rFont val="Arial"/>
        <sz val="10.0"/>
      </rPr>
      <t xml:space="preserve">
</t>
    </r>
  </si>
  <si>
    <t>conductive Velcro electrode; hook structure; biopotential detection; gesture recognition</t>
  </si>
  <si>
    <t>Jinshan XU, Junhua Shen, Yiwei Lin, Xiaoxia Bai, Alain Pumir, Boahua Li</t>
  </si>
  <si>
    <t>A Unied Contraction Characterization for the Identication of Spontaneous Onset of Labor in Term Nulliparous Women via Multi-Channel Electrohysterography and Tocodynamometer</t>
  </si>
  <si>
    <t>https://assets-eu.researchsquare.com/files/rs-4810605/v1_covered_d322b39d-5a8b-4799-aa0d-0a3dea003401.pdf?c=1725276952</t>
  </si>
  <si>
    <t>https://doi.org/10.21203/rs.3.rs-4810605/v1</t>
  </si>
  <si>
    <t>Uterine Contraction, Electrohysterography, Tocodynamometer, Synchrony, Onset of Labor</t>
  </si>
  <si>
    <t>S. Ullah and D. -H. Kim</t>
  </si>
  <si>
    <t>Multiaccent EMG-to-Speech Optimized Transduction With PerFL and MAML Adaptations</t>
  </si>
  <si>
    <t>https://ieeexplore.ieee.org/abstract/document/10648846</t>
  </si>
  <si>
    <t>EEE Transactions on Instrumentation and Measurement, vol. 73</t>
  </si>
  <si>
    <t>doi: 10.1109/TIM.2024.3449948</t>
  </si>
  <si>
    <t xml:space="preserve">Electromyography; adaptation models; Data models; Feature extraction; Convergence; Speech enhancement; Metalearning; electromyography (EMG); EMG-to-speech;meta-learning; personalized federated learning (PerFL); silent speech interface; transformers; voice synthesis </t>
  </si>
  <si>
    <t>Likhith Boddapu, Chittaloori Likhitha, Parvathy S S, Nancy Sunil, S. Sumitra, and Manoj BS</t>
  </si>
  <si>
    <t>https://d197for5662m48.cloudfront.net/documents/publicationstatus/217875/preprint_pdf/f7eaa8b1879fb7b45dc1930aa71f2374.pdf</t>
  </si>
  <si>
    <t>Y. Rais, A. D. Wibawa and D. P. Wulandari</t>
  </si>
  <si>
    <t>An EEG Pattern Depicting the Attention of Customers While Viewing Video Advertisements</t>
  </si>
  <si>
    <t>https://ieeexplore.ieee.org/abstract/document/10636872</t>
  </si>
  <si>
    <t>2024 7th International Conference on Informatics and Computational Sciences (ICICoS)</t>
  </si>
  <si>
    <t>doi: 10.1109/ICICoS62600.2024.10636872.</t>
  </si>
  <si>
    <t>Visualization; Brain; Cognitive processes; Particle measurements; Electroencephalography; Task analysis; Informatics; Consumer Attention; Brain Response; Neuromarketing; EEG</t>
  </si>
  <si>
    <t>Röddiger, Tobias; Knierim, Michael; Lepold, Philipp; King, Tobias; Beigl, Michael</t>
  </si>
  <si>
    <t>OpenEarable Suite: Open-Source Hardware to Sense 30+ Phenomena on the Ears</t>
  </si>
  <si>
    <t>https://dl.gi.de/items/d1840fa0-7965-4cfb-b0f1-184486110cb8</t>
  </si>
  <si>
    <t>Mensch und Computer 2024 - Workshopband</t>
  </si>
  <si>
    <t>DOI 10.18420/muc2024-mci-demo-317</t>
  </si>
  <si>
    <t>earables , hearables , open-source hardware , OSHW , open wearables</t>
  </si>
  <si>
    <t xml:space="preserve">CHENGYUAN SHEN, YASUE MITSUKURA, AND JIANTING CAO </t>
  </si>
  <si>
    <t>A Novel Complexity Algorithm for Quantification of Consciousness Levels</t>
  </si>
  <si>
    <t>https://ieeexplore.ieee.org/stamp/stamp.jsp?arnumber=10638658</t>
  </si>
  <si>
    <t>DOI 10.1109/ACCESS.2024.3445467</t>
  </si>
  <si>
    <t>Consciousness assessment, Glasgow coma scale, D-MaxApEn, electroencephalography</t>
  </si>
  <si>
    <t>B. G. Pratama, A. D. Wibawa, D. P. Wulandari and S. Pratasik</t>
  </si>
  <si>
    <t>Neuromarketing Study of Purchase Decisions Using Advertising Videos Based on EEG Signal Analysis</t>
  </si>
  <si>
    <t>https://ieeexplore.ieee.org/abstract/document/10617623</t>
  </si>
  <si>
    <t>2024 IEEE International Conference on Industry 4.0, Artificial Intelligence, and Communications Technology (IAICT)</t>
  </si>
  <si>
    <t>doi: 10.1109/IAICT62357.2024.10617623</t>
  </si>
  <si>
    <t>Brain; Decision making; Neuromarketing; Feature extraction; Electroencephalography; Entropy; Communications technology; EEG; neuromarketing; advertising video; purchase decision</t>
  </si>
  <si>
    <t>Mosa Muntadher Mohammed Mosa, Arief Ruhullah A. Harris</t>
  </si>
  <si>
    <t>Home Automation for Disabled Using Brain Computer Interface
and Raspberry Pi</t>
  </si>
  <si>
    <t>https://scholar.google.com/scholar_url?url=https://humentech.utm.my/index.php/humentech/article/download/77/71&amp;hl=en&amp;sa=X&amp;d=8108418357648130435&amp;ei=oqK4ZpW1B-i06rQPwLqYgQM&amp;scisig=AFWwaea7ZJFYJih3lmcole_iDEu_&amp;oi=scholaralrt&amp;hist=8WBGhdYAAAAJ:5437843588291773220:AFWwaebmzrq9zPN1CYXQ5l-OkEG-&amp;html=&amp;pos=1&amp;folt=kw</t>
  </si>
  <si>
    <t>Journal of Human Centered Technology</t>
  </si>
  <si>
    <t>https://doi.org/10.11113/humentech.v3n2.77</t>
  </si>
  <si>
    <t>Brain-computer interface; Electroencephalography; Electronic gadgets; Non-invasive; Smart home.</t>
  </si>
  <si>
    <t>Khaled Abdulrahman Abdulaziz Al-Awadhi, Arief Ruhullah A. Harris</t>
  </si>
  <si>
    <t>A Portable, Wireless and Low-cost Electroencephalogram Monitor using Raspberry Pi</t>
  </si>
  <si>
    <t>https://scholar.google.com/scholar_url?url=https://humentech.utm.my/index.php/humentech/article/download/78/74&amp;hl=en&amp;sa=X&amp;d=4898799593110343236&amp;ei=oqK4ZpW1B-i06rQPwLqYgQM&amp;scisig=AFWwaebwZwkUfHrkv5sUPMS2OJ0m&amp;oi=scholaralrt&amp;hist=8WBGhdYAAAAJ:5437843588291773220:AFWwaebmzrq9zPN1CYXQ5l-OkEG-&amp;html=&amp;pos=0&amp;folt=kw</t>
  </si>
  <si>
    <t>https://doi.org/10.11113/humentech.v3n2.78</t>
  </si>
  <si>
    <t>Electroencephalogram; Low-cost; Medical device; Raspberry Pi</t>
  </si>
  <si>
    <t>Samuel van Bohemen, Jeffrey Rogers, Jillian Clarke, Joaquin Valderrama, Philip Boughton, Andre Kyme</t>
  </si>
  <si>
    <t>Continuous Monitoring of Cerebral Blood Flow in Healthy Volunteers and Stroke
Patients</t>
  </si>
  <si>
    <t>https://wpd.ugr.es/~jvalderrama/wp-content/uploads/2024/06/Conf_2021_Bohemen_Abstract.pdf</t>
  </si>
  <si>
    <t xml:space="preserve">Liu, J., Ling, B.WK., Zhou, Z. et al. </t>
  </si>
  <si>
    <t>Classification of electroencephalograms before or after applying transcutaneous electrical nerve stimulation therapy using fractional empirical mode decomposition</t>
  </si>
  <si>
    <t>https://link.springer.com/article/10.1007/s11042-024-19992-1#citeas</t>
  </si>
  <si>
    <t>https://doi.org/10.1007/s11042-024-19992-1</t>
  </si>
  <si>
    <t>Fractional empirical mode decomposition, Transcutaneous electrical nerve stimulation, Electroencephalogram, Attention, Scoring the effectiveness of the TENS therapy</t>
  </si>
  <si>
    <t>Junjie Wang, Jingwei Yu, Hongbo Wei, An Wang, Zishuo Hou, Moses Kumi, Xinge Wang, Tengjiao Wang, Peng Li, Wei Huang</t>
  </si>
  <si>
    <t>Customized Flexible Osteoid Electrode for Traumatic Brain Injury Induced Posttraumatic Epilepsy Monitoring</t>
  </si>
  <si>
    <t>https://onlinelibrary.wiley.com/doi/abs/10.1002/adfm.202407394</t>
  </si>
  <si>
    <t>https://doi.org/10.1002/adfm.202407394</t>
  </si>
  <si>
    <t>Nafiseh Ghaffar Nia</t>
  </si>
  <si>
    <t xml:space="preserve">Predicting hand grasping orientation for prosthetic hand control using multimodal sensor data (EEG, EMG, and IMU) with machine learning approach </t>
  </si>
  <si>
    <t>https://scholar.utc.edu/cgi/viewcontent.cgi?article=2134&amp;context=theses</t>
  </si>
  <si>
    <t>The University of Tennessee at Chattanooga</t>
  </si>
  <si>
    <t xml:space="preserve">Zhuo, S., Tessier, A., Arefi, M. et al. </t>
  </si>
  <si>
    <t>Reusable free-standing hydrogel electronic tattoo sensors with superior performance</t>
  </si>
  <si>
    <t>https://www.nature.com/articles/s41528-024-00335-x#citeas</t>
  </si>
  <si>
    <t xml:space="preserve">npj Flexible Electronics volume 8, Article number: 49 </t>
  </si>
  <si>
    <t>https://doi.org/10.1038/s41528-024-00335-x</t>
  </si>
  <si>
    <t>J. Knudson, A. Cavalcanti and M. Singh</t>
  </si>
  <si>
    <t>Neuro-Haptic BCI Spark for TensorFlow Flying Avatars</t>
  </si>
  <si>
    <t>https://ieeexplore.ieee.org/abstract/document/10609879</t>
  </si>
  <si>
    <t>2024 IEEE International Conference on Electro Information Technology (eIT)</t>
  </si>
  <si>
    <t>doi: 10.1109/eIT60633.2024.10609879.</t>
  </si>
  <si>
    <t>Architecture, Avatar, Kubernetes, Spark, TensorFlow</t>
  </si>
  <si>
    <t>Muwafaq Abdullah Salih, Muhammed Abdul Sattar</t>
  </si>
  <si>
    <t xml:space="preserve">Develop Robotic Head-Neck Brace Control through EEG Signals and BCI Sensors: Application of the Savitzky-Golay Filter
</t>
  </si>
  <si>
    <t>https://www.researchgate.net/profile/Muhammed-Sattar/publication/382538060_Develop_Robotic_Head-Neck_Brace_Control_through_EEG_Signals_and_BCI_Sensors_Application_of_the_Savitzky-Golay_Filter/links/66a25bf6de060e4c7e5a72d2/Develop-Robotic-Head-Neck-Brace-Control-through-EEG-Signals-and-BCI-Sensors-Application-of-the-Savitzky-Golay-Filter?__cf_chl_tk=AvatdgxANpHpxo9lv6yUUVJ_YLrswlcU5o6QM2VD5Lc-1734720780-1.0.1.1-IqcX1d4_ljuraipTalXYtbG8YNu75C9EEmEclrJFaeo</t>
  </si>
  <si>
    <t>Department of Mechanical Engineering, Al-Nahrain University</t>
  </si>
  <si>
    <t>Brain Computer Interface, Savitzky–Golay filter, EEG signals, Head-neck brace, SVM method.</t>
  </si>
  <si>
    <t>R. Darweesh, D. Cuscino, A. Geronimo and N. Elaraby</t>
  </si>
  <si>
    <t>An SSVEP-Based Brain Computer Interface Prototype for Assisted Living</t>
  </si>
  <si>
    <t>https://ieeexplore.ieee.org/abstract/document/10609935</t>
  </si>
  <si>
    <t>DOI: 10.1109/eIT60633.2024.10609935</t>
  </si>
  <si>
    <t>BCI, SSVEP, EEG, OpenBCI, Ganglion board, Visual Stimuli</t>
  </si>
  <si>
    <t>Mohamed Torad, Mohamed Samir, Alaa Mohamed, Yosr Mohamed, Ahmed Mohamed, MazenTarek, Mohamed Mostafa</t>
  </si>
  <si>
    <t>Brain-Controlled Robotic Arm System Using
EEG Signal</t>
  </si>
  <si>
    <t>https://ijisd.journals.ekb.eg/article_371115_edbb7baadcaf5d35de8515f542e69491.pdf</t>
  </si>
  <si>
    <t>International Journal of Industry and Sustainable Development (IJISD), Volume 5, Issue 2 (Special Issue)</t>
  </si>
  <si>
    <t>Robotic arm, Raspberry Pi, Machine learning, EEG Sensors</t>
  </si>
  <si>
    <t>Lakshminarayanan K, Ramu V, Shah R, Haque Sunny MS, Madathil D, Brahmi B, Wang I, Fareh R, Rahman MH</t>
  </si>
  <si>
    <t>Developing a tablet-based brain-computer interface and robotic prototype for upper limb rehabilitation</t>
  </si>
  <si>
    <t>https://peerj.com/articles/cs-2174/</t>
  </si>
  <si>
    <t>PeerJ Computer Science</t>
  </si>
  <si>
    <t>https://doi.org/10.7717/peerj-cs.2174</t>
  </si>
  <si>
    <t>T.F. Bastos-Filho, A. C. Villa-Parra, C.D. Guerrero-Méndez, A. X. González-Cely, C. F. Blanco-Díaz, D. Delisle-Rodríguez &amp; T. Igasaki</t>
  </si>
  <si>
    <t>A novel methodology based on static visual stimuli and kinesthetic motor imagery for upper limb neurorehabilitation</t>
  </si>
  <si>
    <t>https://link.springer.com/article/10.1007/s42600-024-00372-5</t>
  </si>
  <si>
    <t>Springer Link</t>
  </si>
  <si>
    <t>https://doi.org/10.1007/s42600-024-00372-5</t>
  </si>
  <si>
    <t xml:space="preserve">Hand and finger movement rehabilitation, post-stroke patients, Static Visual Stimuli, Kinesthetic Motor Imagery </t>
  </si>
  <si>
    <t xml:space="preserve">Reyes-Consuelo, Miguel Alejandro; Kiss, Jocelyne; Edwards, Geoffreyjen; Beland, Martin.  </t>
  </si>
  <si>
    <t>EEG-Based Affective Responses to Immersion in a Virtual Forest</t>
  </si>
  <si>
    <t>https://www.proquest.com/openview/2107d89dd0f1668a883e720fdbd26126/1?pq-origsite=gscholar&amp;cbl=5529415</t>
  </si>
  <si>
    <t xml:space="preserve"> The International Journal of Health, Wellness and Society</t>
  </si>
  <si>
    <t>DOI:10.18848/2156-8960/CGP/v14i04/21-50</t>
  </si>
  <si>
    <t xml:space="preserve">Virtual environments, Nature Immersion, therepudic technology </t>
  </si>
  <si>
    <t xml:space="preserve">Cristian Felipe Blanco-Diaz, Cristian David Guerrero-Mendez, Rafhael Milanezi de Andrade, Claudine Badue,  Alberto Ferreira De Souza, Denis Delisle-Rodriguez ,  Teodiano Bastos-Filho </t>
  </si>
  <si>
    <t>Decoding lower-limb kinematic parameters during pedaling tasks using deep learning approaches and EEG</t>
  </si>
  <si>
    <t>https://link.springer.com/article/10.1007/s11517-024-03147-3</t>
  </si>
  <si>
    <t>https://doi.org/10.1007/s11517-024-03147-3</t>
  </si>
  <si>
    <t xml:space="preserve">English </t>
  </si>
  <si>
    <t>Convolutional neural networks, Kinematic reconstruction, Long short-term memory, Lower-limb rehabilitation</t>
  </si>
  <si>
    <t>Marios Hadjiaros, Andria Shimi, Marios N. Avraamides, Kleanthis Neokleous, Constantinos S. Pattichis</t>
  </si>
  <si>
    <t>Virtual Reality Brain-Computer Interfacing and the role of cognitive skills</t>
  </si>
  <si>
    <t>https://ieeexplore.ieee.org/stamp/stamp.jsp?arnumber=10595042</t>
  </si>
  <si>
    <t>10.1109/ACCESS.2024.3426620</t>
  </si>
  <si>
    <t>Brain-Computer Interface (BCI), Cognition, Electroencephalography (EEG), Gaming, Virtual Reality (VR)</t>
  </si>
  <si>
    <t>Yuanming Ye, Jun Guo, An Wang, Chengxiang Zheng ,Tao Wu, Zhipeng Chen, Xuanqi Wang, Yichen Chu, Ruiyu Bai, Zekai Liang, Honglong Chang, Kai Tao, Tengjiao Wang, Bowen Ji</t>
  </si>
  <si>
    <t>Starfish tube feet inspired hydrogel electrode for durable underwater sEMG acquisition</t>
  </si>
  <si>
    <t>https://www.sciencedirect.com/science/article/abs/pii/S1385894724053713</t>
  </si>
  <si>
    <t xml:space="preserve">Science Direct </t>
  </si>
  <si>
    <t>https://doi.org/10.1016/j.cej.2024.153882</t>
  </si>
  <si>
    <t>Underwater surface electromyography, rehabilitation, anti-swelling properties</t>
  </si>
  <si>
    <t>Keerthika N, Kiruthika V</t>
  </si>
  <si>
    <t>Integrating Electroencephalography with Motophysic training: Assessing the shift in fitness and cognitive functions in elite youth soccer players</t>
  </si>
  <si>
    <t>https://www.cell.com/heliyon/fulltext/S2405-8440(24)10373-8</t>
  </si>
  <si>
    <t>C</t>
  </si>
  <si>
    <t>https://doi.org/10.1016/j.heliyon.2024.e34342</t>
  </si>
  <si>
    <t>Fitness traits, training, injury prevention, cognitive ability, Electroencephalography</t>
  </si>
  <si>
    <t>Anju Latha Nair S., Dr. Rajesh Kannan Megalingam</t>
  </si>
  <si>
    <t>Human Attention Detection System using Deep learning and Brain Computer Interface</t>
  </si>
  <si>
    <t>https://www.researchgate.net/profile/Anju-Latha-Nair/publication/379372163_Human_attention_detection_system_using_deep_learning_and_brain-computer_interface/links/66303cbc08aa54017acd31f8/Human-attention-detection-system-using-deep-learning-and-brain-computer-interface.pdf</t>
  </si>
  <si>
    <t xml:space="preserve">Research Gate </t>
  </si>
  <si>
    <t>10.1007/s00521-024-09628-8</t>
  </si>
  <si>
    <t>Attention and memory, Human Attention Recognition System, identify attention levels</t>
  </si>
  <si>
    <t>Ziqi Pan, Alexandra I. Cristea, Frederick W. B. Li</t>
  </si>
  <si>
    <t>Reducing University Students’ Exam Anxiety via Mindfulness-Based Cognitive Therapy in VR with Real-Time EEG Neurofeedback</t>
  </si>
  <si>
    <t>https://link.springer.com/chapter/10.1007/978-3-031-64312-5_52</t>
  </si>
  <si>
    <t>Springer Nature</t>
  </si>
  <si>
    <t>https://doi.org/10.1007/9</t>
  </si>
  <si>
    <t>Exam anxiety, Mindfulness-Based Cognitive Therapy, Virtual Reality, BCI</t>
  </si>
  <si>
    <t>Pierre-Baptiste Mathieu de Carvalho, Lorraine Charles, Elena Parsy, Ana Raquel Lindquist, Laurent Bougrain</t>
  </si>
  <si>
    <t>A Hybrid BCI based on SSVEP and Gaze Direction Recognition: Towards a Speller for Patients with Amyotrophic Lateral Sclerosis</t>
  </si>
  <si>
    <t>https://hal.science/hal-04630176/document</t>
  </si>
  <si>
    <t xml:space="preserve">HAL Open Science </t>
  </si>
  <si>
    <t>Amyotrophic lateral sclerosis, eye-tracking, communication</t>
  </si>
  <si>
    <t>SHAOSHUAI HE, JINHONG DAI, DONG WAN, SHENGSHU SUN, XIYA YANG , XIN XIA , AND YUNLONG ZI</t>
  </si>
  <si>
    <t>Biomimetic bimodal haptic perception using triboelectric effect</t>
  </si>
  <si>
    <t>https://www.science.org/doi/full/10.1126/sciadv.ado6793</t>
  </si>
  <si>
    <t>Science Advances</t>
  </si>
  <si>
    <r>
      <rPr>
        <rFont val="Arial"/>
        <color rgb="FF595959"/>
        <sz val="10.0"/>
        <u/>
      </rPr>
      <t>DOI: 10.1126/sciadv.ado679</t>
    </r>
    <r>
      <rPr>
        <rFont val="Arial"/>
        <color rgb="FF000000"/>
        <sz val="10.0"/>
      </rPr>
      <t>3</t>
    </r>
  </si>
  <si>
    <t>Multimodal haptic perception, bimodal intelligent tactile sensor, triboelectric,  human-machine integration</t>
  </si>
  <si>
    <t>Marc-Antoine Moinnereau, Tiago H. Falk</t>
  </si>
  <si>
    <t>Cybersickness Marker Prediction Using a Biosensors-Instrumented VR Headset: A Pilot Study</t>
  </si>
  <si>
    <t>https://ieeexplore.ieee.org/document/10555857</t>
  </si>
  <si>
    <t xml:space="preserve">IEEE Xplore </t>
  </si>
  <si>
    <t>10.1109/ICHMS59971.2024.10555857</t>
  </si>
  <si>
    <t>Cybersickness, virtual reality, biosignals, Improve VR experience</t>
  </si>
  <si>
    <r>
      <rPr>
        <rFont val="Arial"/>
        <color rgb="FF000000"/>
        <sz val="10.0"/>
      </rPr>
      <t>Silvia Suchalova</t>
    </r>
    <r>
      <rPr>
        <rFont val="Arial"/>
        <color rgb="FF006699"/>
        <sz val="10.0"/>
      </rPr>
      <t xml:space="preserve">; </t>
    </r>
    <r>
      <rPr>
        <rFont val="Arial"/>
        <color rgb="FF000000"/>
        <sz val="10.0"/>
      </rPr>
      <t>Robert Hudec</t>
    </r>
    <r>
      <rPr>
        <rFont val="Arial"/>
        <color rgb="FF006699"/>
        <sz val="10.0"/>
      </rPr>
      <t xml:space="preserve">; </t>
    </r>
    <r>
      <rPr>
        <rFont val="Arial"/>
        <color rgb="FF000000"/>
        <sz val="10.0"/>
      </rPr>
      <t>Miroslav Benco</t>
    </r>
    <r>
      <rPr>
        <rFont val="Arial"/>
        <color rgb="FF006699"/>
        <sz val="10.0"/>
      </rPr>
      <t xml:space="preserve">; </t>
    </r>
    <r>
      <rPr>
        <rFont val="Arial"/>
        <color rgb="FF000000"/>
        <sz val="10.0"/>
      </rPr>
      <t>Andrej Pisarcik</t>
    </r>
  </si>
  <si>
    <t>EEG Signals Preprocessing for BCI Systems Using Visual Evoked Potentials</t>
  </si>
  <si>
    <t>https://ieeexplore.ieee.org/abstract/document/10557010/authors#authors</t>
  </si>
  <si>
    <t>10.1109/ELEKTRO60337.2024.10557010</t>
  </si>
  <si>
    <t>Visual Evoked Potentials, EEG, non-verbal human-machine communication</t>
  </si>
  <si>
    <t>Anjan Kumar Sahoo</t>
  </si>
  <si>
    <t>A Highly Efficient EEG Motor Based Brain-ComputerInterface</t>
  </si>
  <si>
    <t>https://www.jmeonline.in/admin/uploadss/jme%20(aug%202020).pdf</t>
  </si>
  <si>
    <t>Journal of Management &amp; Entrepreneurship</t>
  </si>
  <si>
    <t>Brain-Computer Interfaces, motor imagery, deep learning, neurofeedback, locked-in syndrome</t>
  </si>
  <si>
    <t>Nathan Semertzidis, Michaela Jayne Vranic-Peters, Xiao Zoe Fang, Rakesh Patibanda, Aryan Saini, Don Samitha Elvitigala, Fabio Zambetta, and Florian ‘Floyd’ MuellerAuthors Info &amp; Claims</t>
  </si>
  <si>
    <t>Toward Understanding the Design of Brain-to-Brain Interfaces for Augmenting Inter-Brain Synchrony</t>
  </si>
  <si>
    <t>https://dl.acm.org/doi/10.1145/3613904.3641983</t>
  </si>
  <si>
    <t>CHI: Conference on Human Factors in Computing Systems</t>
  </si>
  <si>
    <t>https://doi.org/10.1145/3613904.3641983</t>
  </si>
  <si>
    <t>Inter-brain synchrony, brain-to-brain system, social abilities, human connection.</t>
  </si>
  <si>
    <t>Biswanath Samanta</t>
  </si>
  <si>
    <t>Self-Supervised Contrastive Learning Using EEG Signals For Mental Stress Assessment</t>
  </si>
  <si>
    <t>https://digitalcommons.georgiasouthern.edu/etd/2797/</t>
  </si>
  <si>
    <t xml:space="preserve">Georgia Southern University Thesis </t>
  </si>
  <si>
    <r>
      <rPr>
        <rFont val="Arial"/>
        <color rgb="FF000000"/>
        <sz val="10.0"/>
      </rPr>
      <t xml:space="preserve">Contrastive Learning, </t>
    </r>
    <r>
      <rPr>
        <rFont val="Arial"/>
        <color rgb="FF000000"/>
        <sz val="10.0"/>
      </rPr>
      <t>EEG Signals, Mental Stress Assessment</t>
    </r>
  </si>
  <si>
    <t>MANAS RANJAN SAHU</t>
  </si>
  <si>
    <t>EXAMINATION OF EMOTIONAL BRAINWAVES</t>
  </si>
  <si>
    <t>https://www.fuzzy-tversu.com/Vol.07,%20Issue.%202,%20July-December%20:%20%202022/151.pdf</t>
  </si>
  <si>
    <t>Raajdhani Engineering College, Bhubaneswar</t>
  </si>
  <si>
    <t xml:space="preserve">Amyotrophic Lateral Sclerosis (ALS), electroencephalographic </t>
  </si>
  <si>
    <r>
      <rPr>
        <rFont val="Arial"/>
        <color rgb="FF000000"/>
        <sz val="10.0"/>
      </rPr>
      <t>Qijia Shao</t>
    </r>
    <r>
      <rPr>
        <rFont val="Arial"/>
        <color rgb="FF000000"/>
        <sz val="10.0"/>
      </rPr>
      <t xml:space="preserve">, </t>
    </r>
    <r>
      <rPr>
        <rFont val="Arial"/>
        <color rgb="FF000000"/>
        <sz val="10.0"/>
      </rPr>
      <t>Jiting Liu</t>
    </r>
    <r>
      <rPr>
        <rFont val="Arial"/>
        <color rgb="FF000000"/>
        <sz val="10.0"/>
      </rPr>
      <t xml:space="preserve">, </t>
    </r>
    <r>
      <rPr>
        <rFont val="Arial"/>
        <color rgb="FF000000"/>
        <sz val="10.0"/>
      </rPr>
      <t>Emily Bejerano</t>
    </r>
    <r>
      <rPr>
        <rFont val="Arial"/>
        <color rgb="FF000000"/>
        <sz val="10.0"/>
      </rPr>
      <t xml:space="preserve">, </t>
    </r>
    <r>
      <rPr>
        <rFont val="Arial"/>
        <color rgb="FF000000"/>
        <sz val="10.0"/>
      </rPr>
      <t>Ho Man Colman</t>
    </r>
    <r>
      <rPr>
        <rFont val="Arial"/>
        <color rgb="FF000000"/>
        <sz val="10.0"/>
      </rPr>
      <t xml:space="preserve">, </t>
    </r>
    <r>
      <rPr>
        <rFont val="Arial"/>
        <color rgb="FF000000"/>
        <sz val="10.0"/>
      </rPr>
      <t>Jingping Nie</t>
    </r>
    <r>
      <rPr>
        <rFont val="Arial"/>
        <color rgb="FF000000"/>
        <sz val="10.0"/>
      </rPr>
      <t xml:space="preserve">, </t>
    </r>
    <r>
      <rPr>
        <rFont val="Arial"/>
        <color rgb="FF000000"/>
        <sz val="10.0"/>
      </rPr>
      <t>Xiaofan Jiang</t>
    </r>
    <r>
      <rPr>
        <rFont val="Arial"/>
        <color rgb="FF000000"/>
        <sz val="10.0"/>
      </rPr>
      <t xml:space="preserve">, and </t>
    </r>
    <r>
      <rPr>
        <rFont val="Arial"/>
        <color rgb="FF000000"/>
        <sz val="10.0"/>
      </rPr>
      <t>XiaZhouAuthors Info &amp; Claims</t>
    </r>
  </si>
  <si>
    <t>Joey: Supporting Kangaroo Mother Care with Computational Fabrics</t>
  </si>
  <si>
    <t>https://dl.acm.org/doi/abs/10.1145/3643832.3661867</t>
  </si>
  <si>
    <t>MOBISYS</t>
  </si>
  <si>
    <t>https://doi.org/10.1145/3643832.3661867</t>
  </si>
  <si>
    <t xml:space="preserve">infant's well-being: heart rate, ECG signals, </t>
  </si>
  <si>
    <r>
      <rPr>
        <rFont val="Arial"/>
        <color rgb="FF000000"/>
        <sz val="10.0"/>
      </rPr>
      <t>Romo-De León, Rebeca</t>
    </r>
    <r>
      <rPr>
        <rFont val="Arial"/>
        <color rgb="FF000000"/>
        <sz val="10.0"/>
      </rPr>
      <t xml:space="preserve">; </t>
    </r>
    <r>
      <rPr>
        <rFont val="Arial"/>
        <color rgb="FF000000"/>
        <sz val="10.0"/>
      </rPr>
      <t>Cham-Pérez, Mei Li L.</t>
    </r>
    <r>
      <rPr>
        <rFont val="Arial"/>
        <color rgb="FF000000"/>
        <sz val="10.0"/>
      </rPr>
      <t xml:space="preserve">; </t>
    </r>
    <r>
      <rPr>
        <rFont val="Arial"/>
        <color rgb="FF000000"/>
        <sz val="10.0"/>
      </rPr>
      <t>Elizondo-Villegas, Verónica Andrea</t>
    </r>
    <r>
      <rPr>
        <rFont val="Arial"/>
        <color rgb="FF000000"/>
        <sz val="10.0"/>
      </rPr>
      <t xml:space="preserve">; </t>
    </r>
    <r>
      <rPr>
        <rFont val="Arial"/>
        <color rgb="FF000000"/>
        <sz val="10.0"/>
      </rPr>
      <t>Villarreal-Villarreal, Alejandro</t>
    </r>
    <r>
      <rPr>
        <rFont val="Arial"/>
        <color rgb="FF000000"/>
        <sz val="10.0"/>
      </rPr>
      <t xml:space="preserve">; </t>
    </r>
    <r>
      <rPr>
        <rFont val="Arial"/>
        <color rgb="FF000000"/>
        <sz val="10.0"/>
      </rPr>
      <t>Ortiz-Espinoza, Alexandro Antonio</t>
    </r>
    <r>
      <rPr>
        <rFont val="Arial"/>
        <color rgb="FF000000"/>
        <sz val="10.0"/>
      </rPr>
      <t xml:space="preserve">; </t>
    </r>
    <r>
      <rPr>
        <rFont val="Arial"/>
        <color rgb="FF000000"/>
        <sz val="10.0"/>
      </rPr>
      <t>Vélez-Saboyá, Carol Stefany</t>
    </r>
    <r>
      <rPr>
        <rFont val="Arial"/>
        <color rgb="FF000000"/>
        <sz val="10.0"/>
      </rPr>
      <t xml:space="preserve">; </t>
    </r>
    <r>
      <rPr>
        <rFont val="Arial"/>
        <color rgb="FF000000"/>
        <sz val="10.0"/>
      </rPr>
      <t>Lozoya-Santos, Jorge de Jesús</t>
    </r>
    <r>
      <rPr>
        <rFont val="Arial"/>
        <color rgb="FF000000"/>
        <sz val="10.0"/>
      </rPr>
      <t xml:space="preserve">; </t>
    </r>
    <r>
      <rPr>
        <rFont val="Arial"/>
        <color rgb="FF000000"/>
        <sz val="10.0"/>
      </rPr>
      <t>Cebral-Loureda, Manuel</t>
    </r>
    <r>
      <rPr>
        <rFont val="Arial"/>
        <color rgb="FF000000"/>
        <sz val="10.0"/>
      </rPr>
      <t xml:space="preserve">; </t>
    </r>
    <r>
      <rPr>
        <rFont val="Arial"/>
        <color rgb="FF000000"/>
        <sz val="10.0"/>
      </rPr>
      <t>Ramírez-Moreno, Mauricio A.</t>
    </r>
  </si>
  <si>
    <t>EEG and Physiological Signals Dataset from Participants during Traditional and Partially Immersive Learning Experiences in Humanities.</t>
  </si>
  <si>
    <t>https://openurl.ebsco.com/EPDB%3Agcd%3A5%3A29490309/detailv2?sid=ebsco%3Aplink%3Ascholar&amp;id=ebsco%3Agcd%3A177498914&amp;crl=c</t>
  </si>
  <si>
    <t>EBSCO</t>
  </si>
  <si>
    <t>10.3390/data9050068</t>
  </si>
  <si>
    <t>Immersive learning, electroencephalography, physiological patterns</t>
  </si>
  <si>
    <t>Shivani Sahoo, Shubham Tayade, Chittaloori Likhitha, S Sumitra, and B S Manoj</t>
  </si>
  <si>
    <t>IIST BCI Dataset-6 for Selected Common Odia words</t>
  </si>
  <si>
    <t>https://d197for5662m48.cloudfront.net/documents/publicationstatus/209576/preprint_pdf/b2966d8c2c2e6ad3e8f7b7682f8fd585.pdf</t>
  </si>
  <si>
    <t>IEEE Data Port</t>
  </si>
  <si>
    <t>10.36227/techrxiv.171710270.08933626/v1</t>
  </si>
  <si>
    <t>Electroencephalograph (EEG), language-specific datasets, Machine Learning</t>
  </si>
  <si>
    <t xml:space="preserve">Ray Zhao, Oliver Chen </t>
  </si>
  <si>
    <t>NeuroLimbAI: Enhancing Sensory Feedback in an Origami Inspired Prosthetic Arm with Electroencephalogram-Controlled Noninvasive Vibrotactile Haptic Feedback</t>
  </si>
  <si>
    <t>https://ieeexplore.ieee.org/abstract/document/10541248/authors#authors</t>
  </si>
  <si>
    <t>2024 4th International Conference on Applied Artificial Intelligence (ICAPAI)</t>
  </si>
  <si>
    <t>10.1109/ICAPAI61893.2024.10541248</t>
  </si>
  <si>
    <t>Prosthetics limbs, EEG controlled, AI based EEG Haptic Feedback</t>
  </si>
  <si>
    <t>Phurin Rangpong, Akima Connelly, Pengcheng Li, Theerawit Wilaiprasitporn, Tohru Yagi</t>
  </si>
  <si>
    <t>The Effect of Virtual Reality Head-Mounted Display Stimulus in Sit-Stand Motor Imagery Training Paradigm</t>
  </si>
  <si>
    <t>https://www.jstage.jst.go.jp/article/ieejeiss/144/6/144_528/_article/-char/ja/</t>
  </si>
  <si>
    <r>
      <rPr>
        <rFont val="Arial"/>
        <color rgb="FF222222"/>
        <sz val="10.0"/>
      </rPr>
      <t xml:space="preserve"> </t>
    </r>
    <r>
      <rPr>
        <rFont val="Arial"/>
        <color rgb="FF1155CC"/>
        <sz val="10.0"/>
        <u/>
      </rPr>
      <t>https://doi.org/10.1541/ieejeiss.144.528</t>
    </r>
  </si>
  <si>
    <t>English, Japanese</t>
  </si>
  <si>
    <t>Jiakai Zhang, Yuqi Zhang, Xinlong Zhang, ..., Ju Wang, Shaojie Lu, Xiaoyan Shen</t>
  </si>
  <si>
    <t>A high-performance general computer cursor control scheme based on a hybrid BCI combining motor imagery and eye-tracking</t>
  </si>
  <si>
    <t>https://www.cell.com/iscience/pdf/S2589-0042(24)01389-0.pdf</t>
  </si>
  <si>
    <t>ARTICLE, VOLUME 27, ISSUE 6, 110164</t>
  </si>
  <si>
    <t xml:space="preserve">DOI: https://doi.org/10.1016/j.isci.2024.110164 </t>
  </si>
  <si>
    <t xml:space="preserve">S. M. Musfequr Rahman, Henna Mattila, Asif Shaikh, Pasi Raumonen &amp; Johanna Virkki </t>
  </si>
  <si>
    <t>An Everyday Hat for Detection of Eye Blinks and Forehead Clenching</t>
  </si>
  <si>
    <t>https://link.springer.com/chapter/10.1007/978-3-031-61625-9_8</t>
  </si>
  <si>
    <t xml:space="preserve">IFMBE Proceedings </t>
  </si>
  <si>
    <r>
      <rPr>
        <rFont val="Arial"/>
        <color rgb="FF1155CC"/>
        <sz val="10.0"/>
        <u/>
      </rPr>
      <t>https://doi.org/10.1007/978-3-031-61625-9_8</t>
    </r>
    <r>
      <rPr>
        <rFont val="Arial"/>
        <color rgb="FF222222"/>
        <sz val="10.0"/>
      </rPr>
      <t xml:space="preserve">
</t>
    </r>
  </si>
  <si>
    <t>Long Wang, Hongjie Tang, Zutao Zhang, Yajia Pan, Dabing Luo, Bendong Xiong, Tengfei Liu, Congcong Zhang, Hao Wang, Weihua Kong,</t>
  </si>
  <si>
    <t>Smart nodding duck: A hybrid Halbach electromagnetic piezoelectric self-powered sensor for smart fisheries</t>
  </si>
  <si>
    <t>https://www.sciencedirect.com/science/article/abs/pii/S1385894724041810</t>
  </si>
  <si>
    <t>Chemical Engineering Journal</t>
  </si>
  <si>
    <t>https://doi.org/10.1016/j.cej.2024.152694.</t>
  </si>
  <si>
    <t>Wave energy harvester; Smart fisheries; Halbach-piezoelectric-electromagnetic structure; Self-powered; Self-sensing</t>
  </si>
  <si>
    <t>Siyu Liu; Zhiyuan Ming; Mengzhen Liu; Deyu Zhang; Ziyu Liu; Qiming Chen; Lingfei Ma; Jiawei Luo; Dingjie Suo; Jian Zhang; Tianyi Yan</t>
  </si>
  <si>
    <t>Remote-Oriented Brain-Controlled Unmanned Aerial Vehicle for IoT</t>
  </si>
  <si>
    <t>https://ieeexplore.ieee.org/abstract/document/10540596</t>
  </si>
  <si>
    <t>IEEE Internet of Things Journal</t>
  </si>
  <si>
    <t>DOI: 10.1109/JIOT.2024.3406837</t>
  </si>
  <si>
    <t>internet of things, brain-controlled unmanned aerial vehicle, brain-computer interface, compressed-perceptual visual evoked potentials paradigm, human-machine closed-loop controller</t>
  </si>
  <si>
    <t>Emma J. Pretty; Renan Guarese; Chloe A. Dziego; Haytham M. Fayek; Fabio Zambetta</t>
  </si>
  <si>
    <t>Multimodal Measurement of Cognitive Load in a Video Game Context: A Comparative Study Between Subjective and Objective Metrics</t>
  </si>
  <si>
    <t>https://ieeexplore.ieee.org/document/10541061/</t>
  </si>
  <si>
    <t xml:space="preserve">IEEE Transactions on Games </t>
  </si>
  <si>
    <t>DOI: 10.1109/TG.2024.3406723</t>
  </si>
  <si>
    <t>Cognitive load, Games, Video games, Physiology, temperature measurement, Particle measurements, Atmospheric measurements</t>
  </si>
  <si>
    <t>Mohammad-Mahdi Abolghasemi, Shahrar Rezghi Shirsavar, Milad Yekani</t>
  </si>
  <si>
    <t xml:space="preserve">An affordable solution for investigating zebra finch intracranial EEG signals V.1 </t>
  </si>
  <si>
    <t>https://www.protocols.io/view/an-affordable-solution-for-investigating-zebra-fin-ctu3wnyn.html</t>
  </si>
  <si>
    <t>dx.doi.org/10.17504/protocols.io.q26g7y2w8gwz/v1</t>
  </si>
  <si>
    <t>Open-BCI, Zebra finch, ECOG, Bird electrophysiology, open source EEG</t>
  </si>
  <si>
    <t>Xinyue Wu, Xianwei Lin, Yimeng Zeng, Zefeng Wang, Ying Yu, Chenggang Zhang, Xuanmei Wu, Cong Yan</t>
  </si>
  <si>
    <t>Exploring BMI Recognition through Resting State, Free Imagination, and Visual Stimulation-Induced EEG</t>
  </si>
  <si>
    <t>https://www.sciencedirect.com/science/article/pii/S2211285524004968</t>
  </si>
  <si>
    <t>Nano Energy</t>
  </si>
  <si>
    <t>https://doi.org/10.1016/j.nanoen.2024.109748.</t>
  </si>
  <si>
    <t>EEG, BMI, Imagination, Resting-state, Visual Stimulation, Machine Learning</t>
  </si>
  <si>
    <t>Romo-De León, R.; Cham-Pérez, M.L.L.; Elizondo-Villegas, V.A.; Villarreal-Villarreal, A.; Ortiz-Espinoza, A.A.; Vélez-Saboyá, C.S.; Lozoya-Santos, J.d.J.; Cebral-Loureda, M.; Ramírez-Moreno, M.A.</t>
  </si>
  <si>
    <t>EEG and Physiological Signals Dataset from Participants during Traditional and Partially Immersive Learning Experiences in Humanities</t>
  </si>
  <si>
    <t>https://www.mdpi.com/2306-5729/9/5/68</t>
  </si>
  <si>
    <t>Data 2024, 9, 68</t>
  </si>
  <si>
    <t>https://doi.org/10.3390/data9050068</t>
  </si>
  <si>
    <t xml:space="preserve"> neuroeducation; neurohumanities; immersive spaces; neuroengineering; educational innovation</t>
  </si>
  <si>
    <t>Sekhar, Sumi</t>
  </si>
  <si>
    <t>Customizable Drawn on Skin Conductive Ink for Electrophysiology from Hirsute Skin</t>
  </si>
  <si>
    <t>https://etda.libraries.psu.edu/catalog/28971svs7421</t>
  </si>
  <si>
    <t>Penn State Masters thesis</t>
  </si>
  <si>
    <t>Wearable medical devices, Epidermal sensing, Electrophysiological signals, Liquid functional ink, Hirsute skin</t>
  </si>
  <si>
    <t>S. Suchalova, R. Hudec and S. Matuska</t>
  </si>
  <si>
    <t>Effects of Brain Signal Preprocessing on Visual Object Stimulation</t>
  </si>
  <si>
    <t>https://ieeexplore.ieee.org/abstract/document/10524074</t>
  </si>
  <si>
    <t xml:space="preserve">2024 34th International Conference Radioelektronika </t>
  </si>
  <si>
    <t>doi: 10.1109/RADIOELEKTRONIKA61599.2024.10524074.</t>
  </si>
  <si>
    <t>Correlation coefficient; Visualization; Correlation; Animals; Semantics; Visual systems; Transformers; EEG; VEP; stimulation; brain; signal; acquisition; DC offset; filtration; correlation coefficient</t>
  </si>
  <si>
    <t>Nancy Sunil, Parvathy S S, Shubham Tayade, Chittaloori Likhitha, S. Sumitra, and
Manoj B. S.</t>
  </si>
  <si>
    <t>IIST BCI Dataset-5 for Malayalam Vowels and Consonants</t>
  </si>
  <si>
    <t>https://d197for5662m48.cloudfront.net/documents/publicationstatus/207322/preprint_pdf/81a07fc1ff8a09cc28e8e30eac9cf7fb.pdf</t>
  </si>
  <si>
    <t xml:space="preserve">Maryam Khoshkhooy Titkanlou, Duc Thien Pham, and Roman Mouček </t>
  </si>
  <si>
    <t xml:space="preserve">Design of BCI-Based Exoskeleton System for Knee Rehabilitation </t>
  </si>
  <si>
    <t>https://www.scitepress.org/Papers/2024/126888/126888.pdf</t>
  </si>
  <si>
    <t>ICT4AWE 2024</t>
  </si>
  <si>
    <t>DOI: 10.5220/0012688800003699</t>
  </si>
  <si>
    <t xml:space="preserve">Brain-Computer Interface (BCI), Electroencephalography (EEG), Exoskeleton, Knee, Lower Limb, Motor
Imagery (MI), Transfer Learning. </t>
  </si>
  <si>
    <t>Guerrero-Mendez, C.D.; Blanco-Diaz, C.F.; Rivera-Flor, H.; Fabriz-Ulhoa, P.H.; Fragoso-Dias, E.A.; de Andrade, R.M.; Delisle-Rodriguez, D.; Bastos-Filho, T.F</t>
  </si>
  <si>
    <t>Influence of Temporal and Frequency Selective Patterns Combined with CSP Layers on Performance in Exoskeleton-Assisted Motor Imagery Tasks</t>
  </si>
  <si>
    <t>https://www.mdpi.com/2673-4087/5/2/12</t>
  </si>
  <si>
    <t>NeuroSci 2024, 5, 169-183</t>
  </si>
  <si>
    <r>
      <rPr>
        <rFont val="Arial"/>
        <color rgb="FF1155CC"/>
        <sz val="10.0"/>
        <u/>
      </rPr>
      <t>https://doi.org/10.3390/neurosci5020012</t>
    </r>
    <r>
      <rPr>
        <rFont val="Arial"/>
        <color rgb="FF222222"/>
        <sz val="10.0"/>
      </rPr>
      <t xml:space="preserve">
</t>
    </r>
  </si>
  <si>
    <t xml:space="preserve"> passive movements; spatial–spectral filter; brain–computer interfaces; upper limb; EEG</t>
  </si>
  <si>
    <t>Luu, Cidnee and Gao, Yuan and Cat Nguyen, Han and Soltanian, Saeid and Virji-Babul, Naznin and Servati, Peyman and Van Der Loos, H. F. Machiel and Wu, Lyndia C</t>
  </si>
  <si>
    <t>Correlating Motion Artifacts in Wet and Dry Electrodes With Head Kinematics During Physical Activities in Ambulatory EEG Monitoring</t>
  </si>
  <si>
    <t>https://ieeexplore.ieee.org/abstract/document/10522982</t>
  </si>
  <si>
    <t>doi: 10.1109/TIM.2024.3398124</t>
  </si>
  <si>
    <t>Electrodes; Electroencephalography; Motion artifacts; Gold; Motion measurement; Correlation; Scalp; Ambulatory monitoring; electrodes; electroencephalography (EEG); motion artifacts; wearable sensors</t>
  </si>
  <si>
    <t>Yu Liang, Chenlong Zhang, Shan An, Zaitian Wang, Kaize Shi, Tianhao Peng, Yuqing Ma, Xiaoyang Xie, Jian He,and Kun Zheng</t>
  </si>
  <si>
    <t>FetchEEG: a hybrid approach combining feature extraction and temporal-channel joint attention for EEG-based emotion classification</t>
  </si>
  <si>
    <t>https://iopscience.iop.org/article/10.1088/1741-2552/ad4743/meta</t>
  </si>
  <si>
    <t>Journal of Neural Engineering, Volume 21, Number 3</t>
  </si>
  <si>
    <t>DOI 10.1088/1741-2552/ad4743</t>
  </si>
  <si>
    <t>Zhang, Kaining and Cao, Zehong and Zheng, Xianglin and Billinghurst, Mark</t>
  </si>
  <si>
    <t>Identifying Hand-based Input Preference Based on Wearable EEG</t>
  </si>
  <si>
    <t>https://dl.acm.org/doi/abs/10.1145/3652920.3653028</t>
  </si>
  <si>
    <t>Association for Computing Machinery</t>
  </si>
  <si>
    <t>https://doi.org/10.1145/3652920.3653028</t>
  </si>
  <si>
    <t>EEG, evaluation, interaction input, user input preference</t>
  </si>
  <si>
    <t>Samuel Jacobus van Bohemen</t>
  </si>
  <si>
    <t>Development of a Novel Electrocardiography-based Metric and Device for Monitoring Changes in Cerebral Blood Flow in Stroke and Other Neurological Disorders</t>
  </si>
  <si>
    <t>https://scholar.google.com/scholar_url?url=https://ses.library.usyd.edu.au/bitstream/handle/2123/32487/vanbohemen_sj_thesis.pdf%3Fsequence%3D1%26isAllowed%3Dy&amp;hl=en&amp;sa=X&amp;d=18013699322914481207&amp;ei=QRQvZszFJZjJy9YP2cuf6AE&amp;scisig=AFWwaebi7HNIZctAUYdGTYUXQvn3&amp;oi=scholaralrt&amp;hist=8WBGhdYAAAAJ:5437843588291773220:AFWwaebmzrq9zPN1CYXQ5l-OkEG-&amp;html=&amp;pos=0&amp;folt=kw</t>
  </si>
  <si>
    <t>Cerebral blood flow · Continuous monitoring · Electrocardiography · Electroencephalography · Quantitative
electroencephalography · Stroke</t>
  </si>
  <si>
    <t>Ekansh Gupta; Cheng-Yeh Chen; Raghupathy Sivakumar</t>
  </si>
  <si>
    <t>Do Weak Brain Signals Get Amplified When Strong Brain Signals are Evoked?</t>
  </si>
  <si>
    <t>https://ieeexplore.ieee.org/abstract/document/10502941</t>
  </si>
  <si>
    <t>2024 IEEE International Conference on Pervasive Computing and Communications Workshops and other Affiliated Events (PerCom Workshops)</t>
  </si>
  <si>
    <t>DOI: 10.1109/PerComWorkshops59983.2024.10502941</t>
  </si>
  <si>
    <t>Pervasive computing; Filtering; Conferences; Brain modeling; Electroencephalography; Usability; Faces; BCI; ErrP; SSVEP; Hybrid BCI; ERP</t>
  </si>
  <si>
    <t>Faraz Ahmad; Maohua Liu; Fred R. Beyette</t>
  </si>
  <si>
    <t>Fatigue Analysis in Assembly Line Workers Using Brain Computer Interface</t>
  </si>
  <si>
    <t>https://ieeexplore.ieee.org/abstract/document/10500236</t>
  </si>
  <si>
    <t>SoutheastCon 2024</t>
  </si>
  <si>
    <t>doi: 10.1109/SoutheastCon52093.2024.10500236.</t>
  </si>
  <si>
    <t>Surveys; Productivity; Employment; Fatigue; Electroencephalography; Brain-computer interfaces; Real-time systems; Brain computer interface (BCl); Event related potential (ERP) techniques; Electroencephalography (EEG); Assembly line; fatigue analysis; P300</t>
  </si>
  <si>
    <t>Parvathi Nair, Parvathy S S, Nancy Sunil, Anurag Mukati, Charu Chauhan, S Sumitra, B S Manoj</t>
  </si>
  <si>
    <t>IIST BCI Dataset-1 for Selected Common Malayalam Words</t>
  </si>
  <si>
    <t>https://www.techrxiv.org/users/712048/articles/696682-iist-bci-dataset-1-for-selected-common-malayalam-words</t>
  </si>
  <si>
    <t>TechRxiv</t>
  </si>
  <si>
    <t>DOI: 10.36227/techrxiv.170473894.42689961/v1</t>
  </si>
  <si>
    <t>Erick A. Gonzalez-Rodriguez, Luis Kevin Cepeda-Zapata, Angel Antonio Rivas-Silva, Vania G. Martinez-Gonzalez, Luz Maria Alonso-Valerdi, David Isaac Ibarra-Zarate,</t>
  </si>
  <si>
    <t>NeuroSense: A non-invasive and configurable somatosensory stimulator with OPENVIBE communication</t>
  </si>
  <si>
    <t>https://www.sciencedirect.com/science/article/pii/S2468067224000233</t>
  </si>
  <si>
    <t>HardwareX</t>
  </si>
  <si>
    <t>https://doi.org/10.1016/j.ohx.2024.e00529.</t>
  </si>
  <si>
    <t xml:space="preserve">Touch; Air; Vibration; Stimulation; Somatosensory evoked potentials; Tactile sensations
</t>
  </si>
  <si>
    <t>Siti Dwi Suryani; Adhi Darma Wibawa; Diah Puspito Wulandari</t>
  </si>
  <si>
    <t>EEG Analysis of Familiar and Unfamiliar Objects Using Wavelet Energy and Shannon Entropy</t>
  </si>
  <si>
    <t>https://ieeexplore.ieee.org/abstract/document/10499671</t>
  </si>
  <si>
    <t>2024 16th International Conference on Knowledge and Smart Technology (KST)</t>
  </si>
  <si>
    <t>DOI: 10.1109/KST61284.2024.10499671</t>
  </si>
  <si>
    <t>Brain, Wavelet analysis, Feature extraction, Entropy, Electroencephalography, Discrete wavelet transforms, Pattern recognition</t>
  </si>
  <si>
    <t>R.W.L. Yu, A.H.S. Chan</t>
  </si>
  <si>
    <t>Effects of player–video game interaction on the mental effort of older adults with the use of electroencephalography and NASA-TLX</t>
  </si>
  <si>
    <t>https://www.sciencedirect.com/science/article/abs/pii/S0167494324001183</t>
  </si>
  <si>
    <t>Archives of Gerontology and Geriatrics
Volume 124, September 2024, 105442</t>
  </si>
  <si>
    <t>https://doi.org/10.1016/j.archger.2024.105442</t>
  </si>
  <si>
    <t>Cognitive load; Electroencephalography; Game interaction; Older adults</t>
  </si>
  <si>
    <t xml:space="preserve">Rathin K. Joshi, Manu K. S., Hari R. S., Ajay Krishnan , M. Jayachandra, Manjunath Dandinarasaiah, Hardik J. Pandya </t>
  </si>
  <si>
    <t>Automated ABR and MMN extraction using a customized headband for hearing screening</t>
  </si>
  <si>
    <t>https://www.sciencedirect.com/science/article/abs/pii/S1746809424003227</t>
  </si>
  <si>
    <t>Biomedical Signal Processing and Control
Volume 94, August 2024, 106264</t>
  </si>
  <si>
    <t>https://doi.org/10.1016/j.bspc.2024.106264</t>
  </si>
  <si>
    <t xml:space="preserve">Biopotentials; Electroencephalography; Brain computer interface; Event-related potentials (ERPs); Auditory brainstem response (ABR); Mismatch negativity (MMN)
</t>
  </si>
  <si>
    <t>X. Wang, W. Huang, C. He, H. Wu, J. Lin and L. Cheng</t>
  </si>
  <si>
    <t>A Flexible EEG Acquisition Headband With High Reliability and High Signal-to-Noise Ratio</t>
  </si>
  <si>
    <t>https://ieeexplore.ieee.org/abstract/document/10487645</t>
  </si>
  <si>
    <t>IEEE Sensors Journal, vol. 24, no. 9</t>
  </si>
  <si>
    <t>doi: 10.1109/JSEN.2024.3381789</t>
  </si>
  <si>
    <t>Circuits, Electroencephalography, Noise, Instruments, Feature extraction, Sensors, signal to noise ratio, Brain–computer interface, electroencephalography (EEG) acquisition circuit, EEG signal, reliability, temperature stability</t>
  </si>
  <si>
    <t>Neeraj Choudhary; Kodidasu Murali Kumar; Jimson Mathew; Sravanthi Acchugatla</t>
  </si>
  <si>
    <t>Classification of Left/Right Hand Movement from EEG Signal by Empirical Mode Decomposition with Ensemble of classifiers</t>
  </si>
  <si>
    <t>https://ieeexplore.ieee.org/abstract/document/10463300</t>
  </si>
  <si>
    <t>2024 14th International Conference on Cloud Computing, Data Science &amp; Engineering (Confluence)</t>
  </si>
  <si>
    <t>doi: 10.1109/Confluence60223.2024.10463300</t>
  </si>
  <si>
    <t>Time-frequency analysis; Empirical mode decomposition; Feature extraction; Motors; Brain modeling; Electroencephalography; Decision trees; Empirical mode decomposition; ensemble of estimators</t>
  </si>
  <si>
    <t>Noor Abbas Alseydy; Salah A. Albermany; Ahmed J. Obaid</t>
  </si>
  <si>
    <t>Using EEG features of eye-blinking for the paralyzed patient</t>
  </si>
  <si>
    <t>https://pubs.aip.org/aip/acp/article-abstract/2919/1/110003/3278987/Using-EEG-features-of-eye-blinking-for-the?redirectedFrom=fulltext</t>
  </si>
  <si>
    <t>AIP Conf.</t>
  </si>
  <si>
    <t>https://doi.org/10.1063/5.0190792</t>
  </si>
  <si>
    <t xml:space="preserve">MATLAB, Diseases and conditions, </t>
  </si>
  <si>
    <t>Andres Jaramillo-Gonzalez</t>
  </si>
  <si>
    <t xml:space="preserve">Unlocking Communication: Advancing Brain-Computer Interfaces for ALS Patients in Locked-In and Completely Locked-In States </t>
  </si>
  <si>
    <t>https://scholar.google.com/scholar_url?url=https://tobias-lib.ub.uni-tuebingen.de/xmlui/bitstream/handle/10900/152143/Dissertation_Andres_Jaramillo.pdf%3Fsequence%3D2%26isAllowed%3Dy&amp;hl=en&amp;sa=X&amp;d=14505797620042768767&amp;ei=dAYFZsXEI7bBy9YPgLuguAg&amp;scisig=AFWwaebTjssJiSrELS73K5xUwlFA&amp;oi=scholaralrt&amp;hist=8WBGhdYAAAAJ:5437843588291773220:AFWwaebmzrq9zPN1CYXQ5l-OkEG-&amp;html=&amp;pos=0&amp;folt=kw</t>
  </si>
  <si>
    <t>Brain-computer interface (BCI), EEG, fNIRS, HybridBCI, Locked-in syndrome (LIS), Completely locked-in syndrome (CLIS)</t>
  </si>
  <si>
    <t>Chicaiza-Jaque, J., Herrera-Vela, J., Escobar-Sánchez, M., Montaluisa-Yugla, F.</t>
  </si>
  <si>
    <t xml:space="preserve">Software for Speech Therapy Support Through PECS Oriented to Digital Learning Environments for Children with Moderate ASD </t>
  </si>
  <si>
    <t>https://link.springer.com/chapter/10.1007/978-3-031-51982-6_27</t>
  </si>
  <si>
    <t>CITIS 2023</t>
  </si>
  <si>
    <t>https://doi.org/10.1007/978-3-031-51982-6_27</t>
  </si>
  <si>
    <t>Blanco-Ríos MA, Candela-Leal MO, Orozco-Romo C, Remis-Serna P, Vélez-Saboyá CS, Lozoya-Santos JdJ, Cebral-Loureda M and Ramírez-Moreno MA</t>
  </si>
  <si>
    <t>Real-time EEG-based emotion recognition for neurohumanities: perspectives from principal component analysis and tree-based algorithms</t>
  </si>
  <si>
    <t>https://www.researchgate.net/profile/Mauricio-Adolfo-Ramirez-Moreno-2/publication/378930843_Real-time_EEG-based_emotion_recognition_for_neurohumanities_perspectives_from_principal_component_analysis_and_tree-based_algorithms/links/65f1c159286738732d3e158c/Real-time-EEG-based-emotion-recognition-for-neurohumanities-perspectives-from-principal-component-analysis-and-tree-based-algorithms.pdf</t>
  </si>
  <si>
    <t>Front. Hum. Neurosci. 18:1319574.</t>
  </si>
  <si>
    <t>doi: 10.3389/fnhum.2024.1319574</t>
  </si>
  <si>
    <t>EEG, emotion recognition, real-time, PCA, Random Forest, humanities,
neurohumanities, Descartes</t>
  </si>
  <si>
    <t>Sylvia Bhattacharya and J. Stephen Higgins</t>
  </si>
  <si>
    <t xml:space="preserve">Modelling Cognitive Workload to Build Multimodal Voice
Interaction in the Car </t>
  </si>
  <si>
    <t>https://www.scitepress.org/Papers/2024/122493/122493.pdf</t>
  </si>
  <si>
    <t>VISIGRAPP 2024</t>
  </si>
  <si>
    <t>DOI: 10.5220/0012249300003660</t>
  </si>
  <si>
    <t>In-Vehicle Information Systems, Cognitive Demands, Optimization, Visual/Auditory Modalities, Tactile
Screen Tapping, Voice Commands, Visual Cues, Cognitive Load.</t>
  </si>
  <si>
    <t>Shubham Tayade, Parvathy S S, Nancy Sunil, Charu Chauhan, S Sumitra, B S Manoj</t>
  </si>
  <si>
    <t>IIST BCI Dataset-2 for Selected Common Marathi Words</t>
  </si>
  <si>
    <t>https://www.techrxiv.org/doi/full/10.36227/techrxiv.171043118.80448751/v1</t>
  </si>
  <si>
    <t>DOI: 10.36227/techrxiv.171043118.80448751/v1</t>
  </si>
  <si>
    <t>BIOENGINEERING, ENGINEERING PROFESSION, SIGNAL PROCESSING AND ANALYSIS, BRAIN COMPUTER, DATA DESCRIPTOR PAPER, DATASETS, ELECTRONICS AND COMMUNICATION, MACHINE LEARNING</t>
  </si>
  <si>
    <t>Zhizhang Hu, Amirmohammad Radmehr, Yue Zhang, Shijia Pan, and Phuc Nguyen</t>
  </si>
  <si>
    <t>IOTeeth: Intra-Oral Teeth Sensing System for Dental Occlusal Diseases Recognition</t>
  </si>
  <si>
    <t>https://dl.acm.org/doi/pdf/10.1145/3643516</t>
  </si>
  <si>
    <t>Proc. ACM Interact. Mob. Wearable Ubiquitous Technol. 8, 1, Article 7</t>
  </si>
  <si>
    <t>https://doi.org/10.1145/3643516</t>
  </si>
  <si>
    <t xml:space="preserve"> Intra-oral Sensing, Occlusal Disease Recognition</t>
  </si>
  <si>
    <t>Luo, Feiya and Liu, Ruohan and Awoyemi, Idowu David and Crawford, Chris and Nasrin, Fatema</t>
  </si>
  <si>
    <t>Novel Insights into Elementary Girls' Experiences in Physiological Computing</t>
  </si>
  <si>
    <t>https://dl.acm.org/doi/abs/10.1145/3626252.3630900</t>
  </si>
  <si>
    <t>https://doi.org/10.1145/3626252.3630900</t>
  </si>
  <si>
    <t>applied computing, education, interactive learning environments</t>
  </si>
  <si>
    <t>K. Gupta, Y. Zhang, T. S. Gunasekaran, N. Krishna, Y. S. Pai and M. Billinghurst</t>
  </si>
  <si>
    <t>CAEVR: Biosignals-Driven Context-Aware Empathy in Virtual Reality</t>
  </si>
  <si>
    <t>https://ieeexplore.ieee.org/abstract/document/10458349</t>
  </si>
  <si>
    <t>IEEE Transactions on Visualization and Computer Graphics, vol. 30, no. 5</t>
  </si>
  <si>
    <t>doi: 10.1109/TVCG.2024.3372130</t>
  </si>
  <si>
    <t>Emotion recognition, Electroencephalography, Brain modeling, Real-time systems, Solid modeling, Heart rate variability, Cognitive load</t>
  </si>
  <si>
    <t>Cristian Felipe Blanco D´ıaz</t>
  </si>
  <si>
    <t>Brain-Computer Interface for Lower-Limb Neurorehabilitation: From Signal Analysis to Practical Applications</t>
  </si>
  <si>
    <t>https://sappg.ufes.br/tese_drupal/tese_17478_Disserta%E7%E3o%20de%20Mestrado%20-%20Cristian%20Felipe%20Blanco%20D%EDaz.pdf</t>
  </si>
  <si>
    <t>LaRocco John, Tahmina Qudsia, Lecian Sam, Moore Jason, Helbig Cole, Gupta Surya</t>
  </si>
  <si>
    <t>Evaluation of an English language phoneme-based imagined speech brain computer interface with low-cost electroencephalography</t>
  </si>
  <si>
    <t>https://www.frontiersin.org/articles/10.3389/fninf.2023.1306277/full</t>
  </si>
  <si>
    <t>Front. Neuroinform., 18 December 2023
Volume 17 - 2023 |</t>
  </si>
  <si>
    <t>https://doi.org/10.3389/fninf.2023.1306277</t>
  </si>
  <si>
    <t>EEG, electroencephalography, covert speech, imagined speech, brain-computer interface, BCI</t>
  </si>
  <si>
    <t>Chen Chen</t>
  </si>
  <si>
    <t>Designing an Athletic Training Assistance System under Deep Learning Guided by Kinesiology Theory</t>
  </si>
  <si>
    <t>https://intapi.sciendo.com/pdf/10.2478/amns-2024-0299</t>
  </si>
  <si>
    <t>Applied Mathematics and Nonlinear Sciences</t>
  </si>
  <si>
    <t>https://doi.org/10.2478/amns.2023.2.00338</t>
  </si>
  <si>
    <t>Convolutional network; Long and short-term memory; Action recognition; Kinematic modeling; Training
assistance system.</t>
  </si>
  <si>
    <t>Junjie Wang, Qian Zhou, An Wang, Zhijun Zhu, Kumi Moses, Tengjiao Wang, Peng Li, Wei Huang</t>
  </si>
  <si>
    <t>Sponge Inspired Flexible, Antibacterial Aerogel Electrode with Long-Term High-Quality Electrophysiological Signal Recording for Human-Machine Interface</t>
  </si>
  <si>
    <t>https://onlinelibrary.wiley.com/doi/abs/10.1002/adfm.202309704</t>
  </si>
  <si>
    <t>https://doi.org/10.1002/adfm.202309704</t>
  </si>
  <si>
    <t>aerogel antibacterial electrophysiological signal monitoring flexible electrode</t>
  </si>
  <si>
    <t>Nair, S.A.L., Megalingam, R.K.</t>
  </si>
  <si>
    <t>Human attention detection system using deep learning and brain–computer interface</t>
  </si>
  <si>
    <t>https://doi.org/10.1007/s00521-024-09628-8</t>
  </si>
  <si>
    <t>Neural Comput &amp; Applic (2024)</t>
  </si>
  <si>
    <t>Brain–computer interface
EEG
OpenBCI
Student attention
Mutual information
Deep learning</t>
  </si>
  <si>
    <t>Miguel A. Blanco-Rios, Milton O. Candela-Leal, Cecilia Orozco-Romo, Paulina Remis-Serna, Carol S. Velez-Saboya, Jorge De-J. Lozoya-Santos, Manuel Cebral-Loureda, Mauricio A. Ramirez-Moreno</t>
  </si>
  <si>
    <t>REAL-TIME EEG-BASED EMOTION RECOGNITION MODEL USING PRINCIPAL COMPONENT ANALYSIS AND TREE-BASED MODELS FOR NEUROHUMANITIES</t>
  </si>
  <si>
    <t>https://scholar.google.com/scholar_url?url=https://arxiv.org/pdf/2401.15743&amp;hl=en&amp;sa=X&amp;d=16370505158041638748&amp;ei=ttK6ZdaFO4rLy9YPmdyDiA4&amp;scisig=AFWwaeZv4F4m6DjDdksTBtQDMEkI&amp;oi=scholaralrt&amp;hist=8WBGhdYAAAAJ:5437843588291773220:AFWwaebmzrq9zPN1CYXQ5l-OkEG-&amp;html=&amp;pos=0&amp;folt=kw</t>
  </si>
  <si>
    <t>https://doi.org/10.48550/arXiv.2401.15743</t>
  </si>
  <si>
    <t>EEG, emotion recognition, real-time, PCA, random forest, humanities, neurohumanities, Descartes</t>
  </si>
  <si>
    <t>Yunbiao Zhao, Tiantong Wang, Yue Li, Ziqiang Zhao, Jianming Xue, and Qining Wang</t>
  </si>
  <si>
    <t>Fabrication of Breathable Multifunctional On-Skin Electronics Based on Tunable Track-Etched Membranes</t>
  </si>
  <si>
    <t>https://pubs.acs.org/doi/abs/10.1021/acsaelm.3c01414</t>
  </si>
  <si>
    <t>American Chemical Society</t>
  </si>
  <si>
    <t>https://doi.org/10.1021/acsaelm.3c01414</t>
  </si>
  <si>
    <t>Anatomy, Electrodes, Membranes, Permeability, Sensors, electronic skins, pressure sensor, track-etched membranes, breathability, health monitoring</t>
  </si>
  <si>
    <t>Isabel M. Gomez-Gonzalez, Juan A. Castro-Garcia, Manuel Merino-Monge, Gemma Sanchez-Anton,
Foad Hamidi, Alejandro Mendoza-Sagrera, Alberto j. Molina-Cantero</t>
  </si>
  <si>
    <t>Emotional State Measurement Trial (EMOPROEXE):a Protocol for Promoting Exercise in Adult and Children with Cerebral Palsy</t>
  </si>
  <si>
    <t>https://scholar.google.com/scholar_url?url=https://www.preprints.org/manuscript/202401.1607/download/final_file&amp;hl=en&amp;sa=X&amp;d=7558598752193376698&amp;ei=zdi0ZeaWB_W56rQPi4yb-Ak&amp;scisig=AFWwaeYZPS5Fx5tStXqEyQZrPyQW&amp;oi=scholaralrt&amp;hist=8WBGhdYAAAAJ:5437843588291773220:AFWwaebmzrq9zPN1CYXQ5l-OkEG-&amp;html=&amp;pos=4&amp;folt=kw</t>
  </si>
  <si>
    <t>Preprints</t>
  </si>
  <si>
    <t>doi: 10.20944/preprints202401.1607.v1</t>
  </si>
  <si>
    <t>Physiological computing; Affective computing; Sport promotion</t>
  </si>
  <si>
    <t xml:space="preserve">Adelina Kremenska and Anna Lekova </t>
  </si>
  <si>
    <t>New Nodes for Node‐RED Library within OpenBCI Category for EEG‐Based Brain‐Machine Interface Design and Integration in IoT</t>
  </si>
  <si>
    <t>https://scholar.google.com/scholar_url?url=https://www.preprints.org/manuscript/202401.1608/download/final_file&amp;hl=en&amp;sa=X&amp;d=4781543196447158273&amp;ei=zdi0ZeaWB_W56rQPi4yb-Ak&amp;scisig=AFWwaebSiMQSaw3pTzKsdpxS01oN&amp;oi=scholaralrt&amp;hist=8WBGhdYAAAAJ:5437843588291773220:AFWwaebmzrq9zPN1CYXQ5l-OkEG-&amp;html=&amp;pos=0&amp;folt=kw</t>
  </si>
  <si>
    <t>doi: 10.20944/preprints202401.1608.v1</t>
  </si>
  <si>
    <t>BCI Software Platforms; Node-RED; BrainFlow; IoT; OpenBCI technology</t>
  </si>
  <si>
    <t>Mingliang Zuo, Bingbing Yu, Li Sui</t>
  </si>
  <si>
    <t xml:space="preserve">Application of EEG-based Machine Learning in Stock Trading-related Emotion Recognition </t>
  </si>
  <si>
    <t>https://eudl.eu/pdf/10.4108/eai.27-10-2023.2342016</t>
  </si>
  <si>
    <t>School of Health Science and Engineering University of Shanghai for Science and Technology</t>
  </si>
  <si>
    <t>DOI 10.4108/eai.27-10-2023.2342016</t>
  </si>
  <si>
    <t xml:space="preserve"> Emotion Recognition, Machine Learning, Stock, Valence-arousal, EEG,
DWT, SGD, NB, LDA, KNN</t>
  </si>
  <si>
    <t xml:space="preserve">Palpolage Don Shehan Hiroshan Gunawardane, Raymond Robert MacNeil, Leo Zhao,
James Theodore Enns, Clarence Wilfred de Silva, and Mu Chiao </t>
  </si>
  <si>
    <t>A Fusion Algorithm Based on a Constant Velocity Model for Improving the Measurement of Saccade Parameters with Electrooculography</t>
  </si>
  <si>
    <t>https://scholar.google.com/scholar_url?url=https://www.mdpi.com/1424-8220/24/2/540/pdf&amp;hl=en&amp;sa=X&amp;d=6233231181156253458&amp;ei=36SnZYvBDoCNy9YPueucmAQ&amp;scisig=AFWwaebwCBHJGAuJkob7faNXm07G&amp;oi=scholaralrt&amp;hist=8WBGhdYAAAAJ:5437843588291773220:AFWwaebmzrq9zPN1CYXQ5l-OkEG-&amp;html=&amp;pos=2&amp;folt=kw</t>
  </si>
  <si>
    <t>Sensors 2024</t>
  </si>
  <si>
    <t>https://doi.org/10.3390/
s24020540</t>
  </si>
  <si>
    <t>biomedical signal processing; corneo-retinal potential; electrooculography; filtering
algorithms; eye tracking; Kalman filters; saccades</t>
  </si>
  <si>
    <t xml:space="preserve">Sevda Zafarmandi Ardabili, Soufia Bahmani, Lida Zare Lahijan, Nastaran Khaleghi, Sobhan Sheykhivand and Sebelan Danishvar </t>
  </si>
  <si>
    <t>A Novel Approach for Automatic Detection of Driver Fatigue Using EEG Signals Based on Graph Convolutional Networks</t>
  </si>
  <si>
    <t>https://www.mdpi.com/1424-8220/24/2/364</t>
  </si>
  <si>
    <t>https://doi.org/10.3390/s24020364</t>
  </si>
  <si>
    <t>deep learning; EEG; fatigue; GAN; GCN</t>
  </si>
  <si>
    <t>AJ Glazebrook, Jane Shakespeare-Finch, Brooke Andrew &amp; Johan van der Meer</t>
  </si>
  <si>
    <t>Posttraumatic growth EEG neuromarkers: translational neural comparisons with resilience and PTSD in trauma-exposed healthy adults</t>
  </si>
  <si>
    <t>https://www.tandfonline.com/doi/full/10.1080/20008066.2023.2272477</t>
  </si>
  <si>
    <t>European Journal of Psychotraumatology</t>
  </si>
  <si>
    <t>https://doi.org/10.1080/20008066.2023.2272477</t>
  </si>
  <si>
    <t>Alpha, coping, electroencephalogram (EEG), neural circuitry, posttraumatic growth (PTG), posttraumatic stress disorder (PTSD), resilience</t>
  </si>
  <si>
    <t>Genta Rexha; Arbnor Pajaziti; Xhevahir Bajrami; Jozef Kola; Genci Capi; Goragod Pongthanisorn</t>
  </si>
  <si>
    <t>Wheelchair Control by Users’ Eye Movements Using Signals Acquired in OpenBCI</t>
  </si>
  <si>
    <t>https://ieeexplore.ieee.org/document/10410673?dld=b3BlbmJjaS5jb20%3D&amp;source=SEARCHALERT</t>
  </si>
  <si>
    <t>2023 IEEE International Symposium on Robotic and Sensors Environments (ROSE)</t>
  </si>
  <si>
    <t>DOI: 10.1109/ROSE60297.2023.10410673</t>
  </si>
  <si>
    <t xml:space="preserve">eye-controlled wheelchair, human computer interaction, openBCI, Arduino Uno, sensors, EEG, </t>
  </si>
  <si>
    <t xml:space="preserve">Tom Colas, Nicolas Farrugia, Etienne Hendrickx, Mathieu Paquier </t>
  </si>
  <si>
    <t>The Externalization Sensation in Binaural Listening: A Behavioral and ERP Study</t>
  </si>
  <si>
    <t>https://dael.euracoustics.org/confs/fa2023/data/articles/000330.pdf</t>
  </si>
  <si>
    <t>Forum Acusticum</t>
  </si>
  <si>
    <t>DOI: 10.61782/fa.2023.0330</t>
  </si>
  <si>
    <t>binaural, externalization, EEG, ERP</t>
  </si>
  <si>
    <t>Rafia Akhter</t>
  </si>
  <si>
    <t>AUTOMATED DETECTION OF ARTIFACT-CORRUPTED OR DISTRACTED ERP EPOCHS BY UNSUPERVISED MACHINE LEARNING ALGORITHM</t>
  </si>
  <si>
    <t>https://s3.amazonaws.com/na-st01.ext.exlibrisgroup.com/01GALI_UGA/storage/alma/62/E4/A0/63/1D/8B/A3/49/73/8B/4E/96/1C/B3/C2/AA/Dissertation_RA__Edit_811722168.pdf?response-content-type=application%2Fpdf&amp;X-Amz-Algorithm=AWS4-HMAC-SHA256&amp;X-Amz-Date=20240202T211838Z&amp;X-Amz-SignedHeaders=host&amp;X-Amz-Expires=119&amp;X-Amz-Credential=AKIAJN6NPMNGJALPPWAQ%2F20240202%2Fus-east-1%2Fs3%2Faws4_request&amp;X-Amz-Signature=1c9cc8a7d4cc28550f71caf0f973a8d88bc2ca0e1f7fd9de660bc85c34caa1e3</t>
  </si>
  <si>
    <t xml:space="preserve">Dissertation Submitted to the Graduate Faculty of The University of Georgia </t>
  </si>
  <si>
    <t>Electroencephalography, Event-related potentials, Artifact Corrupted
Epochs, Unsupervised Machine Learning Algorithm, EEGLab Toolkit</t>
  </si>
  <si>
    <t>Beatrice Barbazzeni</t>
  </si>
  <si>
    <t>Cognitive Training Based on EEG-Neurofeedback to Improve Working Memory: A Research Study on Healthy Volunteers with an Outlook on Preclinical Alzheimer’s Disease</t>
  </si>
  <si>
    <t>https://opendata.uni-halle.de/bitstream/1981185920/115333/1/Barbazzeni_Beatrice_Dissertation_2023.pdf</t>
  </si>
  <si>
    <t>Natural Sciences of Otto von Guericke University
Magdeburg</t>
  </si>
  <si>
    <t>Stralen Pratasik; Adhi Dharma Wibawa; Diah Puspito Wulandari</t>
  </si>
  <si>
    <t>Coherence Analysis of EEG Signal in Happy and Sad Emotions During Visual Stimulation</t>
  </si>
  <si>
    <t>https://ieeexplore.ieee.org/abstract/document/10390906</t>
  </si>
  <si>
    <t>IEEE International Biomedical Instrumentation and Technology Conference (IBITeC)</t>
  </si>
  <si>
    <t>doi: 10.1109/IBITeC59006.2023.10390906</t>
  </si>
  <si>
    <t>Performance evaluation; Visualization; Emotion recognition; Brain; Correlation; Coherence; Feature extraction; happy emotions; sad emotions; coherence analysis; visual stimulation</t>
  </si>
  <si>
    <t>Denuka Jayaweera, Lahiru Wijesinghe, Adithya Gallage, Roshan Ragel, Isuru Nawinne, Mahanama Wickrmasinghe</t>
  </si>
  <si>
    <t>Human Emotion Detection with ECG and EEG Signals Using ML Techniques</t>
  </si>
  <si>
    <t>https://cepdnaclk.github.io/e17-4yp-Human-Emotion-Detection-with-Electrocardiographic--Electroencephelographic-and-Other-Signals/public/Pera___emotion_data_collection.pdf</t>
  </si>
  <si>
    <t>M. H. Muhammad Sidik, S. A. Che Ghani, Abdul Nasir, M.N.F. Saniman</t>
  </si>
  <si>
    <t>Evaluation of Misclassification Matrix Method in Validation of an Assistive Device for Manual Wheelchair Propulsion</t>
  </si>
  <si>
    <t>https://www.researchgate.net/profile/Muhammad-Nur-Farhan-Saniman/publication/366629678_Evaluation_of_Misclassification_Matrix_Method_in_Validation_of_an_Assistive_Device_for_Manual_Wheelchair_Propulsion/links/63d7868a62d2a24f92dd3fe9/Evaluation-of-Misclassification-Matrix-Method-in-Validation-of-an-Assistive-Device-for-Manual-Wheelchair-Propulsion.pdf</t>
  </si>
  <si>
    <t>International Journal of Engineering Trends and Technology</t>
  </si>
  <si>
    <t>https://doi.org/10.14445/22315381/IJETT-V70I12P225</t>
  </si>
  <si>
    <t>Arduino, Misclassification matrix, MUAP, Surface electromyography, Wheelchair propulsion.</t>
  </si>
  <si>
    <t>Fahmi Fahmi; Wervyan Shalannanda; Muhammad Yazid; Erwin Sutanto</t>
  </si>
  <si>
    <t>Initial Design of Wearable EEG Device for Epilepsy Patient Using Machine Learning and Mobile Application</t>
  </si>
  <si>
    <t>https://ieeexplore.ieee.org/abstract/document/10364501</t>
  </si>
  <si>
    <t>2023 International Conference of Computer Science and Information Technology (ICOSNIKOM)</t>
  </si>
  <si>
    <t>DOI: 10.1109/ICoSNIKOM60230.2023.10364501</t>
  </si>
  <si>
    <t>Brain waves, epilepsy, EEG, Mobile, Machine Learning</t>
  </si>
  <si>
    <t>Wissam H. Alawee, Ali Basem and Luttfi A. Al-Haddad</t>
  </si>
  <si>
    <t>Advancing biomedical engineering: Leveraging Hjorth features for electroencephalography signal analysis</t>
  </si>
  <si>
    <t>https://sciendo.com/article/10.2478/joeb-2023-0009</t>
  </si>
  <si>
    <t>Journal of Electrical Bioimpedance, vol.14, no.1, 2023, pp.66-72</t>
  </si>
  <si>
    <r>
      <rPr>
        <rFont val="Arial"/>
        <color rgb="FF222222"/>
        <sz val="10.0"/>
      </rPr>
      <t xml:space="preserve">DOI: </t>
    </r>
    <r>
      <rPr>
        <rFont val="Arial"/>
        <color rgb="FF1155CC"/>
        <sz val="10.0"/>
        <u/>
      </rPr>
      <t>https://doi.org/10.2478/joeb-2023-0009</t>
    </r>
  </si>
  <si>
    <t>Biomedical engineering; electroencephalography;Hjorth features; machine learning; signal processing</t>
  </si>
  <si>
    <t>MUQUN YU</t>
  </si>
  <si>
    <t>Detecting Arm Movements from EEG-signal with Machine Learning</t>
  </si>
  <si>
    <t>https://www.theseus.fi/bitstream/handle/10024/816735/Muqun_Yu.pdf?sequence=2</t>
  </si>
  <si>
    <t xml:space="preserve"> EEG, BCI, ICA, MNE, machine learning, neural Network</t>
  </si>
  <si>
    <t xml:space="preserve">Abdulaziz Althekair, Mohanned Odeh, Mohammad AlBayaa, Marwa Sharawi &amp; Iyad Abu Doush </t>
  </si>
  <si>
    <t>Mobile Gaming EMG-Based Brain Computer Interface</t>
  </si>
  <si>
    <t>https://link.springer.com/chapter/10.1007/978-3-031-49425-3_3</t>
  </si>
  <si>
    <t xml:space="preserve">Communications in Computer and Information Science </t>
  </si>
  <si>
    <t>https://doi.org/10.1007/978-3-031-49425-3_3</t>
  </si>
  <si>
    <t>Brain Computer Interface (BCI), User interface, Electromyography (EMG), Mobile gaming</t>
  </si>
  <si>
    <t xml:space="preserve">Guilherme Correia , Michael J Crosse , Alejandro Lopez Valdes </t>
  </si>
  <si>
    <t>Brain Wearables: Validation Toolkit for Ear-Level EEG Sensors</t>
  </si>
  <si>
    <t>https://scholar.google.com/scholar_url?url=https://www.preprints.org/manuscript/202312.1529/download/final_file&amp;hl=en&amp;sa=X&amp;d=1766519112628300706&amp;ei=r--GZcC_ILCs6rQPwPCN-Ag&amp;scisig=AFWwaeZavk62smeCQ1b2pW6bnkvU&amp;oi=scholaralrt&amp;hist=8WBGhdYAAAAJ:5437843588291773220:AFWwaebmzrq9zPN1CYXQ5l-OkEG-&amp;html=&amp;pos=2&amp;folt=kw</t>
  </si>
  <si>
    <t>doi: 10.20944/preprints202312.1529.v1</t>
  </si>
  <si>
    <t>Wearable Electroencephalography; Ear-EEG; Validation; Toolkit; EEG Phantom; Event-Related
Potentials</t>
  </si>
  <si>
    <t>Ekkarat Adsawinnawanawa; Md Soliman Faragy; Supakij Buasod; Ratchakoon Pruengkarn; Narongdech Keeratipranon</t>
  </si>
  <si>
    <t>Decode Brain Signal Into Thai Word Using EEG and L-SVM</t>
  </si>
  <si>
    <t>https://ieeexplore.ieee.org/abstract/document/10354583</t>
  </si>
  <si>
    <t>2023 18th International Joint Symposium on Artificial Intelligence and Natural Language Processing (iSAI-NLP)</t>
  </si>
  <si>
    <t>DOI: 10.1109/iSAI-NLP60301.2023.10354583</t>
  </si>
  <si>
    <t>BCI, EEG, ECoG, L-SVM</t>
  </si>
  <si>
    <t>Jiyeon Ha, Seung-Cheol Baek, Yoonseob Lim &amp; Jae Ho Chung</t>
  </si>
  <si>
    <t>Validation of cost-efficient EEG experimental setup for neural tracking in an auditory attention task</t>
  </si>
  <si>
    <t>https://www.nature.com/articles/s41598-023-49990-6</t>
  </si>
  <si>
    <t>Scientific Reports volume 13</t>
  </si>
  <si>
    <t>https://doi.org/10.1038/s41598-023-49990-6</t>
  </si>
  <si>
    <t>Auditory system, Mathematics and computing, Neuroscience, Sensory processing</t>
  </si>
  <si>
    <t>Apoorva Sunil Chakkamallisery; Sonam Tenzin Pelmo; Thanate Angsuwatanakul; Yutthana Pititheeraphab; Tasawan Puttasakul; Thapanee Khemanuwong</t>
  </si>
  <si>
    <t>Mind to Motion: EEG-Based Classification of Motor Imagery and Actual Hand Movements Using LSTM Models</t>
  </si>
  <si>
    <t>https://ieeexplore.ieee.org/abstract/document/10322025</t>
  </si>
  <si>
    <t>2023 15th Biomedical Engineering International Conference (BMEiCON)</t>
  </si>
  <si>
    <t>DOI: 10.1109/BMEiCON60347.2023.10322025</t>
  </si>
  <si>
    <t>Long Short-Term Memory (LSTM), brain-computer interfaces (BCIs), Electroencephalogram (EEG)</t>
  </si>
  <si>
    <t xml:space="preserve">Daniela Peña-Gómez; Eduardo Magaña-Cruz; Joanna K. De Gasperín-Vázquez; Ricardo A. Ramírez-Mendoza
</t>
  </si>
  <si>
    <t>Design of a BCI-based fidget spinner for attention enhancement</t>
  </si>
  <si>
    <t>https://ieeexplore.ieee.org/abstract/document/10344237</t>
  </si>
  <si>
    <t>2023 World Engineering Education Forum - Global Engineering Deans Council (WEEF-GEDC)</t>
  </si>
  <si>
    <t>DOI: 10.1109/WEEF-GEDC59520.2023.10344237</t>
  </si>
  <si>
    <t>Engineering Research, Neuroscience Applied to Learning, Neuroeducation, Brain-Computer Interface, Signal Processing, Professional Education, Educational Innovation</t>
  </si>
  <si>
    <t>Lauri Hakala</t>
  </si>
  <si>
    <t>Artificial intelligence driven pose detection from EEG-signals</t>
  </si>
  <si>
    <t>https://www.theseus.fi/bitstream/handle/10024/813308/Hakala_Lauri.pdf?sequence=2</t>
  </si>
  <si>
    <t>Turku University of Applied Sciences</t>
  </si>
  <si>
    <t>AI (Artificial intelligence), machine learning, brain activity, EEG
(Electroencephalogram)</t>
  </si>
  <si>
    <t>Jin Su Kim and Sungbum Pan</t>
  </si>
  <si>
    <t>Electromyogram Based Personal Recognition Using Attention Mechanism for
IoT Security</t>
  </si>
  <si>
    <t>https://cdn.techscience.cn/files/cmc/2023/TSP_CMC-77-2/TSP_CMC_43998/TSP_CMC_43998.pdf</t>
  </si>
  <si>
    <t>Computers, Materials &amp; Continua</t>
  </si>
  <si>
    <t>http://dx.doi.org/10.32604/cmc.2023.043998</t>
  </si>
  <si>
    <t>Personal recognition; electromyogram; siamese network; auxiliary classifier</t>
  </si>
  <si>
    <t>Hafiz Muhammad Umer Farooqi, Johoo Lee, Cheong-Ah Lee, Seung-Uk Im, Muhammad Awais Farooqi, Tasbiha Gul, Ghayas Uddin Siddiqui &amp; Dong-Guk Paeng</t>
  </si>
  <si>
    <t>Acute neuro-biochemical changes induced by nitrogen-tungsten co-doped titanium dioxide nanoparticles</t>
  </si>
  <si>
    <t>https://applbiolchem.springeropen.com/articles/10.1186/s13765-023-00836-9</t>
  </si>
  <si>
    <t>Applied Biological Chemistry</t>
  </si>
  <si>
    <t>https://doi.org/10.1186/s13765-023-00836-9</t>
  </si>
  <si>
    <t>Doped nanoparticles, Titanium dioxide, Rat brain, Electroencephalogram, Oxidative stress</t>
  </si>
  <si>
    <t>Lisa Marie Sparrer, Prof. Dr. Sven Winkelmann, Prof. Dr. Alexander von Hoffmann, Prof. Dr. Daniel S´anchez Morillo</t>
  </si>
  <si>
    <t>A Novel Framework for the Assessment of the Impact of Affective UI Sounds in a Driving Situation Through Virtual Reality and Physiological Signals</t>
  </si>
  <si>
    <t>https://scholar.google.com/scholar_url?url=https://opus4.kobv.de/opus4-ohm/files/1202/Impact_of_Affective_UI_Sounds.pdf&amp;hl=en&amp;sa=X&amp;d=984106752588330375&amp;ei=Q09lZbf-GerBy9YPtoy_iA8&amp;scisig=AFWwaebPrpO90EhZ759A_BtMSjC7&amp;oi=scholaralrt&amp;hist=8WBGhdYAAAAJ:5437843588291773220:AFWwaebmzrq9zPN1CYXQ5l-OkEG-&amp;html=&amp;pos=1&amp;folt=kw</t>
  </si>
  <si>
    <t>Driving simulator, attention, mental workload, sound, physiologic sensors, electroencephalogram,
virtual reality</t>
  </si>
  <si>
    <t>S. Arif, S. Munawar et al.</t>
  </si>
  <si>
    <t>Leveraging Wavelets and Deep CNN for Sleep Pattern Recognition in Road Safety: An EEG Study</t>
  </si>
  <si>
    <t>https://link.springer.com/10.1007/978-3-031-53082-1_19</t>
  </si>
  <si>
    <t>Communications in Computer and Information Science</t>
  </si>
  <si>
    <t>10.1007/978-3-031-53082-1_19</t>
  </si>
  <si>
    <t>SqueezeNet · Deep learning · Electroencephalography · Wavelet
transform · Transfer learning · Brain-computer interface · Sleep detection</t>
  </si>
  <si>
    <t>H. Rivera-Flor, C.D. Guerrero-Mendez, K.A. Hernandez-Ossa, D. Delisle-Rodriguez, R. Mello, T.F. Bastos-Filho</t>
  </si>
  <si>
    <t>Compressive sensing applied to SSVEP-based brain–computer interface in the cloud for online control of a virtual wheelchair</t>
  </si>
  <si>
    <t>https://www.sciencedirect.com/science/article/abs/pii/S174680942301131X</t>
  </si>
  <si>
    <t>Biomedical Signal Processing and Control, Volume 89</t>
  </si>
  <si>
    <t>https://doi.org/10.1016/j.bspc.2023.105698</t>
  </si>
  <si>
    <t>Kurniawan JF, Lee S, Le H-K, et al.</t>
  </si>
  <si>
    <t>Noninvasive multichannel urodynamic system: Obtaining cutaneous electrical signals from the human urinary bladder</t>
  </si>
  <si>
    <t>https://onlinelibrary.wiley.com/doi/pdf/10.1002/lim2.93</t>
  </si>
  <si>
    <t>Lifestyle Medicine. 2024;5:e93</t>
  </si>
  <si>
    <t>https://doi.org/10.1002/lim2.93</t>
  </si>
  <si>
    <t>electrical signal from the urinary bladder, flexible electronics, noninvasive multichannel urodynamic study, voluntary voiding</t>
  </si>
  <si>
    <t>Sound externalization in dynamic binaural listening: A comparative behavioral and EEG study</t>
  </si>
  <si>
    <t>https://www.sciencedirect.com/science/article/abs/pii/S0378595523002241</t>
  </si>
  <si>
    <t>Hearing Research, Volume 440</t>
  </si>
  <si>
    <t>https://doi.org/10.1016/j.heares.2023.108912</t>
  </si>
  <si>
    <t>Luana Maria Queiroga Ponciano Mota, Carlos Eduardo de Souza Menezes, Nayara Magda Gomes Barbosa da Costa, Yanna Torres, Edgar Marçal</t>
  </si>
  <si>
    <t>Attention deficit disorder with hyperactivity: comparative analysis of executive functions between genres based on neurofeedback training</t>
  </si>
  <si>
    <t>https://scholar.google.com/scholar_url?url=https://ojs.observatoriolatinoamericano.com/ojs/index.php/olel/article/download/1982/1329&amp;hl=en&amp;sa=X&amp;d=1516558612516834940&amp;ei=8X9MZe7hHuOvy9YPpqmgyAQ&amp;scisig=AFWwaeYJwVIYkaRBCR-3GUx0zb65&amp;oi=scholaralrt&amp;hist=8WBGhdYAAAAJ:5437843588291773220:AFWwaebmzrq9zPN1CYXQ5l-OkEG-&amp;html=&amp;pos=3&amp;folt=kw</t>
  </si>
  <si>
    <t xml:space="preserve">REVISTA OBSERVATORIO DE LA ECONOMIA LATINOAMERICANA, </t>
  </si>
  <si>
    <t>DOI: 10.55905/oelv21n11-005</t>
  </si>
  <si>
    <t xml:space="preserve"> ADHD, neurofeedback, executive functions, gender</t>
  </si>
  <si>
    <t>Estreito, Z., Le, V., Harris Jr., F. C., &amp; Dascalu, S. M.</t>
  </si>
  <si>
    <t>Evaluating an Elevated Signal-to-Noise Ratio in EEG Emotion Recognition</t>
  </si>
  <si>
    <t>https://www.igi-global.com/gateway/article/full-text-pdf/333161&amp;riu=true</t>
  </si>
  <si>
    <t>International Journal of Software Innovation</t>
  </si>
  <si>
    <t>http://doi.org/10.4018/IJSI.333161</t>
  </si>
  <si>
    <t>Affective Computing, Arousal, BCI, Data Analysis, Data Integrity, Emotion Classification, Machine Learning,
User Study, Valence</t>
  </si>
  <si>
    <t>Li Chen, Zhen Zhang, Rui Han, Kuankuan Li, Gangwen Guo, Dong Huang, Yuzhao Huang
&amp; Haocheng Zhou</t>
  </si>
  <si>
    <t>Correlation between spinal cord stimulation analgesia and cortical dynamics in pain management</t>
  </si>
  <si>
    <t>https://onlinelibrary.wiley.com/doi/pdf/10.1002/acn3.51932</t>
  </si>
  <si>
    <t>doi: 10.1002/acn3.51932</t>
  </si>
  <si>
    <t>Pierre Kateb, Jiaxin Fan, Jinsil Kim, Xin Zhou, Gregory A Lodygensky and Fabio Cicoira</t>
  </si>
  <si>
    <t>Printable, adhesive, and self-healing dry epidermal electrodes based on PEDOT:PSS and polyurethane diol</t>
  </si>
  <si>
    <t>https://iopscience.iop.org/article/10.1088/2058-8585/ad05d6/pdf</t>
  </si>
  <si>
    <t>Flexible and Printed Electronics</t>
  </si>
  <si>
    <t>https://doi.org/10.1088/2058-8585/ad05d6</t>
  </si>
  <si>
    <t xml:space="preserve"> PEDOT:PSS, electrophysiology, printable electronics, stretchable bioelectronics, polyurethane</t>
  </si>
  <si>
    <t xml:space="preserve">Verónica Janeth Martínez-Hernández &amp; Guadalupe Dorantes-Méndez </t>
  </si>
  <si>
    <t xml:space="preserve">Analysis of Cardiovascular and Cerebral Interactions in Response to Cognitive Stressors Stimulus
</t>
  </si>
  <si>
    <t>https://link.springer.com/chapter/10.1007/978-3-031-46933-6_31</t>
  </si>
  <si>
    <t xml:space="preserve"> XLVI Mexican Conference on Biomedical Engineering</t>
  </si>
  <si>
    <t>https://doi.org/10.1007/978-3-031-46933-6_31</t>
  </si>
  <si>
    <t>Cognitive Tasks, Controlled Breathing, Transfer Entropy</t>
  </si>
  <si>
    <t xml:space="preserve">Alison Contreras-Rodríguez, Nemecio Olvera-Montes, Carlos Mariaca-Gaspar, Abel Mosco-Vargas, Victor Maya-Venegas, Sonia Charleston-Villalobos, Tomas Aljama-Corrales &amp; Bersain Reyes </t>
  </si>
  <si>
    <t xml:space="preserve">Respiratory Rate Estimation from Tracheal Sound Analysis Using a Mobile Application for Smartphones </t>
  </si>
  <si>
    <t>https://link.springer.com/chapter/10.1007/978-3-031-46933-6_30#author-information</t>
  </si>
  <si>
    <t xml:space="preserve">XLVI Mexican Conference on Biomedical Engineering </t>
  </si>
  <si>
    <t>https://doi.org/10.1007/978-3-031-46933-6_30</t>
  </si>
  <si>
    <t>tracheal sounds, respiratory rate, smartphone</t>
  </si>
  <si>
    <t>Zsolt Palatinus, Marta Volosin, Zsolt Dudas, Miklos Lukovics, Zoltan Majo-Petri, Szabolcs Pronay, Henrietta Lengyel, Zsolt Szalay</t>
  </si>
  <si>
    <t>Physiological measurements of passengers in selfdriving cars encountering unexpected road events</t>
  </si>
  <si>
    <t>https://assets.researchsquare.com/files/rs-3462278/v1/0a254e4f-ca75-43dc-948a-4a452cf7a4ee.pdf?c=1698171781</t>
  </si>
  <si>
    <r>
      <rPr>
        <rFont val="Arial"/>
        <color rgb="FF222222"/>
        <sz val="10.0"/>
      </rPr>
      <t xml:space="preserve">DOI: </t>
    </r>
    <r>
      <rPr>
        <rFont val="Arial"/>
        <color rgb="FF1155CC"/>
        <sz val="10.0"/>
        <u/>
      </rPr>
      <t>https://doi.org/10.21203/rs.3.rs-3462278/v1</t>
    </r>
  </si>
  <si>
    <t>self-driving, technology acceptance, EEG, eye-tracking, wearable sensors, multiscale analysis</t>
  </si>
  <si>
    <t>Jeffrey Bond Wang</t>
  </si>
  <si>
    <t>Mapping the Whole-Brain Response to Noninvasive Neuromodulation: from Rodents to Humans</t>
  </si>
  <si>
    <t>https://www.proquest.com/openview/7b451655dc56a17a5bbd653e585397d3/1?pq-origsite=gscholar&amp;cbl=18750&amp;diss=y</t>
  </si>
  <si>
    <t xml:space="preserve"> Stanford University ProQuest Dissertations Publishing</t>
  </si>
  <si>
    <t>Shuyu Chen, Mengjie Huang, Yuting Zheng, Annan Lu, Rui Yang</t>
  </si>
  <si>
    <t>An integrated BCI-VR system design with game for motor imagery</t>
  </si>
  <si>
    <t>https://www.spiedigitallibrary.org/conference-proceedings-of-spie/12803/128031G/An-integrated-BCI-VR-system-design-with-game-for-motor/10.1117/12.3009526.short#_=_</t>
  </si>
  <si>
    <t>Proceedings Volume 12803, Fifth International Conference on Artificial Intelligence and Computer Science (AICS 2023)</t>
  </si>
  <si>
    <t>https://doi.org/10.1117/12.3009526</t>
  </si>
  <si>
    <t xml:space="preserve">Reza Amini Gougeh &amp; Tiago H. Falk </t>
  </si>
  <si>
    <t>Towards instrumental quality assessment of multisensory immersive experiences using a biosensor-equipped head-mounted display</t>
  </si>
  <si>
    <t>https://link.springer.com/article/10.1007/s41233-023-00062-7</t>
  </si>
  <si>
    <t>Qual User Exp 8, 9 (2023)</t>
  </si>
  <si>
    <t>https://doi.org/10.1007/s41233-023-00062-7</t>
  </si>
  <si>
    <t>Virtual reality, Smell, Haptics, Haptic glove, Force feedback, Quality of experience, Immersive media experience</t>
  </si>
  <si>
    <t>Jianchao Lu, Yuzhe Tian, Yang Zhang, Jiaqi Ge, Quan Z. Sheng, Xi Zheng</t>
  </si>
  <si>
    <t>LGL-BCI: A Lightweight Geometric Learning Framework for Motor Imagery-Based Brain-Computer Interfaces</t>
  </si>
  <si>
    <t>https://arxiv.org/pdf/2310.08051.pdf</t>
  </si>
  <si>
    <t>Brain-Computer Interfaces (BCIs), Motor Imagery (MI), EEG Signal Processing, Geometric Deep Learning,
Symmetric Positive Definite (SPD) Manifold</t>
  </si>
  <si>
    <t>Jingfeng Bi and Ming Chu</t>
  </si>
  <si>
    <t>TDLNet: Transfer Data Learning Network for Cross-Subject Classification Based on Multiclass Upper Limb Motor Imagery EEG</t>
  </si>
  <si>
    <t>https://ieeexplore.ieee.org/stamp/stamp.jsp?arnumber=10275048</t>
  </si>
  <si>
    <t>IEEE TRANSACTIONS ON NEURAL SYSTEMS AND REHABILITATION ENGINEERING</t>
  </si>
  <si>
    <t>DOI:10.21227/8qw6-f578</t>
  </si>
  <si>
    <t>Brain-computer interface, deep learning,
electroencephalogram, motor imagery.</t>
  </si>
  <si>
    <t>Zaineb M. Alhakeem, Ramzy S. Ali</t>
  </si>
  <si>
    <t>Session to session transfer learning using regularized four parameters common spatial pattern method</t>
  </si>
  <si>
    <t>https://scholar.google.com/scholar_url?url=https://www.beei.org/index.php/EEI/article/download/6079/3474&amp;hl=en&amp;sa=X&amp;d=7710416709534295915&amp;ei=FYgqZdPpNfOpy9YP8_S82Aw&amp;scisig=AFWwaeYMh7i90Bz1Ro8F_C43OwjZ&amp;oi=scholaralrt&amp;hist=8WBGhdYAAAAJ:5437843588291773220:AFWwaebmzrq9zPN1CYXQ5l-OkEG-&amp;html=&amp;pos=4&amp;folt=kw</t>
  </si>
  <si>
    <t>Bulletin of Electrical Engineering and Informatics</t>
  </si>
  <si>
    <t>DOI: 10.11591/eei.v12i6.6079</t>
  </si>
  <si>
    <t>Brain computer interface, Common spatial pattern, Electroencephalography, Motor imagery, Session to session learning</t>
  </si>
  <si>
    <t xml:space="preserve">Muhammad Adeel Hafeez &amp; Sadia Shakil </t>
  </si>
  <si>
    <t>EEG-based stress identification and classification using deep learning</t>
  </si>
  <si>
    <t>https://link.springer.com/article/10.1007/s11042-023-17111-0</t>
  </si>
  <si>
    <t xml:space="preserve">Multimed Tools Appl </t>
  </si>
  <si>
    <t>https://doi.org/10.1007/s11042-023-17111-0</t>
  </si>
  <si>
    <t>Brainwave images, Long short-term memory (LSTM), Convolutional neural networks (CNN), Electroencephalogram (EEG), Exam performance, Power spectral density (PSD), Stress</t>
  </si>
  <si>
    <t>Mohammad Ahmadi, Alireza Farrokhi Nia, Samantha W. Michalka, Alexander L. Sumich, Burkhard Wuensche, Mark Billinghurst</t>
  </si>
  <si>
    <t>Comparing Performance of Dry and Gel EEG Electrodes in VR using MI Paradigms</t>
  </si>
  <si>
    <t>https://dl.acm.org/doi/abs/10.1145/3611659.3617436</t>
  </si>
  <si>
    <t>VRST '23: Proceedings of the 29th ACM Symposium on Virtual Reality Software and Technology</t>
  </si>
  <si>
    <t>https://doi.org/10.1145/3611659.3617436</t>
  </si>
  <si>
    <t>Human-centered computing, Human computer interaction (HCI), Interaction paradigms, Virtual reality</t>
  </si>
  <si>
    <t>Wang, M., Khundrakpam, B. &amp; Vaughan, T.</t>
  </si>
  <si>
    <t>Effects of Electrode Position Targeting in Noninvasive Electromyography Technologies for Finger and Hand Movement Prediction</t>
  </si>
  <si>
    <t>https://link.springer.com/article/10.1007/s40846-023-00823-x#citeas</t>
  </si>
  <si>
    <t>Journal of Medical and Biological Engineering</t>
  </si>
  <si>
    <t>https://doi.org/10.1007/s40846-023-00823-x</t>
  </si>
  <si>
    <t>Electromyography, Machine learning, Armband, Stroke rehabilitation</t>
  </si>
  <si>
    <t>DAVIDE D’ADAMO, EMILIANO ROBERT, and CRISTINA GENA</t>
  </si>
  <si>
    <t>Novel BCI paradigm for ALS pa5ents based on EEG and Pupillary Accommodative Response</t>
  </si>
  <si>
    <t>https://arxiv.org/pdf/2307.14541.pdf</t>
  </si>
  <si>
    <t>Department of Computer Science,
University of Turin, Italy</t>
  </si>
  <si>
    <t>Sandya Subramanian, Member, IEEE, David C. Kunkel, Todd P. Coleman, Fellow, IEEE</t>
  </si>
  <si>
    <t>Exploring the aperiodic nature of parasympathetic activity during sleep in idiopathic gastroparesis</t>
  </si>
  <si>
    <t>https://ieeexplore.ieee.org/document/10340046/</t>
  </si>
  <si>
    <t>2023 45th Annual International Conference of the IEEE Engineering in Medicine &amp;amp; Biology Society (EMBC)</t>
  </si>
  <si>
    <t>10.1109/EMBC40787.2023.10340046</t>
  </si>
  <si>
    <t>Norihisa Namura and Suguru Kanoga</t>
  </si>
  <si>
    <t>The Effect of Muscle Artifact Reduction Methods on Few-channel SSVEPs during Head Movements</t>
  </si>
  <si>
    <t>https://arinex.com.au/EMBC/pdf/full-paper_94.pdf</t>
  </si>
  <si>
    <t>Hong, Jin-Ki, Hyuk-June Moon, and Hyun-Joon Shin</t>
  </si>
  <si>
    <t>Optical EUS Activation to Relax Sensitized Micturition Response</t>
  </si>
  <si>
    <t>https://www.mdpi.com/2075-1729/13/10/1961</t>
  </si>
  <si>
    <t>Life 2023, 13, 1961</t>
  </si>
  <si>
    <t>https://doi.org/10.3390/life13101961</t>
  </si>
  <si>
    <t>external urethral sphincter; striated muscle; optogenetics; micturition; continence</t>
  </si>
  <si>
    <t>J. M. Suhendro, A. D. Wibawa and A. Mas</t>
  </si>
  <si>
    <t>Analysis of Attraction Response on Product Packaging Based on EEG Signal: (A preliminary study of Neuromarketing on Packaging)</t>
  </si>
  <si>
    <t>https://ieeexplore.ieee.org/abstract/document/10242535</t>
  </si>
  <si>
    <t>2023 International Electronics Symposium (IES)</t>
  </si>
  <si>
    <t>doi: 10.1109/IES59143.2023.10242535</t>
  </si>
  <si>
    <t>Electroencephalography (EEG), Brain Signal, Neuromarketing, Packaging, Power Spectral Density (PSD)</t>
  </si>
  <si>
    <t>N. Fatih, A. D. Wibawa, M. H. Purnomo and A. Mas</t>
  </si>
  <si>
    <t>Comparative Analysis of EEG-based Emotion Recognition between Male and Female Participants Using Hjorth Parameter</t>
  </si>
  <si>
    <t>https://ieeexplore.ieee.org/abstract/document/10242538</t>
  </si>
  <si>
    <t>doi: 10.1109/IES59143.2023.10242538</t>
  </si>
  <si>
    <t>Cognitive Process, EEG, Emotion Recognition, Fisher Ratio, Gamma Subband, Gender-based, Hjorth Parameter</t>
  </si>
  <si>
    <t>Víctor Asanza, Leandro L. Lorente-Leyva, Diego H. Peluffo-Ordóñez, Daniel Montoya, Kleber Gonzalez</t>
  </si>
  <si>
    <t>MILimbEEG: A dataset of EEG signals related to upper and lower limb execution of motor and motor imagery tasks</t>
  </si>
  <si>
    <t>https://www.sciencedirect.com/science/article/pii/S2352340923006406</t>
  </si>
  <si>
    <t>Data in Brief, Volume 50, 2023,109540</t>
  </si>
  <si>
    <t>https://doi.org/10.1016/j.dib.2023.109540</t>
  </si>
  <si>
    <t>Brain–computer interface, Electroencephalography, Motor task, Motor imagery task, OpenBCI, Experimental methodology</t>
  </si>
  <si>
    <t>Tseghai, G.B.; Malengier, B.; Fante, K.A.; Van Langenhove, L.</t>
  </si>
  <si>
    <t>Hook Fabric Electroencephalography Electrode for Brain
Activity Measurement without Shaving the Head</t>
  </si>
  <si>
    <t>https://scholar.google.com/scholar_url?url=https://biblio.ugent.be/publication/01H9NEG2QQJZJ1TJ99SPN7PJNQ/file/01H9NEYCDGG0CJS9GRXB0XFHTZ.pdf&amp;hl=en&amp;sa=X&amp;d=5947921335461932478&amp;ei=4_r7ZJq3NMKK6rQP3uq74Ak&amp;scisig=AFWwaeY5VxrmSquEH9uqcWkJ0leN&amp;oi=scholaralrt&amp;hist=8WBGhdYAAAAJ:5437843588291773220:AFWwaebmzrq9zPN1CYXQ5l-OkEG-&amp;html=&amp;pos=1&amp;folt=kw</t>
  </si>
  <si>
    <t>Polymers 2023, 15, 3673.</t>
  </si>
  <si>
    <t>https://doi.org/10.3390/polym15183673</t>
  </si>
  <si>
    <t xml:space="preserve"> brain activity; EEG; e-textile; hook fabric; dry electrode; textrode</t>
  </si>
  <si>
    <t>Li Q, Zhang T, Song Y, Liu Y, Sun M.</t>
  </si>
  <si>
    <t>A design and evaluation of wearable p300 brain-computer interface system based on Hololens</t>
  </si>
  <si>
    <t>https://europepmc.org/article/med/37666761</t>
  </si>
  <si>
    <t>Journal of Biomedical Engineering = Shengwu Yixue Gongchengxue Zazhi</t>
  </si>
  <si>
    <t xml:space="preserve"> DOI: 10.7507/1001-5515.202207055. </t>
  </si>
  <si>
    <t xml:space="preserve">Isao Sakamaki, Mahdi Tavakoli, Sandra Wiebe &amp; Kim Adams </t>
  </si>
  <si>
    <t>Examination of effectiveness of kinaesthetic haptic feedback for motor imagery-based brain-computer interface training</t>
  </si>
  <si>
    <t>https://www.tandfonline.com/doi/abs/10.1080/2326263X.2022.2114225</t>
  </si>
  <si>
    <t>Brain-Computer Interfaces, 10:1, 16-37</t>
  </si>
  <si>
    <t>DOI: 10.1080/2326263X.2022.2114225</t>
  </si>
  <si>
    <t>Motor imagery, brain-computer interface, neurofeedback, event-related desynchronization, event-related synchronization, electroencephalography</t>
  </si>
  <si>
    <t>Camargo-Vargas, D., Callejas-Cuervo, M. &amp; Alarcón-Aldana</t>
  </si>
  <si>
    <t>Brain-computer interface prototype to support upper limb rehabilitation processes in the human body</t>
  </si>
  <si>
    <t>https://link.springer.com/article/10.1007/s41870-023-01400-w</t>
  </si>
  <si>
    <t>Int. j. inf. tecnol. 15</t>
  </si>
  <si>
    <t>https://doi.org/10.1007/s41870-023-01400-w</t>
  </si>
  <si>
    <t>Brain computer ınterfaces (BCIs), Electroencephalography (EEG), Video games, Motor ımagery, Machine learning (ML)</t>
  </si>
  <si>
    <t>Sridhar, S.; Romney, A.; Manian, V.</t>
  </si>
  <si>
    <t>A Deep Neural Network for Working Memory Load Prediction from EEG Ensemble Empirical Mode Decomposition</t>
  </si>
  <si>
    <t>https://www.mdpi.com/2078-2489/14/9/473</t>
  </si>
  <si>
    <t>Information 2023, 14, 473.</t>
  </si>
  <si>
    <r>
      <rPr>
        <rFont val="Arial"/>
        <color rgb="FF1155CC"/>
        <sz val="10.0"/>
        <u/>
      </rPr>
      <t>https://doi.org/10.3390/info14090473</t>
    </r>
    <r>
      <rPr>
        <rFont val="Arial"/>
        <color rgb="FF222222"/>
        <sz val="10.0"/>
      </rPr>
      <t xml:space="preserve">
</t>
    </r>
  </si>
  <si>
    <t>working memory load; electroencephalogram; time frequency analysis; ensemble empirical mode decomposition; deep neural network</t>
  </si>
  <si>
    <t>C. F. Blanco-Díaz, C. D. Guerrero-Méndez, T. F. Bastos-Filho, A. F. Ruiz-Olaya and S. Jaramillo-Isaza</t>
  </si>
  <si>
    <t>Detection of Pedaling Tasks through EEG Using Extreme Learning Machine for Lower-Limb Rehabilitation Brain-Computer Interfaces</t>
  </si>
  <si>
    <t>https://ieeexplore.ieee.org/abstract/document/10225911</t>
  </si>
  <si>
    <t>2023 IEEE Colombian Conference on Applications of Computational Intelligence (ColCACI)</t>
  </si>
  <si>
    <t>doi: 10.1109/ColCACI59285.2023.10225911</t>
  </si>
  <si>
    <t>Brain-Computer Interfaces, Motor Tasks Decoding, Extreme Learning Machine (ELM), Control of rehabilitation devices, Lower-limb rehabilitation</t>
  </si>
  <si>
    <t>Xin Zhou, Pierre Kateb, Floriane Miquet-Westphal, Gregory A. Lodygensky,
and Fabio Cicoira*</t>
  </si>
  <si>
    <t>Soft, Conductive, and Anti-Freezing Conducting Polymer
Organohydrogels</t>
  </si>
  <si>
    <t>https://onlinelibrary.wiley.com/doi/pdf/10.1002/adsr.202300072</t>
  </si>
  <si>
    <t>Advanced Sensor Research</t>
  </si>
  <si>
    <t>DOI: 10.1002/adsr.202300072</t>
  </si>
  <si>
    <t>anti-freezing, high conductivity, long-water retention, organohydrogels,
PEDOT:PSS</t>
  </si>
  <si>
    <t>Fatima Islam Mouri</t>
  </si>
  <si>
    <t>Emotion Recognition with Asymmetry Features of EEG Signals</t>
  </si>
  <si>
    <t>https://winnspace.uwinnipeg.ca/xmlui/bitstream/handle/10680/2102/Mouri_Fatima_I_Final_Thesis_2023.pdf?sequence=1&amp;isAllowed=y</t>
  </si>
  <si>
    <t>DEPARTMENT OF APPLIED COMPUTER SCIENCE
WINNIPEG, MANITOBA, CANADA</t>
  </si>
  <si>
    <t>Gunda Yuga Raju, Suprakash Gupta and Lalit Kumar Singh</t>
  </si>
  <si>
    <t>Prediction of human performance using EEG data to improve safety and productivity in the mines</t>
  </si>
  <si>
    <t>https://www.inderscienceonline.com/doi/abs/10.1504/IJRS.2023.132946</t>
  </si>
  <si>
    <t>International Journal of Reliability and Safety 2023</t>
  </si>
  <si>
    <t>https://doi.org/10.1504/IJRS.2023.132946</t>
  </si>
  <si>
    <t>safety, productivity, cognitive performance, data analysis, EEG, electroencephalogram, mining industry</t>
  </si>
  <si>
    <t>A. Farizal, A. D. Wibawa, D. P. Wulandari and Y. Pamungkas</t>
  </si>
  <si>
    <t>Investigation of Human Brain Waves (EEG) to Recognize Familiar and Unfamiliar Objects Based on Power Spectral Density Features</t>
  </si>
  <si>
    <t>https://ieeexplore.ieee.org/abstract/document/10221052</t>
  </si>
  <si>
    <t>2023 International Seminar on Intelligent Technology and Its Applications (ISITIA)</t>
  </si>
  <si>
    <t>doi: 10.1109/ISITIA59021.2023.10221052.</t>
  </si>
  <si>
    <t>EEG, lie detector, familiar unfamiliar, machine learning, Power Spectral Density</t>
  </si>
  <si>
    <t>Sabeenian Royappan Savarimuthu; Sree Janani Kuralnatham Karuppannan</t>
  </si>
  <si>
    <t>An investigation on mental stress detection from various physiological signals</t>
  </si>
  <si>
    <t>https://pubs.aip.org/aip/acp/article-abstract/2857/1/020086/2907256/An-investigation-on-mental-stress-detection-from?redirectedFrom=fulltext</t>
  </si>
  <si>
    <t>GREEN COMPUTING FOR COMMUNICATION TECHNOLOGIES</t>
  </si>
  <si>
    <t>https://doi.org/10.1063/5.0164302</t>
  </si>
  <si>
    <t xml:space="preserve">Chatterjee, S., Joshi, R.K., Sakorikar, T. et al. </t>
  </si>
  <si>
    <t>Design and fabrication of a microelectrode array for studying epileptiform discharges from rodents</t>
  </si>
  <si>
    <t>https://link.springer.com/article/10.1007/s10544-023-00672-0#citeas</t>
  </si>
  <si>
    <t>Biomed Microdevices 25</t>
  </si>
  <si>
    <t>https://doi.org/10.1007/s10544-023-00672-0</t>
  </si>
  <si>
    <t>Microelectrode array, Implantable device, Local field potentials, Silicon-based probe, Epileptiform discharges</t>
  </si>
  <si>
    <t>S. Shilaskar, D. Bobby, A. Dusane and S. Bhatlawande</t>
  </si>
  <si>
    <t>Fusion of EEG, EMG, and ECG Signals for Accurate Recognition of Pain, Happiness, and Disgust</t>
  </si>
  <si>
    <t>https://ieeexplore.ieee.org/abstract/document/10201674</t>
  </si>
  <si>
    <t>2023 International Conference in Advances in Power, Signal, and Information Technology (APSIT)</t>
  </si>
  <si>
    <t>doi: 10.1109/APSIT58554.2023.10201674.</t>
  </si>
  <si>
    <t>EMG, ECG, EEG, emotion Detection, Machine learning, Signal processing</t>
  </si>
  <si>
    <t>Arnold Nieto, Jaylinn Solis, Matthew Tamanaha</t>
  </si>
  <si>
    <t xml:space="preserve">NeuroGen: EEG and Near-Infrared Light Stimulation Control System </t>
  </si>
  <si>
    <t>https://scholarcommons.scu.edu/cgi/viewcontent.cgi?article=1092&amp;context=idp_senior</t>
  </si>
  <si>
    <t>Department of Bioengineering
and the Department of Electrical Engineering
of
SANTA CLARA UNIVERSITY</t>
  </si>
  <si>
    <t>Phuc Nguyen, Nam Bui, Anh Nguyen, Hoang Truong, Abhijit Suresh, Matt
Whitlock, Duy Pham, Thang Dinh, and Tam Vu.</t>
  </si>
  <si>
    <t>TYTH-Typing On Your Teeth: Tongue-Teeth Localization for Human-Computer Interface</t>
  </si>
  <si>
    <t>https://mnslab.org/tamvu/paper/2018%20TYTH_Phuc.pdf</t>
  </si>
  <si>
    <t>MobiSys ’18</t>
  </si>
  <si>
    <t>https://doi.org/10.1145/3210240.3210322</t>
  </si>
  <si>
    <t>Human Computer Interaction (HCI), Tongue-Teeth Typing, Wearable Devices, Brain-Muscles Sensing, Skin Deformation Sensing</t>
  </si>
  <si>
    <t>Glenn Bruns, Michael Haidar, Federico Rubino</t>
  </si>
  <si>
    <t>Neural Memory Decoding with EEG Data and Representation Learning</t>
  </si>
  <si>
    <t>https://arxiv.org/pdf/2307.13181.pdf</t>
  </si>
  <si>
    <t>California State University, Monterey Bay</t>
  </si>
  <si>
    <t>Tong Bill Xua, Saleh Kalantari</t>
  </si>
  <si>
    <t>Visual Flow-based Programming Plugin for Brain–Computer
Interface in Computer-Aided Design</t>
  </si>
  <si>
    <t>https://arxiv.org/pdf/2307.11023.pdf</t>
  </si>
  <si>
    <t>Human Centered Design, Cornell University</t>
  </si>
  <si>
    <t>Brain-Computer Interface; Computer-Aided Design; Visual Programming;
Computational Design; EEG</t>
  </si>
  <si>
    <t>Mahdi Homayounfar,  Mehdi Fadaei, Mansour Soufi, Omid Pishevarzad</t>
  </si>
  <si>
    <t>Investigating the Relationship Between Memorable TV Advertisement and Consumers’ Audiovisual Emotions Using Neuromarketing Approach</t>
  </si>
  <si>
    <t>https://cbs.uok.ac.ir/article_62782_en.html?lang=fa</t>
  </si>
  <si>
    <t>Consumer Behavior Studies Journal</t>
  </si>
  <si>
    <t>Neuromarketing  Emotions  Advertisement  TV commercials  Electroencephalograph (EEG)</t>
  </si>
  <si>
    <t>Sarfraz Ali; Wajid Mumtaz; Aiman Maqsood</t>
  </si>
  <si>
    <t>EEG Based Thought-to-Text Translation Via Deep Learning</t>
  </si>
  <si>
    <t>https://ieeexplore.ieee.org/abstract/document/10178595</t>
  </si>
  <si>
    <t>2023 7th International Multi-Topic ICT Conference (IMTIC)</t>
  </si>
  <si>
    <t>DOI: 10.1109/IMTIC58887.2023.10178595</t>
  </si>
  <si>
    <t>Thought-to-Text Converter, Convolutional Neural Networks, Recurrent Neural Networks, Electroencephalography Signals, BCI</t>
  </si>
  <si>
    <t>Artur Pilacinski, Ana Pinto, Soraia Oliveira, Eduardo Araújo, Carla Carvalho, Paula Alexandra Silva, Ricardo Matias, Paulo Menezes, Sonia Sousa</t>
  </si>
  <si>
    <t>The robot eyes don't have it. The presence of eyes on collaborative robots yields marginally higher user trust but lower performance</t>
  </si>
  <si>
    <t>https://www.cell.com/heliyon/pdf/S2405-8440(23)05372-0.pdf</t>
  </si>
  <si>
    <t>HELIYON</t>
  </si>
  <si>
    <t>https://doi.org/10.1016/j.heliyon.2023.e18164</t>
  </si>
  <si>
    <t xml:space="preserve">Patricia Almeida, Brigida Monica Faria &amp; Luis Paulo Reis </t>
  </si>
  <si>
    <t>Brain Waves Classification Using a Single-Channel Dry EEG Headset: An Application for Controlling an Intelligent Wheelchair</t>
  </si>
  <si>
    <t>https://link.springer.com/chapter/10.1007/978-3-031-37616-0_1</t>
  </si>
  <si>
    <t xml:space="preserve"> Advances in Practical Applications of Agents, Multi-Agent Systems, and Cognitive Mimetics. The PAAMS Collection </t>
  </si>
  <si>
    <t>https://doi.org/10.1007/978-3-031-37616-0_1</t>
  </si>
  <si>
    <t>Intelligent Wheelchair, Brain-Computer Interface, NeuroSky Mindwave Mobile 2</t>
  </si>
  <si>
    <r>
      <rPr>
        <rFont val="Arial"/>
        <color rgb="FF1155CC"/>
        <sz val="10.0"/>
        <u/>
      </rPr>
      <t>Cyton Board</t>
    </r>
    <r>
      <rPr>
        <rFont val="Arial"/>
        <color rgb="FF000000"/>
        <sz val="10.0"/>
      </rPr>
      <t>, Ganglion</t>
    </r>
  </si>
  <si>
    <t xml:space="preserve">Fusheng Wang </t>
  </si>
  <si>
    <t xml:space="preserve"> Integrative Multimodal Communication for ALS Patients Using iPad </t>
  </si>
  <si>
    <t>https://apps.dtic.mil/sti/trecms/pdf/AD1204427.pdf</t>
  </si>
  <si>
    <t xml:space="preserve">U.S. Army Medical Research and Development Command    Fort Detrick, Maryland  21702-5012 </t>
  </si>
  <si>
    <t xml:space="preserve">Assistive technology, eye tracking, facial expression, brain-Computer Interfaces, EEG speller, P300, SSVEP, Human-Computer Interaction, amyotrophic lateral sclerosis </t>
  </si>
  <si>
    <t>Osagie Mike. Odigie, Ugochukwu Bond Anyaehie, Daniel Chukwu Nwachukwu, John Chukwuka Igweh, Alexander Obidike Naiho</t>
  </si>
  <si>
    <t>The Inuence of Varying Sound Pitch on the Brain’s Electrical Activities of Young Nigerian Adults</t>
  </si>
  <si>
    <t>https://assets.researchsquare.com/files/rs-3140799/v1/a695d40e-c2c4-45bd-9437-33084c4d3b4d.pdf?c=1689002314</t>
  </si>
  <si>
    <r>
      <rPr>
        <rFont val="Arial"/>
        <color rgb="FF222222"/>
        <sz val="10.0"/>
      </rPr>
      <t xml:space="preserve">DOI: </t>
    </r>
    <r>
      <rPr>
        <rFont val="Arial"/>
        <color rgb="FF1155CC"/>
        <sz val="10.0"/>
        <u/>
      </rPr>
      <t>https://doi.org/10.21203/rs.3.rs-3140799/v1</t>
    </r>
  </si>
  <si>
    <t>Electroencephalogram, Brain waves, Sound pitch, Electrical activity</t>
  </si>
  <si>
    <t>Yunna Hao, Qiuyang Yan, Huijie Liu, Xinyang He, Peihua Zhang, Xiaohong Qin, Ranran Wang, Jing Sun, Liming Wang, Yin Cheng</t>
  </si>
  <si>
    <t>A Stretchable, Breathable, And Self-Adhesive Electronic Skin with Multimodal Sensing Capabilities for Human-Centered Healthcare</t>
  </si>
  <si>
    <t>https://onlinelibrary.wiley.com/doi/abs/10.1002/adfm.202303881</t>
  </si>
  <si>
    <t>Wiley Online Library</t>
  </si>
  <si>
    <r>
      <rPr>
        <rFont val="Arial"/>
        <color rgb="FF222222"/>
        <sz val="10.0"/>
      </rPr>
      <t xml:space="preserve"> </t>
    </r>
    <r>
      <rPr>
        <rFont val="Arial"/>
        <color rgb="FF1155CC"/>
        <sz val="10.0"/>
        <u/>
      </rPr>
      <t>https://doi.org/10.1002/adfm.202303881</t>
    </r>
  </si>
  <si>
    <t>bimodal sensing, breathability, electronic skin, self-adhesion, self-protection</t>
  </si>
  <si>
    <t>LUTFI AIZAT MOHAMED JEFRI, FARIDAH ABD RAHMAN, NOREHA ABDUL MALIK AND FARAH NADIA MOHD ISA</t>
  </si>
  <si>
    <t>EYE BLINK IDENTIFICATION AND REMOVAL FROM SINGLE-CHANNEL EEG USING EMD WITH ENERGY THRESHOLD AND ADAPTIVE FILTER</t>
  </si>
  <si>
    <t>https://scholar.google.com/scholar_url?url=https://journals.iium.edu.my/ejournal/index.php/iiumej/article/download/2814/919&amp;hl=en&amp;sa=X&amp;d=9804616974460377915&amp;ei=gf-nZKKREraJ6rQPusK_-AE&amp;scisig=ABFrs3w7ED0Npe3_d7UeT2vPcjcm&amp;oi=scholaralrt&amp;hist=8WBGhdYAAAAJ:5437843588291773220:ABFrs3xXcjFXfhZgJDrekhf9D18-&amp;html=&amp;pos=0&amp;folt=kw</t>
  </si>
  <si>
    <t xml:space="preserve">IIUM Engineering Journal, Vol. 24, No. 2, 2023 </t>
  </si>
  <si>
    <t>https://doi.org/10.31436/iiumej.v24i2.2814</t>
  </si>
  <si>
    <t>Adaptive Filter, Eye Blink Extraction, EMD, Energy Thresholding,
Univariate Processing</t>
  </si>
  <si>
    <t>Wolf, Daniyar, Mark Mamchenko, and Elena Jharko</t>
  </si>
  <si>
    <t>Control of Unmanned Vehicles in Smart Cities Using a Multi-Modal Brain–Computer Interface</t>
  </si>
  <si>
    <t>https://www.mdpi.com/2673-4591/33/1/43</t>
  </si>
  <si>
    <t>Engineering Proceedings 33, no. 1: 43.</t>
  </si>
  <si>
    <t>https://doi.org/10.3390/engproc2023033043</t>
  </si>
  <si>
    <t>Brain–Computer Interface (BCI); Brain–Machine Interface (BMI); unmanned vehicle; unmanned aerial vehicle (UAV); smart city</t>
  </si>
  <si>
    <t>Xiaobi Chen,Guanghua Xu, Bo He, Sicong Zhang, Zijvn Su,Yaguang Jia, Xun Zhang and Zhe Zhao</t>
  </si>
  <si>
    <t>Capturing synchronization with complexity measure of ordinal pattern transition network constructed by crossplot</t>
  </si>
  <si>
    <t>https://royalsocietypublishing.org/doi/pdf/10.1098/rsos.221067</t>
  </si>
  <si>
    <t>R.Soc.OpenSci.</t>
  </si>
  <si>
    <t>https://doi.org/10.1098/rsos.221067</t>
  </si>
  <si>
    <t>synchronization, crossplot, ordinal pattern transition network, transition entropy</t>
  </si>
  <si>
    <t>Satoshi Shibuya and Yukari Ohki</t>
  </si>
  <si>
    <t>Mu Rhythm Desynchronization while Observing Rubber Hand Movement in the Mirror: The Interaction of Body Representation with Visuo-Tactile Stimulation</t>
  </si>
  <si>
    <t>https://www.mdpi.com/2076-3425/13/6/969</t>
  </si>
  <si>
    <t>Body and Motor Awareness: Representation, Perception and Integration in the Human Brain</t>
  </si>
  <si>
    <t>https://doi.org/10.3390/brainsci13060969</t>
  </si>
  <si>
    <t>body ownership; rubber hand illusion (RHI); event-related desynchronization (ERD); mu-rhythm; electroencephalography (EEG); hand movement; embodiment</t>
  </si>
  <si>
    <t xml:space="preserve">McClenaghan, Adam; Goudswaard, Mark; Hicks, Ben </t>
  </si>
  <si>
    <t xml:space="preserve">INVESTIGATING THE PROCESS, DESIGN OUTPUTS AND NEUROCOGNITIVE DIFFERENCES BETWEEN PROTOTYPING ACTIVITIES WITH PHYSICAL AND DIGITAL LEGO </t>
  </si>
  <si>
    <t>https://www.cambridge.org/core/services/aop-cambridge-core/content/view/F2512E36C3B31CF20C363234BA5138E3/S2732527X23002377a.pdf/div-class-title-investigating-the-process-design-outputs-and-neurocognitive-differences-between-prototyping-activities-with-physical-and-digital-lego-div.pdf</t>
  </si>
  <si>
    <t>INTERNATIONAL CONFERENCE ON ENGINEERING DESIGN, ICED23</t>
  </si>
  <si>
    <t xml:space="preserve">https://doi.org/10.1017/pds.2023.237 </t>
  </si>
  <si>
    <t xml:space="preserve">Design cognition, Design methods, Neurocognition, Prototyping, Human behaviour in design </t>
  </si>
  <si>
    <t>Felipe Augusto Fiorin, Larissa Gomes Sartori, María Verónica González Méndez 2ORCID,Christiane Henriques Ferreira 1ORCID,Maria Bernadete de Morais França 3ORCID andEddy Krueger 1,*</t>
  </si>
  <si>
    <t>The Learning Curve of People with Complete Spinal Cord Injury Using a NESs-FESs Interface in the Sitting Position: Pilot Study</t>
  </si>
  <si>
    <t>https://www.mdpi.com/2673-4117/4/2/97</t>
  </si>
  <si>
    <t>MDPI</t>
  </si>
  <si>
    <t>https://doi.org/10.3390/eng4020097</t>
  </si>
  <si>
    <t xml:space="preserve"> paraplegia; electrical stimulation; brain–computer interface</t>
  </si>
  <si>
    <t>Dibyanshu Jaiswal, Debatri Chatterjee, Arindam Sarkar, Meghana S, Ramesh Kumar Ramakrishnan, Arpan Pal, Ratna Ghosh</t>
  </si>
  <si>
    <t>Assessment of Mental Workloads using Differential Dermal Potentials Recorded from in and around Ear</t>
  </si>
  <si>
    <t>https://dl.acm.org/doi/abs/10.1145/3597061.3597257</t>
  </si>
  <si>
    <t>BodySys '23: Proceedings of the 8th Workshop on Body-Centric Computing Systems</t>
  </si>
  <si>
    <t>https://doi.org/10.1145/3597061.3597257</t>
  </si>
  <si>
    <t>Computing methodologies, Machine learning, Cross-validation, Human-centered computing, Human computer interaction (HCI), HCI design and evaluation methods, User models, User studies</t>
  </si>
  <si>
    <t>CARLOS GONZALEZ VISIEDO</t>
  </si>
  <si>
    <t>Deep Learning EEG-based Motor Imagery System for Robot Control using 3D Printed Headset and Electrodes</t>
  </si>
  <si>
    <t>https://www.theseus.fi/bitstream/handle/10024/803563/Gonzalez_Visiedo_Carlos.pdf?sequence=2</t>
  </si>
  <si>
    <t>Electroencephalography, EEG, EEG sensors, brain-computer interfaces, BCIs, 3D printing, data analysis, machine learning, deep learning, transfer learning, robotics</t>
  </si>
  <si>
    <t>Hiroki Ikeda, Takashi Ohhira, Hideki Hashimoto</t>
  </si>
  <si>
    <t>Classification of silent speech words considering walking using VMD applied facial EMG</t>
  </si>
  <si>
    <t>https://www.jstage.jst.go.jp/article/isase/ISASE2023/0/ISASE2023_1_3/_pdf</t>
  </si>
  <si>
    <t>ISASE 2023</t>
  </si>
  <si>
    <t>EMG, silent speech, variational mode decomposition, deep learning, body movement</t>
  </si>
  <si>
    <t>Dong Wen, Member, Jingpeng Yuan, Jingjing Li, Yue Sun, Xianpu Wang, Ruihang Shi, Xianglong Wan, Yanhong Zhou, Haiqing Song, Xianling Dong, Fangzhou Xu, Xifa Lan, and Tzyy-Ping Jung</t>
  </si>
  <si>
    <t>Design and Test of Spatial Cognitive Training and Evaluation System based on Virtual Reality Head-mounted Display with EEG Recording</t>
  </si>
  <si>
    <t>https://ieeexplore.ieee.org/stamp/stamp.jsp?arnumber=10144784</t>
  </si>
  <si>
    <t>n IEEE Transactions on Neural Systems and Rehabilitation Engineering</t>
  </si>
  <si>
    <t>DOI 10.1109/TNSRE.2023.3283328</t>
  </si>
  <si>
    <t>EEG, Spatial Cognition TrainingandEvaluation System, Virtual Reality Head-mounted Display</t>
  </si>
  <si>
    <t>MANOROT BORIRAKARAWIN, YUNYONG PUNSAWAD</t>
  </si>
  <si>
    <t>Hybrid Brain–Computer Interface System Using Auditory Stimulation and Speech Imagination Paradigms for Assistive Technology</t>
  </si>
  <si>
    <t>https://ieeexplore.ieee.org/stamp/stamp.jsp?arnumber=10138171</t>
  </si>
  <si>
    <t xml:space="preserve"> IEEE Access</t>
  </si>
  <si>
    <t>DOI 10.1109/ACCESS.2023.3280636</t>
  </si>
  <si>
    <t>Brain-computer interface; Hybrid BCI; Electroencephalogram; Event-related potentials;
Auditory stimulation; Speech Imagination; Assistive technology.</t>
  </si>
  <si>
    <t xml:space="preserve">Adhi Dharma Wibawa, Yuri Pamungkas, Monica Pratiwi, Rosita Devi Kusumastuti, Wardah Rahmatul Islamiyah, Diah Risqiwati
</t>
  </si>
  <si>
    <t>EEG Time-Frequency Domain Analysis for Describing Healthy Subjects and Stroke Patients during Stroke Rehabilitation Motion Tasks</t>
  </si>
  <si>
    <t>https://scholar.unair.ac.id/en/publications/eeg-time-frequency-domain-analysis-for-describing-healthy-subject</t>
  </si>
  <si>
    <t>International Journal on Advanced Science, Engineering and Information Technology</t>
  </si>
  <si>
    <t>DOI: 10.18517/ijaseit.13.2.18299</t>
  </si>
  <si>
    <t>EEG time-frequency domain, electroencephalogram, home plasticity training, MAV, PSD, STD, Stroke rehabilitation monitoring</t>
  </si>
  <si>
    <t>Suman Chatterjee; Rathin K. Joshi; Shabari Girishan KV; Hardik J. Pandya</t>
  </si>
  <si>
    <t>Flexible Microelectrode Array for Chronic Electrocorticography Recording under Different Neurophysiological Conditions</t>
  </si>
  <si>
    <t>https://ieeexplore.ieee.org/abstract/document/10123820</t>
  </si>
  <si>
    <t>2023 11th International IEEE/EMBS Conference on Neural Engineering (NER)</t>
  </si>
  <si>
    <t>DOI: 10.1109/NER52421.2023.10123820</t>
  </si>
  <si>
    <t>flexible microelectrode array, peripheral electrical stimulation, induced epileptic activities, antiepileptic drug, electrocorticography signals</t>
  </si>
  <si>
    <t>Oneris Daniel Rico Garcia, Javier Fernandez Fernandez, Rafael Andres Becerra Saldana, and Olaf Witkowski</t>
  </si>
  <si>
    <t>Emotion-Driven Interactive Storytelling: Let Me Tell You How to Feel</t>
  </si>
  <si>
    <t>https://scholar.google.com/scholar_url?url=https://psyarxiv.com/bn79r/download%3Fformat%3Dpdf&amp;hl=en&amp;sa=X&amp;d=13272216046916353581&amp;ei=K1hlZJ_wD6nZsQLh8KKoAQ&amp;scisig=AGlGAw82VTMRQ7NgZohv_tbpT2ZU&amp;oi=scholaralrt&amp;hist=8WBGhdYAAAAJ:5437843588291773220:AGlGAw_R86kmXrnExVMPWqwzfosv&amp;html=&amp;pos=1&amp;folt=kw</t>
  </si>
  <si>
    <t>Cross Labs, Cross Compass, Independent Researcher</t>
  </si>
  <si>
    <t>Computational Creativity · Interactive storytelling · Emotion recognition · Affective computing · Artificial Intelligence</t>
  </si>
  <si>
    <t>CAMERON AUME, SHANTANU PAL, ALIREZA JOLFAEI, SUBHAS MUKHOPADHYAY</t>
  </si>
  <si>
    <t>Multimodal Social Data Analytics on the Design and Implementation
of an EEG-Mechatronic System Interface</t>
  </si>
  <si>
    <t>https://dl.acm.org/doi/pdf/10.1145/3597306</t>
  </si>
  <si>
    <t>Journal of Data and Information Quality</t>
  </si>
  <si>
    <t>https://doi.org/10.1145/3597306</t>
  </si>
  <si>
    <t>Electroencephalography (EEG), Brain-Computer Interfaces (BCIs), Machine learning,
Consumer-grade EEG devices, Mechatronic systems, Big Multimodal Social Data (BMSD)</t>
  </si>
  <si>
    <t>Shelby L. Hatton, Shubham Rathore, Ilya Vilinsky, Annette Stowasser</t>
  </si>
  <si>
    <t>Quantitative and Qualitative Representation of Introductory and Advanced EEG Concepts: An Exploration of Different EEG Setups</t>
  </si>
  <si>
    <t>https://www.funjournal.org/wp-content/uploads/2023/05/june-21-142.pdf?x36670</t>
  </si>
  <si>
    <t>The Journal of Undergraduate Neuroscience Education (JUNE), Spring 2023, 21(2):A142-A150</t>
  </si>
  <si>
    <t>https://doi.org/10.5939/GEBE4090</t>
  </si>
  <si>
    <t>Electroencephalogram (EEG); Power Spectrum Analysis; Alpha:Beta Power Ratio; Eyes-Closed Test</t>
  </si>
  <si>
    <r>
      <rPr>
        <rFont val="Arial"/>
        <color rgb="FF1155CC"/>
        <sz val="10.0"/>
        <u/>
      </rPr>
      <t>Cyton+Daisy Board</t>
    </r>
    <r>
      <rPr>
        <rFont val="Arial"/>
        <sz val="10.0"/>
      </rPr>
      <t>, Ganglion</t>
    </r>
  </si>
  <si>
    <t>CHUKWUEMEKA NWAGU, ALAA ALSLAITY, RITA ORJI</t>
  </si>
  <si>
    <t>EEG-Based Brain-Computer Interactions in Immersive Virtual and Augmented Reality: A Systematic Review</t>
  </si>
  <si>
    <t>https://www.researchgate.net/profile/Chukwuemeka-Nwagu/publication/370611758_EEG-Based_Brain-Computer_Interactions_in_Immersive_Virtual_and_Augmented_Reality_A_Systematic_Review/links/645a38ab39c408339b378bc2/EEG-Based-Brain-Computer-Interactions-in-Immersive-Virtual-and-Augmented-Reality-A-Systematic-Review.pdf</t>
  </si>
  <si>
    <t>ACM Hum.-Comput. Interact., Vol. 7, No. EICS, Article 174</t>
  </si>
  <si>
    <t>https://doi.org/10.1145/3593226</t>
  </si>
  <si>
    <t>Mohammad Y. M. Naser; Charles Mcclary; Isaac A. Cheruku; Bhanu P. R. Dendi; Sylvia Bhattacharya</t>
  </si>
  <si>
    <t>Prediction of Gait Intention by Utilizing Pre-Movement EEG Signals: A Pilot Study</t>
  </si>
  <si>
    <t>https://ieeexplore.ieee.org/abstract/document/10115079</t>
  </si>
  <si>
    <t>SoutheastCon 2023</t>
  </si>
  <si>
    <t>DOI: 10.1109/SoutheastCon51012.2023.10115079</t>
  </si>
  <si>
    <t>Electroencephalography (EEG), gait intention, gait prediction, Brain-Computer Interaction (BCI), Oculus VR</t>
  </si>
  <si>
    <t>Houźe Alexandre; Binczak Stéphane</t>
  </si>
  <si>
    <t>Real time eye-blinks detection from dry and portable EEG headset using machine learning</t>
  </si>
  <si>
    <t>https://ieeexplore.ieee.org/document/10090032</t>
  </si>
  <si>
    <t>2022 16th International Conference on Signal-Image Technology &amp; Internet-Based Systems (SITIS)</t>
  </si>
  <si>
    <t>DOI: 10.1109/SITIS57111.2022.00051</t>
  </si>
  <si>
    <t>Electroencephalography, Wearable sensors, Signal detection, Signal processing, Machine learning</t>
  </si>
  <si>
    <t xml:space="preserve">Michael Thomas Knierim, Martin Georg Bleichner, and Pierluigi Reali </t>
  </si>
  <si>
    <t>A Systematic Comparison of High-End and Low-Cost EEG Amplifiers for Concealed, Around-the-Ear EEG Recordings</t>
  </si>
  <si>
    <t>https://www.mdpi.com/1424-8220/23/9/4559</t>
  </si>
  <si>
    <t xml:space="preserve">Sensors, Volume 23, Issue 9 </t>
  </si>
  <si>
    <t>https://doi.org/10.3390/s23094559</t>
  </si>
  <si>
    <t xml:space="preserve"> concealed EEG; cEEGrids; Auditory ERP; timing test; Smarting Mobi; OpenBCI</t>
  </si>
  <si>
    <t>Md Imran Hossen, Yazhou Tu, Xiali Hei</t>
  </si>
  <si>
    <t>A First Look at the Security of EEG-based Systems and Intelligent Algorithms under Physical Signal Injections</t>
  </si>
  <si>
    <t>https://www.xialihei.com/wp-content/uploads/2023/02/sectl23-2.pdf</t>
  </si>
  <si>
    <t>Proceedings of the 2023 Secure and Trustworthy Deep Learning
Systems Workshop (SecTL ’23)</t>
  </si>
  <si>
    <t>https://doi.org/10.1145/3591197.3591304</t>
  </si>
  <si>
    <t>EEG, neural network, machine learning, epilepsy diagnosis, EMI</t>
  </si>
  <si>
    <t>Sarker M. Asish; Arun K Kulshreshth; Christoph W Borst</t>
  </si>
  <si>
    <t>Detecting Distracted Students in an Educational VR Environment Utilizing Machine Learning on EEG and Eye-Gaze Data</t>
  </si>
  <si>
    <t>https://ieeexplore.ieee.org/abstract/document/10108695</t>
  </si>
  <si>
    <t>DOI: 10.1109/VRW58643.2023.00194</t>
  </si>
  <si>
    <t>Machine learning, Virtual Reality, Distraction, EEG, Eye-tracking, Education, Computing methodologies—Computer graphics—Graphics systems and interfaces—Virtual reality, Computing methodologies—Machine Learning</t>
  </si>
  <si>
    <t>Nandagopal C; Sneha B; Sriragavi R; Veeradharshini R</t>
  </si>
  <si>
    <t>Brainwave Sensor based Smart Home Controller for Paralysed People</t>
  </si>
  <si>
    <t>https://ieeexplore.ieee.org/abstract/document/10104682</t>
  </si>
  <si>
    <t>2023 International Conference on Sustainable Computing and Data Communication Systems (ICSCDS)</t>
  </si>
  <si>
    <t>DOI: 10.1109/ICSCDS56580.2023.10104682</t>
  </si>
  <si>
    <t>Machine Learning (ML), Electroenceplogram (EEG), Automation, Brain computer interface (BCI), Random Forest algorithm</t>
  </si>
  <si>
    <t>Chatterjee, Suman</t>
  </si>
  <si>
    <t>Design and Development of Implantable Electrode Arrays for Recording Signals from Rat’s Brain</t>
  </si>
  <si>
    <t>https://etd.iisc.ac.in/handle/2005/6068</t>
  </si>
  <si>
    <t>Electronic Systems Engineering (ESE) [150]</t>
  </si>
  <si>
    <t>Tahira Mahboob, Min Young Chung, Kae Won Choi</t>
  </si>
  <si>
    <t>EMG–based 3D hand gesture prediction using transformer–encoder classification</t>
  </si>
  <si>
    <t>https://www.sciencedirect.com/science/article/pii/S240595952300053X</t>
  </si>
  <si>
    <t>ICT Express</t>
  </si>
  <si>
    <t>https://doi.org/10.1016/j.icte.2023.04.005</t>
  </si>
  <si>
    <t>Transformer encoder classification (TEC), Optical hand tracking, Surface electromyography (sEMG), 3D hand gesture prediction</t>
  </si>
  <si>
    <t>Ashok Kumar Chaudhary, Vinay Gupta, Kumar Gaurav, Tharun Kumar Reddy and Laxmidhar Behera</t>
  </si>
  <si>
    <t>EEG Control of a Robotic Wheelchair</t>
  </si>
  <si>
    <t>https://www.intechopen.com/online-first/86899</t>
  </si>
  <si>
    <t>Book: Human-Robot Interaction - Perspectives and Applications</t>
  </si>
  <si>
    <t>DOI: 10.5772/intechopen.110679</t>
  </si>
  <si>
    <t>brain-computer interface, motor-impaired, wheelchair, ensemble-subspace KNN</t>
  </si>
  <si>
    <t>Adriano Cavalcanti</t>
  </si>
  <si>
    <t>Tutorial on TensorFlow Spark for BCI Augmented Robotics</t>
  </si>
  <si>
    <t>https://micsymposium.org/mics2023/wp-content/uploads/2023/03/MICS-2023-Cavalcanti_full-paper-official.pdf</t>
  </si>
  <si>
    <t>Department of Computer Science and Information Technology, Interdisciplinary Computer Hub, Brain Computer Interface Laboratory, Saint Cloud State University</t>
  </si>
  <si>
    <t>N/A</t>
  </si>
  <si>
    <t>Avatar, Brain-Computer Interface, Hardware Architecture, Spark, TensorFlow</t>
  </si>
  <si>
    <t>Fahad Bin Zahid, Zhi Chao Ong, Shin Yee Khoo, Mohd Fairuz Mohd Salleh</t>
  </si>
  <si>
    <t>Implementation of BCI based semi-automated impact device for performing Impact Synchronous Modal Analysis</t>
  </si>
  <si>
    <t>https://www.sciencedirect.com/science/article/abs/pii/S0263224123000180</t>
  </si>
  <si>
    <t>Measurement, Volume 208, 28 February 2023</t>
  </si>
  <si>
    <t>https://doi.org/10.1016/j.measurement.2023.112454</t>
  </si>
  <si>
    <t>Current Impact Synchronous Modal Analysis (ISMA), Brain Computer Interface (BCI), wireless Electroencephalogram (EEG)</t>
  </si>
  <si>
    <t>Feng Zhang, Hongyi Cheng, Kaiyun Qu, Xuetian Qian, Yongping Lin, Yike Zhang, Sichong Qian, Ningping Huang, Chang Cui, Minglong Chen</t>
  </si>
  <si>
    <t>Continuous contractile force and electrical signal recordings of 3D cardiac tissue utilizing conductive hydrogel pillars on a chip</t>
  </si>
  <si>
    <t>https://www.sciencedirect.com/science/article/pii/S2590006423000868</t>
  </si>
  <si>
    <t>Materials Today Bio Volume 20, June 2023</t>
  </si>
  <si>
    <t>https://doi.org/10.1016/j.mtbio.2023.100626</t>
  </si>
  <si>
    <t>Heart-on-chip, Cardiac tissue engineering, In situ monitoring, Hydrogel pillar electrodes, Electrical stimulation</t>
  </si>
  <si>
    <t>EmotiBit Kit and Ultracortex Mark IV</t>
  </si>
  <si>
    <t>Emma J. Prett, Renan Guarese, Haytham M. Fayek, Fabio Zambetta</t>
  </si>
  <si>
    <t>Replicability and Transparency for the Creation of Public Human User Video Game Datasets</t>
  </si>
  <si>
    <t>https://arxiv.org/pdf/2304.02861.pdf</t>
  </si>
  <si>
    <t>RMIT University, Australia</t>
  </si>
  <si>
    <t>Human-centered computing, Collaborative and social computing, Collaborative and social computing systems and tools, Open source software, Applied computing, Computers in other domain, Personal computers and PC applications, Computer games</t>
  </si>
  <si>
    <t>Yeison Nolberto Cardona-Álvarez, Andrés Marino Álvarez-Meza, David Augusto Cárdenas-Peña, Germán Albeiro Castaño-Duque, and German Castellanos-Dominguez</t>
  </si>
  <si>
    <t>A Novel OpenBCI Framework for EEG-Based Neurophysiological Experiments</t>
  </si>
  <si>
    <t>https://www.mdpi.com/1424-8220/23/7/3763</t>
  </si>
  <si>
    <t>Sensors 2023: Special Issue Real-Life Wearable EEG-Based BCI: Open Challenges</t>
  </si>
  <si>
    <t>https://doi.org/10.3390/s23073763</t>
  </si>
  <si>
    <t>brain computer interfaces; OpenBCI; EEG; drivers; distributed systems; neurophysiological</t>
  </si>
  <si>
    <t>Miklós Lukovics, Szabolcs Prónay, Zoltán Majó-Petri, Péter Kovács, Tamás Ujházi, Márta Volosin, Zsolt Palatinus, Tamara Keszey</t>
  </si>
  <si>
    <t>Combining survey-based and neuroscience measurements in customer acceptance of self-driving technology</t>
  </si>
  <si>
    <t>https://www.sciencedirect.com/science/article/pii/S1369847823000657</t>
  </si>
  <si>
    <t>Transportation Research Part F: Traffic Psychology and Behaviour</t>
  </si>
  <si>
    <t>https://doi.org/10.1016/j.trf.2023.03.016</t>
  </si>
  <si>
    <t>Self-driving technology, Technology acceptance, Real-time electroencephalography (EEG), Eye-tracking, Unified Theory of Acceptance and Use of Technology (UTAUT)</t>
  </si>
  <si>
    <t xml:space="preserve">Yongyi Zhao, Yunsik Ohm, Jiahe Liao, Yichi Luo, Huai-Yu Cheng, Phillip Won, Peter Roberts, Manuel Reis Carneiro, Mohammad F. Islam, Jung Hyun Ahn, Lynn M. Walker &amp; Carmel Majidi 
</t>
  </si>
  <si>
    <t>A self-healing electrically conductive organogel composite</t>
  </si>
  <si>
    <t>https://www.nature.com/articles/s41928-023-00932-0</t>
  </si>
  <si>
    <t>Nature Electronics</t>
  </si>
  <si>
    <t>https://doi.org/10.1038/s41928-023-00932-0</t>
  </si>
  <si>
    <t>Electrical and electronic engineering, Electronic devices, Gels and hydrogels, Materials for devices</t>
  </si>
  <si>
    <t>Deepak D. Kapgate, and Krishna Prasad K</t>
  </si>
  <si>
    <t xml:space="preserve">An improved model for the use of facial stimulation in hybrid SSVEP+P300 braincomputer interfaces </t>
  </si>
  <si>
    <t>https://wjaets.com/sites/default/files/WJAETS-2023-0046.pdf</t>
  </si>
  <si>
    <t xml:space="preserve">World Journal of Advanced Engineering Technology and Sciences
</t>
  </si>
  <si>
    <r>
      <rPr>
        <rFont val="Arial"/>
        <color rgb="FF222222"/>
        <sz val="10.0"/>
      </rPr>
      <t xml:space="preserve">: </t>
    </r>
    <r>
      <rPr>
        <rFont val="Arial"/>
        <color rgb="FF1155CC"/>
        <sz val="10.0"/>
        <u/>
      </rPr>
      <t>https://doi.org/10.30574/wjaets.2023.8.1.0046</t>
    </r>
  </si>
  <si>
    <t xml:space="preserve">Neutral-face stimuli; Non-face stimuli; Hybrid SSVEP+P300 BCI; Visual stimulus characteristics </t>
  </si>
  <si>
    <t>HARFI MAULANA, AHMAD RIDWAN, SUPRIJANTO, SHANTY RAHAYU KUSUMAWARDANI &amp; LULU LUSIANTI FITRI</t>
  </si>
  <si>
    <t>Electrocardiogram Analysis of Hyperlipidemia-Induced Wistar Rats using Wireless Mice Electrocardiogram</t>
  </si>
  <si>
    <t>http://www.ukm.my/jsm/pdf_files/SM-PDF-51-2-2023/20.pdf</t>
  </si>
  <si>
    <t>http://doi.org/10.17576/jsm-2023-5202-20</t>
  </si>
  <si>
    <t xml:space="preserve"> Atherosclerosis; electrocardiogram; high-fat diet; hyperlipidemia; WIM ECG; rats</t>
  </si>
  <si>
    <t>Beatrice Barbazzeni, Oliver Speck and Emrah Duzel</t>
  </si>
  <si>
    <t>Cognitive training, but not EEG-neurofeedback, improves working memory in healthy volunteers</t>
  </si>
  <si>
    <t>https://watermark.silverchair.com/fcad101.pdf?token=AQECAHi208BE49Ooan9kkhW_Ercy7Dm3ZL_9Cf3qfKAc485ysgAAAtUwggLRBgkqhkiG9w0BBwagggLCMIICvgIBADCCArcGCSqGSIb3DQEHATAeBglghkgBZQMEAS4wEQQM7JWoz3wg2jKVGm4TAgEQgIICiISwdiKCbCKYZwlVyUWl1Jxf4AtKhDu453bLcoORpPoFgXcjeT-RRzvfudma9WLUzYPvZZ8_IAjtZgtqyq1djz4uYVOw6uaIrGDXOoOt4NPmaj5hMaIyOL2-Ipd_wNz0xsutjmFF407Psx9udGK7cqRk3x9hiYcdbl4AYQBlVEZ1IaCQqWj6iEtUpgVXPp9gTd47Szs8YNXnwcZr5G6ABe-QidagUcLSkbTLgHAeG2NTvCww116ajyGKuVzTDauHSFG7c3C5nZ8CWVCBjAQJi0D32NWOpWjDaFIyjXeDUPiSs2IVeZ8l3LV-_-dyCdVqzF21tbfZB0Ze94SzAyS35e8O1rUbqPP_zAneRLaUkWo8CGfkWw3v8YgENcfMqqvgxSih5NlmAle7FpdM5RII6gqbsf7bc1__T0zFh4uGc0Oaqp3Qrmmy6OGtoKeVZCkn4H6bRwFpftYV4Bxi1pR0u0lobb8qIfZrULb1sFs0Fe0zLHwFLQ_FbUAvoZ2ZhadUuOqAJco4wN5ozdVnLxqm9RWEInNxlNfIfwkdy72s7XuRFC41GwWqvm5zmzLEPnN-Hz-cO_J9MryY-7gm1xbPfwSTFLytSi7h_4guTFCyKTLdDp-t68LdXz7nEhTJPbio0ixmneXVi5p8wf9WRC2XVY_DPvsn2CEsFn83PdsrPWXhr5037nQt8R0x0FcAyqAMGsUn9BvFqTu5n0YANe1ionViVGBFeGq3s6_WSpWaXc-rWLlUOmpVse7LNfOabqD1A4O0VDOcXfdzjuS0_2uUcI3hMe-AN4Jov4teLkZZqi7ahYycfVdZG8RPYvxEslcR4XxG9zWoC2H6jIWFC9fk2mw2-PsiLQ9K7g</t>
  </si>
  <si>
    <t>BRAIN COMMUNICATIONS 2023</t>
  </si>
  <si>
    <t>https://doi.org/10.1093/braincomms/fcad101</t>
  </si>
  <si>
    <t>cognitive training; working memory; neurofeedback training; monetary reward; alpha suppression</t>
  </si>
  <si>
    <t>Theeban Raj Shivaraja ,Rabani Remli, Noorfazila Kamal, Wan Asyraf Wan Zaidi and Kalaivani Chellappan</t>
  </si>
  <si>
    <t>Assessment of a 16-Channel Ambulatory Dry Electrode EEG for Remote Monitoring</t>
  </si>
  <si>
    <t>https://www.mdpi.com/1424-8220/23/7/3654</t>
  </si>
  <si>
    <t>Smart Sensors for Portable and Remote Measurement</t>
  </si>
  <si>
    <t>https://doi.org/10.3390/s23073654</t>
  </si>
  <si>
    <t>EEG; wearable; remote monitoring; signal quality; epilepsy</t>
  </si>
  <si>
    <t>Jin Woo Choi; Jaehoon Choi; Sungho Jo</t>
  </si>
  <si>
    <t>Reference Bank Multi-Feature Extraction for EEG-Based Concentration Discrimination</t>
  </si>
  <si>
    <t>https://ieeexplore.ieee.org/abstract/document/10078480</t>
  </si>
  <si>
    <t>2023 11th International Winter Conference on Brain-Computer Interface (BCI)</t>
  </si>
  <si>
    <t>DOI: 10.1109/BCI57258.2023.10078480</t>
  </si>
  <si>
    <t>Electrodes, Deep learning, Forehead, Software algorithms, Brain modeling, Electroencephalography, Data models</t>
  </si>
  <si>
    <t>Dmitrii Borkin, Andrea Nemethova, Martin Nemeth and Pavol Tanuska</t>
  </si>
  <si>
    <t>Control of a Production Manipulator with the Use of BCI in Conjunction with an Industrial PLC</t>
  </si>
  <si>
    <t>https://www.mdpi.com/1424-8220/23/7/3546</t>
  </si>
  <si>
    <t>Artificial Intelligence, Digital Sensors and Data Science in Bio-Medicine</t>
  </si>
  <si>
    <r>
      <rPr>
        <rFont val="Arial"/>
        <color rgb="FF222222"/>
        <sz val="10.0"/>
      </rPr>
      <t xml:space="preserve"> </t>
    </r>
    <r>
      <rPr>
        <rFont val="Arial"/>
        <color rgb="FF1155CC"/>
        <sz val="10.0"/>
        <u/>
      </rPr>
      <t>https://doi.org/10.3390/s23073546</t>
    </r>
  </si>
  <si>
    <t>EEG signal; PLC communication; disabled people</t>
  </si>
  <si>
    <t xml:space="preserve">Mahyar TajDini, Volodymyr Sokolov, Ievgeniia Kuzminykh, Bogdan Ghita </t>
  </si>
  <si>
    <t>Brainwave-based authentication using features fusion</t>
  </si>
  <si>
    <t>https://www.sciencedirect.com/science/article/pii/S0167404823001086</t>
  </si>
  <si>
    <t>Computers &amp; Security
Volume 129</t>
  </si>
  <si>
    <t>https://doi.org/10.1016/j.cose.2023.103198</t>
  </si>
  <si>
    <t>brainwaves, electroencephalogram, EEGbrain-computer interface, BCI, biometrics, authentication, machine learning, coherence, feature extraction</t>
  </si>
  <si>
    <t>Guoyang Liu, Janet H. Hsiao, Weidong Zhou, Lan Tian</t>
  </si>
  <si>
    <t>MartMi-BCI: A matlab-based real-time motor imagery brain-computer interface platform</t>
  </si>
  <si>
    <t>https://www.sciencedirect.com/science/article/pii/S2352711023000675</t>
  </si>
  <si>
    <t>SoftwareX
Volume 22</t>
  </si>
  <si>
    <t>https://doi.org/10.1016/j.softx.2023.101371</t>
  </si>
  <si>
    <t>Brain-computer interface (BCI), Motor imagery, OpenBCI, Matlab, Real-time</t>
  </si>
  <si>
    <t>Tao Xu, Jiabao Wang, Gaotian Zhang, Ling Zhang, and Yun Zhou</t>
  </si>
  <si>
    <t>Confused or not: decoding brain activity and recognizing confusion in reasoning learning using EEG</t>
  </si>
  <si>
    <t>https://iopscience.iop.org/article/10.1088/1741-2552/acbfe0/meta</t>
  </si>
  <si>
    <t>Journal of Neural Engineering, Volume 20, Number 2</t>
  </si>
  <si>
    <t>DOI 10.1088/1741-2552/acbfe0</t>
  </si>
  <si>
    <t>EEG, cognitive-affective model, Random Forest, bandpower</t>
  </si>
  <si>
    <t>H.M.K.K.M.B. Herath a, W.R. de Mel b, Mamta Mittal</t>
  </si>
  <si>
    <t>Brain-computer interfacing for flexion and extension of bio-inspired robot fingers</t>
  </si>
  <si>
    <t>https://www.sciencedirect.com/science/article/pii/S2666307423000098</t>
  </si>
  <si>
    <t>International Journal of Cognitive Computing in Engineering
Volume 4, June 2023, Pages 89-99</t>
  </si>
  <si>
    <t>https://doi.org/10.1016/j.ijcce.2023.02.006</t>
  </si>
  <si>
    <t>Brain-computer interface (BCI)Decoding finger movementsMotor imagery (MI)Non-invasive EEGRobotics</t>
  </si>
  <si>
    <t xml:space="preserve">Sarah Eom, Seijung Kim, Yihang Jiang, Ryan Jay Chen, Ali R Roghanizad, M. Zachary Rosenthal, Jessilyn Dunn, Maria Gorlatova
</t>
  </si>
  <si>
    <t>Investigation of Thermal Perception and Emotional Response inAugmented Reality using Digital Biomarkers: A Pilot Study</t>
  </si>
  <si>
    <t>https://www.researchgate.net/publication/368636685_Investigation_of_Thermal_Perception_and_Emotional_Response_in_Augmented_Reality_using_Digital_Biomarkers_A_Pilot_Study</t>
  </si>
  <si>
    <t>Conference: IEEE XR for Healthcare and Wellbeing Workshop (co-located with IEEE VR)At: Virtual</t>
  </si>
  <si>
    <t>Human-centered computing—Human computerinteraction (HCI)—Interaction paradigms—Mixed / augmented real-ity</t>
  </si>
  <si>
    <t xml:space="preserve">Carlo Greco, Thilina H. Weerakkody, Venanzio Cichella, Leonardo Pagnotta, and Caterina Lamuta
</t>
  </si>
  <si>
    <t>Lightweight Bioinspired Exoskeleton for Wrist Rehabilitation Powered by Twisted and Coiled Artificial Muscles</t>
  </si>
  <si>
    <t>https://www.mdpi.com/2218-6581/12/1/27</t>
  </si>
  <si>
    <t>Robotics 2023, 12(1), 27</t>
  </si>
  <si>
    <t>https://doi.org/10.3390/robotics12010027</t>
  </si>
  <si>
    <t>wrist rehabilitation; smart glove; twisted and coiled artificial muscles; wearable robots; human-assistive device; bio-inspired; powered orthosis; soft exoskeleton</t>
  </si>
  <si>
    <t xml:space="preserve">Samuel J. van Bohemen, Jeffrey M. Rogers, Philip C. Boughton, Jillian L. Clarke, Joaquin T. Valderrama &amp; Andre Z. Kyme </t>
  </si>
  <si>
    <t>Continuous non-invasive estimates of cerebral blood flow using electrocardiography signals: a feasibility study</t>
  </si>
  <si>
    <t>https://link.springer.com/article/10.1007/s13534-023-00265-z</t>
  </si>
  <si>
    <t>Biomedical Engineering Letters (2023)</t>
  </si>
  <si>
    <t>https://doi.org/10.1007/s13534-023-00265-z</t>
  </si>
  <si>
    <t>Cerebral blood flow Continuous monitoring Electrocardiography Electroencephalography Quantitative electroencephalography Stroke</t>
  </si>
  <si>
    <t xml:space="preserve">José Jair Alves Mendes Junior, Daniel Prado Campos, Lorenzo Coelho de Andrade Villela De Biassio,Pedro Carlin Passos,Paulo Broniera Júnior,André Eugênio Lazzaretti,andEddy Krueger
</t>
  </si>
  <si>
    <t>AD8232 to Biopotentials Sensors: Open Source Project and Benchmark</t>
  </si>
  <si>
    <t>https://www.mdpi.com/2079-9292/12/4/833</t>
  </si>
  <si>
    <t>Electronics 2023</t>
  </si>
  <si>
    <t>https://doi.org/10.3390/electronics12040833</t>
  </si>
  <si>
    <t>low-cost; electronic instrumentation; biomedical engineering; electromyography; electrocardiography; electroencephalography</t>
  </si>
  <si>
    <t>G B Tseghai, B Malengier, K A Fante, and L Van Langenhove</t>
  </si>
  <si>
    <t>Loop Fabric EEG Textrode for Brain Activity Monitoring</t>
  </si>
  <si>
    <t>https://iopscience.iop.org/article/10.1088/1757-899X/1266/1/012019/pdf</t>
  </si>
  <si>
    <t>IOP Conf. Series: Materials Science and Engineering</t>
  </si>
  <si>
    <t>doi:10.1088/1757-899X/1266/1/012019</t>
  </si>
  <si>
    <t>impedance, electrodes, signal-to-noise ratio, material science</t>
  </si>
  <si>
    <t>Mohammad Javad Mollakazemi, Dibyajyoti Biswal, Brooke Place, Abhijit Patwardhan</t>
  </si>
  <si>
    <t>Effects of breathing pathway and musical features on the processing of music induced emotions</t>
  </si>
  <si>
    <t>https://www.sciencedirect.com/science/article/pii/S277252862300002X</t>
  </si>
  <si>
    <t>Neuroscience Informatics</t>
  </si>
  <si>
    <t>https://doi.org/10.1016/j.neuri.2023.100117</t>
  </si>
  <si>
    <t>Nasal Breathing pathway, Oral, Emotion, Music, EEG</t>
  </si>
  <si>
    <t>Kristel Fobelets; Ghena Hammour; Kris Thielemans</t>
  </si>
  <si>
    <t>Knitted ECG electrodes in relaxed fitting garments</t>
  </si>
  <si>
    <t>https://ieeexplore.ieee.org/abstract/document/10022004</t>
  </si>
  <si>
    <t xml:space="preserve"> IEEE Sensors Journal</t>
  </si>
  <si>
    <t>DOI: 10.1109/JSEN.2023.3236723</t>
  </si>
  <si>
    <t>ECG (electrocardiogram), health monitoring, knitting, textile electrodes, wearables</t>
  </si>
  <si>
    <t>Garces-Gomez, Yeison Alberto; Lara-Escobar, Ruben Darío; López-Jimenez, Paula Andrea; Toro-García, Nicolás; Jose Israel Cardenas-Jimenez</t>
  </si>
  <si>
    <t xml:space="preserve">Exploring students’ emotional state during a test-related task using wearable electroencephalogram </t>
  </si>
  <si>
    <t>https://www.proquest.com/openview/f1ec7c924e76f101348768e54b9e14de/1?pq-origsite=gscholar&amp;cbl=1686344</t>
  </si>
  <si>
    <t>International Journal of Electrical and Computer Engineering (IJECE)</t>
  </si>
  <si>
    <t xml:space="preserve"> DOI: 10.11591/ijece.v13i1.pp307-314</t>
  </si>
  <si>
    <t>Based brain computer interface, Brain activity, Electroencephalogram activity, emotional state, University Students</t>
  </si>
  <si>
    <t>Serhii Lupenko, Roman Butsiy, and Nataliya Shakhovska</t>
  </si>
  <si>
    <t>Advanced Modeling and Signal Processing Methods in Brain–Computer Interfaces Based on a Vector of Cyclic Rhythmically Connected Random Processes</t>
  </si>
  <si>
    <t>https://www.mdpi.com/1424-8220/23/2/760</t>
  </si>
  <si>
    <t>Biomedical Data in Human-Machine Interaction</t>
  </si>
  <si>
    <t>https://doi.org/10.3390/s23020760</t>
  </si>
  <si>
    <t>brain–computer interface systems; electroencephalographic signals; vector of cyclic rhythmically connected random processes; compatible statistical analysis</t>
  </si>
  <si>
    <t>Ozberk Ozturka, Ata Golparvar, Gizem Acar, Saygun Guler, Murat Kaya Yapici</t>
  </si>
  <si>
    <t>Single-arm diagnostic electrocardiography with printed graphene on wearable textiles</t>
  </si>
  <si>
    <t>https://www.sciencedirect.com/science/article/pii/S0924424722006938</t>
  </si>
  <si>
    <t>Sensors and Actuators A: Physical
Volume 349</t>
  </si>
  <si>
    <t>https://doi.org/10.1016/j.sna.2022.114058</t>
  </si>
  <si>
    <t>ECG, Single-arm electrocardiography, Heart-rate variability, Graphene textile, Electrocardiogram, Wearable electronics, Biopotential monitoring, Conductive nanomaterials, EHealth, E-textiles, Internet of things (IoT), Long-term monitoring, Personalized healthcare, Reduced graphene oxide (rGO), Smart garments, Vital signs</t>
  </si>
  <si>
    <t>Benjamin Poole; Minwoo Lee</t>
  </si>
  <si>
    <t>Error-related Potential Variability: Exploring the Effects on Classification and Transferability</t>
  </si>
  <si>
    <t>https://ieeexplore.ieee.org/document/10022137/authors#authors</t>
  </si>
  <si>
    <t>2022 IEEE Symposium Series on Computational Intelligence (SSCI)</t>
  </si>
  <si>
    <t>DOI: 10.1109/SSCI51031.2022.10022137</t>
  </si>
  <si>
    <t>Cognitive processes, Brain-computer interfaces, Biology, Recording, Noise measurement, Task analysis, Computational intelligence</t>
  </si>
  <si>
    <t>Mudassar Ayub; Kaleem Ullah; Muhammad Jawad Khan; Hassan Farooq; Afzaal Khan</t>
  </si>
  <si>
    <t>Cognitive Improvement Estimation using EEG Imaging after tDCS Therapy</t>
  </si>
  <si>
    <t>https://ieeexplore.ieee.org/abstract/document/10007202</t>
  </si>
  <si>
    <t>2022 International Conference on Emerging Trends in Electrical, Control, and Telecommunication Engineering (ETECTE)</t>
  </si>
  <si>
    <t>DOI: 10.1109/ETECTE55893.2022.10007202</t>
  </si>
  <si>
    <t>tDCS (transcranial direct current stimulations), EEG, ERD (event related desynchronization), CSP (common spatial pattern), MIP (motor imagery period), RP (rest period), LDA (linear discriminant analysis)</t>
  </si>
  <si>
    <t>Zhi Zhou</t>
  </si>
  <si>
    <t>TASK PERFORMANCE AND PERCEPTION OF NOISE UNDER DIFFERENT OFFICE NOISE CONDITIONS</t>
  </si>
  <si>
    <t>https://etda.libraries.psu.edu/files/final_submissions/27036</t>
  </si>
  <si>
    <t>The Pennsylvania State University The Graduate School</t>
  </si>
  <si>
    <t>Bolivar Núñez-Montoya; Mauricio Valarezo Añazco; Alexander Saravia-Avila; Francis R. Loayza; Edwin Valarezo Añazco, Efrain Teran</t>
  </si>
  <si>
    <t>Supervised Machine Learning Applied to Non-Invasive EMG Signal Classification for an Anthropomorphic Robotic Hand</t>
  </si>
  <si>
    <t>https://ieeexplore.ieee.org/abstract/document/9989874</t>
  </si>
  <si>
    <t>2022 IEEE ANDESCON</t>
  </si>
  <si>
    <t>DOI: 10.1109/ANDESCON56260.2022.9989874</t>
  </si>
  <si>
    <t>EMG Data classification, EMG Machine learning, Anthropomoripihic robotic hand, artificial neural network</t>
  </si>
  <si>
    <t>Steve Juárez; Alejandro González; Mauro Maya; Antonio Cardenas; Emilio J. Gonzalez-Galvan; Hugo I. Medellin-Castillo</t>
  </si>
  <si>
    <t>A comprehensive system for the acquisition of EMG signals and muscle force in lower limb</t>
  </si>
  <si>
    <t>https://ieeexplore.ieee.org/abstract/document/9988114</t>
  </si>
  <si>
    <t>2022 International Conference on Electrical, Computer, Communications and Mechatronics Engineering (ICECCME)</t>
  </si>
  <si>
    <t>DOI: 10.1109/ICECCME55909.2022.9988114</t>
  </si>
  <si>
    <t>electromyography, isometric contractions, force generation, preprocessing</t>
  </si>
  <si>
    <t>Deepak D. Kapgate and Krishna Prasad</t>
  </si>
  <si>
    <t>Adaptive classification helps hybrid visual brain computer interface systems handle non‐stationary cortical signals</t>
  </si>
  <si>
    <t>https://ietresearch.onlinelibrary.wiley.com/doi/pdf/10.1049/ccs2.12077</t>
  </si>
  <si>
    <t>Cognitive Computation and Systems</t>
  </si>
  <si>
    <t>DOI: 10.1049/ccs2.12077</t>
  </si>
  <si>
    <t>brain computer interface, machine learning, segmentation, signal processing</t>
  </si>
  <si>
    <t>Efe Ertekin; Burak Bahir Günden; Yasin Yilmaz; Alperen Sayar; Tuna Çakar; Sefik Şuayb Arslan</t>
  </si>
  <si>
    <t>EMG-based BCI for PiCar Mobilization</t>
  </si>
  <si>
    <t>https://ieeexplore.ieee.org/document/9919502</t>
  </si>
  <si>
    <t>2022 7th International Conference on Computer Science and Engineering (UBMK)</t>
  </si>
  <si>
    <t>DOI: 10.1109/UBMK55850.2022.9919502</t>
  </si>
  <si>
    <t>EEG,  EMG,  Brain Wave Signals,  Brain Computer Interface, Machine Learning,  PiCar</t>
  </si>
  <si>
    <t>Hofstädter, Krisztián</t>
  </si>
  <si>
    <t>Developing brain-computer music interfaces for meditation</t>
  </si>
  <si>
    <t>https://ethos.bl.uk/OrderDetails.do?uin=uk.bl.ethos.871172</t>
  </si>
  <si>
    <t>Doctoral Thesis - Anglia Ruskin University</t>
  </si>
  <si>
    <t>BCMI, neurofeedback, sound spatialisation</t>
  </si>
  <si>
    <t>Namgyun Kim, Laurent Gregoire, Moein Razavi, Niya Yan, Changbum R. Ahn, Brian A. Anderson</t>
  </si>
  <si>
    <t>Virtual accident curb risk habituation in workers by restoring sensory responses to real-world warning</t>
  </si>
  <si>
    <t>https://pdf.sciencedirectassets.com/318494/1-s2.0-S2589004222X00138/1-s2.0-S2589004222021009/main.pdf?X-Amz-Security-Token=IQoJb3JpZ2luX2VjEDUaCXVzLWVhc3QtMSJIMEYCIQD3yCxZuDurrJ3H4oU8Sxco1EALhjR%2FS%2BSed%2FQnQcJRXAIhAP1ZexRZnBtfbM2teaDuLl9Lf5UnSOJpr%2BxtFL7IyYofKtUECK7%2F%2F%2F%2F%2F%2F%2F%2F%2F%2FwEQBRoMMDU5MDAzNTQ2ODY1IgwTYdr7UOwfWtt36J4qqQQ8uEqjFYMjFrL0BSyQ844OjYLA4ZQ0v9OUfoQBhPCM7txmH4IVe3B4Jeqain4%2B%2BkK9EmtSKAiCl8JavZUTfd%2FWlCheNCB9rM6DaKVuMowi75FyS7hmRCQF%2F2FF5bHgwNbkuH%2BNHklsRBzrdJCVAsztwbdrVzFHHIodZWrINZaDCEgFd19I5pH44Yh3p6s9bH0EbFl07fKj0acOijQRdm3pM5Z8PJEQ6K%2F3fnfR0fX9Vx0PcGh16WlrRURWo1TW23aY7THmKIj%2BfP4C2X4a9GwDf2jmmEcpFAJ5TLcZKtPLLpuJdOGy4GAel2GeXpoWpsqIXUSV5En4vU3TBgtnh5HPWvN4WiqpQL1gy1y7UM18eM8i4A9ZDBNcGu7uwIhOxILCEAh0dmVC9oHrRZSHjHFTx49iSGMdRMmV3osNRkIKzkbhkPcmbR5L3FCVF2qWVaV%2F2XN3wRP016V%2FUdREVLp7mPoou9aKQ7b1lNxTU9XoG%2BMQxppe9sT7heBG3Pmffsuq6%2BfzXgNpq%2BHOVPdJD45yHJHnVWHvcoivB1v0k82eZ%2Bx9rVufBwtvseCkZBwk5bmHyC9haN49ikD6vtxflwGp05o5fxS5a2UdoTOnGSzOI7NvFp%2FtGu2hdaZhgzf8T1PhAHX1XiHqFAl6lCqyTSNzBZ26DtEtAz0m9ZL0G3UptqeYHpzOeRa2lF6%2F2s7CBDHuxwDCWt%2FG6FyBfOIMaoBCbMQHYKH0OY1jMKCB5p4GOqgBsv8rOSklwmIUY5vXEkynnrRDNRiZhmk6ne8dqeByRxABggtIK9z5%2BLh0IMGOq%2B%2FmEO93zrFyGG%2BGxuW0znN5KfF%2Fea2lA7lMHAawT06Jhqojmb9zTXZvcF5fmHbIV4ad%2F1uYKRzEtv%2FTHhc6w4lKEkj0kUA%2F1%2FfNc9c6J%2B2ZY3y1IUfWt2F5tad50juOnsY6%2BFjqrhynGzg38HQEAJKgHGKlToYd3wRc&amp;X-Amz-Algorithm=AWS4-HMAC-SHA256&amp;X-Amz-Date=20230131T223658Z&amp;X-Amz-SignedHeaders=host&amp;X-Amz-Expires=300&amp;X-Amz-Credential=ASIAQ3PHCVTYSHJCPYHS%2F20230131%2Fus-east-1%2Fs3%2Faws4_request&amp;X-Amz-Signature=a0b70102304ead4308411442b408781e94cece1d7e0884dbd47d26c1f70bf91b&amp;hash=a1f7b02982e2940f0a76f65612e82a7e8de3cf1570ebcfadea7f1ed8e23f379b&amp;host=68042c943591013ac2b2430a89b270f6af2c76d8dfd086a07176afe7c76c2c61&amp;pii=S2589004222021009&amp;tid=spdf-f96bbec0-a2c1-4a6f-beeb-15855ee2ff54&amp;sid=686ca5021d458247a608faa549bb29c5c5c1gxrqa&amp;type=client&amp;tsoh=d3d3LnNjaWVuY2VkaXJlY3QuY29t&amp;ua=0f1650585c520604050256&amp;rr=7925edde2c550ca9&amp;cc=us</t>
  </si>
  <si>
    <t>iScience 26, 105827, January 20, 2023</t>
  </si>
  <si>
    <t>https://doi.org/10.1016/ j.isci.2022.105827</t>
  </si>
  <si>
    <t>Headband Kit</t>
  </si>
  <si>
    <t>Munawar Agus Riyadi; Al Ikhsan Nugraha; Anggorowati</t>
  </si>
  <si>
    <t>Brainwaves Analysis Using Electroencephalogram (EEG) in Nursing Mothers for Relaxation Conditions</t>
  </si>
  <si>
    <t>https://ieeexplore.ieee.org/abstract/document/9972981/authors#authors</t>
  </si>
  <si>
    <t>2022 FORTEI-International Conference on Electrical Engineering (FORTEI-ICEE)</t>
  </si>
  <si>
    <t>DOI: 10.1109/FORTEI-ICEE57243.2022.9972981</t>
  </si>
  <si>
    <t>Electroencephalogram, Brain Computing Interface, relaxation detection</t>
  </si>
  <si>
    <t xml:space="preserve"> Minu Thomas,  Sushmitha Veeralingam, and  Sushmee Badhulikaa</t>
  </si>
  <si>
    <t>MoSe2/PVA-based wearable multi-functional platform for pulse rate monitoring, skin hydration sensor, and human gesture recognition utilizing electrophysiological signals</t>
  </si>
  <si>
    <t>https://aip.scitation.org/doi/full/10.1063/5.0123238</t>
  </si>
  <si>
    <t>Journal of Applied Physics 132, 224303 (2022)</t>
  </si>
  <si>
    <t>https://doi.org/10.1063/5.0123238</t>
  </si>
  <si>
    <t xml:space="preserve">Ashvin Arora, Robert Malkin </t>
  </si>
  <si>
    <t xml:space="preserve">HANDLINK: A Dexterous Robotic Hand Exoskeleton controlled by Motor Imagery </t>
  </si>
  <si>
    <t>http://sciencerepository.uk/id/eprint/560/1/4879-Article%20Text-9260-1-10-20221201.pdf</t>
  </si>
  <si>
    <t xml:space="preserve">Journal of Advances in Medicine and Medical Research </t>
  </si>
  <si>
    <t xml:space="preserve">DOI: 10.9734/JAMMR/2022/v34i234879 </t>
  </si>
  <si>
    <t>Hand exoskeleton; motor imagery; upper body paralysis; maestro robotic exoskeleton.</t>
  </si>
  <si>
    <t>Jingjing Li, Qiang Wang</t>
  </si>
  <si>
    <t>Comparison of the representational ability in individual difference analysis using 2-D time-series image and time-series feature patterns</t>
  </si>
  <si>
    <t>https://www.sciencedirect.com/science/article/abs/pii/S0957417422024484</t>
  </si>
  <si>
    <t>Expert Systems with Applications
Volume 215</t>
  </si>
  <si>
    <t>https://doi.org/10.1016/j.eswa.2022.119429</t>
  </si>
  <si>
    <t>Marianna Gutiérrez-Zermeño, Edgar Aguilera-Rodríguez, Emilio Barajas-González, Israel Román-Godínez, Sulema Torres-Ramos &amp; Ricardo A. Salido-Ruiz</t>
  </si>
  <si>
    <t>Decoding Imagined Speech of Daily Use Words from EEG Signals Using Binary Classification</t>
  </si>
  <si>
    <t>https://scholar.google.com/scholar_url?url=https://books.google.com/books%3Fhl%3Den%26lr%3Dlang_en%26id%3DkwqXEAAAQBAJ%26oi%3Dfnd%26pg%3DPA293%26dq%3Dopenbci%26ots%3DLM_vUjqxL0%26sig%3DeBCarD3V55oNOQtblCTzhTaroLA&amp;hl=en&amp;sa=X&amp;d=2652626597243026658&amp;ei=5jxcY4bOL4OE6rQPw6-usA8&amp;scisig=AAGBfm0Ya69nJ9WVJvTfzOWaV2jeOSV_qg&amp;oi=scholaralrt&amp;hist=8WBGhdYAAAAJ:5437843588291773220:AAGBfm0AXzDYRW-VCMYvA48Xe9D-p48E1g&amp;html=&amp;pos=0&amp;folt=kw</t>
  </si>
  <si>
    <t>CNIB 2022: XLV Mexican Conference on Biomedical Engineering pp 293–301</t>
  </si>
  <si>
    <t>DOI: 10.1007/978-3-031-18256-3_32</t>
  </si>
  <si>
    <t>Imagined speech, Electroencephalography, Artificial intelligence, Common spatial pattern, Machine learning</t>
  </si>
  <si>
    <t>Xinyu Li; Wenjun Xu; Bitao Yao; Zhenrui Ji; Xuedong Liu</t>
  </si>
  <si>
    <t>Dynamic task reallocation in human-robot collaborative workshop based on online biotic fatigue detection</t>
  </si>
  <si>
    <t>https://ieeexplore.ieee.org/abstract/document/9926591</t>
  </si>
  <si>
    <t>2022 IEEE 18th International Conference on Automation Science and Engineering (CASE)</t>
  </si>
  <si>
    <t>DOI: 10.1109/CASE49997.2022.9926591</t>
  </si>
  <si>
    <t>conferences, heuristic algorithms, collaboration, fatigue, electroencephalography, safety, quality assessment</t>
  </si>
  <si>
    <t>https://ieeexplore.ieee.org/abstract/document/9919502</t>
  </si>
  <si>
    <t>EEG, EMG, Brain wave signals, Brain computer interface, machine learning, PiCar</t>
  </si>
  <si>
    <t xml:space="preserve">Michael THomas Knierim, Christian Zimny, Julia Seitz </t>
  </si>
  <si>
    <t>Monitoring Cognitive Load with 3D-Printed EEG Headphones</t>
  </si>
  <si>
    <t>https://aisel.aisnet.org/icis2022/hci_robot/hci_robot/9/</t>
  </si>
  <si>
    <t>ICIS 2022</t>
  </si>
  <si>
    <t>Miracle Udurume, Angela Caliwag, Wansu Lim, Gwigon Kim</t>
  </si>
  <si>
    <t>Emotion Recognition Implementation with Multimodalities of Face, Voice and EEG</t>
  </si>
  <si>
    <t>https://www.dbpia.co.kr/Journal/articleDetail?nodeId=NODE11138652</t>
  </si>
  <si>
    <t>Journal of information and communication convergence engineering Vol.20 No.3</t>
  </si>
  <si>
    <t>Emotion recognition, Multimodality, Multithreading, Real-time implementation</t>
  </si>
  <si>
    <t>Jiaxi Liu; Thy Le; Ellie Sadatian; Lulu Yao; Harinath Garudadri; Stephen Dunphy; Christian McClung; Tse Nga Ng</t>
  </si>
  <si>
    <t>Stretchable Textile Bands for Ambulatory Electrocardiogram and Oximetry</t>
  </si>
  <si>
    <t>https://ieeexplore.ieee.org/abstract/document/9940285/authors#authors</t>
  </si>
  <si>
    <t xml:space="preserve"> IEEE Journal on Flexible Electronics </t>
  </si>
  <si>
    <t>DOI: 10.1109/JFLEX.2022.3220138</t>
  </si>
  <si>
    <t>electrodes, electrocardiography, biomedical monitoring, monitoring, textiles, pulse oximetry, substrates, pulse oximetry, blood pressure, stretchable electronics</t>
  </si>
  <si>
    <t xml:space="preserve">Norheliena Aziz , Nurul Syuhadah Khusaini , Zulkifli Mohamed , Aminuddin Hamid , Ya'akob Yusof , Mohd Rozaiman Aziz </t>
  </si>
  <si>
    <t>Smart Wheelchairs : A Review on Control Methods</t>
  </si>
  <si>
    <t>https://ieeexplore.ieee.org/stamp/stamp.jsp?arnumber=9936836</t>
  </si>
  <si>
    <t>2022 IEEE International Conference on Artificial Intelligence in Engineering and Technology (IICAIET)</t>
  </si>
  <si>
    <t>DOI: 10.1109/IICAIET55139.2022.9936836</t>
  </si>
  <si>
    <t>smart wheelchair, autonomous wheelchair, wheelchair navigation</t>
  </si>
  <si>
    <t>Rathin K. Joshi; Manu K S; Hari R S; Mahesh Jayachandra; Hardik J. Pandya</t>
  </si>
  <si>
    <t>Design, Development and Validation of a Portable Visual P300 Event-Related Potential Extraction System</t>
  </si>
  <si>
    <t>https://ieeexplore.ieee.org/abstract/document/9948657</t>
  </si>
  <si>
    <t>2022 IEEE Biomedical Circuits and Systems Conference (BioCAS)</t>
  </si>
  <si>
    <t>DOI: 10.1109/BioCAS54905.2022.9948657</t>
  </si>
  <si>
    <t>vizualization, protocols, imaging, resists, signal processing, fatigue, software, P300, attention, event-related potential, EEG, electronic system development</t>
  </si>
  <si>
    <t>Adhi Dharma Wibawa; Nur Fatih; Yuri Pamungkas; Monica Pratiwi; Prio Adi Ramadhani; Suwadi</t>
  </si>
  <si>
    <t>Time and Frequency Domain Feature Selection Using Mutual Information for EEG-based Emotion Recognition</t>
  </si>
  <si>
    <t>https://ieeexplore.ieee.org/abstract/document/9946522</t>
  </si>
  <si>
    <t>2022 9th International Conference on Electrical Engineering, Computer Science and Informatics (EECSI)</t>
  </si>
  <si>
    <t>DOI: 10.23919/EECSI56542.2022.9946522</t>
  </si>
  <si>
    <t>Emotion recognition, EEG, Feature selection, mutual information, random forest, electroencephalography,</t>
  </si>
  <si>
    <t>Paul Michael Custodio, Henar Mike O. Canilang, Wansu Lim</t>
  </si>
  <si>
    <t>BCI-based EEG Signal Processing and Application</t>
  </si>
  <si>
    <t>https://journal-home.s3.ap-northeast-2.amazonaws.com/site/2022f/abs/UMHNF-0186.pdf</t>
  </si>
  <si>
    <t>Kumoh National Institute of Technology</t>
  </si>
  <si>
    <t xml:space="preserve">brain computer interface, emotion recognition, electroencephalography, signal processing </t>
  </si>
  <si>
    <t>Sarker M. Asish, Arun K. Kulshreshth, Christoph W. Borst</t>
  </si>
  <si>
    <t>Detecting Internal Distraction in an Educational VR Environment Using EEG Data</t>
  </si>
  <si>
    <t>https://www.researchgate.net/profile/Sarker-Asish/publication/365012453_Detecting_Internal_Distraction_in_an_Educational_VR_Environment_Using_EEG_Data/links/63630809431b1f5300665719/Detecting-Internal-Distraction-in-an-Educational-VR-Environment-Using-EEG-Data.pdf</t>
  </si>
  <si>
    <t>https://doi.org/10.1145/ 3565970.3568188</t>
  </si>
  <si>
    <t>Machine learning, Virtual Reality, Distraction, EEG, Education</t>
  </si>
  <si>
    <t>Xiao Yu, Chen Li Sui</t>
  </si>
  <si>
    <t>Alpha band neurofeedback training based on a portable device improves working memory performance of young people</t>
  </si>
  <si>
    <t>https://www.sciencedirect.com/science/article/abs/pii/S1746809422007625</t>
  </si>
  <si>
    <t>Biomedical Signal Processing and Control</t>
  </si>
  <si>
    <t>https://doi.org/10.1016/j.bspc.2022.104308</t>
  </si>
  <si>
    <t>Working memory, Neurofeedback, Electroencephalogram (EEG), Real-time EEG brain-computer interface, Portable device</t>
  </si>
  <si>
    <t>Aurora Saibene, Silvia Corchs, Mirko Caglioni, and Francesca Gasparini</t>
  </si>
  <si>
    <t>The evolution of AI approaches for motor imagery EEG-based BCIs</t>
  </si>
  <si>
    <t>https://arxiv.org/pdf/2210.06290.pdf</t>
  </si>
  <si>
    <t>artificial intelligence · brain computer interface · electroencephalography · motor imagery</t>
  </si>
  <si>
    <t>Maxime Antoine, Hamdi Ben Abdessalem, Claude Frasson</t>
  </si>
  <si>
    <t>Cognitive Workload Assessment of Aircraft Pilots</t>
  </si>
  <si>
    <t>https://www.scirp.org/journal/paperinformation.aspx?paperid=120327</t>
  </si>
  <si>
    <t xml:space="preserve">Journal of Behavioral and Brain Science, 2022, 12, 474-484 </t>
  </si>
  <si>
    <t>https://doi.org/10.4236/jbbs.2022.1210027</t>
  </si>
  <si>
    <t>Cognitive Workload, Aviation, Heart Rate, Pupil Dilation, Machine Learning, Deep Learning, EEG</t>
  </si>
  <si>
    <t>Johanna Carolina Cerezo Ramirez, José Luis Murillo López &amp; Sang Guun Yoo</t>
  </si>
  <si>
    <t>An Online BCI System Based in SSVEPs to Control IoT Devices</t>
  </si>
  <si>
    <t>https://link.springer.com/chapter/10.1007/978-3-031-18272-3_1</t>
  </si>
  <si>
    <t xml:space="preserve"> Communications in Computer and Information Science book series (CCIS,volume 1648)</t>
  </si>
  <si>
    <t>DOI: 10.1007/978-3-031-18272-3_1</t>
  </si>
  <si>
    <t>SSVEP, Brain-computer interface, BCI, Internet of Things, IoT, CCA, MQTT</t>
  </si>
  <si>
    <t>Adelina Georgieva Kremenska; Anna Kostadinova Lekova; Georgi Petrov Dimitrov</t>
  </si>
  <si>
    <t>EEG Brain-Computer Interfaces for Internet of Everything (IoE)</t>
  </si>
  <si>
    <t>https://ieeexplore.ieee.org/abstract/document/9897097</t>
  </si>
  <si>
    <t>2022 International Conference on Information Technologies (InfoTech)</t>
  </si>
  <si>
    <t>DOI: 10.1109/InfoTech55606.2022.9897097</t>
  </si>
  <si>
    <t>Measurement, Cloud computing, Machine-to-machine communications, Publishing, Computational modeling, Brain modeling, Electroencephalography</t>
  </si>
  <si>
    <t>Suman Chatterjee, Tushar Sakorikar, Arjun BS, Rathin K. Joshi, Abhay Sikaria, Mahesh Jayachandra, Vikas V &amp; Hardik J. Pandya</t>
  </si>
  <si>
    <t>A flexible implantable microelectrode array for recording electrocorticography signals from rodents</t>
  </si>
  <si>
    <t>https://link.springer.com/article/10.1007/s10544-022-00632-0</t>
  </si>
  <si>
    <t xml:space="preserve">Biomedical Microdevices volume 24, Article number: 31 (2022) </t>
  </si>
  <si>
    <t>https://doi.org/10.1007/s10544-022-00632-0</t>
  </si>
  <si>
    <t>Flexible microelectrode array, Implantable device, Electrocorticography signal, Epileptic activities, Biopotential acquisition</t>
  </si>
  <si>
    <t xml:space="preserve">Wen Chen, Shih-Kang Chen, Yi-Hung Liu, Yu-Jen Chen and Chin-Sheng Chen </t>
  </si>
  <si>
    <t>An Electric Wheelchair Manipulating System Using SSVEP-Based BCI System</t>
  </si>
  <si>
    <t>https://scholar.google.com/scholar_url?url=https://www.mdpi.com/2079-6374/12/10/772/pdf%3Fversion%3D1663666937&amp;hl=en&amp;sa=X&amp;d=2122762824865877888&amp;ei=2G0uY4WcMbLGsQLB-a_YCQ&amp;scisig=AAGBfm0FGqTPd9xvnxDm2UVS8i-xv41gkw&amp;oi=scholaralrt&amp;hist=8WBGhdYAAAAJ:5437843588291773220:AAGBfm0AXzDYRW-VCMYvA48Xe9D-p48E1g&amp;html=&amp;pos=0&amp;folt=kw</t>
  </si>
  <si>
    <t>Biosensors 2022, 12, 772</t>
  </si>
  <si>
    <r>
      <rPr>
        <rFont val="Arial"/>
        <color rgb="FF222222"/>
        <sz val="10.0"/>
      </rPr>
      <t xml:space="preserve"> </t>
    </r>
    <r>
      <rPr>
        <rFont val="Arial"/>
        <color rgb="FF1155CC"/>
        <sz val="10.0"/>
        <u/>
      </rPr>
      <t>https://doi.org/10.3390/bios12100772</t>
    </r>
  </si>
  <si>
    <t>brain–computer interface (BCI); steady-state visual evoked potential (SSVEP); augmented
reality (AR); canonical correlation analysis (CCA); electric wheelchair; simultaneous localization and
mapping (SLAM)</t>
  </si>
  <si>
    <t>Manuel Cherep; Mikolaj Kegler; Jean-Philippe Thiran; Pablo Mainar</t>
  </si>
  <si>
    <t>Mental Flow Estimation Through Wearable EEG</t>
  </si>
  <si>
    <t>https://ieeexplore.ieee.org/abstract/document/9871594</t>
  </si>
  <si>
    <t>2022 44th Annual International Conference of the IEEE Engineering in Medicine &amp; Biology Society (EMBC)</t>
  </si>
  <si>
    <t>DOI: 10.1109/EMBC48229.2022.9871594</t>
  </si>
  <si>
    <t>Headphones, Electrodes, Estimation, Brain modeling, Electroencephalography, Reliability, Task analysis</t>
  </si>
  <si>
    <t>Houzé Alexandre; Binczak Stéphane</t>
  </si>
  <si>
    <t>Blinking characterization for each eye from EEG analysis using wavelets</t>
  </si>
  <si>
    <t>https://ieeexplore.ieee.org/abstract/document/9871044</t>
  </si>
  <si>
    <t>DOI: 10.1109/EMBC48229.2022.9871044</t>
  </si>
  <si>
    <t>Performance evaluation, Continuous wavelet transforms, Wavelet analysis, Electroencephalography, brain-computer interfaces, Biology, Task analysis
brain-computer interfaces, electroencephalography, eye, medical signal processing</t>
  </si>
  <si>
    <t>Michael T. Knierim, Max Schemmer, Niklas Bauer</t>
  </si>
  <si>
    <t>A simplified design of a cEEGrid ear-electrode adapter for the OpenBCI biosensing platform</t>
  </si>
  <si>
    <t>https://www.sciencedirect.com/science/article/pii/S246806722200102X</t>
  </si>
  <si>
    <t>HardwareX
Volume 12, October 2022, e00357</t>
  </si>
  <si>
    <t>https://doi.org/10.1016/j.ohx.2022.e00357</t>
  </si>
  <si>
    <t>OpenBCI cEEGrid Brain-computer-interface Wearables</t>
  </si>
  <si>
    <t>Chunzhi Yi; Baichun Wei; Jianfei Zhu; Seungmin Rho; Zhiyuan Chen; Feng Jiang</t>
  </si>
  <si>
    <t>Mordo: Silent Command Recognition Through Lightweight Around-Ear Biosensors</t>
  </si>
  <si>
    <t>https://ieeexplore.ieee.org/abstract/document/9878163</t>
  </si>
  <si>
    <t xml:space="preserve"> IEEE Internet of Things Journal </t>
  </si>
  <si>
    <t>DOI: 10.1109/JIOT.2022.3204336</t>
  </si>
  <si>
    <t>EMG signals, Silent command recognition, Micro-interaction, Face recognition, Ear, Muscles, task analysis, Sensors, Headphones, Speech recognition</t>
  </si>
  <si>
    <t xml:space="preserve">Abhishek Kumar Sinha, Himanshu Singhal, Shikha Shrivastava </t>
  </si>
  <si>
    <t xml:space="preserve">Overview: Digital Voicing of Silent Speech </t>
  </si>
  <si>
    <t>http://www.ijaconline.com/wp-content/uploads/2022/08/5a.pdf</t>
  </si>
  <si>
    <t xml:space="preserve">Journal of Analysis and Computation (JAC) </t>
  </si>
  <si>
    <t>Haobo Niu, Yingni Zhai, Yanqiu Huang,  Xianglin Wang, Xinta Wang</t>
  </si>
  <si>
    <t>Investigating the short-term cognitive abilities under local strong thermal radiation through EEG measurement</t>
  </si>
  <si>
    <t>https://www.sciencedirect.com/science/article/abs/pii/S0360132322007971</t>
  </si>
  <si>
    <t>Building and Environment
Volume 224, October 2022, 109567</t>
  </si>
  <si>
    <t>https://doi.org/10.1016/j.buildenv.2022.109567</t>
  </si>
  <si>
    <t>Local Strong Thermal Radiation (LSTR)Mental workloadVigilanceElectroencephalogram (EEG)Motivation</t>
  </si>
  <si>
    <t>Shrivatsa D. Perur; Harish H. Kenchannavar; Mohammad Asad Sheikh</t>
  </si>
  <si>
    <t>Analysis Of EEG Signals Using Open BCI To Predict The Stress Level</t>
  </si>
  <si>
    <t>https://ieeexplore.ieee.org/abstract/document/9862906</t>
  </si>
  <si>
    <t>2022 IEEE India Council International Subsections Conference (INDISCON)</t>
  </si>
  <si>
    <t>DOI: 10.1109/INDISCON54605.2022.9862906</t>
  </si>
  <si>
    <t>band-pass filters, brain-computer interfaces, electroencephalography, medical signal processing, neurophysiology, notch filters, occupational stress, signal classification, Band-pass filters, Performance evaluation, Heart, Open BCI, Raw data cleaning, EEG data collection, Cognitive neuroscience, Brainflow package, band pass filters</t>
  </si>
  <si>
    <t>Rafia Akhter, Faraz Ahmad, Fred R. Beyette</t>
  </si>
  <si>
    <t>Automated Detection of ERP artifacts of auditory oddball paradigm by Unsupervised Machine Learning Algorithm</t>
  </si>
  <si>
    <t>chrome-extension://efaidnbmnnnibpcajpcglclefindmkaj/https://www.researchgate.net/profile/Rafia-Akhter/publication/363018781_Automated_Detection_of_ERP_artifacts_of_auditory_oddball_paradigm_by_Unsupervised_Machine_Learning_Algorithm/links/630d84971ddd4470211c60a4/Automated-Detection-of-ERP-artifacts-of-auditory-oddball-paradigm-by-Unsupervised-Machine-Learning-Algorithm.pdf</t>
  </si>
  <si>
    <t>DOI: 10.1109/CIBCB55180.2022.9863055</t>
  </si>
  <si>
    <t>Electroencephalography (EEG), Event-Related Potential (ERP), Machine Learning Algorithm (MLA) artifacts,
unfocused epochs, detection</t>
  </si>
  <si>
    <t xml:space="preserve">Aloaye Itsueli, Nicholas Ferrara, Jonathan Kamba, Jeremie Kamba &amp; R. Alba-Flores </t>
  </si>
  <si>
    <t>Facial Gesture Recognition for Drone Control</t>
  </si>
  <si>
    <t>https://link.springer.com/chapter/10.1007/978-3-031-16075-2_34</t>
  </si>
  <si>
    <t xml:space="preserve">Lecture Notes in Networks and Systems </t>
  </si>
  <si>
    <t>https://doi.org/10.1007/978-3-031-16075-2_34</t>
  </si>
  <si>
    <t>Electroencephalographic, Artificial neural network, Unmanned aerial systems, Drones, Facial gesture classification</t>
  </si>
  <si>
    <t>Agung Shamsuddin Saragih, Hadyan Nasran Basyiri, and Muhammad Yusuf Raihan</t>
  </si>
  <si>
    <t>Analysis of motor imagery data from EEG device to move prosthetic hands by using deep learning classification</t>
  </si>
  <si>
    <t>https://aip.scitation.org/doi/abs/10.1063/5.0098178</t>
  </si>
  <si>
    <t>https://doi.org/10.1063/5.0098178</t>
  </si>
  <si>
    <t xml:space="preserve">David Zambrana-Vinaroz, Jose Maria Vicente-Samper, Juliana Manrique-Cordoba, and Jose Maria Sabater-Navarro </t>
  </si>
  <si>
    <t>Wearable Epileptic Seizure Prediction System Based on Machine Learning Techniques Using ECG, PPG and EEG Signals</t>
  </si>
  <si>
    <t>https://www.mdpi.com/1424-8220/22/23/9372</t>
  </si>
  <si>
    <t>https://doi.org/10.3390/s22239372</t>
  </si>
  <si>
    <t>ear EEG; ECG; epilepsy; HRV; machine learning; PPG; PTT; outdoors seizure prediction; wearable</t>
  </si>
  <si>
    <t xml:space="preserve">Mario I. Chacon-Murguia &amp; Eduardo Rivas-Posada </t>
  </si>
  <si>
    <t>A CNN-based modular classification scheme for motor imagery using a novel EEG sampling protocol suitable for IoT healthcare systems</t>
  </si>
  <si>
    <t>https://link.springer.com/article/10.1007/s00521-021-06716-x</t>
  </si>
  <si>
    <t>S.I. : Neural Computing for IOT based Intelligent Healthcare Systems</t>
  </si>
  <si>
    <t>https://doi.org/10.1007/s00521-021-06716-x</t>
  </si>
  <si>
    <t>motor imagery, real-time brain computer interface, convolutional neural network, common spatial patterns, continuous wavelet transform</t>
  </si>
  <si>
    <t>Dibyajyoti Biswal</t>
  </si>
  <si>
    <t>VOLUNTARY CONTROL OF BREATHING ACCORDING TO THE BREATHING PATTERN DURING LISTENING TO MUSIC AND NON- CONTACT MEASUREMENT OF HEART RATE AND RESPIRATION</t>
  </si>
  <si>
    <t>https://uknowledge.uky.edu/cgi/viewcontent.cgi?article=1079&amp;context=cbme_etds</t>
  </si>
  <si>
    <t>University of Kentucky</t>
  </si>
  <si>
    <t>https://doi.org/10.13023/etd.2022.286</t>
  </si>
  <si>
    <t>non-contact measurement, autonomic responses, control of breathing, EEG, audio signals</t>
  </si>
  <si>
    <t>Xuecheng Qu, Zhuo Liu, Puchuan Tan, Chan Wang, Ying Liu, Hongqing Feng, Dan Luo, Zhou Li, Zhong Lin Wang</t>
  </si>
  <si>
    <t>Artificial tactile perception smart finger for material identification based on triboelectric sensing</t>
  </si>
  <si>
    <t>https://www.science.org/doi/full/10.1126/sciadv.abq2521</t>
  </si>
  <si>
    <t>https://doi.org/10.1126/sciadv.abq2521</t>
  </si>
  <si>
    <t>Yevheniy Dmytriyev, Federico Insero, Marco Carnevale and Hermes Giberti</t>
  </si>
  <si>
    <t>Brain–Computer Interface and Hand-Guiding Control in a Human–Robot Collaborative Assembly Task</t>
  </si>
  <si>
    <t>https://www.mdpi.com/2075-1702/10/8/654/htm</t>
  </si>
  <si>
    <t>https://doi.org/10.3390/machines10080654</t>
  </si>
  <si>
    <t>collaborative robotics; brain–computer interface; hand guiding; haptic interface; multimodal communication; assembly task</t>
  </si>
  <si>
    <t>Bingshan Hu, Jiangtao Xue, Dongjie Jiang, Puchuan Tan, Yiqian Wang, Minghao Liu, Hongliu Yu, Yang Zou, and Zhou Li</t>
  </si>
  <si>
    <t>Wearable Exoskeleton System for Energy Harvesting and Angle Sensing Based on a Piezoelectric Cantilever Generator Array</t>
  </si>
  <si>
    <t>https://pubs.acs.org/doi/abs/10.1021/acsami.2c08757</t>
  </si>
  <si>
    <t>ACS Publications</t>
  </si>
  <si>
    <t>https://doi.org/10.1021/acsami.2c08757</t>
  </si>
  <si>
    <t>wearable exoskeleton, cantilever structure, angular sensing, energy harvesting, frequency upconversion</t>
  </si>
  <si>
    <t>Ahmed J. Abougarair, Hanadi M. Gnan, Ali M. Elmelhi, Nasar Aldian Ambark Shashoa</t>
  </si>
  <si>
    <t>Real Time Classification for Robotic Arm Control Based Electromyographic Signal</t>
  </si>
  <si>
    <t>https://ieeexplore.ieee.org/abstract/document/9837703/authors#authors</t>
  </si>
  <si>
    <t>2022 IEEE 2nd International Maghreb Meeting of the Conference on Sciences and Techniques of Automatic Control and Computer Engineering (MI-STA)</t>
  </si>
  <si>
    <t>https://doi.org/10.1109/MI-STA54861.2022.9837703</t>
  </si>
  <si>
    <t>Electrodes, Robot arm, Electromyography (EMG), MUAP, Servo motor, OpenBCI</t>
  </si>
  <si>
    <t>Cristina Farmaki, Nikolaos Zacharioudakis, Matthew Pediaditis, Myrto Krana, Vangelis Sakkalis</t>
  </si>
  <si>
    <t>Application of dry EEG electrodes on low-cost SSVEP-based BCI for robot navigation</t>
  </si>
  <si>
    <t>https://ieeexplore.ieee.org/abstract/document/9827672</t>
  </si>
  <si>
    <t>2022 IEEE International Conference on Imaging Systems and Techniques (IST)</t>
  </si>
  <si>
    <t>https://doi.org/10.1109/IST55454.2022.9827672</t>
  </si>
  <si>
    <t>BCI, SSVEP, dry electrodes, OpenBCI, robot navigation</t>
  </si>
  <si>
    <t>Karina Sanchez, Sruthi Sakthivel, Michael Bose, and Evan Jennings</t>
  </si>
  <si>
    <t>NeuroGen: EEG AND Near-Infrared Light Stimulation Device</t>
  </si>
  <si>
    <t>https://scholarcommons.scu.edu/cgi/viewcontent.cgi?article=1086&amp;context=idp_senior</t>
  </si>
  <si>
    <t xml:space="preserve">Santa Clara University </t>
  </si>
  <si>
    <t>Nastaran Saffaryazdi, Syed Talal Wasim, Kuldeep Dileep, Alireza Farrokhi Nia, Suranga Nanayakkara, Elizabeth Broadbent, Mark Billinghurst</t>
  </si>
  <si>
    <t>Using Facial Micro-Expressions in Combination With EEG and Physiological Signals for Emotion Recognition</t>
  </si>
  <si>
    <t>https://www.frontiersin.org/articles/10.3389/fpsyg.2022.864047/full</t>
  </si>
  <si>
    <t xml:space="preserve">Frontiers in Psychology </t>
  </si>
  <si>
    <t>https://doi.org/10.3389/fpsyg.2022.864047</t>
  </si>
  <si>
    <t>OpenBCI; decision fusion; electroencephalography (EEG); emotion recognition; facial micro-expressions; neural networks; physiological signals.</t>
  </si>
  <si>
    <t>Sadaf Sarafan</t>
  </si>
  <si>
    <t>Novel Computation for Fetal Electrocardiogram Extraction</t>
  </si>
  <si>
    <t>https://escholarship.org/content/qt58w3j6xs/qt58w3j6xs.pdf</t>
  </si>
  <si>
    <t>Swapnali A. Chaudhari, Dr. Bharti W. Gawali, and Dr. Omprakash S. Jadhav</t>
  </si>
  <si>
    <t>Statistical Analysis Of EEG Data For Attention Deficit Hyperactivity Disorder</t>
  </si>
  <si>
    <t>https://scholar.google.com/scholar_url?url=https://www.journalppw.com/index.php/jpsp/article/download/6975/4542&amp;hl=en&amp;sa=X&amp;d=1985725718726201779&amp;ei=hhaxYsuJJveVy9YPqL6LKA&amp;scisig=AAGBfm20WBBfQZv7lmu1M8Dj3LUNiU46lg&amp;oi=scholaralrt&amp;hist=8WBGhdYAAAAJ:5437843588291773220:AAGBfm0AXzDYRW-VCMYvA48Xe9D-p48E1g&amp;html=&amp;pos=0&amp;folt=kw</t>
  </si>
  <si>
    <t>Joseph Kempel, David Bridgett, Andero Uusberg, Sachit Butail</t>
  </si>
  <si>
    <t>The effect of positive extrinsic distraction on the temporal dynamics of emotional response to aversive stimuli</t>
  </si>
  <si>
    <t>https://scholar.google.com/scholar_url?url=https://psyarxiv.com/kncw7/download%3Fformat%3Dpdf&amp;hl=en&amp;sa=X&amp;d=16275490770030353809&amp;ei=lXmtYtzLDYzGsQL0uo0o&amp;scisig=AAGBfm3cgEt7UxXObNLGuXFwWYh51EZtVQ&amp;oi=scholaralrt&amp;hist=8WBGhdYAAAAJ:5437843588291773220:AAGBfm0AXzDYRW-VCMYvA48Xe9D-p48E1g&amp;html=&amp;pos=0&amp;folt=kw</t>
  </si>
  <si>
    <t>emotion regulation; distraction; extrinsic regulation; event-related potential</t>
  </si>
  <si>
    <t>Ana S. Santos Cardoso, Rasmus L. Kæseler, Mads Jochumsen, Lotte N. S. Andreasen Struijk</t>
  </si>
  <si>
    <t>Manual 3D Control of an Assistive Robotic Manipulator Using Alpha Rhythms and an Auditory Menu: A Proof-of-Concept</t>
  </si>
  <si>
    <t>https://www.mdpi.com/2624-6120/3/2/24/htm</t>
  </si>
  <si>
    <t>signals</t>
  </si>
  <si>
    <t>https://doi.org/10.3390/signals3020024</t>
  </si>
  <si>
    <r>
      <rPr>
        <rFont val="Arial"/>
        <color rgb="FF1155CC"/>
        <sz val="10.0"/>
        <u/>
      </rPr>
      <t>Ganglion</t>
    </r>
    <r>
      <rPr>
        <rFont val="Arial"/>
        <sz val="10.0"/>
      </rPr>
      <t xml:space="preserve"> </t>
    </r>
  </si>
  <si>
    <t>Brandon Hernandez, Oscar Morales-Ponce</t>
  </si>
  <si>
    <t>A Human-Computer Interface for Hands-Free Musical Accompaniment</t>
  </si>
  <si>
    <t>https://scholarworks.calstate.edu/downloads/2n49t693d</t>
  </si>
  <si>
    <t>Emma Louise Baczkowski</t>
  </si>
  <si>
    <t>Minimally Invasive Clinical Monitoring and Data Transference in Cardiac Patients</t>
  </si>
  <si>
    <t>https://orca.cardiff.ac.uk/id/eprint/149941/13/2022baczkowskielphd.pdf</t>
  </si>
  <si>
    <t>Berith Atemoztil De la Cruz-Sanchez, Manuel Arias-Montiel, Esther Lugo-Gonzalez</t>
  </si>
  <si>
    <t>EMG-controlled hand exoskeleton for assisted bilateral rehabilitation</t>
  </si>
  <si>
    <t>https://www.sciencedirect.com/science/article/pii/S020852162200033X</t>
  </si>
  <si>
    <t>Biocybernetics and Biomedical Engineering</t>
  </si>
  <si>
    <t>https://doi.org/10.1016/j.bbe.2022.04.001</t>
  </si>
  <si>
    <t>Assistive rehabilitation, EMG signals, Fuzzy control, Hand exoskeleton</t>
  </si>
  <si>
    <t>Josh Andres, Nathan Semertzidis, Zhuying Li, Yan Wang, Florian Mueller</t>
  </si>
  <si>
    <t>Integrated Exertion – Understanding the Design of Human–Computer Integration in an Exertion Context</t>
  </si>
  <si>
    <t>https://dl.acm.org/doi/abs/10.1145/3528352</t>
  </si>
  <si>
    <t>ACM Journals</t>
  </si>
  <si>
    <t>https://doi.org/10.1145/3528352</t>
  </si>
  <si>
    <t>Human-computer integration, whole-body interaction, exertion, bike, cycling</t>
  </si>
  <si>
    <t>Jiangfan Chen, Haobo Li, Lei Han, Jiaoyi Wu, Ali Azam, Zutao Zhang</t>
  </si>
  <si>
    <t>Driver vigilance detection for high-speed rail using fusion of multiple physiological signals and deep learning</t>
  </si>
  <si>
    <t>https://www.sciencedirect.com/science/article/pii/S1568494622003143</t>
  </si>
  <si>
    <t>Applied Soft Computing</t>
  </si>
  <si>
    <t>https://doi.org/10.1016/j.asoc.2022.108982</t>
  </si>
  <si>
    <t>High-speed rail, Vigilance detection, Multiple physiological signals, Convolutional recurrent neural network</t>
  </si>
  <si>
    <t>Sandra Cano, Jonathan Soto, Laura Acosta, Victor Peñeñory, Fernando Moreira</t>
  </si>
  <si>
    <t>Using Brain -Computer Interface to evaluate the User eXperience in interactive systems</t>
  </si>
  <si>
    <t>https://www.tandfonline.com/doi/abs/10.1080/21681163.2022.2072398</t>
  </si>
  <si>
    <t>https://doi.org/10.1080/21681163.2022.2072398</t>
  </si>
  <si>
    <t>interfaces, user eXperience, interactive systems, brain computer interfaces</t>
  </si>
  <si>
    <t>Joseph O'Neill, Rutledge Detyens, Ryan Integlia, Sorinel Oprisan</t>
  </si>
  <si>
    <t>3D Convolutional Neural Networks on an EEG-Based Motor Imagery Dataset</t>
  </si>
  <si>
    <t>https://ieeexplore.ieee.org/abstract/document/9764024</t>
  </si>
  <si>
    <t>SoutheastCon 2022</t>
  </si>
  <si>
    <t>https://doi.org/10.1109/SoutheastCon48659.2022.9764024</t>
  </si>
  <si>
    <t>Brain Computer Interface, 3D Convolutional Neural Networks, electroencephalogram, Event-related potentials, Classification</t>
  </si>
  <si>
    <t>Victoria Peterson, Catalina Galván, Hugo Hernández, Maria Paula Saavedra, Ruben Spies</t>
  </si>
  <si>
    <t>A motor imagery vs. rest dataset with low-cost consumer grade EEG hardware</t>
  </si>
  <si>
    <t>https://www.sciencedirect.com/science/article/pii/S2352340922004280</t>
  </si>
  <si>
    <t>https://doi.org/10.1016/j.dib.2022.108225</t>
  </si>
  <si>
    <t>Brain-computer interfacesLow-cost technologiesElectroencephalography (EEG)</t>
  </si>
  <si>
    <t>Eric Redlinger, Bernhard Glas, Yang Rong</t>
  </si>
  <si>
    <t>Impact of Visual Game-Like Features on Cognitive Performance in a Virtual Reality Working Memory Task: Within-Subjects Experiment</t>
  </si>
  <si>
    <t>https://www.ncbi.nlm.nih.gov/pmc/articles/PMC9100375/</t>
  </si>
  <si>
    <t>JMIR Serious Games</t>
  </si>
  <si>
    <t>https://doi.org/10.2196%2F35295</t>
  </si>
  <si>
    <t>HMD, working memory, gamification, cognitive training, serious game, game, cognitive activity, user performance, visual memory, cognitive, user performance, mobile phone</t>
  </si>
  <si>
    <t>Wang Haohong, Gao Shenghao, Zhao Yimin, Song Maojia, Damien Constantine Rompapas, Wang Heng</t>
  </si>
  <si>
    <t>The Mind Commands You: Combining Brain-Computer Interactions with Augmented Reality to Control Internet of Things (IoT) tools, and Robotic Platforms</t>
  </si>
  <si>
    <t>https://www.researchgate.net/profile/Damien-Rompapas/publication/360152176_The_Mind_Commands_You_Combining_Brain-Computer_Interactions_with_Augmented_Reality_to_Control_Internet_of_Things_IoT_tools_and_Robotic_Platforms/links/6264bd3b1b747d19c2a32cd9/The-Mind-Commands-You-Combining-Brain-Computer-Interactions-with-Augmented-Reality-to-Control-Internet-of-Things-IoT-tools-and-Robotic-Platforms.pdf</t>
  </si>
  <si>
    <t>IEEE International Conference on Electronics Technology 2022</t>
  </si>
  <si>
    <t>Robotics, Brain-computer Interface, Mixed Reality, Augmented Reality IoT, Human-Computer Interaction</t>
  </si>
  <si>
    <t>Destini Chambers, Amina Ndiaye, Javan Hutchinson, Charles Mcclary, Dr. Sylvia Bhattacharya</t>
  </si>
  <si>
    <t>Prediction of Gait Intention from Pre-movement EEG Signals for Vehicle-to-Pedestrian (V2P) Communication Modeling</t>
  </si>
  <si>
    <t>https://scholar.google.com/scholar_url?url=https://digitalcommons.kennesaw.edu/undergradsymposiumksu/spring2022/presentations/436/&amp;hl=en&amp;sa=X&amp;d=16756503522913991790&amp;ei=ypJgYsCSAcLZmQHc1ovQAg&amp;scisig=AAGBfm2GjkpOpF97-PUZqah2E5F7VjeUPA&amp;oi=scholaralrt&amp;hist=phuwsnkAAAAJ:1324821476278215287:AAGBfm1j5tukHsbeU89cUqsrIj25mrgFmg&amp;html=&amp;pos=0&amp;folt=kw</t>
  </si>
  <si>
    <t>26th Annual Symposium of Student Scholars - 2022</t>
  </si>
  <si>
    <t>Pre-movement EEG, decision classification, gait</t>
  </si>
  <si>
    <t>Aloaye E. Itsueli; Jonathan D. N. Kamba; Jeremie O. K. Kamba; R. Alba-Flores</t>
  </si>
  <si>
    <t>Drone Control Using Electroencephalogram (EEG) Signals</t>
  </si>
  <si>
    <t>https://ieeexplore.ieee.org/abstract/document/9764002</t>
  </si>
  <si>
    <t>https://doi.org/10.1109/SoutheastCon48659.2022.9764002</t>
  </si>
  <si>
    <t xml:space="preserve">Training ,  Artificial neural networks ,  Feature extraction ,  Electroencephalography ,  Software ,  Recording ,  Pattern recognition, Electroencephalographic ,  Artificial Neural Network ,  drone ,  UAV  </t>
  </si>
  <si>
    <t>Puchuan Tan, Xi Han, Yang Zou, Xuecheng Qu, Jiangtao Xue, Tong Li, Yiqian Wang, Ruizeng Luo, Xi Cui, Yuan Xi, Le Wu, Bo Xue, Dan Luo, Yubo Fan, Xun Chen, Zhou Li, Zhong Lin Wang</t>
  </si>
  <si>
    <t xml:space="preserve">Self-powered gesture recognition wristband enabled by machine learning for full keyboard and multi-command input
</t>
  </si>
  <si>
    <t>https://onlinelibrary.wiley.com/doi/10.1002/adma.202200793</t>
  </si>
  <si>
    <t>https://doi.org/10.1002/adma.202200793</t>
  </si>
  <si>
    <t>Virtual reality; gesture recognition; human-computer interaction; machine learning; triboelectric nanogenerator.</t>
  </si>
  <si>
    <t>Takumi Asakura</t>
  </si>
  <si>
    <t>Relationship between Subjective and Biological Responses to Comfortable and Uncomfortable Sounds</t>
  </si>
  <si>
    <t>https://scholar.google.com/scholar_url?url=https://www.mdpi.com/2076-3417/12/7/3417/pdf&amp;hl=en&amp;sa=X&amp;d=14737034462109096518&amp;ei=yqNGYqiaI5aYmAGvjqiIDA&amp;scisig=AAGBfm30Y_kOl6jhsJYvo8m644EVMasOOg&amp;oi=scholaralrt&amp;hist=8WBGhdYAAAAJ:5437843588291773220:AAGBfm0AXzDYRW-VCMYvA48Xe9D-p48E1g&amp;html=&amp;pos=0&amp;folt=kw</t>
  </si>
  <si>
    <t>Applied Sciences</t>
  </si>
  <si>
    <t>https://doi.org/10.3390/app12073417</t>
  </si>
  <si>
    <t>subjective evaluation; electroencephalography; heart rate variability</t>
  </si>
  <si>
    <t>Shahanawaj Ahamad</t>
  </si>
  <si>
    <t>System Architecture for Brain-Computer Interface based on Machine Learning and Internet of Things</t>
  </si>
  <si>
    <t>https://www.researchgate.net/profile/Shahanawaj-Ahamad/publication/359651028_System_Architecture_for_Brain-Computer_Interface_based_on_Machine_Learning_and_Internet_of_Things/links/6246e4a321077329f2e821d0/System-Architecture-for-Brain-Computer-Interface-based-on-Machine-Learning-and-Internet-of-Things.pdf</t>
  </si>
  <si>
    <t>(IJACSA) International Journal of Advanced Computer Science and Applications</t>
  </si>
  <si>
    <t>(DOI) : 10.14569/IJACSA.2022.0130357</t>
  </si>
  <si>
    <t>Brain-computer interface; machine learning; internet of things; EEG; system architecture</t>
  </si>
  <si>
    <t>David Zambrana-Vinaroz, Jose Maria Vicente-Samper, Jose Maria Sabater-Navarro</t>
  </si>
  <si>
    <t>Validation of Continuous Monitoring System for Epileptic Users in Outpatient Settings</t>
  </si>
  <si>
    <t>https://www.mdpi.com/1424-8220/22/8/2900/htm</t>
  </si>
  <si>
    <t xml:space="preserve"> Portable Systems for Diagnostics and Monitoring Applications</t>
  </si>
  <si>
    <t>https://doi.org/10.3390/s22082900</t>
  </si>
  <si>
    <t>ambulatory; artifacts; ear EEG; ECG; epilepsy; HRV; monitoring system; PPG; PTT; wearable</t>
  </si>
  <si>
    <t>Jonas Auda, Uwe Gruenefeld, Thomas Kosch, Stefan Schneegaß</t>
  </si>
  <si>
    <t>The Butterfly Effect: Novel Opportunities for Steady-State Visually-Evoked Potential Stimuli in Virtual Reality</t>
  </si>
  <si>
    <t>https://www.researchgate.net/profile/Jonas-Auda/publication/359222066_The_Butterfly_Effect_Novel_Opportunities_for_Steady-State_Visually-Evoked_Potential_Stimuli_in_Virtual_Reality/links/622f9e67435ec5645a11f8b4/The-Butterfly-Effect-Novel-Opportunities-for-Steady-State-Visually-Evoked-Potential-Stimuli-in-Virtual-Reality.pdf</t>
  </si>
  <si>
    <t>Conference: Augmented Humans</t>
  </si>
  <si>
    <t>DOI:10.1145/3519391.3519397</t>
  </si>
  <si>
    <t>Virtual Reality, Brain-Computer Interface, Steady State Visually Evoked Potential, Realism</t>
  </si>
  <si>
    <t xml:space="preserve">Nastaran Saffaryasdi, Yenushka Goonesekera, Nafiseh Saffaryazdi, Nebiyou Daniel Hailemariam, Ebasa Girma Temesgen, Suranga Nanayakkara, Elizabeth Broadbent, Mark Billinghurst </t>
  </si>
  <si>
    <t>Emotion Recognition in Conversations Using Brain and Physiological Signals</t>
  </si>
  <si>
    <t>https://dl.acm.org/doi/pdf/10.1145/3490099.3511148</t>
  </si>
  <si>
    <t>IUI '22: 27th International Conference on Intelligent User Interfaces</t>
  </si>
  <si>
    <t>DOI:10.1145/3490099.3511148</t>
  </si>
  <si>
    <t>Human-Computer interaction (HCI), Multimodal Emotion Recognition, Conversational emotion recognition, Electroencephalography (EEG), Galvanic Skin Response (GSR), Photoplethysmography (PPG), Multimodal fusion</t>
  </si>
  <si>
    <t>Charles Perkins</t>
  </si>
  <si>
    <t>Multichannel Transcranial Acoustoelectric Brain Imaging in a Human Head Model</t>
  </si>
  <si>
    <t>https://repository.arizona.edu/bitstream/handle/10150/663412/azu_etd_19434_sip1_m.pdf?sequence=1&amp;isAllowed=y</t>
  </si>
  <si>
    <t>The University of Arizona, University Libraries</t>
  </si>
  <si>
    <t>Acoustoelectric Imaging, Acquisition Hardware, Sensors, tABI, Transcranial Acoustoelectric Brain Imaging</t>
  </si>
  <si>
    <t>Corentin Piozin, Gabriela Herrera Altamira, Catherine Simon, Brice Lavrard, Jean-Yves Audran, Florian Waszak, Selim Eskiizmirliler</t>
  </si>
  <si>
    <t>Motion prediction for the sensorimotor control of hand prostheses with a brain-machine interface using EEG</t>
  </si>
  <si>
    <t>https://ieeexplore.ieee.org/abstract/document/9734823</t>
  </si>
  <si>
    <t>2022 10th International Winter Conference on Brain-Computer Interface (BCI)</t>
  </si>
  <si>
    <t>DOI: 10.1109/BCI53720.2022.9734823</t>
  </si>
  <si>
    <t>Electrodes, wireless communication, vibrations, wireless sensor networks, vibration measurement, feature extraction, electroencephalography, brain-machine interface, prosthesis, feature extraction, motor imagery</t>
  </si>
  <si>
    <t>Catur Atmaji, Danang Lelono, Agus Harjoko, Andi Dharmawan</t>
  </si>
  <si>
    <t>The Use of Time and Frequency Features in Finger Movements Based on Electromyogram Recording</t>
  </si>
  <si>
    <t>https://ieeexplore.ieee.org/abstract/document/9726009</t>
  </si>
  <si>
    <t>2022 International Conference for Advancement in Technology (ICONAT)</t>
  </si>
  <si>
    <t>DOI: 10.1109/ICONAT53423.2022.9726009</t>
  </si>
  <si>
    <t>Electrodes, time-frequency analysis, finger, artificial neural networks, muscles, feature extraction, electromyography, artificial neural network, long short-term memory, 4-channel electrodes</t>
  </si>
  <si>
    <t>Swati Mandekar, Abigail Holland, Moritz Thielen, Mehdi Behbahani, Mark Melnykowycz</t>
  </si>
  <si>
    <t>Advancing towards Ubiquitous EEG, Correlation of In-Ear EEG with Forehead EEG</t>
  </si>
  <si>
    <t>https://scholar.google.com/scholar_url?url=https://www.mdpi.com/1424-8220/22/4/1568/pdf&amp;hl=en&amp;sa=X&amp;d=1826699962798773757&amp;ei=aYEUYubMLYmUy9YPxIaL2AQ&amp;scisig=AAGBfm0WGfCpEUVvT5l1bBo1skEo0HfAwQ&amp;oi=scholaralrt&amp;hist=phuwsnkAAAAJ:1324821476278215287:AAGBfm1j5tukHsbeU89cUqsrIj25mrgFmg&amp;html=&amp;pos=0&amp;folt=kw</t>
  </si>
  <si>
    <t>Sensors 2022, 22, 1568</t>
  </si>
  <si>
    <t>https://doi.org/10.3390/s22041568</t>
  </si>
  <si>
    <t>in-ear EEG; correlation; forehead EEG; impedance spectroscopy; biopotential electrodes; BCI</t>
  </si>
  <si>
    <t>Henry, Eléonore H; Bougard, Clément; Bourdin, Christophe; Bringoux, Lionel.</t>
  </si>
  <si>
    <t>Changes in Electroencephalography Activity of Sensory Areas Linked to Car Sickness in Real Driving Conditions</t>
  </si>
  <si>
    <t>https://www.frontiersin.org/articles/10.3389/fnhum.2021.809714/full</t>
  </si>
  <si>
    <t>DOI:10.3389/fnhum.2021.809714</t>
  </si>
  <si>
    <t>Yang Zou, Yansong Gai, Puchuan Tan, Dongjie Jiang, Xuecheng Qu, Jiantao Xue, Han Ouyang, Bojing Shi, Linlin Li, Dan Luo, Yulin Deng, Zhou Li, Zhong Lin Wang</t>
  </si>
  <si>
    <t>Stretchable graded multichannel self-powered respiratory sensor inspired by shark gill</t>
  </si>
  <si>
    <t>https://www.sciencedirect.com/science/article/pii/S2667325822000425</t>
  </si>
  <si>
    <t>https://doi.org/10.1016/j.fmre.2022.01.003</t>
  </si>
  <si>
    <t>Bionic Shark gill, Graded Multichannel, Respiratory sensing</t>
  </si>
  <si>
    <t>Oger Amanuel and Yarub Alazzawi</t>
  </si>
  <si>
    <t>Design and Implementation of EEG-Based Smart Structure</t>
  </si>
  <si>
    <t>https://inass.org/wp-content/uploads/2022/10/2023022828-2.pdf</t>
  </si>
  <si>
    <t>International Journal of Intelligent Engineering and Systems, Vol.16, No.1, 2023</t>
  </si>
  <si>
    <t>DOI: 10.22266/ijies2023.0228.28</t>
  </si>
  <si>
    <t>EEG signal, Feature extraction, Machine learning, Brain waves, SVM, RICA.</t>
  </si>
  <si>
    <t>Yuan Liu, Shuaifei Huang, Zhuang Wang, Fengrui Ji and Dong Ming</t>
  </si>
  <si>
    <t>Functional Reorganization After Four-Week Brain–Computer Interface-Controlled Supernumerary Robotic Finger Training: A Pilot Study of Longitudinal Resting-State fMRI</t>
  </si>
  <si>
    <t>https://www.researchgate.net/profile/Yuan-Liu-78/publication/358522671_Functional_Reorganization_After_Four-Week_Brain-Computer_Interface-Controlled_Supernumerary_Robotic_Finger_Training_A_Pilot_Study_of_Longitudinal_Resting-State_fMRI/links/62060fa9afa8884cabd85edd/Functional-Reorganization-After-Four-Week-Brain-Computer-Interface-Controlled-Supernumerary-Robotic-Finger-Training-A-Pilot-Study-of-Longitudinal-Resting-State-fMRI.pdf</t>
  </si>
  <si>
    <t>Neuroprosthetics,
a section of the journal
Frontiers in Neuroscience</t>
  </si>
  <si>
    <t>https://doi.org/10.3389/fnins.2021.766648</t>
  </si>
  <si>
    <t>supernumerary robotic finger, resting-state fMRI, fALFF, ReHo, DC, neuroplasticity</t>
  </si>
  <si>
    <t>Piera Riccio, Kristin Bergaust, Boel Christensen-Scheel, Juan-Carlos De Martin, Maria A. Zuluaga, Stefano Nichele</t>
  </si>
  <si>
    <t>AI-based artistic representation of emotions from EEG signals: a discussion on fairness, inclusion, and aesthetics</t>
  </si>
  <si>
    <t>https://arxiv.org/pdf/2202.03246.pdf</t>
  </si>
  <si>
    <t>Brain-Computer Interface. Generative Art. Algorithmic Fairness. Art therapy. Disability Aesthetics.</t>
  </si>
  <si>
    <t>Takumi Nagasawa, Kenta Masui, Hirokazu Doi, Keiko Ogawa-Ochiai &amp; Norimichi Tsumura</t>
  </si>
  <si>
    <t>Continuous estimation of emotional change using multimodal responses from remotely measured biological information</t>
  </si>
  <si>
    <t>https://link.springer.com/article/10.1007/s10015-022-00734-1</t>
  </si>
  <si>
    <t>Artificial Life and Robotics</t>
  </si>
  <si>
    <t>https://doi.org/10.1007/s10015-022-00734-1</t>
  </si>
  <si>
    <t>Emotion recognition, Multimodal physiological responses, Remote measurement, Electroencephalography</t>
  </si>
  <si>
    <t xml:space="preserve">Vivianne Flávia Cardoso, Denis Delisle-Rodriguez, Maria Alejandra Romero-Laiseca, Flávia A. Loterio, Dharmendra Gurve, Alan Floriano, Sridhar Krishnan, Anselmo Frizera-Neto &amp; Teodiano Freire Bastos Filho </t>
  </si>
  <si>
    <t>BCI based on pedal end-effector triggered through pedaling imagery to promote excitability over the feet motor area</t>
  </si>
  <si>
    <t>https://link.springer.com/article/10.1007/s42600-021-00196-7</t>
  </si>
  <si>
    <t>https://doi.org/10.1007/s42600-021-00196-7</t>
  </si>
  <si>
    <t>Brain-computer interface, Motor imagery, Lower-limb rehabilitation, Robotic rehabilitation</t>
  </si>
  <si>
    <t>Cyton+Daisy Board+Wifi Shield</t>
  </si>
  <si>
    <t>Guoxia Zou</t>
  </si>
  <si>
    <t>The Recognition of Action Idea EEG with Deep Learning</t>
  </si>
  <si>
    <t>https://www.hindawi.com/journals/complexity/2022/5308885/</t>
  </si>
  <si>
    <t>Complexity</t>
  </si>
  <si>
    <t>https://doi.org/10.1155/2022/5308885</t>
  </si>
  <si>
    <t>EEG, Deep Learning, Conv1D-GRU, Recogonition of idea, Robotic hand</t>
  </si>
  <si>
    <t>Chuanchu Wang; Haihong Zhang; Soon Huat Ng; Xiaoqun Zhu; Kai Keng Ang</t>
  </si>
  <si>
    <t>Wireless Multi-sensor Physio-Motion Measurement and Synchronization System and Method for HRI Research</t>
  </si>
  <si>
    <t>https://ieeexplore.ieee.org/abstract/document/9629500</t>
  </si>
  <si>
    <t>2021 43rd Annual International Conference of the IEEE Engineering in Medicine &amp; Biology Society (EMBC)</t>
  </si>
  <si>
    <t>10.1109/EMBC46164.2021.9629500</t>
  </si>
  <si>
    <t>Wireless communication, Wireless sensor network, Force measurement, Sensor systems, Electromyography,  Electroencephalography, sensors, HRI, EEG, EMG, IMU, Time Synchronization MeSH Terms, Acceleration, Humans, Motion</t>
  </si>
  <si>
    <t>M. A. Obaidah, Mahmudunnabi and M. M. Khan</t>
  </si>
  <si>
    <t>Brain Wave and Head Motion Controlled Music System</t>
  </si>
  <si>
    <t>https://ieeexplore.ieee.org/abstract/document/9666738</t>
  </si>
  <si>
    <t>2021 IEEE 12th Annual Ubiquitous Computing, Electronics &amp; Mobile Communication Conference (UEMCON)</t>
  </si>
  <si>
    <t>10.1109/UEMCON53757.2021.9666738</t>
  </si>
  <si>
    <t xml:space="preserve">Sleep, Music, Medical treatment, Mobile communication, Control systems, EEG, brain wave, accelerometer, music system, smart system </t>
  </si>
  <si>
    <t>K. A. A. Weiss, F. Concatto, R. G. C. Teive, and A. R. G. Ramirez</t>
  </si>
  <si>
    <t>On-line recognition of emotions via electroencephalography</t>
  </si>
  <si>
    <t>https://latamt.ieeer9.org/index.php/transactions/article/download/6063/1444</t>
  </si>
  <si>
    <t>IEEE Latin America Transactions</t>
  </si>
  <si>
    <t>Emotion Recognition, Brain-Computer Interface, Electroencephalography, On-line Processing</t>
  </si>
  <si>
    <t>Jose Manuel Macias-Macias, Juan Alberto Ramirez-Quintana, Jose Salvador Antonio Mendez-Aguirre, Mario IgnacioChacon-Murguia, Alma Delia Corral-Saenz</t>
  </si>
  <si>
    <t>P300 Embedded Processing Based on Convolutional Neural Network for Ubiquitous Brain-Computer Interface</t>
  </si>
  <si>
    <t>http://recibe.cucei.udg.mx/index.php/ReCIBE/article/view/153</t>
  </si>
  <si>
    <t>ReCIBE, electronic journal of Computing, Informatics, Biomedical and Electronics</t>
  </si>
  <si>
    <t>https://doi.org/10.32870/recibe.v9i2.153</t>
  </si>
  <si>
    <t>Spanish</t>
  </si>
  <si>
    <t>P300 wave, electroencephalography, convolutional neural networks, brain-computer interface</t>
  </si>
  <si>
    <t>Mario Valderrama, Edgar Gonzalez, Fernando Garcia</t>
  </si>
  <si>
    <t>Development of a low-cost surface EMG acquisition system device for wearable applications</t>
  </si>
  <si>
    <t>https://ieeexplore.ieee.org/abstract/document/9626100</t>
  </si>
  <si>
    <t>2021 IEEE 2nd International Congress of Biomedical Engineering and Bioengineering (CI-IB&amp;BI)</t>
  </si>
  <si>
    <t>DOI: 10.1109/CI-IBBI54220.2021.9626100</t>
  </si>
  <si>
    <t xml:space="preserve">Electrodes, surface impedance, protocols, costs, prototypes, muscles, electromyography, </t>
  </si>
  <si>
    <t>José Juez, David Henao, Fredy Segura, Rodrigo Gomez, Michel Le Van Quyen, Mario Valderrama</t>
  </si>
  <si>
    <t>Development and implementation of a wearable system with ear-EEG for the monitoring of epileptic seizures</t>
  </si>
  <si>
    <t>https://repositorio.uniandes.edu.co/bitstream/handle/1992/48660/u833306.pdf?sequence=1</t>
  </si>
  <si>
    <t>DOI: 10.1109/CI-IBBI54220.2021.9626123</t>
  </si>
  <si>
    <t>Electrodes, brain, wires, epilepsy, electroencephalography, synchronization, biomedical monitoring, biomedical electrodes, brain activities, epilepsy, in-ear electrodes, wearable system, wireless, long term monitoring, mobile application</t>
  </si>
  <si>
    <t>Garc´ıa Ayola Fernando Luis, Bigio Roitman David, Valderrama Manrique Mario Andres Department of Biomedical Engineer, Universidad de los Andes, Bogota, Colombia</t>
  </si>
  <si>
    <t>Design and fabrication of a myoelectric prosthesis for trans-radial amputees</t>
  </si>
  <si>
    <t>https://repositorio.uniandes.edu.co/bitstream/handle/1992/43980/u830592.pdf?sequence=1</t>
  </si>
  <si>
    <t>DOI: 10.1109/CI-IBBI54220.2021.9626086</t>
  </si>
  <si>
    <t>Fabrication, Sociology, Hardware, Electromyography, Iterative methods, Statistics, Robots, Trans-radial, prosthesis, needs, iterative, myoelectric</t>
  </si>
  <si>
    <t>Hessa Albawardi; Aljohara Almoaibed; Noor Al Abbas; Sarah Alsayed; Tarfa Almaghlouth; Saleh Alzahrani</t>
  </si>
  <si>
    <t>Design of Low-Cost Steady State Visually Evoked Potential-Based Brain Computer Interface Using OpenBCI and Neuromore</t>
  </si>
  <si>
    <t>https://ieeexplore.ieee.org/document/9677782</t>
  </si>
  <si>
    <t>2021 4th International Conference on Bio-Engineering for Smart Technologies (BioSMART)</t>
  </si>
  <si>
    <t>DOI: 10.1109/BioSMART54244.2021.9677782</t>
  </si>
  <si>
    <t>Neuromuscular, Wheelchairs, Prototypes, Brain-computer interfaces, Electroencephalography, Software, Real-time systems, Brain-computer interface (BCI), steady state visually evoked potential (SSVEP), electroencephalogram (EEG) and Wheelchair</t>
  </si>
  <si>
    <t>Carlton Moeller</t>
  </si>
  <si>
    <t>Time Perception Changes During Open Monitoring but not Focused Attention Meditation: A Result of Attentional Scope Dilation</t>
  </si>
  <si>
    <t>https://impulse.appstate.edu/sites/impulse.appstate.edu/files/Moeller,%202021.pdf</t>
  </si>
  <si>
    <t>Impulse: The Premier Journal for Undergraduate Publications in the Neurosciences</t>
  </si>
  <si>
    <t xml:space="preserve">Timing; Time perception; Mindfulness; Meditation; Mantra; EEG; Focused Attention;
Open Monitoring; Attentional Scope; Attention </t>
  </si>
  <si>
    <t>Lim, Zheng You and Sim, Kok Swee and Tan, Shing Chiang</t>
  </si>
  <si>
    <t>Left And Right Brain Balancing Application With EEG Neurofeedback System</t>
  </si>
  <si>
    <t>http://shdl.mmu.edu.my/9895/</t>
  </si>
  <si>
    <t>Md Ahnaf Shariar, Syeda Maliha Monowara, Md. Shafayat Ul Islam, Muhammed Junaid Noor Jawad, Saifur Rahman Sabuj</t>
  </si>
  <si>
    <t xml:space="preserve">Brainwave Assistive System for Paralyzed Individuals </t>
  </si>
  <si>
    <t>https://www.researchgate.net/profile/Ahnaf-Shariar/publication/353954251_BRAINWAVE_ASSISTIVE_SYSTEM_FOR_PARALYZED_INDIVIDUALS/links/61cefa7ae669ee0f5c785324/BRAINWAVE-ASSISTIVE-SYSTEM-FOR-PARALYZED-INDIVIDUALS.pdf</t>
  </si>
  <si>
    <t xml:space="preserve"> ITU Journal on Future and Evolving Technologies</t>
  </si>
  <si>
    <t>Action potential, brain-computer interface, brain wave, central nervous system, electroencephalography data</t>
  </si>
  <si>
    <t>Nibras Abo Alzahab, Angelo Di Iorio, Luca Apollonio, Muaaz Alshalak, Alessandro Gravina, Luca Antognoli, Marco Baldi, Lorenzo Scalise, Bilal Alchalabi</t>
  </si>
  <si>
    <t>Auditory evoked potential EEG-Biometric dataset</t>
  </si>
  <si>
    <t>https://www.physionet.org/content/auditory-eeg/1.0.0/</t>
  </si>
  <si>
    <t>PhysioNet</t>
  </si>
  <si>
    <t>https://doi.org/10.13026/ps31-fc50</t>
  </si>
  <si>
    <t>Auditory stimulus, Evoked Potentials, EEG, Biometric System, Bone-conducting auditory stimuli, Music</t>
  </si>
  <si>
    <t>Snap Electrode Cables</t>
  </si>
  <si>
    <t>Andrew Perley, Mehrdad Roustaei, Marcelo Aguilar-Rivera, David C. Kunkel, Tzung K. Hsiai, Todd P. Coleman, and Parinaz Abiri</t>
  </si>
  <si>
    <t>Miniaturized wireless gastric pacing via inductive power transfer with non-invasive monitoring using cutaneous Electrogastrography</t>
  </si>
  <si>
    <t>https://www.ncbi.nlm.nih.gov/pmc/articles/PMC8383397/</t>
  </si>
  <si>
    <t>Bioelectron Med. 2021; 7: 12.</t>
  </si>
  <si>
    <t>doi: 10.1186/s42234-021-00074-8</t>
  </si>
  <si>
    <t>Gastric pacing, Gastric pacemaker, Wireless electrical stimulation, Wireless pacing, Electrogastrogram, Electrogastrography, Gastroparesis</t>
  </si>
  <si>
    <t>Custom 2 Channel ECG</t>
  </si>
  <si>
    <r>
      <rPr>
        <rFont val="Arial"/>
        <color rgb="FF222222"/>
        <sz val="10.0"/>
      </rPr>
      <t>Claudine Schaller</t>
    </r>
    <r>
      <rPr>
        <rFont val="Arial"/>
        <color rgb="FF222222"/>
        <sz val="10.0"/>
      </rPr>
      <t>a</t>
    </r>
    <r>
      <rPr>
        <rFont val="Arial"/>
        <color rgb="FF222222"/>
        <sz val="10.0"/>
      </rPr>
      <t xml:space="preserve">, Andrea Fümm </t>
    </r>
    <r>
      <rPr>
        <rFont val="Arial"/>
        <color rgb="FF222222"/>
        <sz val="10.0"/>
      </rPr>
      <t>b</t>
    </r>
    <r>
      <rPr>
        <rFont val="Arial"/>
        <color rgb="FF222222"/>
        <sz val="10.0"/>
      </rPr>
      <t xml:space="preserve">, Simon Bachmann </t>
    </r>
    <r>
      <rPr>
        <rFont val="Arial"/>
        <color rgb="FF222222"/>
        <sz val="10.0"/>
      </rPr>
      <t>b</t>
    </r>
    <r>
      <rPr>
        <rFont val="Arial"/>
        <color rgb="FF222222"/>
        <sz val="10.0"/>
      </rPr>
      <t xml:space="preserve">, Luca Oechslin </t>
    </r>
    <r>
      <rPr>
        <rFont val="Arial"/>
        <color rgb="FF222222"/>
        <sz val="10.0"/>
      </rPr>
      <t>a</t>
    </r>
    <r>
      <rPr>
        <rFont val="Arial"/>
        <color rgb="FF222222"/>
        <sz val="10.0"/>
      </rPr>
      <t>, Yoshi Nakahara</t>
    </r>
    <r>
      <rPr>
        <rFont val="Arial"/>
        <color rgb="FF222222"/>
        <sz val="10.0"/>
      </rPr>
      <t>a</t>
    </r>
    <r>
      <rPr>
        <rFont val="Arial"/>
        <color rgb="FF222222"/>
        <sz val="10.0"/>
      </rPr>
      <t xml:space="preserve">, Roger Melliger </t>
    </r>
    <r>
      <rPr>
        <rFont val="Arial"/>
        <color rgb="FF222222"/>
        <sz val="10.0"/>
      </rPr>
      <t>c</t>
    </r>
    <r>
      <rPr>
        <rFont val="Arial"/>
        <color rgb="FF222222"/>
        <sz val="10.0"/>
      </rPr>
      <t>, Patric Biaggi</t>
    </r>
    <r>
      <rPr>
        <rFont val="Arial"/>
        <color rgb="FF222222"/>
        <sz val="10.0"/>
      </rPr>
      <t>a</t>
    </r>
    <r>
      <rPr>
        <rFont val="Arial"/>
        <color rgb="FF222222"/>
        <sz val="10.0"/>
      </rPr>
      <t>, Christophe Alain Wyss</t>
    </r>
    <r>
      <rPr>
        <rFont val="Arial"/>
        <color rgb="FF222222"/>
        <sz val="10.0"/>
      </rPr>
      <t>a</t>
    </r>
  </si>
  <si>
    <t>Heart rate profiles and heart rate variability during scuba diving</t>
  </si>
  <si>
    <t>https://smw.ch/article/doi/SMW.2021.w30039</t>
  </si>
  <si>
    <t>Swiss Medical Weekly</t>
  </si>
  <si>
    <t>https://doi.org/10.4414/smw.2021.w30039</t>
  </si>
  <si>
    <t>Underwater, Scuba diving, ECG, Heart Rate, Variability</t>
  </si>
  <si>
    <t>Srividya Pattisapu, Supratim Ray</t>
  </si>
  <si>
    <t>Stimulus-induced narrow-band gamma oscillations in humans can be recorded using open-hardware low-cost EEG amplifier</t>
  </si>
  <si>
    <t>https://www.biorxiv.org/content/biorxiv/early/2021/11/19/2021.11.16.468841.full.pdf</t>
  </si>
  <si>
    <t>https://doi.org/10.1101/2021.11.16.468841</t>
  </si>
  <si>
    <t>EEG, Gamma Oscillations, OpenBCI</t>
  </si>
  <si>
    <t>Victor Asanza, Daniel Montoya, Enrique Peláez, Francis Loayza, Leandro L. Lorente-Leyva, Diego H. Peluffo-Ordóñez, Kléber González</t>
  </si>
  <si>
    <t>MILimbEEG: An EEG Signals Dataset based on Upper and Lower Limb Task During the Execution of Motor and Motorimagery Tasks</t>
  </si>
  <si>
    <t>https://data.mendeley.com/datasets/w9xfz56txv/2</t>
  </si>
  <si>
    <t>Mendeley Data</t>
  </si>
  <si>
    <t>10.17632/w9xfz56txv.2</t>
  </si>
  <si>
    <t>Human-Machine Interface, Brain, Electroencephalography, Brain-Computer Interface</t>
  </si>
  <si>
    <t>https://www.youtube.com/watch?v=gySZVoVpiTU</t>
  </si>
  <si>
    <t>B. H. Kim, S. Jo, S. Choi</t>
  </si>
  <si>
    <t>ALIS: Learning Affective Causality Behind Daily Activities From a Wearable Life-Log System</t>
  </si>
  <si>
    <t>http://nmail.kaist.ac.kr/wordpress/index.php/2018/11/14/daily-life-emotion-dynamics-tracking-through-wearable-device/</t>
  </si>
  <si>
    <t xml:space="preserve">IEEE Transactions on Cybernetics </t>
  </si>
  <si>
    <t>https://doi.org/10.1109/TCYB.2021.3106638</t>
  </si>
  <si>
    <t>Physiology, Sensors, Emotion recognition, Biomedical monitoring, Electroencephalography, Brain modeling, Feature extraction, Affective causality, daily activities, EEG, emotion recognition, lifelog, physiological signals, wearable</t>
  </si>
  <si>
    <t>g.tec-g.SAHARA</t>
  </si>
  <si>
    <t>O’Sullivan, M.; Temko, A.; Bocchino, A.; O’Mahony, C.; Boylan, G.; Popovici, E</t>
  </si>
  <si>
    <t>Analysis of a Low-Cost EEG Monitoring System and Dry Electrodes toward Clinical Use in the Neonatal ICU</t>
  </si>
  <si>
    <t>https://www.mdpi.com/1424-8220/19/11/2637</t>
  </si>
  <si>
    <t>https://doi.org/10.3390/s19112637</t>
  </si>
  <si>
    <t>neonatal EEG; EEG electrode; dry electrode; MicroTIPs; microneedles; g.tec; OpenBCI</t>
  </si>
  <si>
    <t>Eric Redlinger, Claudia Shao</t>
  </si>
  <si>
    <t>Comparing brain activity in virtual and non-virtual environments: A VR &amp; EEG study</t>
  </si>
  <si>
    <t>https://www.sciencedirect.com/science/article/pii/S2665917421000258</t>
  </si>
  <si>
    <t>https://doi.org/10.1016/j.measen.2021.100062</t>
  </si>
  <si>
    <t>VR, EEG, HMD, Theta wave, Tetris, Cognitive training</t>
  </si>
  <si>
    <t>T. Majoros; S. Oniga</t>
  </si>
  <si>
    <t>Activity recognition using consumer-grade EEG device</t>
  </si>
  <si>
    <t>https://ieeexplore.ieee.org/abstract/document/9515106/keywords#keywords</t>
  </si>
  <si>
    <t>13th International Conference on Electronics, Computers and Artificial Intelligence (ECAI)</t>
  </si>
  <si>
    <t>10.1109/ECAI52376.2021.9515106</t>
  </si>
  <si>
    <t>Support vector machines, Performance evaluation, Brain, Visualization, Time series analysis, Scalp, Electroencephalography, Artificial Neural Networks, Brain-Computer Interfaces.</t>
  </si>
  <si>
    <t>Wassim Alhilali, Cyril Camachon, Christophe Hurter, and Vsevolod Peysakhovich</t>
  </si>
  <si>
    <t>Eye movement detection in military aeronautics using EOG</t>
  </si>
  <si>
    <t>https://neuroergonomicsconference.um.ifi.lmu.de/wp-content/uploads/submissions/190.pdf</t>
  </si>
  <si>
    <t>neuroergonomics Conference 2021</t>
  </si>
  <si>
    <t>Aeronautis, EOG, Aviation, Military, Oculometry</t>
  </si>
  <si>
    <t>Mario Quiles Pérez, Enrique Tomás Martínez Beltrán, Sergio López Bernal, Alberto Huertas Celdrán and Gregorio Martínez Pérez</t>
  </si>
  <si>
    <t>Breaching Subjects’ Thoughts Privacy: A Study with Visual Stimuli and Brain-Computer Interfaces</t>
  </si>
  <si>
    <t>https://www.hindawi.com/journals/jhe/2021/5517637/</t>
  </si>
  <si>
    <t>Journal of Healthcare Engineering 2021</t>
  </si>
  <si>
    <t>https://doi.org/10.1155/2021/5517637</t>
  </si>
  <si>
    <t>Brain-Computer Interfaces, Privacy, P300, Visual Stimuli</t>
  </si>
  <si>
    <t>Rosca Sebastian Daniel; Leba Monica; Sibisanu Remus Constantin; Panaite Arun Fabian</t>
  </si>
  <si>
    <t>Analysis of EEG-Based Stroke Severity Groups Clustering using K-Means</t>
  </si>
  <si>
    <t>https://ieeexplore.ieee.org/document/9502250/authors#authors</t>
  </si>
  <si>
    <t>2021 International Seminar on Intelligent Technology and Its Applications (ISITIA)</t>
  </si>
  <si>
    <t>10.1109/ISITIA52817.2021.9502250</t>
  </si>
  <si>
    <t>Seminars, Systematics, Clustering methods, Statistical distributions, Stroke (medical condition), Tools,  Electroencephalography</t>
  </si>
  <si>
    <t>Mauricio A. Ramírez-Moreno, Mariana Díaz-Padilla, Karla D. Valenzuela-Gómez, et al.</t>
  </si>
  <si>
    <t>EEG-Based Tool for Prediction of University Students’ Cognitive Performance in the Classroom</t>
  </si>
  <si>
    <t>http://scholar.google.com/scholar_url?url=https://www.mdpi.com/2076-3425/11/6/698/pdf&amp;hl=en&amp;sa=X&amp;d=17228105893307217039&amp;ei=1G-1YKn2G8mO6rQP8LClmAo&amp;scisig=AAGBfm0vpo9JJTohqqfa7b0cKg5CoyUAeQ&amp;nossl=1&amp;oi=scholaralrt&amp;hist=phuwsnkAAAAJ:1324821476278215287:AAGBfm1j5tukHsbeU89cUqsrIj25mrgFmg&amp;html=&amp;folt=kw</t>
  </si>
  <si>
    <t>MDPI Brain Sciences</t>
  </si>
  <si>
    <t>https://doi.org/10.3390/brainsci11060698</t>
  </si>
  <si>
    <t>EEG; cognitive performance; education; neuroengineering; machine learning</t>
  </si>
  <si>
    <t>Chen Chen,  Ke Sun,  Xinyu Zhang</t>
  </si>
  <si>
    <t>ExGSense: Toward Facial Gesture Sensing with a Sparse Near-Eye Sensor Array</t>
  </si>
  <si>
    <t>https://dl.acm.org/doi/10.1145/3412382.3458268</t>
  </si>
  <si>
    <t>In Proceedings of the 20th International Conference on Information Processing in Sensor Networks (co-located with CPS-IoT Week 2021) (IPSN '21)</t>
  </si>
  <si>
    <t>https://doi.org/10.1145/3412382.3458268</t>
  </si>
  <si>
    <t>Face Synthesis, Wearables, Face Gesture Sensing, Biosensing, Human-Computer Interaction, Interactive Virtual Reality</t>
  </si>
  <si>
    <t>Zhu, M., Chen, J., Li, H. et al</t>
  </si>
  <si>
    <t>Vehicle driver drowsiness detection method using wearable EEG based on convolution neural network</t>
  </si>
  <si>
    <t>https://link.springer.com/article/10.1007/s00521-021-06038-y</t>
  </si>
  <si>
    <t>Neural Computing and Applications (2021)</t>
  </si>
  <si>
    <t>https://doi.org/10.1007/s00521-021-06038-y</t>
  </si>
  <si>
    <t>Drowsiness detection, Electroencephalographic (EEG), Convolution neural network (CNN)</t>
  </si>
  <si>
    <t>Ng K.H., Ng S., Siew X.H., Wai A.A.P</t>
  </si>
  <si>
    <t>EEG Based Multitasking Assessment Using Simultaneous Spatiotemporal Stimulus</t>
  </si>
  <si>
    <t>https://link.springer.com/chapter/10.1007/978-981-15-9472-4_32</t>
  </si>
  <si>
    <t>In: Guo H., Ren H., Kim N. (eds) IRC-SET 2020</t>
  </si>
  <si>
    <t>https://doi.org/10.1007/978-981-15-9472-4_32</t>
  </si>
  <si>
    <t xml:space="preserve">Covert attention, Overt attention, Spatial attention, Steady-state visual evoked potential, Rapid serial visual presentation, EEG </t>
  </si>
  <si>
    <t>Gumilar, Ihshan and Barde, Amit and Hayati, Ashkan F. and Billinghurst, Mark and Lee, Gun and Momin, Abdul and Averill, Charles and Dey, Arindam</t>
  </si>
  <si>
    <t>Connecting the Brains via Virtual Eyes : Eye-Gaze Directions and Inter-brain Synchrony in VR</t>
  </si>
  <si>
    <t>https://dl.acm.org/doi/abs/10.1145/3411763.3451583</t>
  </si>
  <si>
    <t>CHI EA '21: Extended Abstracts of the 2021 CHI Conference on Human Factors in Computing Systems</t>
  </si>
  <si>
    <t>https://doi.org/10.1145/3411763.3451583</t>
  </si>
  <si>
    <t>Shihab Ahmed, Animesh Mitra, Sumon Saha and Md. Afsar Ali</t>
  </si>
  <si>
    <t>Fabrication of Cost-Effective Prosthetic Arm Using Electroencephalography Signal</t>
  </si>
  <si>
    <t>www.ieomsociety.org/imeom/167.pdf</t>
  </si>
  <si>
    <t>Proceedings of the International Conference on Industrial &amp; Mechanical Engineering and Operations Management</t>
  </si>
  <si>
    <t>Bionic arm, Prosthetic arm, Brain-Computer-Interface, EEG controlled arm and Electroencephalography</t>
  </si>
  <si>
    <t>Xu, Jianbo; Chen, Wenxi</t>
  </si>
  <si>
    <t>Impact of Water Temperature on Heart Rate Variability during Bathing</t>
  </si>
  <si>
    <t>https://www.mdpi.com/2075-1729/11/5/378</t>
  </si>
  <si>
    <t>https://doi.org/10.3390/life11050378</t>
  </si>
  <si>
    <t>water temperature; bathing; ECG; heart rate variability; quantitative analysis; t-test</t>
  </si>
  <si>
    <t>Sandra Cano, Jonathan Soto, Laura Acosta, Victor Peñeñor, Fernando Moreira</t>
  </si>
  <si>
    <t>Electroencephalography as an Alternative for Evaluating User eXperience in Interactive Systems</t>
  </si>
  <si>
    <t>https://link.springer.com/chapter/10.1007/978-3-030-72657-7_42</t>
  </si>
  <si>
    <t>In: Rocha Á., Adeli H., Dzemyda G., Moreira F., Ramalho Correia A.M. (eds) Trends and Applications in Information Systems and Technologies. WorldCIST 2021. Advances in Intelligent Systems and Computing, vol 1365</t>
  </si>
  <si>
    <t>https://doi.org/10.1007/978-3-030-72657-7_42</t>
  </si>
  <si>
    <t>EEG signals User eXperience Brain-computer interfaces Ubiquitous computing </t>
  </si>
  <si>
    <t>Kendall Medi-trace ECG electrodes</t>
  </si>
  <si>
    <t>Joel S. Burma, Andrew P. Lapointe, Ateyeh Soroush,. Ibukunoluwa K. Onighi, Jonathan D. Smirl, Jeff F. Dunn</t>
  </si>
  <si>
    <t>The validity and reliability of an open source biosensing board to quantify heart rate variability</t>
  </si>
  <si>
    <t>https://www.sciencedirect.com/science/article/pii/S2405844021012512</t>
  </si>
  <si>
    <t>Heliyon, Volume 7, Issue 6, from CellPress</t>
  </si>
  <si>
    <t>https://doi.org/10.1016/j.heliyon.2021.e07148</t>
  </si>
  <si>
    <t>Heart rate variability, Electrocardiography, Cyton board, Open source, Validity, Reliability</t>
  </si>
  <si>
    <t xml:space="preserve">R.Anuradha, G.Rathi, A.GraceSelvarani, N.Gokul, M.S.Dhakshata </t>
  </si>
  <si>
    <t>Real Time Electric Light Control using EOG Signals</t>
  </si>
  <si>
    <t>https://ieeexplore.ieee.org/abstract/document/9399605</t>
  </si>
  <si>
    <t>2021 International Conference on Innovative Trends in Information Technology</t>
  </si>
  <si>
    <t>10.1109/ICITIIT51526.2021.9399605</t>
  </si>
  <si>
    <t>EOG signals, OpenBCI, Blink detection</t>
  </si>
  <si>
    <t>Vincent Kiplimo Ngetich</t>
  </si>
  <si>
    <t>Familiarity Detection from EEG Signals Using Wavelet Transform and LSTM</t>
  </si>
  <si>
    <t>https://link.springer.com/content/pdf/10.1007/978-981-33-4084-8.pdf#page=382</t>
  </si>
  <si>
    <t>Proceedings of the International Conference on Computing and Communication Systems: 13CS 2020</t>
  </si>
  <si>
    <t>Electroencephalography, Wavelet transform, LSTM</t>
  </si>
  <si>
    <t>Jatmika Nurhadi, Rosita Rahma, Lestari Kusuma Dewi, Aswan</t>
  </si>
  <si>
    <t>An Anxiety Phenomenonin Reading Scientific Articles in Indonesian and English: A Neurolinguistics Analysis</t>
  </si>
  <si>
    <t>https://www.atlantis-press.com/proceedings/conaplin-20/125956006</t>
  </si>
  <si>
    <t>Advances in Social Science, Education and Humanities Research</t>
  </si>
  <si>
    <t>https://dx.doi.org/10.2991/assehr.k.210427.042</t>
  </si>
  <si>
    <t>Anxiety, EEG, reading, scientific article, sLORETA</t>
  </si>
  <si>
    <t>Pulse Sensor</t>
  </si>
  <si>
    <t>Bernal Guillermo, Montgomery Sean M., Maes Pattie</t>
  </si>
  <si>
    <t xml:space="preserve">Brain-Computer Interfaces, Open-Source, and Democratizing the Future of Augmented Consciousness  </t>
  </si>
  <si>
    <t>https://www.frontiersin.org/articles/10.3389/fcomp.2021.661300/full</t>
  </si>
  <si>
    <t xml:space="preserve">Frontiers in Computer Science     </t>
  </si>
  <si>
    <t>10.3389/fcomp.2021.661300</t>
  </si>
  <si>
    <t>Zhenrui Ji, Quan Liu, Wenjun Xu, Bitao Yao, Jiayi Liu , Zude Zhou</t>
  </si>
  <si>
    <t>A Closed-Loop Brain-Computer Interface with Augmented Reality Feedback for Industrial Human-Robot Collaboration</t>
  </si>
  <si>
    <t>https://www.researchgate.net/publication/350473185_A_Closed-Loop_Brain-Computer_Interface_with_Augmented_Reality_Feedback_for_Industrial_Human-Robot_Collaboration</t>
  </si>
  <si>
    <t>10.21203/rs.3.rs-283263/v1</t>
  </si>
  <si>
    <t>Industrial human-robot collaboration, Brain-computer interface, Augmented reality, Interactive robotic path planning</t>
  </si>
  <si>
    <t>TBD</t>
  </si>
  <si>
    <t>Mikolaj Bunchwald, Aleksandra Czyz, Marcin Jukiewicz</t>
  </si>
  <si>
    <t>Analysis of EEG Signals for Non-technial and Non-medical Students</t>
  </si>
  <si>
    <t>http://www.e-iji.net/dosyalar/iji_2021_2_48.pdf</t>
  </si>
  <si>
    <t>International Journal of Instruction</t>
  </si>
  <si>
    <t>10.29333/iji.2021.14248a</t>
  </si>
  <si>
    <t>brain-computing interface, SSVEP- related brain signals, electrocardigraphic signals, alpha waves, p300</t>
  </si>
  <si>
    <t>Deepak Kapgate</t>
  </si>
  <si>
    <t>Efficient Quadcopter Flight Control Using Hybrid SSVEP + P300 Visual Brain Computer Interface</t>
  </si>
  <si>
    <t>https://www.tandfonline.com/doi/full/10.1080/10447318.2021.1921482</t>
  </si>
  <si>
    <t>International Journal of Human–Computer Interaction</t>
  </si>
  <si>
    <t>https://doi.org/10.1080/10447318.2021.1921482</t>
  </si>
  <si>
    <t>Shahnavazi, A., Homayounfar, M., Fadaei, M &amp; Shabani, Sh.</t>
  </si>
  <si>
    <t>The Effect of Light on Reaction of Food Customers Based on Neuro-marketing</t>
  </si>
  <si>
    <t>https://cbs.uok.ac.ir/article_61752.html?lang=en</t>
  </si>
  <si>
    <t>Consumer Behavior Studies Journal, 2021, Vol. 8, No.1, pp. 1-21</t>
  </si>
  <si>
    <t>https://dx.doi.org/10.34785/J018.2021.932</t>
  </si>
  <si>
    <t>Persian</t>
  </si>
  <si>
    <t>Customer Behavior, Emotions, NeuroMarketing, Electroencephalogra</t>
  </si>
  <si>
    <t>Vivianne Flávia Cardos, Denis Delisle-Rodriguez, Maria Alejandra Romero-Laiseca, Flávia A. Loterio, Dharmendra Gurve, Alan Floriano, Carlos Valadão, Leticia Silva, Sridhar Krishnan, Anselmo Frizera-Neto and Teodiano Freire Bastos-Filho</t>
  </si>
  <si>
    <t>Effect of a Brain–Computer Interface Based on Pedaling Motor Imagery on Cortical Excitability and Connectivity</t>
  </si>
  <si>
    <t>http://scholar.google.com/scholar_url?url=https://www.mdpi.com/1424-8220/21/6/2020/pdf&amp;hl=en&amp;sa=X&amp;d=3743719481528309039&amp;ei=YYBSYOzuFeiN6rQPg5ud0Aw&amp;scisig=AAGBfm2BH34uzxiWvfRIbJ5Bzld1oFJT_g&amp;nossl=1&amp;oi=scholaralrt&amp;hist=phuwsnkAAAAJ:1324821476278215287:AAGBfm1j5tukHsbeU89cUqsrIj25mrgFmg&amp;html=&amp;folt=kw</t>
  </si>
  <si>
    <t>MDPI Sensors - Special Issue "Sensors Technology for Medical Robotics"</t>
  </si>
  <si>
    <t>https://doi.org/10.3390/s21062020</t>
  </si>
  <si>
    <t>brain–computer interface; brain connectivity; lower limb rehabilitation; motor sensory rhythms; pedaling</t>
  </si>
  <si>
    <t>custom</t>
  </si>
  <si>
    <t>Netiwit Kaongoen, Jaehoon Choi, and Sungho Jo</t>
  </si>
  <si>
    <t>Speech-imagery-based brain–computer interface system using ear-EEG</t>
  </si>
  <si>
    <t>http://nmail.kaist.ac.kr/paper/JNE2021.pdf</t>
  </si>
  <si>
    <t>https://doi.org/10.1088/1741-2552/abd10e</t>
  </si>
  <si>
    <t>brain–computer interface,ear-EEG,speech imagery,multilayer extreme learning machine</t>
  </si>
  <si>
    <t>Na Wu, Hao JIN, Xiachuan Pei, Shurong Dong, Jikui Luo, Ruijian Yan, and Gang Feng</t>
  </si>
  <si>
    <t>Gesture recognition system based on CNN-IndRNN and OpenBCI</t>
  </si>
  <si>
    <t>https://www.matec-conferences.org/articles/matecconf/pdf/2021/05/matecconf_cscns20_06003.pdf</t>
  </si>
  <si>
    <t>MATEC Web of Conferences 336</t>
  </si>
  <si>
    <t>https://doi.org/10.1051/matecconf/202133606003</t>
  </si>
  <si>
    <t>Palpolage Don Shehan Hiroshan Gunawardane; Raymond Macneil; Leo Zhao; James Enns; Clarence De Silva; Mu Chiao</t>
  </si>
  <si>
    <t>A Fusion Algorithm for Saccade Eye Movement Enhancement with EOG and Lumped-element Models</t>
  </si>
  <si>
    <t>https://www.researchgate.net/publication/349617055_A_Fusion_Algorithm_for_Saccade_Eye_Movement_Enhancement_with_EOG_and_Lumped-element_Models</t>
  </si>
  <si>
    <t>IEEE Transactions on Biomedical Engineering</t>
  </si>
  <si>
    <t>10.1109/TBME.2021.3062256</t>
  </si>
  <si>
    <t xml:space="preserve">Mathematical model , Electrooculography , Computational modeling , Muscles , Biological system modeling , Biomedical measurement , Adaptation models Author Keywords Electrooculography , Adaptive filters , Biosignals , Saccades , Eye models , Human computer interactions </t>
  </si>
  <si>
    <t>Rana Md Shahariar Parbez; Khondaker A. Mamun</t>
  </si>
  <si>
    <t>BlinkFruity: A Real-Time EEG Based Neurofeedback Game for Brain-Computer Interface</t>
  </si>
  <si>
    <t>https://ieeexplore.ieee.org/abstract/document/9333469</t>
  </si>
  <si>
    <t>2020 2nd International Conference on Advanced Information and Communication Technology (ICAICT)</t>
  </si>
  <si>
    <t>10.1109/ICAICT51780.2020.9333469</t>
  </si>
  <si>
    <t>Entertainment industry, Games, Tools, Electroencephalography, Real-time systems, Brain-computer interfaces, Reliability, Blink, Brain–computer interface (BCI), EEG, OpenBCI, game design, gameplay</t>
  </si>
  <si>
    <t>Yumiao Chen, Zhongliang Yang and Yangliang Wen</t>
  </si>
  <si>
    <t>A Soft Exoskeleton Glove for Hand Bilateral Training via Surface EMG</t>
  </si>
  <si>
    <t>http://scholar.google.com/scholar_url?url=https://www.mdpi.com/1424-8220/21/2/578/pdf&amp;hl=en&amp;sa=X&amp;d=10454797439915091092&amp;ei=llwLYLqKI8qnywS5jqaQAg&amp;scisig=AAGBfm0Ls-jO1jgC_8b9EV5_cK09JXNeXA&amp;nossl=1&amp;oi=scholaralrt&amp;hist=phuwsnkAAAAJ:1324821476278215287:AAGBfm1j5tukHsbeU89cUqsrIj25mrgFmg&amp;html=</t>
  </si>
  <si>
    <t>https://doi.org/10.3390/s21020578</t>
  </si>
  <si>
    <t>exoskeleton, surface electromyography, hand motion recognition, bilateral training</t>
  </si>
  <si>
    <t>Aikaterini Gialopsou, Christopher Abel, Timothy M. James, Thomas Coussens,  Mark G. Bason, Reuben Puddy, Francesco Di Lorenzo, Katharina Rolfs, Jens Voigt, Tilmann Sander, Mara Cercignani, Peter Krüger</t>
  </si>
  <si>
    <t>Improved spatio-temporal measurements of visually evoked fields using optically-pumped magnetometers</t>
  </si>
  <si>
    <t>https://www.biorxiv.org/content/10.1101/2021.01.27.428396v1</t>
  </si>
  <si>
    <t>bioArxiv preprint</t>
  </si>
  <si>
    <t>https://doi.org/10.1101/2021.01.27.428396</t>
  </si>
  <si>
    <t xml:space="preserve">magnetoencephalography (MEG), visually evoked brain fields (VEF), superconducting quantum interference device (SQUID), OPM </t>
  </si>
  <si>
    <t> cEEGrid ear electrodes</t>
  </si>
  <si>
    <t>Michael Thomas Knierim, Christoph Berger, Pierluigi Reali</t>
  </si>
  <si>
    <t>Open-Source Concealed EEG Data Collection for Brain-Computer-Interfaces</t>
  </si>
  <si>
    <t>https://arxiv.org/ftp/arxiv/papers/2102/2102.00414.pdf</t>
  </si>
  <si>
    <t>Arxiv Preprint</t>
  </si>
  <si>
    <t>eeg, ceegrid, concealed, ear, in-ear, mobile EEG, open source</t>
  </si>
  <si>
    <t xml:space="preserve">Awesome appendices </t>
  </si>
  <si>
    <t>Marianna Koctúrová, Jozef Juhár</t>
  </si>
  <si>
    <t>A Novel Approach to EEG Speech Activity Detection with Visual Stimuli and Mobile BCI</t>
  </si>
  <si>
    <t>http://scholar.google.com/scholar_url?url=https://www.mdpi.com/2076-3417/11/2/674/pdf&amp;hl=en&amp;sa=X&amp;d=11378052140150603235&amp;ei=llwLYLqKI8qnywS5jqaQAg&amp;scisig=AAGBfm03JBVY-T9kTT0ztI2Jzvx3_YOQUg&amp;nossl=1&amp;oi=scholaralrt&amp;hist=phuwsnkAAAAJ:1324821476278215287:AAGBfm1j5tukHsbeU89cUqsrIj25mrgFmg&amp;html=</t>
  </si>
  <si>
    <t>Applied Science</t>
  </si>
  <si>
    <t>https://doi.org/10.3390/app11020674</t>
  </si>
  <si>
    <t>electroencephalography, mobile EEG device, speech detection, feed-forward neural network, visual stimuli</t>
  </si>
  <si>
    <t>Mads Jochumsen,Taha Al Muhammadee Janjua, Juan Carlos Arceo, Jimmy Lauber, Emilie Simoneau Buessinger and Rasmus Leck Kæseler</t>
  </si>
  <si>
    <t>Induction of Neural Plasticity Using a Low-Cost Open Source Brain-Computer Interface and a 3D-Printed Wrist Exoskeleton</t>
  </si>
  <si>
    <t>https://www.mdpi.com/1424-8220/21/2/572</t>
  </si>
  <si>
    <t>https://doi.org/10.3390/s21020572</t>
  </si>
  <si>
    <t>brain-computer interface, neural plasticity, neurorehabilitation, motor imagination, exoskeleton</t>
  </si>
  <si>
    <t>Myoware Muscle Sensor</t>
  </si>
  <si>
    <t>Wilver Auccahuasi, Grisi Bernardo, Madelaine Bernardo, Alfonso Fuentes, Fernando Sernaque, Elizabeth Oré</t>
  </si>
  <si>
    <t>Control and remote monitoring of muscle activity and stimulation in the rehabilitation process for muscle recovery</t>
  </si>
  <si>
    <t>https://www.sciencedirect.com/science/article/pii/B9780128196649000132</t>
  </si>
  <si>
    <t xml:space="preserve">Healthcare Paradigms in the Internet of Things Ecosystem, </t>
  </si>
  <si>
    <t>https://doi.org/10.1016/B978-0-12-819664-9.00013-2</t>
  </si>
  <si>
    <t>Control, Electromyography, Interface, Monitoring, Muscle, Web service</t>
  </si>
  <si>
    <t>M. M. Khan, T. Tazin, M. K. Tanzid, Z. H. Arshie, S. Islam and R. H. Ashique</t>
  </si>
  <si>
    <t>Development of Home Auotomation System by Using Brain Wave</t>
  </si>
  <si>
    <t>https://ieeexplore.ieee.org/abstract/document/9350509</t>
  </si>
  <si>
    <t>2020 2nd International Conference on Sustainable Technologies for Industry 4.0 (STI)</t>
  </si>
  <si>
    <t>10.1109/STI50764.2020.9350509</t>
  </si>
  <si>
    <t>Home automation; Software packages; Neurons; Psychology; Organizations; Electroencephalography; Engines; Digitization; computerization; brain waves; home automation; framework; IoT</t>
  </si>
  <si>
    <t>Griffin Milsap, and Preston Peranich</t>
  </si>
  <si>
    <t>Technical Note: A Low-Cost Research Platform for Brain Computer-Interface Applications in Mixed Reality</t>
  </si>
  <si>
    <t>https://ieeexplore.ieee.org/abstract/document/9441260</t>
  </si>
  <si>
    <t>2021 10th International IEEE/EMBS Conference on Neural Engineering</t>
  </si>
  <si>
    <t>10.1109/NER49283.2021.9441260</t>
  </si>
  <si>
    <t>BCI implementations , mixed reality environments , less-invasive holographic stimulus presentation , greatly enhanced portability , 3D-printable electroencephalography attachment , Microsoft HoloLens , low-energy communication , hobbyists , prototype BCIs , untethered XR environment , external compute resources , low-cost research platform , brain-computer-interface applications , steady-state-visually-evoked-potential , SSVEP , neural signals , audiovisual stimuli , exogenous BCIs , physical stimulus presentation apparatus , prolonged system setup</t>
  </si>
  <si>
    <t>Arkadiusz Hulewicz; Krzysztof Dziarski</t>
  </si>
  <si>
    <t>Steady-State Visual Evoked Potentials SSVEP in Brain-Computer Interfaces</t>
  </si>
  <si>
    <t>https://ieeexplore.ieee.org/document/9446779/</t>
  </si>
  <si>
    <t>MEASUREMENT 2021, Proceedings of the 13th International Conference, Smolenice, Slovakia</t>
  </si>
  <si>
    <t>10.23919/Measurement52780.2021.9446779</t>
  </si>
  <si>
    <t>Electrodes , Electric potential , Visualization , Area measurement , Electric variables measurement , Electrophysiology , Brain-computer interfaces</t>
  </si>
  <si>
    <t>Eric Redlingera, Bernhard Glasb,Yang Ronga</t>
  </si>
  <si>
    <t>Impact of screen size on cognitive training task performance: An HMD study</t>
  </si>
  <si>
    <t>https://www.sciencedirect.com/science/article/pii/S0167876021001835</t>
  </si>
  <si>
    <t>International Journal of Psychophysiology</t>
  </si>
  <si>
    <t>https://doi.org/10.1016/j.ijpsycho.2021.06.003</t>
  </si>
  <si>
    <t>VR-EEG, HMD, Cognitive training, E-learning</t>
  </si>
  <si>
    <t>Soha Rostaminia,1 S. Zohreh Homayounfar,2 Ali Kiaghadi,3 Trisha L. Andrew2,4,* Deepak Ganesan,1</t>
  </si>
  <si>
    <t>PhyMask: Robust Sensing of Brain Activity and Physiological Signals During Sleep with an All-textile Eye Mask</t>
  </si>
  <si>
    <t>https://dl.acm.org/doi/10.1145/3513023</t>
  </si>
  <si>
    <t>10.1145/3513023</t>
  </si>
  <si>
    <t>Signal Processing (eess.SP); Human-Computer Interaction (cs.HC)</t>
  </si>
  <si>
    <t>Xiaoyan Shen a,b, *, Xuemei Wang a , Song Lu a , Zhiling Li a , Wei Shao a , Yan Wu a</t>
  </si>
  <si>
    <t>Research on the real-time control system of lower-limb gait movement based on motor imagery and central pattern generator</t>
  </si>
  <si>
    <t>https://www.sciencedirect.com/science/article/pii/S1746809421004006</t>
  </si>
  <si>
    <t>https://doi.org/10.1016/j.bspc.2021.102803</t>
  </si>
  <si>
    <t>Brain-computer interface, Motor imagery, Functional electrical stimulation, Central pattern generator, Gait detection, Rehabilitation training</t>
  </si>
  <si>
    <t>Bingbing Wang,1 Zeju Xu,1 Tong Luo,1 and Jiahui Pan</t>
  </si>
  <si>
    <t>EEG-Based Closed-Loop Neurofeedback for Attention Monitoring and Training in Young Adults</t>
  </si>
  <si>
    <t>https://www.hindawi.com/journals/jhe/2021/5535810/</t>
  </si>
  <si>
    <t>Biomedical Signal Processing Using Non-Invasive Sensors for Healthcare</t>
  </si>
  <si>
    <t>https://doi.org/10.1155/2021/5535810</t>
  </si>
  <si>
    <r>
      <rPr>
        <color rgb="FF000000"/>
      </rPr>
      <t>R. Anuradha</t>
    </r>
    <r>
      <rPr/>
      <t xml:space="preserve">; </t>
    </r>
    <r>
      <rPr>
        <color rgb="FF000000"/>
      </rPr>
      <t>G. Rathi</t>
    </r>
    <r>
      <rPr/>
      <t xml:space="preserve">; </t>
    </r>
    <r>
      <rPr>
        <color rgb="FF000000"/>
      </rPr>
      <t>A. GraceSelvarani</t>
    </r>
    <r>
      <rPr/>
      <t xml:space="preserve">; </t>
    </r>
    <r>
      <rPr>
        <color rgb="FF000000"/>
      </rPr>
      <t>N. Gokul</t>
    </r>
    <r>
      <rPr/>
      <t xml:space="preserve">; </t>
    </r>
    <r>
      <rPr>
        <color rgb="FF000000"/>
      </rPr>
      <t>M. S. Dhakshata</t>
    </r>
  </si>
  <si>
    <t>Real -Time Thought Controlled Action for Paralytic Patient using Electroencephalogram</t>
  </si>
  <si>
    <t>https://ieeexplore.ieee.org/abstract/document/9456194</t>
  </si>
  <si>
    <t>2nd International Conference for Emerging Technology (INCET)</t>
  </si>
  <si>
    <t>10.1109/INCET51464.2021.9456194</t>
  </si>
  <si>
    <t>EEG signals, OpenBCI, Thoughts detection</t>
  </si>
  <si>
    <t>Yevheniy Dmytriyev; Ahmed Magdy Ahmed Zaki; Marco Carnevale; Federico Insero; Hermes Giberti</t>
  </si>
  <si>
    <t>Brain computer interface for human-cobot interaction in industrial applications</t>
  </si>
  <si>
    <t>https://ieeexplore.ieee.org/abstract/document/9461383</t>
  </si>
  <si>
    <t>2021 3rd International Congress on Human-Computer Interaction, Optimization and Robotic Applications (HORA)</t>
  </si>
  <si>
    <t>10.1109/HORA52670.2021.9461383</t>
  </si>
  <si>
    <t>Visualization, Service robots, Collaboration, Tools, Brain-computer interfaces, Workstations, Steady-state</t>
  </si>
  <si>
    <t>Fang ZiYing; Darren Neo; Wang Jue; Zheng YiCheng; Yvonne Y. H. Lam</t>
  </si>
  <si>
    <t>An Integrated Fall Prevention System with Single-Channel EEG and EMG Sensor</t>
  </si>
  <si>
    <t>https://ieeexplore.ieee.org/abstract/document/9464220</t>
  </si>
  <si>
    <t>2021 4th International Conference on Circuits, Systems and Simulation (ICCSS)</t>
  </si>
  <si>
    <t>10.1109/ICCSS51193.2021.9464220</t>
  </si>
  <si>
    <t>Legged locomotion, Support vector machines, Matched filters, Electric potential, Sociology, Brain modeling, Electromyography</t>
  </si>
  <si>
    <t>Ahmed J. Abougarair; Hanadi M. Gnan; Abdulhamid Oun; Saadedin O. Elwarshfani</t>
  </si>
  <si>
    <t>Implementation of a Brain-Computer Interface for Robotic Arm Control</t>
  </si>
  <si>
    <t>https://ieeexplore.ieee.org/abstract/document/9464359</t>
  </si>
  <si>
    <t>2021 IEEE 1st International Maghreb Meeting of the Conference on Sciences and Techniques of Automatic Control and Computer Engineering MI-STA</t>
  </si>
  <si>
    <t>10.1109/MI-STA52233.2021.9464359</t>
  </si>
  <si>
    <t>Computers, Three-dimensional displays, Manipulators, Brain-computer interfaces, Electroencephalography, Real-time systems, Servomotors</t>
  </si>
  <si>
    <t>Saad Arif; Mahad Arif; Saba Munawar; Yasar Ayaz; Muhammad Jawad Khan; Noman Naseer</t>
  </si>
  <si>
    <t>EEG Spectral Comparison Between Occipital and Prefrontal Cortices for Early Detection of Driver Drowsiness</t>
  </si>
  <si>
    <t>https://ieeexplore.ieee.org/abstract/document/9466007</t>
  </si>
  <si>
    <t>2021 International Conference on Artificial Intelligence and Mechatronics Systems (AIMS)</t>
  </si>
  <si>
    <t>10.1109/AIMS52415.2021.9466007</t>
  </si>
  <si>
    <t>Support vector machines, Mechatronics, Sleep, Vehicle driving, Electroencephalography, Brain-computer interfaces, Task analysis</t>
  </si>
  <si>
    <t>Edgar P. Torres P., Edgar Torres H., Myriam Hernández-Álvarez, Sang Guun Yoo</t>
  </si>
  <si>
    <t>EEG-Based BCI Emotion Recognition Using the Stock-Emotion Dataset</t>
  </si>
  <si>
    <t>https://www.researchgate.net/publication/347747774_EEG-Based_BCI_Emotion_Recognition_Using_the_Stock-Emotion_Dataset</t>
  </si>
  <si>
    <t>Advances in Emerging Trends and Technologies (pp.226-235)</t>
  </si>
  <si>
    <t>10.1007/978-3-030-63665-4_18</t>
  </si>
  <si>
    <t>Emotion-recognition, BCI, EEG, Machine Learning, Feature extraction</t>
  </si>
  <si>
    <t xml:space="preserve">Enrique Tomás Martínez Beltrán, Mario Quiles Pérez, Sergio López Bernal, Alberto Huertas Celdrán &amp; Gregorio Martínez Pérez </t>
  </si>
  <si>
    <t>Noise-based cyberattacks generating fake P300 waves in brain–computer interfaces</t>
  </si>
  <si>
    <t>https://link.springer.com/article/10.1007/s10586-021-03326-z</t>
  </si>
  <si>
    <t>Cluster Computing</t>
  </si>
  <si>
    <t>https://doi.org/10.1007/s10586-021-03326-z</t>
  </si>
  <si>
    <t>Brain–Computer Interfaces  Cybersecurity  Noise-based cyberattacks  Data Integrity
Electroencephalographic signal  P300</t>
  </si>
  <si>
    <t>Ennio Idrobo-Ávilaa, Humberto Loaiza-Correaa, Flavio Muñoz-Bolaños, Leon van Noorden, Rubiel Vargas-Cañasd</t>
  </si>
  <si>
    <t>Judgement of valence of musical sounds by hand and by heart, a machine learning paradigm for reading the heart</t>
  </si>
  <si>
    <t>https://www.sciencedirect.com/science/article/pii/S24058440210166866</t>
  </si>
  <si>
    <t>Heliyon</t>
  </si>
  <si>
    <t>https://doi.org/10.1016/j.heliyon.2021.e07565</t>
  </si>
  <si>
    <t>Acoustic noise, Harmonic music intervals, Heart rate variability, Machine learning, Music</t>
  </si>
  <si>
    <t>Fernando Concatto; Eduardo José Legal; Alejandro Rafael Garcia Ramirez</t>
  </si>
  <si>
    <t>On-line Measurement of Working Memory in Individuals with Aphasia using Electroencephalographic Signals</t>
  </si>
  <si>
    <t>https://ieeexplore.ieee.org/document/9476316</t>
  </si>
  <si>
    <t>2021 16th Iberian Conference on Information Systems and Technologies (CISTI)</t>
  </si>
  <si>
    <t>10.23919/CISTI52073.2021.9476316</t>
  </si>
  <si>
    <t>Portuguese</t>
  </si>
  <si>
    <t>Wireless communication, Electric potential, Tools, Electroencephalography, Biosensors, Monitoring, Information systems</t>
  </si>
  <si>
    <t>Avirath Sundaresan, Brian Penchina, Sean Cheong, Victoria Grace, Antoni Valero-Cabré &amp; Adrien Martel</t>
  </si>
  <si>
    <t>Evaluating deep learning EEG-based mental stress classification in adolescents with autism for breathing entrainment BCI</t>
  </si>
  <si>
    <t>https://braininformatics.springeropen.com/articles/10.1186/s40708-021-00133-5#citeas</t>
  </si>
  <si>
    <t>https://doi.org/10.1186/s40708-021-00133-5</t>
  </si>
  <si>
    <t>Mental stress Autism EEG Deep learning Breathing entrainment</t>
  </si>
  <si>
    <t>Matheus G Mussi</t>
  </si>
  <si>
    <t>Development of a simultaneous Hybrid Brain-Computer Interface using SSVEP and P300</t>
  </si>
  <si>
    <t>https://www.resna.org/sites/default/files/conference/2021/NewEmergingTechnology/75_Mussi.html</t>
  </si>
  <si>
    <t>RESNA Annual Conference - 2021</t>
  </si>
  <si>
    <t>Fitri Trapsilawati, Pitaloka B. Prastiwi, Yolla Vista, Zara Myesha, Muhammad K. Herliansyah, Titis Wijayanto</t>
  </si>
  <si>
    <t>Investigating traffic and controller factors in spatial multitasking: The context of air traffic conflict resolution</t>
  </si>
  <si>
    <t>https://www.sciencedirect.com/science/article/pii/S2046043021000617</t>
  </si>
  <si>
    <t>International Journal of Transportation Science and Technology</t>
  </si>
  <si>
    <t>https://doi.org/10.1016/j.ijtst.2021.07.006</t>
  </si>
  <si>
    <t>Air traffic conflict Conflict resolution Geometry Gender Brain activity</t>
  </si>
  <si>
    <t>Zheng You Lim, Neo Yong Quan</t>
  </si>
  <si>
    <t>Convolutional Neural Network Based Electroencephalogram Controlled Robotic Arm</t>
  </si>
  <si>
    <t>https://ieeexplore.ieee.org/abstract/document/9495879</t>
  </si>
  <si>
    <t>2021 IEEE International Conference on Automatic Control &amp; Intelligent Systems (I2CACIS)</t>
  </si>
  <si>
    <t>10.1109/I2CACIS52118.2021.9495879</t>
  </si>
  <si>
    <t>Kinematics, Manipulators, Brain modeling, Electroencephalography, Convolutional neural networks, Task analysis, Intelligent systems</t>
  </si>
  <si>
    <t xml:space="preserve">Dybvik, Henrikke; Erichsen, Christian Kuster; Steinert, Martin </t>
  </si>
  <si>
    <t>Demonstrating The Feasibility Of Multimodal Neuroimaging Data Capture With A Wearable Electoencephalography + Functional Near infrared Spectroscopy (Eeg+fnirs) In Situ</t>
  </si>
  <si>
    <t>https://www.cambridge.org/core/services/aop-cambridge-core/content/view/A36F36047D5F10A739B2D350E347C9C1/S2732527X21000900a.pdf/demonstrating_the_feasibility_of_multimodal_neuroimaging_data_capture_with_a_wearable_electoencephalography_functional_nearinfrared_spectroscopy_eegfnirs_in_situ.pdf</t>
  </si>
  <si>
    <t>INTERNATIONAL CONFERENCE ON ENGINEERING DESIGN, ICED21</t>
  </si>
  <si>
    <t>https://doi.org/10.1017/pds.2021.90</t>
  </si>
  <si>
    <t>EEG+fNIRS in situ experiments Human behaviour in design User centred design Research methodologies and methods</t>
  </si>
  <si>
    <t>MY Teguh Sulistyono; Evi Septiana Pane; Adhi Dharma Wibawa; Mauridhi Hery Purnomo</t>
  </si>
  <si>
    <t>https://ieeexplore.ieee.org/abstract/document/9502250</t>
  </si>
  <si>
    <t>Seminars, Systematics, Clustering methods, Statistical distributions, Stroke (medical condition), Tools, Electroencephalography</t>
  </si>
  <si>
    <t>Brain Controlled Lego NXT Mindstorms 2.0 Platform</t>
  </si>
  <si>
    <t>https://ieeexplore.ieee.org/abstract/document/9502229</t>
  </si>
  <si>
    <t>International Seminar on Intelligent Technology and Its Applications (ISITIA)</t>
  </si>
  <si>
    <t>10.1109/ISITIA52817.2021.9502229</t>
  </si>
  <si>
    <t>Electrodes, Training, Three-dimensional displays, Toy manufacturing industry, Scalp, Entertainment industry, Muscles</t>
  </si>
  <si>
    <t>H. M. K. K. M. B. Herath 1 and W.R. de Mel2</t>
  </si>
  <si>
    <t>Controlling an Anatomical Robot Hand Using the Brain-Computer Interface Based on Motor Imagery</t>
  </si>
  <si>
    <t>https://www.hindawi.com/journals/ahci/2021/5515759/</t>
  </si>
  <si>
    <t>Advances in Human-Computer Interaction</t>
  </si>
  <si>
    <t>https://doi.org/10.1155/2021/5515759</t>
  </si>
  <si>
    <t xml:space="preserve">Juan A. Ramirez-Quintana, Luis Madrid-Herrera, Mario I. Chacon-Murguia &amp; Luis F. Corral-Martinez </t>
  </si>
  <si>
    <t>Brain-Computer Interface System Based on P300 Processing with Convolutional Neural Network. Novel Speller, and Low Number of Electrodes</t>
  </si>
  <si>
    <t>https://link.springer.com/article/10.1007/s12559-020-09744-2</t>
  </si>
  <si>
    <t>Cognitive Computation</t>
  </si>
  <si>
    <t>https://doi.org/10.1007/s12559-020-09744-2</t>
  </si>
  <si>
    <t>P300 wave, event-related potential, brain-computer interface, EEG signal processing, convolutional neural networks</t>
  </si>
  <si>
    <t>Rafia Akhter, Kehinde Lawal, Md. Tanvir Rahman and Shamim Ahmed Mazumder</t>
  </si>
  <si>
    <t>Classification of Common and Uncommon Tones by P300 Feature Extraction and Identification of Accurate P300 Wave by Machine Learning Algorithms</t>
  </si>
  <si>
    <t>https://thesai.org/Publications/ViewPaper?Volume=11&amp;Issue=10&amp;Code=IJACSA&amp;SerialNo=80</t>
  </si>
  <si>
    <t>International Journal of Advanced Computer Science and Applications(IJACSA), Volume 11 Issue 10</t>
  </si>
  <si>
    <t>10.14569/IJACSA.2020.0111080</t>
  </si>
  <si>
    <t>Event Related Potential (ERP); classification; P300; machine-learning; oddball-paradigm</t>
  </si>
  <si>
    <t>S. Cano, N. Araujo, C. Guzman, C. Rusu and S. Albiol-Pérez</t>
  </si>
  <si>
    <t>Low-Cost Assessment of User eXperience Through EEG Signals</t>
  </si>
  <si>
    <t>https://ieeexplore.ieee.org/document/9170488</t>
  </si>
  <si>
    <t>IEEE Access, vol. 8</t>
  </si>
  <si>
    <t>10.1109/ACCESS.2020.3017685</t>
  </si>
  <si>
    <t>Abstract: EEG signals are an important tool for monitoring the brain 
activity of a person, but equipment, expertise and infrastructure are 
required. EEG technologies are generally expensive, thus few people are 
normally able to use them. However, some low-cost technologies are now 
available. One of these is OPENBCI, but it seems that it is yet to be 
widely employed in Human-Computer Interaction. In this study, we used 
OPENBCI technology to capture EEG signals linked to brain activity in 
ten subjects as they interacted with two video games: Candy Crush and 
Geometry Dash. The experiment aimed to capture the signals while the 
players interacted with the video games in several situations. The 
results show differences due to the absence/presence of sound; players 
appear to be more relaxed without sound. In addition, consistent 
analysis of the EEG data, meCue 2.0 and SAM data showed high 
consistency. The evidence demonstrates that interesting results are able
 to be gathered based on low-cost EEG (standard) signal-based 
technologies.
 keywords: {Games;Electroencephalography;User 
experience;Human computer interaction;Brain;Biomedical 
monitoring;Electrodes;User eXperience;player eXperience;EEG 
signals;video games;low-cost technologies},</t>
  </si>
  <si>
    <t>Patrich Schemrbi, Mariusz Pelc, Jixin Ma</t>
  </si>
  <si>
    <t>Impact of Mental Fatigue during Repetitive Exercises of a Visual P300 Speller</t>
  </si>
  <si>
    <t>https://www.scitepress.org/Papers/2020/88709/88709.pdf</t>
  </si>
  <si>
    <t>13th International Conference of Bio-inspired Systems and Signal Processing</t>
  </si>
  <si>
    <t>10.5220/0008870901560163</t>
  </si>
  <si>
    <t>mental fatigue, P300 speller, ANOVA analysis, xDAWN</t>
  </si>
  <si>
    <t>M. Elsayed, K. S. Sim and S. C. Tan</t>
  </si>
  <si>
    <t>A Novel Approach to Objectively Quantify the Subjective Perception of Pain Through Electroencephalogram Signal Analysis</t>
  </si>
  <si>
    <t>https://ieeexplore.ieee.org/document/9229386/</t>
  </si>
  <si>
    <t>10.1109/ACCESS.2020.3032153</t>
  </si>
  <si>
    <t>Abstract: Pain is a complex subjective unpleasant experience that can 
potentially cause tissue damage. In clinical practice, the main method 
used for assessing pain is self-report; however, it is not possibly 
adopted in a huge number of vulnerable populations or by 
non-communicative patients such as those with disorders of speech and 
consciousness. Thus, the availability of an objective measure of the 
subjective pain's perception that complements the self-report pain 
assessments is a great significant demand in several clinical 
applications. The aim of this paper is to propose a novel approach to 
objectively quantify the subjective perception of pain. We integrated 
signal processing techniques and machine learning principles to learn 
brain signals associated with pain and classify them into one of four 
pain intensities (no pain, low, moderate, and high). We found that the 
signal processing revealed a direct correlation between Alpha frequency 
band power and the pain intensity, and the classifier could achieve an 
accuracy of 94.83%. This study provides a clue for the betterment of the
 collective scientific understanding of the brain's activities inflicted
 by the physical pain and helps in building a reliable automated 
prediction of pain.
 keywords: {Pain;Electroencephalography;Signal 
processing;Containers;Machine learning;Correlation;Reliability;Physical 
pain;alpha frequency band;signal processing;artificial neural networks},</t>
  </si>
  <si>
    <t>Z. Moghaddas, B. Asheri, M. Mohamadi, A. Rafei, F. Farahani, M. Gholizadeh, D. S. Samiei, M. Bagher Menhaj</t>
  </si>
  <si>
    <t>Improving Attention and Focus Using Brain-Computer Interfaces and Cog-Car Games with brain signals processing</t>
  </si>
  <si>
    <t>https://ieeexplore.ieee.org/abstract/document/9349612</t>
  </si>
  <si>
    <t>2020 6th Iranian Conference on Signal Processing and Intelligent Systems (ICSPIS)</t>
  </si>
  <si>
    <t>10.1109/ICSPIS51611.2020.9349612</t>
  </si>
  <si>
    <t>Games, Signal processing, Brain-computer interfaces, Software, Hardware, Intelligent systems, Neurofeedback, neurofeedback, cog-car, brain computer interface, bci, eeg, attention, focus, signal processing</t>
  </si>
  <si>
    <t>Dmitry Kireev, Emmanuel Okogbue, Jayanth RT, Tae-Jun Ko, Yeonwoong Jung, Deji Akinwande</t>
  </si>
  <si>
    <t>Multipurpose and Reusable Ultrathin Electronic Tattoos Based on PtSe2 and PtTe2</t>
  </si>
  <si>
    <t>https://arxiv.org/abs/2010.07534</t>
  </si>
  <si>
    <t>10.1021/acsnano.0c08689</t>
  </si>
  <si>
    <t>Humans, Graphite, Graphene, Tattooing, Eye Movements, Silver, Platinum, Gold, Electric Impedance, Temperature, Vital Signs, Electrodes, Electronics, Brain Monitoring, Ambulatory, Wearable Electronic Devices, Muscle Contraction, Tattoo</t>
  </si>
  <si>
    <t>B. Guragai, O. AlShorman, M. Masadeh and M. B. B. Heyat</t>
  </si>
  <si>
    <t>A Survey on Deep Learning Classification Algorithms for Motor Imagery</t>
  </si>
  <si>
    <t>https://ieeexplore.ieee.org/abstract/document/9331503</t>
  </si>
  <si>
    <t>2020 32nd International Conference on Microelectronics (ICM), Aqaba, Jordan, 2020</t>
  </si>
  <si>
    <t>10.1109/ICM50269.2020.9331503</t>
  </si>
  <si>
    <t xml:space="preserve">Deep learning ,  Performance evaluation ,  Tag clouds ,  Market research ,  Stability analysis ,  Classification algorithms ,  Microelectronics, Brain ,  Classification ,  CNN ,  Deep Learning ,  Electroencephalogram ,  Motor Imagery ,  Web of Science  </t>
  </si>
  <si>
    <t>A. K, S. J. Kuruvila, S. Pramode and N. Krupa</t>
  </si>
  <si>
    <t>Brain Computer Interface for Neurorehabilitation with Kinesthetic Feedback</t>
  </si>
  <si>
    <t>https://ieeexplore.ieee.org/abstract/document/9310801/</t>
  </si>
  <si>
    <t>2020 5th International Conference on Robotics and Automation Engineering (ICRAE), Singapore, Singapore, 2020</t>
  </si>
  <si>
    <t>10.1109/ICRAE50850.2020.9310801</t>
  </si>
  <si>
    <t xml:space="preserve">Electroencephalography ,  Brain modeling ,  Electrodes ,  Fingers ,  Feature extraction ,  Deep learning ,  Tongue, Brain Computer Interface ,  Motor Imagery ,  Neurorehabilitation ,  Orthotic Device ,  Recursive Feature Elimination ,  Long Short Term Memory  </t>
  </si>
  <si>
    <t>PPG, HRV sensors</t>
  </si>
  <si>
    <t>Cornejo, Raymundo, Oscar Ordoñez, Alain Manzo, Adrián Alarcón, Luis Gaxiola, Fernando Martínez, Leonor Duque, &amp; Martha Ornelas</t>
  </si>
  <si>
    <t>Video Game’s design Implications to promote moderate activity in seniors</t>
  </si>
  <si>
    <t>http://aihc.amexihc.org/index.php/aihc/article/view/59</t>
  </si>
  <si>
    <t>Avances en Interacción Humano-Computadora</t>
  </si>
  <si>
    <t>http://dx.doi.org/10.47756/aihc.y5i1.59</t>
  </si>
  <si>
    <t>Jorge Luis Lozano Rodríguez</t>
  </si>
  <si>
    <t>Design and fabrication method for a microneedle electrode with flexible backing for biosignals monitoring</t>
  </si>
  <si>
    <t>https://open.library.ubc.ca/cIRcle/collections/ubctheses/24/items/1.0395339</t>
  </si>
  <si>
    <t>University of British Columbia Thesis</t>
  </si>
  <si>
    <t>10.14288/1.0395339</t>
  </si>
  <si>
    <t>Electrodes, Design, Fabrication, Microneedle, Biosignal monitoring</t>
  </si>
  <si>
    <t>Fangmeng Zeng, Panote Siriaraya, Dongeun Choi, Noriaki Kuwahara</t>
  </si>
  <si>
    <t>Textile EEG Cap using Dry-Comb Electrodes for Emotion Detection of Elderly People</t>
  </si>
  <si>
    <t>https://pdfs.semanticscholar.org/4f78/fe53072f42837e4c969d670c6e2c7e2dcbe7.pdf</t>
  </si>
  <si>
    <t xml:space="preserve">International Journal of Advanced Computer Science and Applications (IJACSA) </t>
  </si>
  <si>
    <t>https://dx.doi.org/10.14569/IJACSA.2020.0110409</t>
  </si>
  <si>
    <t>EEG monitoring, Elderly people, Emotion detection, Textile EEG cap, Wearing-comfort</t>
  </si>
  <si>
    <t>Callum Young, Gabriel Miles, Ben Adams, Meghan Edgerton</t>
  </si>
  <si>
    <t>Morse-Code Encoded Eye Blinking as a Source of Biometric Authentication via EEG</t>
  </si>
  <si>
    <t>https://scholarworks.boisestate.edu/cgi/viewcontent.cgi?article=1007&amp;context=mss_2020</t>
  </si>
  <si>
    <t xml:space="preserve">Boise State University Mathematics Senior Showcase </t>
  </si>
  <si>
    <t>Morse code,  EEG, Biometric authentication, Eye blinking, Password</t>
  </si>
  <si>
    <t>Lenka Hanáková, Vladimír Socha, Jan Bořil, Lukáš Herman, Jan Štrobl, Terézia Pilmannová</t>
  </si>
  <si>
    <t>Subjective Evaluation of Fatigue in Pilots During 24-hour Testing</t>
  </si>
  <si>
    <t>https://ieeexplore.ieee.org/abstract/document/9291239/</t>
  </si>
  <si>
    <t>2020 New Trends in Civil Aviation (NTCA), Prague, 2020</t>
  </si>
  <si>
    <t>https://doi.org/10.23919/NTCA50409.2020.9291239</t>
  </si>
  <si>
    <t>Fatigue; Monitoring; Instruments; Task analysis; NASA; Matlab; Airports; aviation; electroencephalography; fatigue; human factors; pilot; questionnaire; safety</t>
  </si>
  <si>
    <t>Edgar P. Torres P., Edgar Torres H., Myriam Hernández-Álvarez, Sang Guun Yoo</t>
  </si>
  <si>
    <t>https://link.springer.com/chapter/10.1007/978-3-030-63665-4_18</t>
  </si>
  <si>
    <t>Advances in Intelligent Systems and Computing book series (AISC, volume 1302)</t>
  </si>
  <si>
    <t>https://doi.org/10.1007/978-3-030-63665-4_18</t>
  </si>
  <si>
    <t xml:space="preserve">Emotion recognition, BCI, EEG, Machine learning, Feature extraction, stock trading, </t>
  </si>
  <si>
    <t>3rd party EEG cap</t>
  </si>
  <si>
    <t>C. A. S. Filho, J. I. Serrano, R. Attux, G. Castellano, E. Rocon and M. D. d. Castillo</t>
  </si>
  <si>
    <t>Criteria for event-related (de)synchronization detection and feature consistency for motor imagery-based neuromodulation</t>
  </si>
  <si>
    <t>https://ieeexplore.ieee.org/abstract/document/9288078</t>
  </si>
  <si>
    <t>2020 IEEE 20th International Conference on Bioinformatics and Bioengineering (BIBE), Cincinnati, OH, 2020</t>
  </si>
  <si>
    <t>https://doi.org/10.1109/BIBE50027.2020.00101</t>
  </si>
  <si>
    <t>Electrodes; Pediatrics; Area measurement; Feature extraction; Electroencephalography; Indexes; Task analysis; motor imagery; feature selection; neuromodulation; event-related desynchronization; electroencephalography</t>
  </si>
  <si>
    <t>R. Cassani, A. Tiwari, I. Posner, B. Afonso and T. H. Falk</t>
  </si>
  <si>
    <t>Initial Investigation into Neurophysiological Correlates of Argentine Tango Flow States: a Case Study</t>
  </si>
  <si>
    <t>https://ieeexplore.ieee.org/abstract/document/9282835</t>
  </si>
  <si>
    <t>2020 IEEE International Conference on Systems, Man, and Cybernetics (SMC), Toronto, ON, 2020, pp. 3478-3483</t>
  </si>
  <si>
    <t>10.1109/SMC42975.2020.9282835</t>
  </si>
  <si>
    <t>Technological innovation; Wearable computers; Electrocardiography; Depression; Electroencephalography; Real-time systems; Stress; Argentine tango; ECG ; EEC; flow; hyperscan</t>
  </si>
  <si>
    <t>M. -A. Moinnereau, A. Oliveira and T. H. Falk</t>
  </si>
  <si>
    <t>Saccadic Eye Movement Classification Using ExG Sensors Embedded into a Virtual Reality Headset</t>
  </si>
  <si>
    <t>https://ieeexplore.ieee.org/document/9283019</t>
  </si>
  <si>
    <t>2020 IEEE International Conference on Systems, Man, and Cybernetics (SMC), Toronto, ON, 2020, pp. 3494-3498</t>
  </si>
  <si>
    <t>10.1109/SMC42975.2020.9283019</t>
  </si>
  <si>
    <t>Electrooculography ,  electroencephalography ,  eye movement ,  head-mounted display ,  virtual reality ,  SVM ,  MLP, saccade</t>
  </si>
  <si>
    <t>M. Wang, M. Bulger, Y. Dai, K. Noël, C. Axon, A. Brandenberger, S. Fay, Z. Gao, S. Gilmer, J. Hamdan, P. Humane, J. Jiang, C. Killian, I. Langleben, B. Li, A. M. Zamora, S. Mavromatis, S. Njini, R. Riachi, C. Rong, A. Zhen, M. Xiong</t>
  </si>
  <si>
    <t>A 3D-Printed, Adjustable Armband for Electromyography-Based Finger Movement Classification With Haptic Feedback</t>
  </si>
  <si>
    <t>https://ieeexplore.ieee.org/abstract/document/9283117</t>
  </si>
  <si>
    <t>2020 IEEE International Conference on Systems, Man, and Cybernetics (SMC), Toronto, ON</t>
  </si>
  <si>
    <t>https://doi.org/10.1109/SMC42975.2020.9283117</t>
  </si>
  <si>
    <t>Electrodes; Fingers; Machine learning; Feature extraction; User experience; Haptic interfaces; Prosthetics; augmented reality; electromyography; haptic interfaces; human computer interaction; machine learning</t>
  </si>
  <si>
    <t>Ker-Jiun Wang, Caroline Yan Zheng, Mohammad Shidujaman, Maitreyee Wairagkar, Mariana von Mohr</t>
  </si>
  <si>
    <t>Jean Joseph v2.0 (REmotion): Make Remote Emotion Touchable, Seeable and Thinkable by Direct Brain-to-Brain Telepathy Neurohaptic Interface Empowered by Generative Adversarial Network</t>
  </si>
  <si>
    <t>https://ieeexplore.ieee.org/abstract/document/9283049/</t>
  </si>
  <si>
    <t>https://doi.org/10.1109/SMC42975.2020.9283049</t>
  </si>
  <si>
    <t>Pandemics; Generative adversarial networks; Robot sensing systems; Brain-computer interfaces; Haptic interfaces; History; Gallium nitride; Brain-Computer Interface; Affective Computing; Deep Learning; GAN; Wearable Computing; Human-Centered UI/UX Design; Remote Communication; Haptic Interface; Emotion</t>
  </si>
  <si>
    <t>Pierre Gander, Jonathan Rittmo, Rickard Carlsson, Robert Lowe</t>
  </si>
  <si>
    <t>A social differential outcomes learning task: Performance, EEG, and questionnaire data</t>
  </si>
  <si>
    <t>https://www.sciencedirect.com/science/article/pii/S2352340920314712#</t>
  </si>
  <si>
    <t>Data in Brief, Volume 33, 2020</t>
  </si>
  <si>
    <t>https://doi.org/10.1016/j.dib.2020.106590.</t>
  </si>
  <si>
    <t>Affective processing, Social learning, Inference, Knowledge transfer, EEG</t>
  </si>
  <si>
    <t>Sridhar, S.; Manian, V</t>
  </si>
  <si>
    <t>EEG and Deep Learning Based Brain Cognitive Function Classification</t>
  </si>
  <si>
    <t>https://www.mdpi.com/2073-431X/9/4/104</t>
  </si>
  <si>
    <t>Computers 2020, 9(4), 104</t>
  </si>
  <si>
    <t>https://doi.org/10.3390/computers9040104</t>
  </si>
  <si>
    <t>deep learning; auditory and olfactory sensory functions; motor imagery and movement function; electroencephalogram; deep neural network; mild cognitive impairment</t>
  </si>
  <si>
    <t>E. M. Camilo, J. A. M. Gutiérrez, O. P. Ramírez, J. G. Martínez, A. V. Hernández and L. L. Salas</t>
  </si>
  <si>
    <t>A Functional Electrical Stimulation Controller for Contralateral Hand Movements Based on EMG Signals</t>
  </si>
  <si>
    <t>https://ieeexplore.ieee.org/abstract/document/9299199</t>
  </si>
  <si>
    <t>2020 17th International Conference on Electrical Engineering, Computing Science and Automatic Control (CCE), Mexico City, 2020</t>
  </si>
  <si>
    <t>https://doi.org/10.1109/CCE50788.2020.9299199</t>
  </si>
  <si>
    <t>Iron; Calibration; Task analysis; Electrical stimulation; Control systems; Graphical user interfaces; Software packages; Functional Electrical Stimulation; EMG; Hand Movement; Control; Upper Limb; Stroke; Hemiplegia; Rehabilitation; Functional Task; Biofeedback</t>
  </si>
  <si>
    <t>A. Abdeltawab and A. Ahmad</t>
  </si>
  <si>
    <t>Classification of Motor Imagery EEG Signals Using Machine Learning</t>
  </si>
  <si>
    <t>https://ieeexplore.ieee.org/abstract/document/9265364</t>
  </si>
  <si>
    <t>2020 IEEE 10th International Conference on System Engineering and Technology (ICSET)</t>
  </si>
  <si>
    <t>doi: 10.1109/ICSET51301.2020.9265364</t>
  </si>
  <si>
    <t xml:space="preserve">Electroencephalography ,  Feature extraction ,  Brain modeling ,  Task analysis ,  Support vector machines ,  Data models ,  Training, Motor Imagery Classification ,  EEG ,  Machine learning ,  Linear Discriminant Analysis (LDA) ,  Common Spatial Pattern (CSP)  </t>
  </si>
  <si>
    <t>custom facepad</t>
  </si>
  <si>
    <t>Iqram Hussain; Se Jin Park</t>
  </si>
  <si>
    <t>HealthSOS: Real-time Health Monitoring System for Stroke Prognostics</t>
  </si>
  <si>
    <t>https://ieeexplore.ieee.org/stamp/stamp.jsp?tp=&amp;arnumber=9269978</t>
  </si>
  <si>
    <t>IEEE</t>
  </si>
  <si>
    <t>https://doi.org/10.1109/ACCESS.2020.3040437</t>
  </si>
  <si>
    <t>Electroencephalography, Feature extraction, Monitoring, Stroke (medical condition), Electrodes, Biomedical monitoring, Sleep, Sensor systems and applications, Brain-computer interfaces, Neuroscience</t>
  </si>
  <si>
    <t>Kunal Gupta, Jovana Lazarevic, Yun Suen Pai, and Mark Billinghurst</t>
  </si>
  <si>
    <t>AffectivelyVR: Towards VR Personalized Emotion Recognition</t>
  </si>
  <si>
    <t>https://dl.acm.org/doi/abs/10.1145/3385956.3422122</t>
  </si>
  <si>
    <t>In 26th ACM Symposium on Virtual Reality Software and Technology (VRST '20)</t>
  </si>
  <si>
    <t>https://doi.org/10.1145/3385956.3422122</t>
  </si>
  <si>
    <t>Rogerio Gabriel, Marilda M. Spindola and Marcello Chiaramonte</t>
  </si>
  <si>
    <t>Wavelets and SVM analysis applied to signals responsive to auditory and visual stimulus captured by EEG in students with ADHD</t>
  </si>
  <si>
    <t>http://scholar.google.com/scholar_url?url=http://revistasabi.fi.mdp.edu.ar/index.php/revista/article/download/356/344&amp;hl=en&amp;sa=X&amp;d=9980152827287068544&amp;ei=AOuuX5n9JdKimAGFhLnYDg&amp;scisig=AAGBfm0YGDF7e0znbVnljeUIGvZT_0J5PQ&amp;nossl=1&amp;oi=scholaralrt&amp;hist=phuwsnkAAAAJ:1324821476278215287:AAGBfm1j5tukHsbeU89cUqsrIj25mrgFmg&amp;html=</t>
  </si>
  <si>
    <t>Revista Argentina de Bioingeniería</t>
  </si>
  <si>
    <t>cognitive pattern disturbances, electroencephalography, wavelets and Morlet, SVM.</t>
  </si>
  <si>
    <t>A. F. Setiawan, A. D. Wibawa, M. H. Purnomo and W. R. Islamiyah</t>
  </si>
  <si>
    <t>Monitoring Stroke Rehabilitation Re-Learning Program using EEG Parameter: A preliminary study for developing self-monitoring system for stroke rehabilitation during new normal</t>
  </si>
  <si>
    <t>https://ieeexplore.ieee.org/document/9234239/authors</t>
  </si>
  <si>
    <t>2020 International Seminar on Application for Technology of Information and Communication (iSemantic)</t>
  </si>
  <si>
    <t>10.1109/iSemantic50169.2020.9234239</t>
  </si>
  <si>
    <t>stroke rehabilitation, electroencephalograph, statistical parameters, time-domain feature extraction, EEG analysis for stroke rehabilitation</t>
  </si>
  <si>
    <t>Browarska, N., Kawala-Sterniuk, A., Chechelski, P., &amp; Zygarlicki, J</t>
  </si>
  <si>
    <t>Analysis of brain waves changes in stressful situations based on horror game with the implementation of virtual reality and brain-computer interface system: a case study</t>
  </si>
  <si>
    <t>https://www.degruyter.com/view/journals/bams/ahead-of-print/article-10.1515-bams-2020-0050/article-10.1515-bams-2020-0050.xml</t>
  </si>
  <si>
    <t>Bio-Algorithms and Med-Systems  (published online ahead of print 2020)</t>
  </si>
  <si>
    <t>https://doi.org/10.1515/bams-2020-0050</t>
  </si>
  <si>
    <t>brain-computer interfaces; electroencephalography; games; open-BCI; virtual reality</t>
  </si>
  <si>
    <t>Manuel Olguín Muñoz, Roberta Klatzky, Junjue Wang, Padmanabhan Pillai, Mahadev Satyanarayanan, James Gross</t>
  </si>
  <si>
    <t>Impact of delayed response on Wearable Cognitive Assistance</t>
  </si>
  <si>
    <t>https://www.researchgate.net/profile/Manuel_Olguin_Munoz/publication/345065642_Impact_of_delayed_response_on_Wearable_Cognitive_Assistance/links/5f9d453b299bf1b53e547b53/Impact-of-delayed-response-on-Wearable-Cognitive-Assistance.pdf</t>
  </si>
  <si>
    <t>Wearable Cognitive Assistants (WCA), Interaction, Feedback, Behavior</t>
  </si>
  <si>
    <t>Mohamed Fawzan Hussain</t>
  </si>
  <si>
    <t>Development of an EOG Classification System for SCI Prosthetic Hand Movement</t>
  </si>
  <si>
    <t>https://www.futurescienceleaders.com/blog/2020/06/development-of-an-eog-classification-system-for-sci-prosthetic-hand-movement/</t>
  </si>
  <si>
    <t>Esteamed Journal: Year 3</t>
  </si>
  <si>
    <t>EOG, prosthetic, movement, machine learning, spinal cord injury</t>
  </si>
  <si>
    <t xml:space="preserve">Angela Vujic, Rosalind Picard. Stephanie Tong, Pattie Maes
</t>
  </si>
  <si>
    <t>Going with our Guts: Potentials of Wearable Electrogastrography (EGG) for Affect Detection</t>
  </si>
  <si>
    <t>https://dl.acm.org/doi/abs/10.1145/3382507.3418882</t>
  </si>
  <si>
    <t>Proceedings of the 2020 International Conference on Multimodal Interaction</t>
  </si>
  <si>
    <t>https://doi.org/10.1145/3382507.3418882</t>
  </si>
  <si>
    <t>Affect detection, Affective computing, electrogastrography (EGG), electrodermal activity (EDA), Wearable devices</t>
  </si>
  <si>
    <t>LaRocco John, Le Minh Dong, Paeng Dong-Guk</t>
  </si>
  <si>
    <t>A Systemic Review of Available Low-Cost EEG Headsets Used for Drowsiness Detection</t>
  </si>
  <si>
    <t>https://www.frontiersin.org/articles/10.3389/fninf.2020.553352/full</t>
  </si>
  <si>
    <t>Frontiers in Neuroinformatics</t>
  </si>
  <si>
    <t>https://doi.org/10.3389/fninf.2020.553352</t>
  </si>
  <si>
    <t>electroencephalography (EEG), drowsiness detection, low-cost, consumer EEG, fatigue detection, device portability</t>
  </si>
  <si>
    <t>Isao Sakamaki, Mahdi Tavakoli, Sandra Wiebe, Kim Adams</t>
  </si>
  <si>
    <t>Integration of an Eye Gaze Interface and BCI with Biofeedback for Human-Robot Interaction</t>
  </si>
  <si>
    <t>https://era.library.ualberta.ca/items/c00514a1-e810-4ddf-9e1b-af3a3d90c65a/view/a3552101-cd62-4d2a-991c-337d6b0e68af/Cyber%20Colloquim%20Sakamaki.pdf</t>
  </si>
  <si>
    <t>Human Interface Cyber Colloquium 2020</t>
  </si>
  <si>
    <t>10.7939/r3-n8hm-0p20</t>
  </si>
  <si>
    <t>eye tracker, eye gaze interface, brain-computer interface, human-robot interface</t>
  </si>
  <si>
    <t>A. Miladinović , M. Ajčević , G. Silveri, A. Accardo</t>
  </si>
  <si>
    <t>Performance of Dual-Augmented Lagrangian Method and Common Spatial Patterns applied in classification of Motor-Imagery BCI</t>
  </si>
  <si>
    <t>https://arxiv.org/ftp/arxiv/papers/2010/2010.10359.pdf</t>
  </si>
  <si>
    <t>GNB 2020</t>
  </si>
  <si>
    <t>brain-computer interface (BCI), electroencephalography (EEG), motor-imagery (MI)</t>
  </si>
  <si>
    <t>Dmitry Kireev, Emmanuel Okogbue, Jayanth RT, Tae-Jun Ko, Yeonwoong Jung, and Deji Akinwande</t>
  </si>
  <si>
    <t>https://arxiv.org/ftp/arxiv/papers/2010/2010.07534.pdf</t>
  </si>
  <si>
    <t>ACS Journals</t>
  </si>
  <si>
    <t>Epidermal electronics, 2D materials, Wearable electronics, Biosensor, Lab-on-skin, Healthcare monitoring, Functional materials, Electrooculography, Human-machine interfaces</t>
  </si>
  <si>
    <t>N. Gokul , M. S. Dhakshata , Mrs. G. Rathi, Dr. R. Anuradha</t>
  </si>
  <si>
    <t>Real-Time Electric Light Control using Electro-Oculogram</t>
  </si>
  <si>
    <t>http://www.proteusresearch.org/gallery/pj-2487-47-f.pdf</t>
  </si>
  <si>
    <t>Proteus Journal</t>
  </si>
  <si>
    <t>Light, Electro-Oculogram, Real-Time</t>
  </si>
  <si>
    <t>David Gaddy, Dan Klein</t>
  </si>
  <si>
    <t>Digital Voicing of Silent Speech</t>
  </si>
  <si>
    <t>https://arxiv.org/pdf/2010.02960.pdf</t>
  </si>
  <si>
    <t>EMNLP 2020</t>
  </si>
  <si>
    <t>Speech, EMG, Vocabulary, Voicing, Transcription</t>
  </si>
  <si>
    <t>Ag/AgCl Electrodes</t>
  </si>
  <si>
    <t>Brian Penchina, Avirath Sundaresan, Sean Cheong, Adrien Martel</t>
  </si>
  <si>
    <t>Deep LSTM Recurrent Neural Networkfor Anxiety Classification from EEGin Adolescents with Autism</t>
  </si>
  <si>
    <t>https://link.springer.com/chapter/10.1007/978-3-030-59277-6_21</t>
  </si>
  <si>
    <t>International Conference on Brain Informatics</t>
  </si>
  <si>
    <t>Anxiety, Autism, EEG, Deep learning, Breathing entrainment</t>
  </si>
  <si>
    <t>M. D. Novitasari, A. D. Wibawa, M. H. Purnomo, W. R. Islamiyah and A. Fatoni</t>
  </si>
  <si>
    <t>Investigating EEG Pattern During Designed-Hand Movement Tasks in Stroke Patients</t>
  </si>
  <si>
    <t>https://ieeexplore.ieee.org/abstract/document/9163680</t>
  </si>
  <si>
    <t>2020 International Seminar on Intelligent Technology and Its Applications (ISITIA)</t>
  </si>
  <si>
    <t>10.1109/ISITIA49792.2020.9163680</t>
  </si>
  <si>
    <t>EEG Analysis, Monitoring Stroke Rehabilitation, Time Domain Feature, Stroke, Rehabilitation</t>
  </si>
  <si>
    <t>S. Gul, M. F. Siddiqui and N. u. Rehman</t>
  </si>
  <si>
    <t>FPGA-Based Design for Online Computation of Multivariate Empirical Mode Decomposition</t>
  </si>
  <si>
    <t>https://ieeexplore.ieee.org/abstract/document/9159690</t>
  </si>
  <si>
    <t>IEEE Transactions on Circuits and Systems I: Regular Papers</t>
  </si>
  <si>
    <t>10.1109/TCSI.2020.3012351</t>
  </si>
  <si>
    <t>Computer architecture, Hardware, Field programmable gate arrays, Generators, Signal processing algorithms, Empirical mode decomposition, Real-time systems</t>
  </si>
  <si>
    <t>Erichsen, Christian Kuster; Dybvik, Henrikke; Steinert, Martin</t>
  </si>
  <si>
    <t>Integration of low-cost, dry-comb EEG-electrodes with a standard electrode cap for multimodal signal acquisition during human experiments</t>
  </si>
  <si>
    <t>https://www.designsociety.org/publication/42519/Integration+of+low-cost%2C+dry-comb+EEG-electrodes+with+a+standard+electrode+cap+for+multimodal+signal+acquisition+during+human+experiments</t>
  </si>
  <si>
    <t>Proceedings of NordDesign 2020, Lyngby, Denmark, 12th - 14th August 2020</t>
  </si>
  <si>
    <t>https://doi.org/10.35199/NORDDESIGN2020.19</t>
  </si>
  <si>
    <t>EEG, fNIRS, prototyping, human centred design, experimentation</t>
  </si>
  <si>
    <t>Manuel Reis Carneiro, Aníbal T. de Almeida, Mahmoud Tavakoli</t>
  </si>
  <si>
    <t>Wearable and comfortable e-textile headband for long-term acquisition of forehead EEG signals</t>
  </si>
  <si>
    <t>https://ieeexplore.ieee.org/abstract/document/9142320</t>
  </si>
  <si>
    <t>10.1109/JSEN.2020.3009629</t>
  </si>
  <si>
    <t>Conformable Electronics, E-textile, Wearable sensor, Biomonitoring, Electroencephalography, Epidermal electronics</t>
  </si>
  <si>
    <t>Ariel Guerra, Kang-Hyun Jo, Danilo Caceres, Fernando Merchan</t>
  </si>
  <si>
    <t>Real Time Operator Focus Monitoring SystemBased on a Brain-Computer Interface</t>
  </si>
  <si>
    <t>https://ieeexplore.ieee.org/abstract/document/9152264</t>
  </si>
  <si>
    <t>2020 IEEE 29th International Symposium on Industrial Electronics (ISIE)</t>
  </si>
  <si>
    <t>10.1109/ISIE45063.2020.9152264</t>
  </si>
  <si>
    <t>brain-computer interface (BCI), real time analysis,focus monitoring, digital signal processing, industrial control</t>
  </si>
  <si>
    <t>Longze Sha, Ting Chen, Yu Deng, et al.</t>
  </si>
  <si>
    <t>Hsp90 inhibitor HSP990 in very low dose upregulates EAAT2 and exerts potent antiepileptic activity</t>
  </si>
  <si>
    <t>https://www.ncbi.nlm.nih.gov/pmc/articles/PMC7381737/</t>
  </si>
  <si>
    <t>Theranostics</t>
  </si>
  <si>
    <t>10.7150/thno.44721</t>
  </si>
  <si>
    <t>Temporal lobe epilepsy, Hsp90, EAAT2, HSP990</t>
  </si>
  <si>
    <t>Naveen Senniappan Karuppusamy, Bo-Yeong Kang</t>
  </si>
  <si>
    <t>Multimodal System to Detect Driver Fatigue Using EEG, Gyroscope, and Image Processing</t>
  </si>
  <si>
    <t>https://ieeexplore.ieee.org/document/9139955</t>
  </si>
  <si>
    <t>10.1109/ACCESS.2020.3009226</t>
  </si>
  <si>
    <t>Vehicles, Fatigue, Sleep, Electroencephalography, Sensors, Gyroscopes, Biomedical monitoring, Deep neural networks, driver fatigue detection, electroencephalography module, gyroscope module, multimodal system, tensorflow, vision module</t>
  </si>
  <si>
    <t>R. Cassani, M. Moinnereau, L. Ivanescu, O. Rosanne and T. H. Falk</t>
  </si>
  <si>
    <t>Neural Interface Instrumented Virtual Reality Headsets: Toward Next-Generation Immersive Applications</t>
  </si>
  <si>
    <t>https://ieeexplore.ieee.org/abstract/document/9142156</t>
  </si>
  <si>
    <t>IEEE Systems, Man, and Cybernetics Magazine</t>
  </si>
  <si>
    <t>10.1109/MSMC.2019.2953627</t>
  </si>
  <si>
    <t>Augmented reality, Quality of experience, Distance measurement, Headphones, Time measurement, Virual reality, Neural engineering</t>
  </si>
  <si>
    <t xml:space="preserve">Jonathan Rittmo, Rickard Carlsson, Pierre Gander, Robert Lowe </t>
  </si>
  <si>
    <t>Vicarious Value Learning: Knowledge transfer through affective processing on a social differential outcomes task</t>
  </si>
  <si>
    <t>https://www.sciencedirect.com/science/article/abs/pii/S0001691820300901</t>
  </si>
  <si>
    <t xml:space="preserve">Acta Psychologica, Volume 209 </t>
  </si>
  <si>
    <t>https://doi.org/10.1016/j.actpsy.2020.103134</t>
  </si>
  <si>
    <t>Affect, Differential outcomes training, Inference, Knowledge transfer</t>
  </si>
  <si>
    <t>I. A. Pap, S. Oniga and A. Alexan</t>
  </si>
  <si>
    <t>Machine Learning EEG Data Analysis For eHealth IoT System</t>
  </si>
  <si>
    <t>https://ieeexplore.ieee.org/document/9129966</t>
  </si>
  <si>
    <t>2020 IEEE International Conference on Automation, Quality and Testing, Robotics (AQTR), Cluj-Napoca, Romania, 2020, pp. 1-4</t>
  </si>
  <si>
    <t>10.1109/AQTR49680.2020.9129966</t>
  </si>
  <si>
    <t>machine learning, brain computer interface, electroencephalography, eHealth, internet of things, telemedicine</t>
  </si>
  <si>
    <t>Duo Xu, Mohit Agarwal, Faramarz Fekri, Raghupathy Sivakumar</t>
  </si>
  <si>
    <t>Accelerating Reinforcement Learning Agent with EEG-based Implicit Human Feedback</t>
  </si>
  <si>
    <t>https://arxiv.org/abs/2006.16498</t>
  </si>
  <si>
    <t>Neural and Evolutionary Computing</t>
  </si>
  <si>
    <t>S. Vlahinić, Z. Šverko, D. Bačnar and L. Bebić</t>
  </si>
  <si>
    <t>Analyses of IR stimulation influence on EEG</t>
  </si>
  <si>
    <t>https://ieeexplore.ieee.org/abstract/document/9128824</t>
  </si>
  <si>
    <t>2020 IEEE International Instrumentation and Measurement Technology Conference (I2MTC)</t>
  </si>
  <si>
    <t>10.1109/I2MTC43012.2020.9128824</t>
  </si>
  <si>
    <t>EEG, PBM, spectrum analyses, Alpha band</t>
  </si>
  <si>
    <t>Edgar P. Torres, Edgar A. Torres, Myriam Hernández-Álvarez, Sang Guun Yoo</t>
  </si>
  <si>
    <t>Machine Learning Analysis of EEG Measurements of Stock Trading Performance</t>
  </si>
  <si>
    <t>https://link.springer.com/chapter/10.1007/978-3-030-51328-3_9</t>
  </si>
  <si>
    <t>International Conference on Applied Human Factors and Ergonomics</t>
  </si>
  <si>
    <t>https://doi.org/10.1007/978-3-030-51328-3_9</t>
  </si>
  <si>
    <t>GIS system, Partial discharges, Model defect, Convolutional neutral network</t>
  </si>
  <si>
    <t>Ting Gui, Yunlun Li, Shijun Zhang, Nan Zhang, Ying Sun, Fengzhen Liu, Qingfa Chen, Zhibo Gai</t>
  </si>
  <si>
    <t>Docosahexaenoic acid protects against palmitate-induced mitochondrial dysfunction in diabetic cardiomyopathy</t>
  </si>
  <si>
    <t>https://www.sciencedirect.com/science/article/pii/S0753332220304984</t>
  </si>
  <si>
    <t>Biomedicine &amp; Pharmacotherapy</t>
  </si>
  <si>
    <t>https://doi.org/10.1016/j.biopha.2020.110306</t>
  </si>
  <si>
    <t>Docosahexaenoic acid, Palmitic acid, Cardiac lipotoxicity, Mitochondrial function, Diabetic cardiomyopathy, Rats</t>
  </si>
  <si>
    <t>M.A. Khan, R. Das, H.K. Iversen, S. Puthusserypady</t>
  </si>
  <si>
    <t>Review on motor imagery based BCI systems for upper limb post-stroke neurorehabilitation: From designing to application</t>
  </si>
  <si>
    <t>https://www.sciencedirect.com/science/article/abs/pii/S0010482520302031</t>
  </si>
  <si>
    <t>Computers in Biology and Medicine, Journal Pre-proof</t>
  </si>
  <si>
    <t>https://doi.org/10.1016/j.compbiomed.2020.103843</t>
  </si>
  <si>
    <t>Stroke, Brain-computer interface (BCI), Motor imagery (MI), Neurorehabilitation devices, Virtual reality, Electric stimulation, Robotic assistance</t>
  </si>
  <si>
    <t>Leonard Marino, Vineetha Alluri, Ashish Kumar, et al.</t>
  </si>
  <si>
    <t>Cognitive Biometrics</t>
  </si>
  <si>
    <t>http://www.csis.pace.edu/~ctappert/srd/b6.pdf</t>
  </si>
  <si>
    <t>Proceedings of Student-Faculty Research Day, CSIS, Pace University, May 1st, 2020</t>
  </si>
  <si>
    <t>—Cognitive Biometrics, EEG, Biometrics, BrainComputer Interface, Human-Computer Interaction, Machine
Learning, Authentication</t>
  </si>
  <si>
    <t xml:space="preserve">Kenta Masui, Hirokazu Doi, Takumi Nagasawa, Norimichi Tsumura   </t>
  </si>
  <si>
    <t>Continuous estimation of emotional change using multimodal affective responses</t>
  </si>
  <si>
    <t>https://openaccess.thecvf.com/content_CVPRW_2020/papers/w19/Masui_Continuous_Estimation_of_Emotional_Change_Using_Multimodal_Affective_Responses_CVPRW_2020_paper.pdf</t>
  </si>
  <si>
    <t>CVPR 2020</t>
  </si>
  <si>
    <t>Feature extraction, heart rate, pupil dilation, biometrics</t>
  </si>
  <si>
    <r>
      <rPr>
        <rFont val="Arial"/>
        <color rgb="FF1155CC"/>
        <u/>
      </rPr>
      <t>Ultracortex Mark IV</t>
    </r>
    <r>
      <rPr>
        <rFont val="Arial"/>
        <color rgb="FF000000"/>
        <u/>
      </rPr>
      <t>,</t>
    </r>
    <r>
      <rPr>
        <rFont val="Arial"/>
        <color rgb="FF1155CC"/>
        <u/>
      </rPr>
      <t xml:space="preserve"> Gold Cup Electrodes</t>
    </r>
  </si>
  <si>
    <t>Ramirez-Quintana, J.A., Madrid-Herrera, L., Chacon-Murguia, M.I. et al.</t>
  </si>
  <si>
    <t>Brain-Computer Interface System Based on P300 Processing with Convolutional Neural Network, Novel Speller, and Low Number of Electrodes</t>
  </si>
  <si>
    <t>Cognitive Computation (2020)</t>
  </si>
  <si>
    <t>P300 wave, Event-related potential, Brain-computer interface, EEG signal processing, Convolutional neural networks</t>
  </si>
  <si>
    <t>de Oliveira W.C., Gottardo E., Pimentel A.R</t>
  </si>
  <si>
    <t>Changes of Affective States in Intelligent Tutoring System to Improve Feedbacks Through Low-Cost and Open Electroencephalogram and Facial Expression</t>
  </si>
  <si>
    <t>https://link.springer.com/chapter/10.1007/978-3-030-49663-0_8</t>
  </si>
  <si>
    <t>Intelligent Tutoring Systems. ITS 2020. Lecture Notes in Computer Science, vol 12149</t>
  </si>
  <si>
    <t>https://doi.org/10.1007/978-3-030-49663-0_8</t>
  </si>
  <si>
    <t xml:space="preserve">Intelligent Tutoring System, Affective states, Feedbacks, EEG, Brain-computer interface, Facial expressions </t>
  </si>
  <si>
    <r>
      <rPr>
        <rFont val="Arial"/>
        <color rgb="FF1155CC"/>
        <u/>
      </rPr>
      <t>Ultracortex Mark IV</t>
    </r>
    <r>
      <rPr>
        <rFont val="Arial"/>
        <color rgb="FF000000"/>
      </rPr>
      <t xml:space="preserve">,  </t>
    </r>
    <r>
      <rPr>
        <rFont val="Arial"/>
        <color rgb="FF1155CC"/>
        <u/>
      </rPr>
      <t>Myoware Muscle Sensor</t>
    </r>
  </si>
  <si>
    <t>Evangelos Niforatos, Athanasios Vourvopoulos, Michail Giannakos</t>
  </si>
  <si>
    <t>Endowing Head-Mounted Displays with Physiological Sensing for Augmenting Human Learning and Cognition</t>
  </si>
  <si>
    <t>http://ceur-ws.org/Vol-2610/paper10.pdf</t>
  </si>
  <si>
    <t>10th International Conference on Learning Analytics &amp; Knowledge (LAK20)</t>
  </si>
  <si>
    <t>Head-Mounted  Displays,  Electroencephalography,  Brain-Computer  Interfaces, Neuroadaptive Systems</t>
  </si>
  <si>
    <t>J. Khan, M. U. G. Khan, R. Iqbal and O. Riaz</t>
  </si>
  <si>
    <t>Robust Multi-sensor Fusion for the Development of EEG Controlled Vehicle</t>
  </si>
  <si>
    <t>https://ieeexplore.ieee.org/abstract/document/9086518</t>
  </si>
  <si>
    <t>10.1109/JSEN.2020.2992714.</t>
  </si>
  <si>
    <t>autonomous vehicle, canonical correlation analysis,  electroencephalogram, low-level  navigation control system, sensornetwork,sensor fusion, steady-state visual evoked potential, SSVEP</t>
  </si>
  <si>
    <t>Francisco Laport, Adriana Dapena, Paula M. Castro, Francisco J. Vazquez-Araujo and Daniel Iglesia</t>
  </si>
  <si>
    <t>A Prototype of EEG System for IoT</t>
  </si>
  <si>
    <t>https://www.worldscientific.com/doi/abs/10.1142/S0129065720500185</t>
  </si>
  <si>
    <t xml:space="preserve">International Journal of Neural Systems, Vol. 30, No. 7 (2020) </t>
  </si>
  <si>
    <t>https://doi.org/10.1142/S0129065720500185</t>
  </si>
  <si>
    <t>Electroencephalography, Internet of Things, IOT, prototype, signal processing</t>
  </si>
  <si>
    <t>Sikender Gul, Muhammad Faisal Siddiqui, Naveed Ur Rehman</t>
  </si>
  <si>
    <t>FPGA based design for online computation of Multivariate EMD (MEMD)</t>
  </si>
  <si>
    <t>https://arxiv.org/abs/2005.11413</t>
  </si>
  <si>
    <t xml:space="preserve">(Preprint) Electrical Engineering and Systems Science </t>
  </si>
  <si>
    <t>https://arxiv.org/pdf/2005.11413.pdf</t>
  </si>
  <si>
    <t>Multivariate  signals,  multivariate  empiricalmode decomposition, FPGA, time frequency methods</t>
  </si>
  <si>
    <t>Jeong, D.-H.; Jeong, J.</t>
  </si>
  <si>
    <t xml:space="preserve">In-Ear EEG Based Attention State Classification Using Echo State Network </t>
  </si>
  <si>
    <t>https://www.mdpi.com/2076-3425/10/6/321</t>
  </si>
  <si>
    <t>Brain Sciences 2020, 10, 321</t>
  </si>
  <si>
    <t>https://doi.org/10.3390/brainsci10060321</t>
  </si>
  <si>
    <t>In-ear EEG; echo state network (ESN); attention monitoring; vigilance task</t>
  </si>
  <si>
    <t>Martínez-Cerveró, J.; Ardali, M.K.; Jaramillo-Gonzalez, A.; Wu, S.; Tonin, A.; Birbaumer, N.; Chaudhary, U.</t>
  </si>
  <si>
    <t>Open Software/Hardware Platform for Human-Computer Interface Based on Electrooculography (EOG) Signal Classification</t>
  </si>
  <si>
    <t>https://www.mdpi.com/1424-8220/20/9/2443/htm</t>
  </si>
  <si>
    <t>Sensors 2020, 20(9), 2443</t>
  </si>
  <si>
    <t>https://doi.org/10.3390/s20092443</t>
  </si>
  <si>
    <t>electrooculography (EOG); Human-Computer Interface (HCI); Support Vector Machine (SVM)</t>
  </si>
  <si>
    <t>Daniel Schlör, Albin Zehe, Konstantin Kobs, Blerta Veseli, Franziska Westermeier, Larissa Brübach, Daniel Roth, Marc Erich Latoschik, Andreas Hotho</t>
  </si>
  <si>
    <t>Improving Sentiment Analysis with Biofeedback Data</t>
  </si>
  <si>
    <t>https://www.aclweb.org/anthology/2020.onion-1.5/</t>
  </si>
  <si>
    <t>Proceedings of LREC2020 Workshop "People in language, vision and the mind" (ONION2020)</t>
  </si>
  <si>
    <t>sentiment detection, brain-computer-interface, bio-sensing, affective computin</t>
  </si>
  <si>
    <t>Josh Andres, m.c. Schraefel , Nathan Semertzidis, Brahmi Dwivedi, Yutika C Kulwe, Juerg von Kaenel , Florian ‘Floyd’ Mueller</t>
  </si>
  <si>
    <t xml:space="preserve">Introducing Peripheral Awareness as a Neurological State for Human-Computer Integration </t>
  </si>
  <si>
    <t>https://dl.acm.org/doi/pdf/10.1145/3313831.3376128</t>
  </si>
  <si>
    <t xml:space="preserve">CHI '20, April 25–30, 2020, Honolulu, HI, USA © 2020 Association for Computing Machinery. </t>
  </si>
  <si>
    <t>Author KeywordsHuman-computer-Integration; human-system partnership; Inbodied interaction; peripheral awareness. CSS Concepts• Human-centered computing → Human computer interaction (HCI) → Interaction paradigms • Embedded and cyber-physical systems → Sensors and actuators</t>
  </si>
  <si>
    <t>Exertion Games Lab, Faculty of Information Technology, Monash University, AUS. ² IBM Research. ³ WellthLab, Southampton University, UK</t>
  </si>
  <si>
    <t>Victoria Peterson, Catalina Galván, Hugo Hernández, Ruben Spies</t>
  </si>
  <si>
    <t>A feasibility study of a complete low-cost consumer-grade brain-computer interface system</t>
  </si>
  <si>
    <t>https://www.sciencedirect.com/science/article/pii/S240584402030270X</t>
  </si>
  <si>
    <t>Heliyon, Volume 6, Issue 3, March 2020, e03425</t>
  </si>
  <si>
    <t>https://doi.org/10.1016/j.heliyon.2020.e03425</t>
  </si>
  <si>
    <t>Biomedical engineering, Brain-computer interfaces, Consumer-grade EEG, motor imagery, Open-source software</t>
  </si>
  <si>
    <t>Lindsey Power, Heather F Neyedli, Shaun G Boe, and Timothy Bardouille</t>
  </si>
  <si>
    <t>Efficacy of low-cost wireless neurofeedback to modulate brain activity during motor imagery</t>
  </si>
  <si>
    <t>https://iopscience.iop.org/article/10.1088/2057-1976/ab872c/meta</t>
  </si>
  <si>
    <t>Biomedical Physics &amp; Engineering Express, Volume 6, Number 3</t>
  </si>
  <si>
    <t>https://doi.org/10.1088/2057-1976/ab872c</t>
  </si>
  <si>
    <t>M. A. Romero-Laiseca, D. Delisle-Rodriguez, V. Cardoso, D. Gurve, F. Loterio, J. H. Posses Nascimento, S. Krishnan, A. Frizera-Neto, T. Bastos-Filho</t>
  </si>
  <si>
    <t>A Low-Cost Lower-Limb Brain-Machine Interface Triggered by Pedaling Motor Imagery for Post-Stroke Patients Rehabilitation</t>
  </si>
  <si>
    <t>https://ieeexplore.ieee.org/document/8999731</t>
  </si>
  <si>
    <t xml:space="preserve">IEEE Transactions on Neural Systems and Rehabilitation Engineering ( Volume: 28 , Issue: 4 , April 2020 ) 
</t>
  </si>
  <si>
    <t>https://doi.org/10.1109/TNSRE.2020.2974056</t>
  </si>
  <si>
    <t xml:space="preserve">Brain-computer interface, brain-machine interface, lower-limb rehabilitation, motor imagery, pedaling, stroke
</t>
  </si>
  <si>
    <t>N. Kaongoen and S. Jo</t>
  </si>
  <si>
    <t>An Ear-EEG-based Brain-Computer Interface using Concentration Level for Control</t>
  </si>
  <si>
    <t>https://ieeexplore.ieee.org/abstract/document/9061652</t>
  </si>
  <si>
    <t>2020 8th International Winter Conference on Brain-Computer Interface (BCI) Gangwon, Korea (South), 2020, pp. 1-4.</t>
  </si>
  <si>
    <t>https://doi.org/10.1109/BCI48061.2020.9061652</t>
  </si>
  <si>
    <t>Electroencephalography, Electrodes, Ear, Tools, Brain-computer interfaces, Data acquisition, Electrolytes, Brain-Computer Interface, Ear-EEG, Concentration level</t>
  </si>
  <si>
    <t>E. J. S. González and K. McMullen</t>
  </si>
  <si>
    <t>The Design of an Algorithmic Modal Music Platform for Eliciting and Detecting Emotion</t>
  </si>
  <si>
    <t>https://ieeexplore.ieee.org/abstract/document/9061664</t>
  </si>
  <si>
    <r>
      <rPr>
        <rFont val="Arial"/>
        <i/>
      </rPr>
      <t>2020 8th International Winter Conference on Brain-Computer Interface (BCI)</t>
    </r>
    <r>
      <rPr>
        <rFont val="Arial"/>
      </rPr>
      <t>, Gangwon, Korea (South), 2020, pp. 1-3.</t>
    </r>
  </si>
  <si>
    <t>https://doi.org/10.1109/BCI48061.2020.9061664</t>
  </si>
  <si>
    <t>Electroencephalography, Music, Brain modeling, Brain-computer interfaces, Affective computing, Tools, affective, emotions, electroencephalography, recognition, music, EEG, BCI, brain-computer interface</t>
  </si>
  <si>
    <t>Kunal Gupta, Kunal Gupta, Yun Suen Pai, Andreas Duenser, Martin Lochner, Mark Billinghurst</t>
  </si>
  <si>
    <t>Measuring Human Trust in a Virtual Assistant using Physiological Sensing in Virtual Reality</t>
  </si>
  <si>
    <t>https://conferences.computer.org/vr-tvcg/2020/pdfs/VR2020-2f8MzUJjtCXG6Ue9RYFSN2/560800a756/560800a756.pdf</t>
  </si>
  <si>
    <t>2020 IEEE Conference on Virtual Reality and 3D User Interfaces (VR)</t>
  </si>
  <si>
    <t>DOI 10.1109/VR46266.2020.000-5</t>
  </si>
  <si>
    <t>H.5.2 [User Interfaces]: Evaluation/methodology;H.1.2 [User/Machine Systems]: Human factors; H.5.1 [InformationInterfaces and Presentation]: Multimedia Information Systems—Artificial, augmented, and virtual realities</t>
  </si>
  <si>
    <t>https://www.youtube.com/watch?v=cwbw7Pt5eDs</t>
  </si>
  <si>
    <t>Sung-Woo Kim ; Kwangmuk Lee ; Junyeong Yeom ; Tae-Hoon Lee ; Don-Han Kim ; Jae Joon Kim</t>
  </si>
  <si>
    <t>Wearable Multi-Biosignal Analysis Integrated Interface With Direct Sleep-Stage Classification</t>
  </si>
  <si>
    <t>https://ieeexplore.ieee.org/document/9025032?dld=b3BlbmJjaS5jb20%3D</t>
  </si>
  <si>
    <t>IEEE Access ( Volume: 8 )</t>
  </si>
  <si>
    <t>https://doi.org/10.1109/ACCESS.2020.2978391</t>
  </si>
  <si>
    <t>Sleep, Electroencephalography, Monitoring, Feature extraction, Electromyography, Electrooculography, Biomedical monitoring, Sleep-stage classification, multi-biosignal interface, rule-based decision tree, feature extraction stage, readout integrated circuit, wearable device</t>
  </si>
  <si>
    <t>Lindsey Power, Heather F. Neyedli, Shaun G. Boe, and Tim Bardouille</t>
  </si>
  <si>
    <t>Biomedical Physics &amp; Engineering Express</t>
  </si>
  <si>
    <t>Iveth  Moreno, Emmanuel  Batista, Sofía Serracín, José Serracín</t>
  </si>
  <si>
    <t>SSVEP Offline Analysis Procedures for Low Cost BCI Systems</t>
  </si>
  <si>
    <t>https://dl.acm.org/doi/abs/10.1145/3374587.3374636</t>
  </si>
  <si>
    <t>CSAI2019: Proceedings of the 2019 3rd International Conference on Computer Science and Artificial Intelligence, December 2019,  Pages   59–63</t>
  </si>
  <si>
    <t>https://doi.org/10.1145/3374587.3374636</t>
  </si>
  <si>
    <t>Usability testing; SSVEP; Human computer interaction (HCI); Brain computer interface; BCI; electroencephalographic signals; SSVEP; low-cost; linear discriminant analysis; multivariate synchronization index</t>
  </si>
  <si>
    <t>Tseghai, Granch Berhe &amp; Malengier, B. &amp; Fante, Kinde &amp; Nigusse, Abreha &amp; Van Langenhove, Lieva</t>
  </si>
  <si>
    <t>Development of a Flex and Stretchy Conductive Cotton Fabric Via Flat Screen Printing of PEDOT:PSS/PDMS Conductive Polymer Composite.</t>
  </si>
  <si>
    <t>https://www.researchgate.net/publication/340072194_Development_of_a_Flex_and_Stretchy_Conductive_Cotton_Fabric_Via_Flat_Screen_Printing_of_PEDOTPSSPDMS_Conductive_Polymer_Composite</t>
  </si>
  <si>
    <t>Sensors. 20. 1742</t>
  </si>
  <si>
    <t>10.3390/s20061742</t>
  </si>
  <si>
    <t xml:space="preserve"> conductive polymer composite; PEDOT:PSS; ﬂexible electronics; wearable application; wearables;</t>
  </si>
  <si>
    <t>Ultracortex Mark IV EEG Headset</t>
  </si>
  <si>
    <t>Verma A., Tripathi A., Choudhury T.</t>
  </si>
  <si>
    <t>Implementing Brain–Machine Interface (BMI) with Smart Computing</t>
  </si>
  <si>
    <t>https://link.springer.com/chapter/10.1007/978-981-15-2449-3_5</t>
  </si>
  <si>
    <t>Computational Intelligence in Pattern Recognition. Advances in Intelligent Systems and Computing, vol 1120</t>
  </si>
  <si>
    <t>https://doi.org/10.1007/978-981-15-2449-3_5</t>
  </si>
  <si>
    <t xml:space="preserve">Brain–machine interface, EEG, OpenBCI, Cloud server, Machine learning, Support vector machine, Smart computing IoT </t>
  </si>
  <si>
    <t>Ekansh Gupta, Mohit Agarwal, R. Sivakumar</t>
  </si>
  <si>
    <t>Blink to Get In: Biometric Authentication for Mobile Devices using EEG Signals</t>
  </si>
  <si>
    <t>https://www.semanticscholar.org/paper/Blink-to-Get-In%3A-Biometric-Authentication-for-using-Gupta-Agarwal/c61ce3c1561536576569dc757fd543cc0520598b</t>
  </si>
  <si>
    <t>EEG,  blink,  authentication,  biometric</t>
  </si>
  <si>
    <t>Chia-Feng Lu ; Sheng-Jia Tsai ; Chun Hsiao ; Han-Mei Lu ; Chi-Wen Jao ; Po-Shan Wang ; Yu-Te Wu</t>
  </si>
  <si>
    <t>Consistency of Motor-Imagery Frequency Band is Associated with the Performance of Real-Time Brain Computer Interface</t>
  </si>
  <si>
    <t>https://ieeexplore.ieee.org/document/9024354/keywords#keywords</t>
  </si>
  <si>
    <t>2019 International Automatic Control Conference (CACS)</t>
  </si>
  <si>
    <t>10.1109/CACS47674.2019.9024354</t>
  </si>
  <si>
    <t>Electroencephalography, Bars, Training, Electrodes, Brain modeling, Frequency response, Biophotonics, brain computer interface, motor imagery, electroencephalography, frequency band, classification</t>
  </si>
  <si>
    <t>Audette, William &amp; Bieszczad, Jerry &amp; Allen, Lindsay &amp; Diamond, Solomon &amp; Kynor, David</t>
  </si>
  <si>
    <t>Design and Demonstration of a Head Phantom for Testing of Electroencephalography (EEG) Equipment</t>
  </si>
  <si>
    <t>https://www.researchgate.net/publication/339697951_Design_and_Demonstration_of_a_Head_Phantom_for_Testing_of_Electroencephalography_EEG_Equipment</t>
  </si>
  <si>
    <t xml:space="preserve">DOI 10.13140/RG.2.2.12078.25920. </t>
  </si>
  <si>
    <t>EEG, electroencephalography, phantom heads, calibration, head phantom</t>
  </si>
  <si>
    <t>Kapgate D., Kalbande D., Shrawankar U.</t>
  </si>
  <si>
    <t>Optimization of External Stimulus Features for Hybrid Visual Brain–Computer Interface</t>
  </si>
  <si>
    <t>https://link.springer.com/chapter/10.1007/978-981-15-1286-5_42#citeas</t>
  </si>
  <si>
    <t xml:space="preserve"> International Conference on Innovative Computing and Communications. Advances in Intelligent Systems and Computing, vol 1087</t>
  </si>
  <si>
    <t xml:space="preserve">Hybrid brain–computer interface, Stimulus features, Visual-evoked potential’s amplitude, Optimization, SSVEP, P300, event-related potentials
</t>
  </si>
  <si>
    <t>Magnus Thorstensen</t>
  </si>
  <si>
    <t>Brain Computer Interface with Convolutional Neural Networks</t>
  </si>
  <si>
    <t>https://www.duo.uio.no/bitstream/handle/10852/73309/1/Master-thesis---Magnus-Thorstensen.pdf</t>
  </si>
  <si>
    <t xml:space="preserve">Thesis submitted for the degree of Master in Robotics and Intelligent Systems
UNIVERSITY OF OSLO
</t>
  </si>
  <si>
    <t>Nathan Semertzidis, Michaela Scary, Josh Andres, Brahmi Dwivedi, Yutika Chandrashekhar Kulwe, Fabio Zambetta, Florian ‘Floyd’ Mueller</t>
  </si>
  <si>
    <t xml:space="preserve">Neo-Noumena: Augmenting Emotion Communication </t>
  </si>
  <si>
    <t>https://exertiongameslab.org/wp-content/uploads/2020/02/neo-noumena_chi2020.pdf</t>
  </si>
  <si>
    <t xml:space="preserve">CHI 2020 Paper CHI 2020, April 25–30, 2020, Honolulu, HI, USA </t>
  </si>
  <si>
    <t xml:space="preserve">Emotion Communication; Mixed Reality; Brain-Computer
Interfacing; Emotion Recognition; EEG; Machine Learning
CSS Concepts
• Human-centered computing • Applied computing </t>
  </si>
  <si>
    <t>Qingqing Li , Penghui Dong and Jun Zheng</t>
  </si>
  <si>
    <t>Enhancing the Security of Pattern Unlock with Surface EMG-Based Biometrics</t>
  </si>
  <si>
    <t>https://www.mdpi.com/2076-3417/10/2/541</t>
  </si>
  <si>
    <t xml:space="preserve"> biometrics; sEMG; pattern unlock; time domain feature; one-class classification</t>
  </si>
  <si>
    <t>Cyton /Ganglion</t>
  </si>
  <si>
    <t>Izabela Rejer, Łukasz Cieszynski</t>
  </si>
  <si>
    <t>RVEB—An algorithm for recognizing voluntary eye blinks based on the signal recorded from prefrontal EEG channels</t>
  </si>
  <si>
    <t>https://www.sciencedirect.com/science/article/abs/pii/S174680942030032X</t>
  </si>
  <si>
    <t>Biomedical Signal Processing and Control Volume 59, May 2020, 101876</t>
  </si>
  <si>
    <t>EOG activity, EEG signal, Human-machine interface, Eye blinks, Blinking patterns recognition</t>
  </si>
  <si>
    <t>M Agarwal, R Sivakumar</t>
  </si>
  <si>
    <t>Charge for a whole day:Extending Battery Life for BCIWearables using a Lightweight Wake-Up Command</t>
  </si>
  <si>
    <t>http://gnan.ece.gatech.edu/archive/agarwal-chi20.pdf</t>
  </si>
  <si>
    <t>2020 Association of Computing Machinery</t>
  </si>
  <si>
    <t>Brain-Computer Interfaces (BCIs); Wearable systems; InputTechniques; Eye Tracking; Interaction Design</t>
  </si>
  <si>
    <t>Duo Xu, Mohit Agarwal, Faramarz Fekri and Raghupathy Sivakumar</t>
  </si>
  <si>
    <t>Playing Games with Implicit Human Feedback</t>
  </si>
  <si>
    <t>http://gnan.ece.gatech.edu/archive/agarwal-aaairlg20.pdf</t>
  </si>
  <si>
    <t>Association for the Advancement of ArtificialIntelligence</t>
  </si>
  <si>
    <t>Verónica Gaviria García, Daniel Loaiza López, Carolina Serna Rojas , Sara Ríos Arismendy, Eduardo Montoya Guevara, Juan Daniel Mora Lesmes, Francisco Javier Gómez Oquendo, John Fredy Ochoa Gómez</t>
  </si>
  <si>
    <t>Assessment of changes in the electrical activity of the brain during general anesthesia using portable electroencephalography</t>
  </si>
  <si>
    <t>https://pdfs.semanticscholar.org/806e/a807e16b0424e78ee0c02a2b98b4e7a67547.pdf</t>
  </si>
  <si>
    <t>Colombian Journal of Anesthesiology</t>
  </si>
  <si>
    <t xml:space="preserve">https://doi.org/10.5554/22562087.e956 </t>
  </si>
  <si>
    <t>General anesthesia; spectrum analysis; electroencephalography; OpenBCI technology; portable technologies; propofol.</t>
  </si>
  <si>
    <t xml:space="preserve">Juan Ramírez-Quintana, Jose Macias-Macias, Alma Corral-Saenz &amp; Mario Chacon-Murguia </t>
  </si>
  <si>
    <t>Novel SSVEP Processing Method Based on Correlation and Feedforward Neural Network for embedded Brain Computer Interface</t>
  </si>
  <si>
    <t>https://link.springer.com/chapter/10.1007/978-3-030-21077-9_23</t>
  </si>
  <si>
    <t>Mexican Conference on Pattern Recognition</t>
  </si>
  <si>
    <t>https://doi.org/10.1007/978-3-030-21077-9_23</t>
  </si>
  <si>
    <t>SSVEP, brain computer interface, canonical correlation, feedforward neural network</t>
  </si>
  <si>
    <t>Ultracortex EEG Headset</t>
  </si>
  <si>
    <t>Kamila Kowalska</t>
  </si>
  <si>
    <t>Brain–computer interface for autonomous vehicles: An investigation of a hands-free control system</t>
  </si>
  <si>
    <t>https://odr.chalmers.se/server/api/core/bitstreams/25ed8397-bf27-46b4-9330-69ac1e33da2b/content</t>
  </si>
  <si>
    <t>Master’s thesis in Complex Adaptive Systems, Department of Mechanics and Maritime Sciences, CHALMERS UNIVERSITY OF TECHNOLOGY, Gothenburg, Sweden 2019</t>
  </si>
  <si>
    <t>P300, eye-tracking</t>
  </si>
  <si>
    <t>Kunal Gupta, Ryo Hajika, Yun Suen Pai, Andreas Duenser, Martin Lochner, and Mark Billinghurst</t>
  </si>
  <si>
    <t>In AI We Trust: Investigating the Relationship between Biosignals, Trust and Cognitive Load in VR</t>
  </si>
  <si>
    <t>https://doi.org/10.1145/3359996.3364276</t>
  </si>
  <si>
    <t>25th ACM Symposium on Virtual Reality Software and Technology (VRST '19)</t>
  </si>
  <si>
    <t>Non OpenBCI electrodes</t>
  </si>
  <si>
    <t>Matheus G. Mussi, Marilda M. Spindola, Patric Janner Marques</t>
  </si>
  <si>
    <t>Classification of EEG Motor Imagery signal processed in time-frequency with Convolutional Neural Network</t>
  </si>
  <si>
    <t>https://www.researchgate.net/profile/Matheus-Mussi/publication/357780881_Classification_of_EEG_Motor_Imagery_signal_processed_in_time-frequency_with_Convolutional_Neural_Network/links/61df43395c0a257a6fe35ea2/Classification-of-EEG-Motor-Imagery-signal-processed-in-time-frequency-with-Convolutional-Neural-Network.pdf</t>
  </si>
  <si>
    <t>EEG, Motor Imagery, Convolutional Neural Network, Continuous Wavelet Transform, Amputee, Leave-One-Subject-Out Cross-Validation (LOSOCV)</t>
  </si>
  <si>
    <t>Volobuev, Vitaly &amp; Turischeva, Polina &amp; Mazzara, Manuel &amp; Sahibgareev, Ruslan &amp; Saitova, Ravida &amp; Zagidullina, Aliya.</t>
  </si>
  <si>
    <t>Effect of mindfulness on improving performance of software development</t>
  </si>
  <si>
    <t>https://www.researchgate.net/publication/335752987_Effect_of_mindfulness_on_improving_performance_of_software_development</t>
  </si>
  <si>
    <t>Preprint</t>
  </si>
  <si>
    <t>http://dx.doi.org/10.13140/RG.2.2.22094.00324</t>
  </si>
  <si>
    <t>Brain-Computer Interfaces, Software Engineering, Mindfulness, Neuroscience</t>
  </si>
  <si>
    <t>Sofía Ahufinger, Paloma Balugo, María Mercedes González, Elías Pequeño, Henar González, Pilar Herrero</t>
  </si>
  <si>
    <t>A User-centered Smartphone Application for Wireless EEG and its Role in Epilepsy</t>
  </si>
  <si>
    <t>https://dialnet.unirioja.es/descarga/articulo/7016836.pdf</t>
  </si>
  <si>
    <t>International Journal of Interactive Multimedia and Artificial Intelligence</t>
  </si>
  <si>
    <t>10.9781/ijimai.2019.06.004</t>
  </si>
  <si>
    <t>Electroencephalography, Epilepsy, Smartphone Application, Usercentered Design, Wireless</t>
  </si>
  <si>
    <t>LEE, Tae-Gyu</t>
  </si>
  <si>
    <t xml:space="preserve">Data Pattern Modeling for Bio-information Processing based on OpenBCI Platform; 
OpenBCI 플랫폼 기반 생체 정보 처리를 위한 데이터 패턴 모델링
                                                </t>
  </si>
  <si>
    <t>http://www.koreascience.kr/article/JAKO201935236777417.page</t>
  </si>
  <si>
    <t xml:space="preserve">The Journal of the Convergence on Culture Technology (문화기술의 융합), Volume 5, Issue 4
                                                </t>
  </si>
  <si>
    <t>https://doi.org/10.17703/JCCT.2019.5.4.451</t>
  </si>
  <si>
    <t>Korean</t>
  </si>
  <si>
    <t xml:space="preserve">Pattern Analysis; Biometric Information; BCI; Open Platform; Open Interface
                                                                                </t>
  </si>
  <si>
    <t>Volobuev, Vitaly &amp; Maksudov, Bulat &amp; Mavridis, Nikolaos</t>
  </si>
  <si>
    <t>Person/Task discretization in brain computer interfaces based on mental task activities</t>
  </si>
  <si>
    <t>https://www.researchgate.net/publication/330675051_PersonTask_discretization_in_brain_computer_interfaces_based_on_mental_task_activities</t>
  </si>
  <si>
    <t>PRE-PRINT</t>
  </si>
  <si>
    <t>10.13140/RG.2.2.21422.56644/1</t>
  </si>
  <si>
    <t>Brain computer interfaces, Electroencephalogram,Authorization, mental task, security, biometrics</t>
  </si>
  <si>
    <t>D. E. Ugarte, D. Linares, G. Kemper and C. A. Almenara</t>
  </si>
  <si>
    <t>An Algorithm to Measure the Stress Level from EEG, EMG and HRV Signals</t>
  </si>
  <si>
    <t>https://ieeexplore.ieee.org/document/9052306</t>
  </si>
  <si>
    <t>2019 International Conference on Information Systems and Computer Science (INCISCOS), Quito, Ecuador, 2019, pp. 346-353</t>
  </si>
  <si>
    <t>https://doi.org/10.1109/INCISCOS49368.2019.00061</t>
  </si>
  <si>
    <t>EEG, EMG, HRV, stress, wavelet transform, k-NN, Baevsky stress index</t>
  </si>
  <si>
    <t>Cyton &amp; Ganglion</t>
  </si>
  <si>
    <t>X. Zhu et al.</t>
  </si>
  <si>
    <t>EEG Controlled Automated Writing Robotic Arm Based on Steady State Visually Evoked Potential"</t>
  </si>
  <si>
    <t>https://ieeexplore.ieee.org/document/9071613</t>
  </si>
  <si>
    <t>2019 IEEE International Conference on Computational Intelligence and Virtual Environments for Measurement Systems and Applications (CIVEMSA)</t>
  </si>
  <si>
    <t>https://doi.org/10.1109/CIVEMSA45640.2019.9071613</t>
  </si>
  <si>
    <t>Brain-Computer Interface, Electroencephalography (EEG), SSVEP, Robotic arm</t>
  </si>
  <si>
    <t>A. Aamer, A. Esawy, O. Swelam, T. Nabil, A. Anwar and A. Eldeib</t>
  </si>
  <si>
    <t>BCI Integrated with VR for Rehabilitation</t>
  </si>
  <si>
    <t>https://ieeexplore.ieee.org/abstract/document/9021752/</t>
  </si>
  <si>
    <t>2019 31st International Conference on Microelectronics (ICM)</t>
  </si>
  <si>
    <t>https://doi.org/10.1109/ICM48031.2019.9021752</t>
  </si>
  <si>
    <t xml:space="preserve">Feature extraction; Games; Electroencephalography; Real-time systems; Support vector machines; Virtual reality; Classification algorithms; 
                                        </t>
  </si>
  <si>
    <t>Phairot Autthasan ; Xiangqian Du ; Jetsada Arnin ; Sirakorn Lamyai ; Maneesha Perera; Sirawaj Itthipuripat; Tohru Yagi; Poramate Manoonpong; Theerawit Wilaiprasitporn</t>
  </si>
  <si>
    <t>A Single-Channel Consumer-Grade EEG Device for Brain-Computer Interface: Enhancing Detection of SSVEP and Its Amplitude Modulation</t>
  </si>
  <si>
    <t>https://ieeexplore.ieee.org/document/8926475</t>
  </si>
  <si>
    <t>Electroencephalography , Frequency modulation , Amplitude modulation , Visualization , Computers , brain-computer interfaces (BCIs) , steady-state visually evoked potentials (SSVEPs) , modulation of SSVEP amplitude , consumer-grade EEG , OpenBCI, signal to noise ratio</t>
  </si>
  <si>
    <t>Hy Do ; Vu Truong ; Kiran George ; Bhagyashree Shirke</t>
  </si>
  <si>
    <t>EEG-Based Biometrics Utilizing Image Recognition for Patient Identification</t>
  </si>
  <si>
    <t>https://ieeexplore.ieee.org/document/8992962?dld=b3BlbmJjaS5jb20%3D&amp;source=SEARCHALERT\</t>
  </si>
  <si>
    <t xml:space="preserve">2019 IEEE Ubiquitous Computing, Electronics &amp; Mobile Communication Conference (UEMCON), IEEE Annual
</t>
  </si>
  <si>
    <t>Visualization; Color; Electrodes; Electroencephalography; Communication systems; Hardware; Synchronous motors</t>
  </si>
  <si>
    <t>P. Sawangjai, S. Hompoonsup, P. Leelaarporn, S. Kongwudhikunakorn and T. Wilaiprasitporn</t>
  </si>
  <si>
    <t>Consumer grade EEG Measuring Sensors as Research Tools: A Review</t>
  </si>
  <si>
    <t>https://ieeexplore.ieee.org/abstract/document/8945233</t>
  </si>
  <si>
    <t xml:space="preserve">Consumer Grade EEG,                                      
EEG BCI, 
EEG Cognitive Study, 
EEG Education, 
EEG Gaming
                                        </t>
  </si>
  <si>
    <t>Reza Amini Gougeh, Tohid Yousefi Rezaii, Ali Farzamnia</t>
  </si>
  <si>
    <t>An Automatic Driver Assistant based on Intention Detecting Using EEG Signal</t>
  </si>
  <si>
    <t>http://imreza.ir/downloads/ID51.pdf</t>
  </si>
  <si>
    <t>THE 11TH NATIONAL TECHNICAL SEMINAR ON UNMANNED SYSTEM TECHNOLOGY 2019 (NUSYS’19)</t>
  </si>
  <si>
    <t>Intentional EEG, Driving Assistant, BCI</t>
  </si>
  <si>
    <t>Rameau, A</t>
  </si>
  <si>
    <t>Pilot study for a novel and personalized voice restoration device for patients with laryngectomy</t>
  </si>
  <si>
    <t>https://doi.org/10.1002/hed.26057</t>
  </si>
  <si>
    <t>Head &amp; Neck</t>
  </si>
  <si>
    <t>Surface electromyographic (sEMG), EMG, Electromyography, silent speech</t>
  </si>
  <si>
    <t>M. Agarwal and R. Sivakumar</t>
  </si>
  <si>
    <t>Blink: A Fully Automated Unsupervised Algorithm for Eye-Blink Detection in EEG Signals</t>
  </si>
  <si>
    <t>http://gnan.ece.gatech.edu/archive/agarwal-blink.pdf</t>
  </si>
  <si>
    <t xml:space="preserve"> 2019 57th Annual Allerton Conference on Communication, Control, and Computing</t>
  </si>
  <si>
    <t xml:space="preserve">Electrooculography, Eye Movements, Eye Blink Detection, Open Source, Blinking, Algorithms, Brain Waves, EEG, EOG
</t>
  </si>
  <si>
    <t>https://github.com/meagmohit/BLINK</t>
  </si>
  <si>
    <t>Rahak Asheri ; Vahld Rostarni ; Mohammadbagher Menhai</t>
  </si>
  <si>
    <t>The Ability to Control A Brain-Computer Interactive Game by Concentration</t>
  </si>
  <si>
    <t>https://ieeexplore.ieee.org/document/8769766</t>
  </si>
  <si>
    <t xml:space="preserve"> 2018 9th Conference on Artificial Intelligence and Robotics and 2nd Asia-Pacific International Symposium, IEEE Xplore</t>
  </si>
  <si>
    <t>Games
,
Brain-computer interfaces
,
Visualization
,
Electroencephalography
,
Real-time systems
,
Electrodes
,
Frequency-domain analysis, EEG
,
brain-computer interface (BCI)
,
OpenBCI
,
concentration
,
Cognitive game
,
Cognitive Science</t>
  </si>
  <si>
    <t>G. Florencia, S. María Sofía and C. Héctor Andrés</t>
  </si>
  <si>
    <t>SSVEP-based Brain-Computer Interface as an Input Device for an Alternative Communication System: Parameters Assessment and Case Report of Performance in a Healthy and an ALS User</t>
  </si>
  <si>
    <t>https://ieeexplore.ieee.org/abstract/document/8914572</t>
  </si>
  <si>
    <t>2019 IEEE International Conference on Systems, Man and Cybernetics (SMC)</t>
  </si>
  <si>
    <t>Faeze Asadi1*
, Bahram Kimia Ghalam1
1 Faculty of Electrical, Computer and IT Engineering, Qazvin Branch, Islamic Azad University,
Qazvin, Iran.</t>
  </si>
  <si>
    <t>Detection of Autism with Electroencephalographic Signals and Comparison with Healthy People Using Genetic Algorithm Network</t>
  </si>
  <si>
    <t>http://spre.azad.ac.ir/article_671214_cfd454802124a0cda30defd0cf5cf336.pdf</t>
  </si>
  <si>
    <t>Signal Processing and Renewable Energy
September 2019, (pp. 35-48)</t>
  </si>
  <si>
    <t>Electroencephalography, Autism disorder, Genetic Algorithms, Fitness Function, T-test.</t>
  </si>
  <si>
    <t>Audrey Aldridge, Eli Barnes, Cindy L. Bethel, Daniel W. Carruth, Marianna Kocturova, Matus Pleva, and Jozef Juhar</t>
  </si>
  <si>
    <t>Accessible Electroencephalograms (EEGs): A Comparative Review with OpenBCI’s Ultracortex Mark IV Headset</t>
  </si>
  <si>
    <t>https://ieeexplore.ieee.org/document/8733482</t>
  </si>
  <si>
    <t>2019 29th International Conference Radioelektronika (RADIOELEKTRONIKA)</t>
  </si>
  <si>
    <t>brain-computer interfaces;electroencephalography;medical signal 
processing;EEG systems;electroencephalograms;OpenBCI Ultracortex Mark IV
 EEG headset;medical-grade EEG;commercial-grade 
EEG;Headphones;Electroencephalography;Electrodes;Task 
analysis;Usability;Impedance;Head;Brain-Computer Interface 
(BCI);Electroencephalogram 
(EEG);Accessibility;Usability;Consumer-Grade;Cost-Effectiveness;P300 
Speller</t>
  </si>
  <si>
    <t>Gunawardane, Hiroshan &amp; Silva, C &amp; Chiao, Mu</t>
  </si>
  <si>
    <t>An Oculomotor Sensing Technique for Saccade Isolation of Eye Movements using OpenBCI</t>
  </si>
  <si>
    <t>https://www.researchgate.net/profile/Hiroshan_Gunawardane/publication/336903635_An_Oculomotor_Sensing_Technique_for_Saccade_Isolation_of_Eye_Movements_using_OpenBCI/links/5dba1d60a6fdcc2128f0c972/An-Oculomotor-Sensing-Technique-for-Saccade-Isolation-of-Eye-Movements-using-OpenBCI.pdf</t>
  </si>
  <si>
    <t>Conference: IEEE Sensors 2019, At Montreal, Canada</t>
  </si>
  <si>
    <t xml:space="preserve">Electrooculography, Eye Movements, Saccades, Sclera, Robotics, Signal Processing, Computer-Assisted, Ocular Motility Disorders
</t>
  </si>
  <si>
    <t>Anthony Casey, Hannan Azhar, Marek Grzes &amp; Mohamed Sakel</t>
  </si>
  <si>
    <t>BCI controlled robotic arm as assistance to the rehabilitation of neurologically disabled patients</t>
  </si>
  <si>
    <t>https://www.tandfonline.com/doi/full/10.1080/17483107.2019.1683239</t>
  </si>
  <si>
    <t xml:space="preserve">Disability and Rehabilitation: Assistive Technology,
DOI: 10.1080/17483107.2019.1683239
</t>
  </si>
  <si>
    <t>Junyi Cao, Zhongming Tian, Zhengtao Wang</t>
  </si>
  <si>
    <t>Hand Gestures Recognition Based on One-Channel Surface EMG Signal</t>
  </si>
  <si>
    <t>https://www.scirp.org/journal/paperinformation.aspx?paperid=95481</t>
  </si>
  <si>
    <t>Journal of Software Engineering and Applications, 12, 383-392.
https://doi.org/10.4236/jsea.2019.129023</t>
  </si>
  <si>
    <t>Electromyography (EMG), Gesture Recognition, Hilbert Transform, K-Nearest-Neighbors (KNN), Support Vector Machine (SVM)</t>
  </si>
  <si>
    <t>Athanasios Vourvopoulos, et al.</t>
  </si>
  <si>
    <t>EEGlass: An EEG-Eyeware Prototype for Ubiquitous Brain-Computer Interaction</t>
  </si>
  <si>
    <t>https://www.researchgate.net/publication/334812059_EEGlass_An_EEG-Eyeware_Prototype_for_Ubiquitous_Brain-Computer_Interaction</t>
  </si>
  <si>
    <t>Adjunct Proceedings of the 2019 ACM International Joint Conference on Pervasive and Ubiquitous Computing (UbiComp)</t>
  </si>
  <si>
    <t>HMD, wearable, EEG, prototype, EOG</t>
  </si>
  <si>
    <t>Shi XZ, Xu Q</t>
  </si>
  <si>
    <t>An Improved Method for Electroencephalographic Detection of Epileptic Discharge</t>
  </si>
  <si>
    <t>https://www.ncbi.nlm.nih.gov/pubmed/30837042</t>
  </si>
  <si>
    <t>Zhongguo Yi Xue Ke Xue Yuan Xue Bao</t>
  </si>
  <si>
    <t>Chinese</t>
  </si>
  <si>
    <t>Animals, Electroencephalography, Epilepsy, Kainic Acid, Mice, Mice, Inbred C57BL, Seizures</t>
  </si>
  <si>
    <t>Jenny M. Qiu, Michael A. Casey, and Solomon G. Diamond</t>
  </si>
  <si>
    <t>Assessing Feedback Response With a Wearable Electroencephalography System</t>
  </si>
  <si>
    <t>https://www.ncbi.nlm.nih.gov/pmc/articles/PMC6669939/</t>
  </si>
  <si>
    <t>Frontiers in human neuroscience vol. 13 258. 25 Jul. 2019</t>
  </si>
  <si>
    <t>EG; FRN; N2; P3; applied neuroscience; brain computer interfaces</t>
  </si>
  <si>
    <t>Lakhan, Payongkit &amp; Banluesombatkul, Nannapas &amp; Changniam, Vongsagon &amp; Dhithijaiyratn, Ratwade &amp; Leelaarporn, Pitshaporn &amp; Boonchieng, Ekkarat &amp; Hompoonsup, Supanida &amp; Wilaiprasitporn, Theerawit.</t>
  </si>
  <si>
    <t>Consumer Grade Brain Sensing for Emotion Recognition</t>
  </si>
  <si>
    <t>https://ieeexplore.ieee.org/document/8762012</t>
  </si>
  <si>
    <t>Electroencephalography, Emotion recognition, Biomedical monitoring, Feature extraction, Sensors, Brain, Prediction algorithms, Consumer grade EEG, Low-cost EEG, OpenBCI,Emotion recognition, Affective Computing</t>
  </si>
  <si>
    <t>https://iris.polito.it/retrieve/handle/11583/2726614/234787/08642836.pdf</t>
  </si>
  <si>
    <t>Luca Entremont</t>
  </si>
  <si>
    <t>Brain Computer Interfaces - A Conjunction Between Two Worlds</t>
  </si>
  <si>
    <t>https://drive.google.com/file/d/1DBtyleBGm7rpW2ac6IG_ToJ4OgyWq7k7/view?usp=sharing</t>
  </si>
  <si>
    <t xml:space="preserve">Linxing Jiang, Andrea Stocco, Darby M. Losey, Justin A. Abernethy, Chantel S. Prat &amp; Rajesh P. N. Rao </t>
  </si>
  <si>
    <t>BrainNet: A Multi-Person Brain-to-Brain Interface for Direct Collaboration Between Brains</t>
  </si>
  <si>
    <t>https://www.nature.com/articles/s41598-019-41895-7</t>
  </si>
  <si>
    <t>Nature Scientific Reports 2019 vol: 9 (1) pp: 6115</t>
  </si>
  <si>
    <t xml:space="preserve"> BrainNet, Transcranial Magnetic Stimulation, Reproducibility of Results, Occipital Lobe, Electroencephalography, Problem Solving, Brain, Internet, Social Support, Research Subjects</t>
  </si>
  <si>
    <t>Brenda E.Olivas-PadillaMario I.Chacon-Murguia</t>
  </si>
  <si>
    <t>Classification of multiple motor imagery using deep convolutional neural networks and spatial filters</t>
  </si>
  <si>
    <t>https://www.sciencedirect.com/science/article/pii/S156849461830663X</t>
  </si>
  <si>
    <t>Applied Soft Computing, Volume 75, February 2019, Pages 461-472</t>
  </si>
  <si>
    <t>Brain–Computer Interface (BCI)Electroencephalogram (EEG)Motor imagery (MI)Multi-class classificationConvolutional neural network (CNN)</t>
  </si>
  <si>
    <t>McGill University Neurotech</t>
  </si>
  <si>
    <t>https://github.com/NTX-McGill/NeuroTechX-McGill-2019</t>
  </si>
  <si>
    <t>Nick Merrill, Max T. Curran, Swapan Gandhi, and John Chuang</t>
  </si>
  <si>
    <t>One-Step, Three-Factor Passthrough Authentication With Custom-Fit, In-Ear EEG</t>
  </si>
  <si>
    <t>https://www.frontiersin.org/articles/10.3389/fnins.2019.00354/full</t>
  </si>
  <si>
    <t>Front. Neurosci., 30 April 2019 | https://doi.org/10.3389/fnins.2019.00354</t>
  </si>
  <si>
    <t>Gaetano D. Gargiulo 1,2,* OrcID, Paolo Bifulco 3OrcID, Mario Cesarelli 3, Alistair McEwan 4, Armin Nikpour 5, Craig Jin 4, Upul Gunawardana 2, Neethu Sreenivasan 2, Andrew Wabnitz 1 and Tara J. Hamilton 6OrcID</t>
  </si>
  <si>
    <t>Fully Open-Access Passive Dry Electrodes BIOADC: Open-Electroencephalography (EEG) Re-Invented</t>
  </si>
  <si>
    <t>https://www.mdpi.com/1424-8220/19/4/772</t>
  </si>
  <si>
    <t>Sensors 2019</t>
  </si>
  <si>
    <t>Rossana Terracciano ; Alessandro Sanginario ; Simona Barbero ; Davide Putignano ; Lorenzo Canavese</t>
  </si>
  <si>
    <t>Pattern-Reversal Visual Evoked Potential on Smart Glasses</t>
  </si>
  <si>
    <t>https://ieeexplore.ieee.org/abstract/document/8642836</t>
  </si>
  <si>
    <t xml:space="preserve">IEEE Journal of Biomedical and Health Informatics </t>
  </si>
  <si>
    <t>VEP. Android, Smart glasses</t>
  </si>
  <si>
    <t>Julia M Juliano, Ryan P Spicer, Stephanie Lefebvre, Kay Jann, Tyler Ard, Emiliano Santarnecchi, David M Krum, Sook-Lei Liew</t>
  </si>
  <si>
    <t>Embodiment improves performance on an immersive brain computer interface in head-mounted virtual reality</t>
  </si>
  <si>
    <t>https://www.biorxiv.org/content/10.1101/578682v1.full</t>
  </si>
  <si>
    <t>Cold Spring Harbor Laboratory BioRxiv</t>
  </si>
  <si>
    <t>sensorimotor, motor cortex</t>
  </si>
  <si>
    <t>Olivier Valentin  ; Mikaël Ducharme ; Gabrielle Crétot-Richert ; Hami Monsarrat-Chanon ; et al.</t>
  </si>
  <si>
    <t>Validation and Benchmarking of a Wearable EEG Acquisition Platform for Real-World Applications</t>
  </si>
  <si>
    <t>https://ieeexplore.ieee.org/abstract/document/8492430/metrics#metrics</t>
  </si>
  <si>
    <t xml:space="preserve"> IEEE Transactions on Biomedical Circuits and Systems ( Volume: 13 , Issue: 1 , Feb. 2019 )</t>
  </si>
  <si>
    <t>José M. Macías Macías, Juan A. Ramírez Quintana, Alma D. Corral Sáenz, Mario I. Chacón Murguía</t>
  </si>
  <si>
    <t>Detección de la onda P300 con red neuronal convolucional implementada en sistema embebido portable</t>
  </si>
  <si>
    <t>http://electro.itchihuahua.edu.mx/revista/2018/PDS-5_C.pdf</t>
  </si>
  <si>
    <t>Congr. Int. en Ing. Electrónica. Mem. ELECTRO</t>
  </si>
  <si>
    <t>Brain computer interface, OpenBCI, Raspberry Pi, P300, convolutional neural networks.</t>
  </si>
  <si>
    <t>Yang Shi ; Fangyu Li ; Tianming Liu ; Fred R. Beyette ; WenZhan Song</t>
  </si>
  <si>
    <t>Dynamic Time-frequency Feature Extraction for Brain Activity Recognition</t>
  </si>
  <si>
    <t>https://www.ncbi.nlm.nih.gov/pubmed/30441051</t>
  </si>
  <si>
    <t>Conf Proc IEEE Eng Med Biol Soc. 2018 Jul;2018:3104-3107. doi: 10.1109/EMBC.2018.8512914.</t>
  </si>
  <si>
    <t>Algorithms, Brain, Electroencephalography, Imagery (Psychotherapy), Signal Processing, Computer-Assisted</t>
  </si>
  <si>
    <t>Qaseem Ramzan1,2* and Stanislav Shidlovskiy1</t>
  </si>
  <si>
    <t>Evolution of the Brain Computing Interface (BCI) and Proposed Electroencephalography (EEG) Signals Based Authentication Model</t>
  </si>
  <si>
    <t>https://www.matec-conferences.org/articles/matecconf/abs/2018/14/matecconf_imet2018_01006/matecconf_imet2018_01006.html</t>
  </si>
  <si>
    <t>MATEC Web Conf.Volume 155, 2018</t>
  </si>
  <si>
    <t>https://www.matec-conferences.org/articles/matecconf/pdf/2018/14/matecconf_imet2018_01006.pdf</t>
  </si>
  <si>
    <t>Umar Asif, Jianbin Tang, Stefan Harrer</t>
  </si>
  <si>
    <t>GraspNet: An Efficient Convolutional Neural Network for Real-time Grasp Detection for Low-powered Devices</t>
  </si>
  <si>
    <t>https://www.ibm.com/blogs/research/2018/07/bionics-real-life/</t>
  </si>
  <si>
    <t>IJCAI International Joint Conferences on Artificial Intelligence Organization</t>
  </si>
  <si>
    <t>neurobionics, robotics, bionics, limb control, EEG prosthetic</t>
  </si>
  <si>
    <t>Lei Zhang  Yikai Shi  Wendong Wang  Yang Chu  Xiaoqing Yuan</t>
  </si>
  <si>
    <t>Real‐time and user‐independent feature classification of forearm using EMG signals</t>
  </si>
  <si>
    <t>https://onlinelibrary.wiley.com/doi/full/10.1002/jsid.749</t>
  </si>
  <si>
    <t>Journal of Society for Information Display</t>
  </si>
  <si>
    <t>EMG, Classifiers</t>
  </si>
  <si>
    <t>Yue Han, Yihe Ma, Lingkai Zhu, Yanpeng Zhang, Li Li, Wei Zheng, Junshan Guo, Yongqiang Che</t>
  </si>
  <si>
    <t>Study on Mind Controlled Robotic Arms by Collecting and Analyzing Brain Alpha Waves</t>
  </si>
  <si>
    <t>https://www.atlantis-press.com/proceedings/ammsa-18/25898286</t>
  </si>
  <si>
    <t>2018 2nd International Conference on Applied Mathematics, Modelling and Statistics Application (AMMSA 2018)</t>
  </si>
  <si>
    <t>mind controlled; robotic arms; brain alpha waves</t>
  </si>
  <si>
    <t>Michael McMahon ; Michael Schuka</t>
  </si>
  <si>
    <t>A low-Cost, Open-Source, BCI- VR Game Control Development Environment Prototype for Game Based Neurorehabilitation</t>
  </si>
  <si>
    <t>https://ieeexplore.ieee.org/abstract/document/8516468/keywords#keywords</t>
  </si>
  <si>
    <t>2018 IEEE Games, Entertainment, Media Conference (GEM)</t>
  </si>
  <si>
    <t>brain-computer interfaces , computer games , electroencephalography , medical signal processing , neurophysiology , patient rehabilitation , virtual reality</t>
  </si>
  <si>
    <t>Mark O'Sullivan, Emanuel Popovici, Andrea Bocchino, Conor O'Mahony, Geraldine Boylan, Andriy Temko</t>
  </si>
  <si>
    <t>System Level Framework for Assessing the Accuracy of Neonatal EEG Acquisition</t>
  </si>
  <si>
    <t>https://arxiv.org/pdf/1806.03045.pdf</t>
  </si>
  <si>
    <t>EMBC 2018</t>
  </si>
  <si>
    <t>EEG, low-cost comparison</t>
  </si>
  <si>
    <t>Gina M.Notaro, Solomon G.Diamond</t>
  </si>
  <si>
    <t>Simultaneous EEG, eye-tracking, behavioral, and screen-capture data during online German language learning</t>
  </si>
  <si>
    <t>https://www.sciencedirect.com/science/article/pii/S2352340918314379</t>
  </si>
  <si>
    <t>ScienceDirect</t>
  </si>
  <si>
    <t>ElectroencephalographyEEGEye-trackingMouse-trackingDuolingoNaturalistic language learningMultimodal human data</t>
  </si>
  <si>
    <t>Emmanuel Christophe, Jérémy Frey, Richard Kronland-Martinet, Jean-ArthurMicoulaud-Franchi, Jelena Mladenović, Gaëlle Mougin, Jean Vion-Dury, Sølvi Ystad, Mitsuko Aramaki</t>
  </si>
  <si>
    <t>Evaluation of a congruent auditory feedback for Motor Imagery BCI</t>
  </si>
  <si>
    <t>https://hal.inria.fr/hal-01794900v2/document</t>
  </si>
  <si>
    <t>International BCI meeting, May 2018, Asilomar, United States.</t>
  </si>
  <si>
    <t>BCI, EEG, motor imagery, auditory feedback, congruent feedback</t>
  </si>
  <si>
    <t xml:space="preserve">Dr. James Noble, MD, and Dr. Barclay Morrison III, PhD </t>
  </si>
  <si>
    <t>Cyton-based EEG Headset Prototype Used To Detect Brain Injury In Real-Time</t>
  </si>
  <si>
    <t>https://openbci.com/community/cyton-based-eeg-headset-prototype-used-to-detect-brain-injury-in-real-time/</t>
  </si>
  <si>
    <t>Columbia University</t>
  </si>
  <si>
    <t>Michael McMahon ; Michael Schukat</t>
  </si>
  <si>
    <t>A low-cost, open-source, BCI-VR prototype for real-time signal processing of EEG to manipulate 3D VR objects as a form of neurofeedback</t>
  </si>
  <si>
    <t>https://ieeexplore.ieee.org/abstract/document/8585373</t>
  </si>
  <si>
    <t>2018 29th Irish Signals and Systems Conference (ISSC)</t>
  </si>
  <si>
    <t>Event-Related Potentials, open-source, Three-dimensional displays, Electroencephalography, Prototypes, Neurofeedback, Electrodes, Feature extraction, Training, brain, brain-computer interfaces, electroencephalography, medical signal processing, neurophysiology, patient rehabilitation, virtual reality</t>
  </si>
  <si>
    <t>Linxing Jiang, Andrea Stocco, Darby M. Losey, Justin A. Abernethy, Chantel S. Prat, Rajesh P. N. Rao</t>
  </si>
  <si>
    <t>https://arxiv.org/pdf/1809.08632.pdf</t>
  </si>
  <si>
    <t>Nature Scientific Reportsvolume 9, Article number: 6115 , 2019</t>
  </si>
  <si>
    <t xml:space="preserve">	Human-Computer Interaction (cs.HC); Neurons and Cognition (q-bio.NC)</t>
  </si>
  <si>
    <t xml:space="preserve">Shideh Kabiri Ameri, Myungsoo Kim, Irene Agnes Kuang, Withanage K. Perera, Mohammed Alshiekh, Hyoyoung Jeong, Ufuk Topcu, Deji Akinwande &amp; Nanshu Lu </t>
  </si>
  <si>
    <t>Imperceptible electrooculography graphene sensor system for human–robot interface</t>
  </si>
  <si>
    <t>https://www.nature.com/articles/s41699-018-0064-4</t>
  </si>
  <si>
    <t>npj 2D Materials and Applications</t>
  </si>
  <si>
    <t>Electronic properties and devicesMechanical and structural properties and devices</t>
  </si>
  <si>
    <t>Fanny Monori, Sefan Oniga</t>
  </si>
  <si>
    <t>Processing EEG signals acquired from a consumer grade BCI device</t>
  </si>
  <si>
    <t>https://content.sciendo.com/abstract/journals/cjece/11/2/article-p29.xml</t>
  </si>
  <si>
    <t>Carpathian Journal of Electronic and Computer Engineering</t>
  </si>
  <si>
    <t>consumer grade BCI, EEG, processing, signal</t>
  </si>
  <si>
    <t>IBM Research-Australia</t>
  </si>
  <si>
    <t>Controlling Prosthetic Limbs With Thought and AI</t>
  </si>
  <si>
    <t>2018 International Joint Conference on Artificial Intelligence (IJCAI)</t>
  </si>
  <si>
    <t>motor imagery, intent, robotics, prosthetics</t>
  </si>
  <si>
    <t>Payongkit Lakhan, Nannapas Banluesombatkul, Vongsagon Changniam, Ratwade Dhithijaiyratn, Irawadee Thawornbut, Ekkarat Boonchieng, Theerawit Wilaiprasitporn</t>
  </si>
  <si>
    <t>EDOSE: Emotion Datasets from Open Source EEG with a Real-Time Bracelet Sensor</t>
  </si>
  <si>
    <t>https://arxiv.org/abs/1810.04582</t>
  </si>
  <si>
    <t>EESS.SP</t>
  </si>
  <si>
    <t>emotion recognition, low-cost, opensource, EEG, mental health</t>
  </si>
  <si>
    <t>Usman Rashid, Imran Khan Niazi, Nada Signal, and Denise Taylor</t>
  </si>
  <si>
    <t>An EEG Experimental Study Evaluating the Performance of Texas Instruments ADS1299</t>
  </si>
  <si>
    <t>https://www.mdpi.com/1424-8220/18/11/3721</t>
  </si>
  <si>
    <t>Sensors 2018, 18(11), 3721; https://doi.org/10.3390/s18113721</t>
  </si>
  <si>
    <t>ADS1299; OpenBCI Cyton V3-32; electroencephalography (EEG); movement-related cortical potential (MRCP); brain computer interface (BCI); NuAmps</t>
  </si>
  <si>
    <t>Giacomo Amela</t>
  </si>
  <si>
    <t>Novel system for detection of pattern reversal visual evoked potentials</t>
  </si>
  <si>
    <t>https://webthesis.biblio.polito.it/8023/1/tesi.pdf</t>
  </si>
  <si>
    <t>Politecnico di Torino, Corso di laurea magistrale in Ingegneria Biomedica, 2018</t>
  </si>
  <si>
    <t>pr-VEP, EEG, MATLAB, 10-20</t>
  </si>
  <si>
    <t>Ayush Raj ; S.M. Jaisakthi</t>
  </si>
  <si>
    <t>Analysis of Brain Wave Due to Stimulus Using EEG</t>
  </si>
  <si>
    <t>https://ieeexplore.ieee.org/abstract/document/8452823</t>
  </si>
  <si>
    <t xml:space="preserve"> 2018 International Conference on Computer, Communication, and Signal Processing (ICCCSP)</t>
  </si>
  <si>
    <t>Electroencephalography, Electrodes, Visualization, Support vector machines, Hardware, Prosthetics, Biological neural networks</t>
  </si>
  <si>
    <t>Davis, Josh Urban</t>
  </si>
  <si>
    <t>The Gender Generator: Towards a Machine-Empathy Interface for the Evocation of Gender Dysphoria Symptoms</t>
  </si>
  <si>
    <t>https://search.proquest.com/openview/58800a3a14a7aa1d52d1e59b78f0d16c/1?pq-origsite=gscholar&amp;cbl=18750&amp;diss=y</t>
  </si>
  <si>
    <t>Dartmouth College, ProQuest Dissertations Publishing,</t>
  </si>
  <si>
    <t>SSVEP, VEP, BCI, EEG, motor imagery</t>
  </si>
  <si>
    <t>Pablo Pelayo ; Hemamalini Murthy ; Kiran George</t>
  </si>
  <si>
    <t>Brain-Computer Interface Controlled Robotic Arm to Improve Quality of Life</t>
  </si>
  <si>
    <t>https://ieeexplore.ieee.org/abstract/document/8419405</t>
  </si>
  <si>
    <t>2018 IEEE International Conference on Healthcare Informatics (ICHI)</t>
  </si>
  <si>
    <t>Brain Computer Interface (BCI), Electroencephalography (EEG), Robotic Arm, Servos, Steady State Visual Evoked Potential (SSVEP)</t>
  </si>
  <si>
    <t>Theerawit Wilaiprasitporn et al.</t>
  </si>
  <si>
    <t>Multi-series of OpenBCI-based research</t>
  </si>
  <si>
    <t>https://scholar.google.com/citations?user=U-L-iGIAAAAJ&amp;hl=en&amp;authuser=1</t>
  </si>
  <si>
    <t>School of Information Science and Technology, Vidyasirimedhi Institute of Science and Technology</t>
  </si>
  <si>
    <t>P300, SSVEP, motor imagery, identification, neural network, emotion dataset, visual stimulation</t>
  </si>
  <si>
    <t>Brian Meneses-Claudio ; Avid Roman-Gonzalez</t>
  </si>
  <si>
    <t>Study of the Brain Waves for the identification of the Basic Needs of Patients with Amyotrophic Lateral Sclerosis</t>
  </si>
  <si>
    <t>https://ieeexplore.ieee.org/abstract/document/8584193</t>
  </si>
  <si>
    <t xml:space="preserve"> 2018 Congreso Argentino de Ciencias de la Informática y Desarrollos de Investigación (CACIDI)</t>
  </si>
  <si>
    <t>BCI OpenBCI Cyton Board Brainwaves Basic Needs Daisy Board  ALS (Amyotrophic Lateral Sclerosis).</t>
  </si>
  <si>
    <t>Differentiation of Brain Waves from the Movement of the Upper and Lower Extremities of the Human Body</t>
  </si>
  <si>
    <t>https://drive.google.com/open?id=1pTsqxYm7Q_gvsv7H1kxVfXdzGA7aYddp</t>
  </si>
  <si>
    <t>International Journal of Advanced Computer Science and Applications Jan 2018</t>
  </si>
  <si>
    <t>OpenBCI; cyton board; extremity movement; brain; wave differentiation</t>
  </si>
  <si>
    <t>Study of the Brain Waves for the differentiation of Gamers category between a Newbie and a Hardcore in the game Dota 1</t>
  </si>
  <si>
    <t>https://ieeexplore.ieee.org/abstract/document/8584340</t>
  </si>
  <si>
    <t>Games, Electrodes, Band-pass filters, Computer peripherals, Signal processing algorithms, Image processing, Bluetooth</t>
  </si>
  <si>
    <t>Jacob Knight, Lucas Vanderaa, Nadja Bressan, PhD, Emad Naseri, MSc</t>
  </si>
  <si>
    <t>THE NEURA-FEAT POWERED EXOSKELETON; DESIGN AND CONTROL</t>
  </si>
  <si>
    <t>https://proceedings.cmbes.ca/index.php/proceedings/article/view/703/697</t>
  </si>
  <si>
    <t>2018 CMBEC41 ConferenceCharlottetown PE</t>
  </si>
  <si>
    <t>AI, actuators, exoskeleton, EEG, EMG</t>
  </si>
  <si>
    <t>A. I. Martin ; C. Toledo ; J. A. Mercado ; A. Vera ; L. Leija ; J. Gutierrez</t>
  </si>
  <si>
    <t>Evaluation of dry electrodes for sEMG recording</t>
  </si>
  <si>
    <t>https://ieeexplore.ieee.org/abstract/document/8400758</t>
  </si>
  <si>
    <t>2018 Global Medical Engineering Physics Exchanges/Pan American Health Care Exchanges (GMEPE/PAHCE)</t>
  </si>
  <si>
    <t>Electrodes, Impedance, Signal to noise ratio, Frequency measurement, Skin, Impedance measurement, Frequency response, INSPEC: Controlled Indexing, biomedical electrodes, electromyography, medical signal detection, medical signal processing</t>
  </si>
  <si>
    <t>Qing Wu ; Wenbing Zhao ; Tessadori Jacopo</t>
  </si>
  <si>
    <t>Towards Objective Assessment of Movie Trailer Quality Using Human Electroencephalogram and Facial Recognition</t>
  </si>
  <si>
    <t>https://ieeexplore.ieee.org/abstract/document/8500283</t>
  </si>
  <si>
    <t>2018 IEEE International Conference on Electro/Information Technology (EIT)</t>
  </si>
  <si>
    <t>Motion pictures, Electroencephalography, Sensors, Face recognition, Webcams, Ganglia, Real-time systems, Facial Recognition, Affective Computing, Wearable Computing, EEG, Sensor Fusion</t>
  </si>
  <si>
    <t>Mark O’Sullivan, Sergi Gomez, Alison O’Shea, Eduard Salgado, Kevin Huillca, Sean Mathieson, Geraldine Boylan, Emanuel Popovici, Andriy Temko</t>
  </si>
  <si>
    <t>https://arxiv.org/pdf/1806.04037.pdf</t>
  </si>
  <si>
    <t>Neurons, cognition, machine learning, software engineering</t>
  </si>
  <si>
    <t>Suleman Aijaz Memon ; Abdul Waheed ; Toygun Başaklar ; Yusuf ziya Ider Ider</t>
  </si>
  <si>
    <t>Low-Cost Portable 4-Channel Wireless EEG Data Acquisition System for BCI Applications</t>
  </si>
  <si>
    <t>https://ieeexplore.ieee.org/abstract/document/8597134</t>
  </si>
  <si>
    <t>2018 Medical Technologies National Congress (TIPTEKNO)</t>
  </si>
  <si>
    <t>Electroencephalography, Data acquisition, Wireless fidelity, Hardware, Electrocardiography, Receivers, Real-time systems, EEG Acquisition System, Brain-Computer Interface, BCI, Wireless Monitoring, Steady-State Visual Evoked Potential, SSVEP, ECG</t>
  </si>
  <si>
    <t>Greeshma Reddy Padiri</t>
  </si>
  <si>
    <t>Using EEG to Assess Programming Expertise against Self-reported Data</t>
  </si>
  <si>
    <t>https://lib.dr.iastate.edu/cgi/viewcontent.cgi?article=1010&amp;context=creativecomponents</t>
  </si>
  <si>
    <t>Iowa State University Capstones, Theses and Dissertations</t>
  </si>
  <si>
    <t>MATLAB, EEGLAB, Electroencephalography, Emotiv Epoc, Cognitive Load, Brain Computer Interface, Signal analysis, Feature Extraction, Clustering</t>
  </si>
  <si>
    <t>https://github.com/OpenBCI</t>
  </si>
  <si>
    <t>Pei-Chi Hu ; Po-Hao Chen ; Po-Chih Kuo</t>
  </si>
  <si>
    <t>Educational Model Based on Hands-on Brain-Computer Interface: Implementation of Music Composition Using EEG</t>
  </si>
  <si>
    <t>https://ieeexplore.ieee.org/abstract/document/8616170</t>
  </si>
  <si>
    <t xml:space="preserve"> 2018 IEEE International Conference on Systems, Man, and Cybernetics (SMC)</t>
  </si>
  <si>
    <t>Electroencephalography , Brain modeling , Headphones , Standards , Electrodes , Programming profession, Brain-computer interface</t>
  </si>
  <si>
    <t>OpenBCI Board</t>
  </si>
  <si>
    <t>Krupal Sureshbai Mistry ; Pablo Pelayo ; Divya Geethakumari Anil ; Kiran George</t>
  </si>
  <si>
    <t>An SSVEP based brain computer interface system to control electric wheelchairs</t>
  </si>
  <si>
    <t>https://ieeexplore.ieee.org/abstract/document/8409632</t>
  </si>
  <si>
    <t xml:space="preserve"> 2018 IEEE International Instrumentation and Measurement Technology Conference (I2MTC)</t>
  </si>
  <si>
    <t>Brain Computer Interface (BCI), Obstacle Avoidance, Electroencephalography (EEG), Steady State Visual Evoked Potential (SSVEP), Wheelchair</t>
  </si>
  <si>
    <t>Jelena Mladenovic, Jeremy Frey, Jessica R. Cauchard</t>
  </si>
  <si>
    <t>Dišimo: Anchoring Our Breath</t>
  </si>
  <si>
    <t>https://dl.acm.org/citation.cfm?id=3186517</t>
  </si>
  <si>
    <t>CHI EA '18 Extended Abstracts of the 2018 CHI Conference on Human Factors in Computing Systems</t>
  </si>
  <si>
    <t>Human-centered computing, human computer interaction</t>
  </si>
  <si>
    <t xml:space="preserve">Eduard Salgado Burruezo </t>
  </si>
  <si>
    <t>Android Implementation of a Visualisation, Sonification and AI-Assisted Interpretation of Neonatal EEG</t>
  </si>
  <si>
    <t>https://upcommons.upc.edu/handle/2117/117722</t>
  </si>
  <si>
    <t>THESIS</t>
  </si>
  <si>
    <t>neonatal, EEG, seizure, GUI</t>
  </si>
  <si>
    <t>Rosita Rahma, Jatmika Nurhadi</t>
  </si>
  <si>
    <t>Measurement of Concentration Duration on Reading Activity: EEG Analysis with OpenBCI Ganglion Board</t>
  </si>
  <si>
    <t>https://papers.ssrn.com/sol3/papers.cfm?abstract_id=3174465</t>
  </si>
  <si>
    <t>SSRN</t>
  </si>
  <si>
    <t>reading concentration power, open brain computer interface, EEG</t>
  </si>
  <si>
    <t>Sachinthana Pathiranage ; Ishara Paranawithana ; Monty Perera ; Anjula C De Silva</t>
  </si>
  <si>
    <t>An In-depth Study of SSVEP Signals Against Stimulus Frequency and Distance to the Stimulus</t>
  </si>
  <si>
    <t>https://ieeexplore.ieee.org/abstract/document/8421897/metrics#metrics</t>
  </si>
  <si>
    <t xml:space="preserve"> 2018 Moratuwa Engineering Research Conference (MERCon)</t>
  </si>
  <si>
    <t>Visualization, Electroencephalography, Electrodes, Correlation, Finite impulse response filters, Harmonic analysis, Standards, brain signals, stimuli frequencies, SSVEP signals, steady state visually evoked potential-based BC</t>
  </si>
  <si>
    <t>Muhammad Adeel Hafeez ; Sadia Shakil ; Sobia Jangsher</t>
  </si>
  <si>
    <t>Stress Effects on Exam Performance using EEG</t>
  </si>
  <si>
    <t>https://ieeexplore.ieee.org/abstract/document/8603652/keywords#keywords</t>
  </si>
  <si>
    <t xml:space="preserve"> 2018 14th International Conference on Emerging Technologies (ICET)</t>
  </si>
  <si>
    <t>EEG, Stress, Power Spectral Density, Exam performance, electrodes, stress measurement</t>
  </si>
  <si>
    <t>User-Driven Intelligent Interface on the Basis of Multimodal Augmented Reality and Brain-Computer Interaction for People with Functional Disabilities</t>
  </si>
  <si>
    <t>https://ieeexplore.ieee.org/abstract/document/8512914</t>
  </si>
  <si>
    <t>2018 40th Annual International Conference of the IEEE Engineering in Medicine and Biology Society (EMBC)</t>
  </si>
  <si>
    <t>Feature extraction, Time-frequency analysis, Task analysis, Time-domain analysis, Mathematical model, Electroencephalography, INSPEC: Controlled Indexing, brain-computer interfaces, electroencephalography, feature extraction, medical signal processing, signal classification, time series, time-frequency analysis, wavelet transforms</t>
  </si>
  <si>
    <t>Peng Gang, Jiang Hui S. Stirenko Yu. GordienkoT. ShemsedinovO. AlieninYu. KochuraN. GordienkoA. RojbiJ. R. López BenitoE. Artetxe González</t>
  </si>
  <si>
    <t>https://link.springer.com/chapter/10.1007/978-3-030-03402-3_43</t>
  </si>
  <si>
    <t>Advances in Intelligent Systems and Computing book series (AISC, volume 886)</t>
  </si>
  <si>
    <t xml:space="preserve">Augmented reality Interfaces for accessibility Multimodal user interface Brain-computer interface eHealth Machine learning Human-to-machine interactions </t>
  </si>
  <si>
    <t>Pierce Stegman, Chris Crawford, Jeff Gray</t>
  </si>
  <si>
    <t>WebBCI: An Electroencephalography Toolkit Built on Modern Web Technologies</t>
  </si>
  <si>
    <t>https://link.springer.com/chapter/10.1007/978-3-319-91470-1_18</t>
  </si>
  <si>
    <t xml:space="preserve"> Lecture Notes in Computer Science book series (LNCS, volume 10915)</t>
  </si>
  <si>
    <t xml:space="preserve">Brain-computer interface (BCI) Electroencephalography (EEG) JavaScript </t>
  </si>
  <si>
    <t>Geesara PrathapEmail authorTitus Nanda KumaraRoshan Ragel</t>
  </si>
  <si>
    <t>Near Real-Time Data Labeling Using a Depth Sensor for EMG Based Prosthetic Arms</t>
  </si>
  <si>
    <t>https://link.springer.com/chapter/10.1007/978-3-030-01057-7_25</t>
  </si>
  <si>
    <t>IntelliSys 2018: Intelligent Systems and Applications pp 310-325</t>
  </si>
  <si>
    <t xml:space="preserve">Kinect Electromyography (EMG) Robot-arm Dynamic time warping (DTW) Singular spectrum analysis (SSA) Support vector machine (SVM) Radial basis function (RBF) Linear discriminant analysis (LDA) </t>
  </si>
  <si>
    <t>Vinay Kumar Karigar Shivappa ; Brian Luu ; Marco Solis ; Kiran George</t>
  </si>
  <si>
    <t>Home automation system using brain computer interface paradigm based on auditory selection attention</t>
  </si>
  <si>
    <t>https://ieeexplore.ieee.org/abstract/document/8409863/metrics</t>
  </si>
  <si>
    <t>Electroencephalography Home automation Electrodes Sensors Headphones Signal to noise ratio Visualization INSPEC Controlled Indexing auditory evoked potentials brain-computer interfaces Electroencephalography Headphones home automation medical signal processing neurophysiology</t>
  </si>
  <si>
    <t>S. Sridhar ; U. Ramachandraiah ; E. Sathish ; G. Muthukumaran ; P. Rajendra Prasad</t>
  </si>
  <si>
    <t>Identification of Eye Blink Artifacts Using Wireless EEG Headset for Brain Computer Interface System</t>
  </si>
  <si>
    <t>https://ieeexplore.ieee.org/abstract/document/8589911</t>
  </si>
  <si>
    <t xml:space="preserve"> 2018 IEEE SENSORS</t>
  </si>
  <si>
    <t>wireless EEG headset, Electroencephalography, Histograms, Brain-computer interfaces,  Brain, Electrodes,  Wireless communication, Headphones</t>
  </si>
  <si>
    <t>I. Sakamaki, C. E. P. del Campo, S. A. Wiebe, M. Tavakoli and K. Adams</t>
  </si>
  <si>
    <t>Assistive technology design and preliminary testing of a robot platform based on movement intention using low-cost brain computer interface</t>
  </si>
  <si>
    <t>https://ieeexplore.ieee.org/document/8122954</t>
  </si>
  <si>
    <t>I. Sakamaki, C. E. P. del Campo, S. A. Wiebe, M. Tavakoli and K. Adams, "Assistive technology design and preliminary testing of a robot platform based on movement intention using low-cost brain computer interface," 2017 IEEE International Conference on Systems, Man, and Cybernetics (SMC), Banff, AB, 2017, pp. 2243-2248.
doi: 10.1109/SMC.2017.8122954</t>
  </si>
  <si>
    <t>brain-computer interfaces;cognition;control engineering computing;electroencephalography;handicapped aids;mobile robots;signal classification;signal detection;movement intention;mobile robot control;BCI system;physical movement;motor imagery;average classification accuracies;moderate classification accuracy;robotic system;assistive technology design;preliminary testing;robot platform;low-cost brain computer interface;perceptual motor skills;cognitive motor skills;object exploration;physical world;brain computer interface research;conventional electroencephalography system;Electroencephalography;Robots;Visualization;Training;Support vector machines;Brain-computer interfaces;Assistive Technology;Brain Computer Interfaces (BCI);Event Related Desynchronization (ERD);Robot Control</t>
  </si>
  <si>
    <t>Bjørge, Lars-Erik &amp; Emaus, Trond</t>
  </si>
  <si>
    <t>Identification of EEG-based signature produced by visual exposure to the primary colours RGB</t>
  </si>
  <si>
    <t>https://www.researchgate.net/publication/318111303_Identification_of_EEG-based_signature_produced_by_visual_exposure_to_the_primary_colours_RGB</t>
  </si>
  <si>
    <t>THESIS for: Master of Science in Cybernetics and Robotics, Advisor: Marta Molinas</t>
  </si>
  <si>
    <t>Sakamaki, Isao &amp; Tavakoli, Mahdi &amp; Adams, Kim</t>
  </si>
  <si>
    <t>Generating forbidden region virtual fixtures by classification of movement intention based on event-related desynchronization</t>
  </si>
  <si>
    <t>https://www.researchgate.net/publication/321607480_Generating_forbidden_region_virtual_fixtures_by_classification_of_movement_intention_based_on_event-related_desynchronization</t>
  </si>
  <si>
    <t xml:space="preserve">Sakamaki, Isao &amp; Tavakoli, Mahdi &amp; Adams, Kim. (2017). Generating forbidden region virtual fixtures by classification of movement intention based on event-related desynchronization. 10.1109/GlobalSIP.2017.8308676. </t>
  </si>
  <si>
    <t>Adult, Child,  Humans,  Robotics,  Disabled Children,  Robotic Surgical Procedures,  Electroencephalography,  Movement,  Hand,  Rest,  Brain,  Self-Help Devices,  Cognition</t>
  </si>
  <si>
    <t>Shi-Kuo Chang, Wei Guo, Duncan Yung, ZiNan Zhang, HaoRan Zhang and WenBin You</t>
  </si>
  <si>
    <t xml:space="preserve">A Mobile TDR System for Smart Phones </t>
  </si>
  <si>
    <t>http://ksiresearchorg.ipage.com/tdr/references/qi03dms17dc.pdf</t>
  </si>
  <si>
    <t xml:space="preserve">DMSVLSS 2017
The 23rd International Conference on
Distributed Multimedia Systems,
Visual Languages and Sentient Systems </t>
  </si>
  <si>
    <t>slow intelligence system, component-based software engineering, sensor networks, mobile TDR system</t>
  </si>
  <si>
    <t>Xin Dang, Bingbing Kang, Xuyang Liu, and Guangyu Cui</t>
  </si>
  <si>
    <t>An Interactive Care System Based on a Depth Image and EEG for Aged Patients with Dementia</t>
  </si>
  <si>
    <t>https://www.ncbi.nlm.nih.gov/pmc/articles/PMC5540472/</t>
  </si>
  <si>
    <t>Journal of Healthcare Engineering, Volume 2017, Article ID 4128183</t>
  </si>
  <si>
    <t xml:space="preserve"> Gestures,  Language,  Neural Networks (Computer),  Electroencephalography,  Algorithms,  Movement,  Dementia, </t>
  </si>
  <si>
    <t>MUKUNDA RAKSIT Y R #1 and PROF. RAJESH N *2</t>
  </si>
  <si>
    <t>Biometric Authentication of PC by Using EEG Signals</t>
  </si>
  <si>
    <t>http://www.ijetcse.com/wp-content/plugins/ijetcse/file/upload/docx/75BIOMETRIC-AUTHENTICATION-OF-PC-BY-USING-EEG-SIGNALS-pdf.pdf</t>
  </si>
  <si>
    <t>International Journal of Emerging Technology in Computer Science &amp; Electronics (IJETCSE) ISSN: 0976-1353 Volume 24 Issue 11 – AUGUST 2017.</t>
  </si>
  <si>
    <t xml:space="preserve">Authentication, Biometric, Thresholding, Electroencephalography (EEG) signals. </t>
  </si>
  <si>
    <t>Rosenthal, James &amp; Benabdallah, Gabrielle</t>
  </si>
  <si>
    <t>IBPoet: an interactive &amp; biosensitive poetry composition device</t>
  </si>
  <si>
    <t>https://www.researchgate.net/publication/319602410_IBPoet_an_interactive_biosensitive_poetry_composition_device</t>
  </si>
  <si>
    <t>2017 ACM International Joint Conference on Pervasive and Ubiquitous Computing</t>
  </si>
  <si>
    <t>Electromyography, Language, Vibration, Electroencephalography, Emotions, Auditory Perception, Algorithms, Biosensing Techniques, Cognition, Poetry</t>
  </si>
  <si>
    <t>Demo video: https://vimeo.com/228291071</t>
  </si>
  <si>
    <t>Ariel Teles∗, Maur´ıcio Cagy†, Francisco Silva‡, Markus Endler§, Victor Bastos¶and Silmar Teixe</t>
  </si>
  <si>
    <t>Using Brain-Computer Interface and Internet of Things to Improve Healthcare for Wheelchair Users</t>
  </si>
  <si>
    <t>https://www.researchgate.net/publication/321314519_Using_Brain-Computer_Interface_and_Internet_of_Things_to_Improve_Healthcare_for_Wheelchair_Users</t>
  </si>
  <si>
    <t>UBICOMM 2017 : The Eleventh International Conference on Mobile Ubiquitous Computing, Systems, Services and Technologies</t>
  </si>
  <si>
    <t>brain-computer interfaces, electroencephalography, handicapped aids, learning (artificial intelligence), medical signal processing, neurophysiology, signal classification, wheelchairs</t>
  </si>
  <si>
    <t>Witman Alvarado-Díaz ; Perú Lima ; Brian Meneses-Claudio ; Avid Roman-Gonzalez</t>
  </si>
  <si>
    <t>Implementation of a brain-machine interface for controlling a wheelchair</t>
  </si>
  <si>
    <t>https://ieeexplore.ieee.org/abstract/document/8229668</t>
  </si>
  <si>
    <t>2017 CHILEAN Conference on Electrical, Electronics Engineering, Information and Communication Technologies (CHILECON)</t>
  </si>
  <si>
    <t>V. R. R. SamsonEmail authorB. Praveen KittiS. Pradeep KumarD. Suresh BabuCh. Monica</t>
  </si>
  <si>
    <t xml:space="preserve">Electroencephalogram-Based OpenBCI Devices for Disabled People | SpringerLink </t>
  </si>
  <si>
    <t>https://link.springer.com/chapter/10.1007/978-981-10-4280-5_24</t>
  </si>
  <si>
    <t>Proceedings of 2nd International Conference on Micro-Electronics, Electromagnetics and Telecommunications</t>
  </si>
  <si>
    <t xml:space="preserve">Brain–computer interface (BCI) Electroencephalogram (EEG) OpenBCI Ganglion Gold cup electrodes (GCE) </t>
  </si>
  <si>
    <t>OpenBCI Electrodes</t>
  </si>
  <si>
    <t>Ker-Jiun Wang ; Lan Zhang ; Bo Luan ; Hsiao-Wei Tung ; Quanfeng Liu ; Jiacheng Wei ; Mingui Sun , et al</t>
  </si>
  <si>
    <t>Brain-computer interface combining eye saccade two-electrode EEG signals and voice cues to improve the maneuverability of wheelchair</t>
  </si>
  <si>
    <t>https://ieeexplore.ieee.org/abstract/document/8009392/keywords#keywords</t>
  </si>
  <si>
    <t xml:space="preserve"> 2017 International Conference on Rehabilitation Robotics (ICORR)</t>
  </si>
  <si>
    <t>Electroencephalography, Electrodes, Wheelchairs, Support vector machines, Classification algorithms, Algorithm design and analysis, Physiology</t>
  </si>
  <si>
    <t>Mikołaj Buchwald, Marcin Jukiewicz</t>
  </si>
  <si>
    <t>Electromyography/Electrooculography (EMG/EOG) speller</t>
  </si>
  <si>
    <t>https://www.researchgate.net/publication/318389411_Project_and_evaluation_EMGEOG_Human-Computer_interface</t>
  </si>
  <si>
    <t>Przeglad Elektrotechniczny 1(7):130-133 · July 2017</t>
  </si>
  <si>
    <t>eye blink, electromyogram, electromyography speller</t>
  </si>
  <si>
    <t>C. J. Perera, I. Naotunna, C. Sadaruwan, R. A. R. C. Gopura and T. D. Lalitharatne</t>
  </si>
  <si>
    <t>"SSVEP based BMI for a meal assistance robot,"</t>
  </si>
  <si>
    <t>https://ieeexplore.ieee.org/document/7844580</t>
  </si>
  <si>
    <t>C. J. Perera, I. Naotunna, C. Sadaruwan, R. A. R. C. Gopura and T. D. 
Lalitharatne, "SSVEP based BMI for a meal assistance robot," 2016 IEEE International Conference on Systems, Man, and Cybernetics (SMC), Budapest, 2016, pp. 002295-002300.
doi: 10.1109/SMC.2016.7844580</t>
  </si>
  <si>
    <t>assisted living;brain-computer 
interfaces;electroencephalography;handicapped aids;medical signal 
detection;service robots;visual evoked potentials;SSVEP based 
BMI;disabled individuals;steady state visually evoked potential;brain 
machine interface;meal assistance robot;LED matrices;OpenBCI EEG signal 
acquisition system;SSVEP signal 
extraction;electroencephalography;Electroencephalography;Manipulators;Electrodes;Light
 emitting diodes;Conferences;Cybernetics;Brain Machine 
Interface;SSVEP;Meal Assistance Robot;OpenBCI</t>
  </si>
  <si>
    <t>Daniel Alte</t>
  </si>
  <si>
    <t>Control of a robotic arm, using a low-cost BCI</t>
  </si>
  <si>
    <t>https://www.ias.informatik.tu-darmstadt.de/uploads/Theses/Abschlussarbeiten/daniel_alte_BSc_thesisc.pdf</t>
  </si>
  <si>
    <t>Bachelor-Thesis von Daniel Alte aus Frankfurt am Main</t>
  </si>
  <si>
    <t>machine learning methods, classification, emg</t>
  </si>
  <si>
    <t>Jérémy Frey</t>
  </si>
  <si>
    <t>Comparison of a consumer grade EEG amplifier with medical grade equipment in BCI applications</t>
  </si>
  <si>
    <t>https://hal.inria.fr/hal-01278245/document</t>
  </si>
  <si>
    <t xml:space="preserve"> International BCI meeting, May 2016, Asilomar, United States</t>
  </si>
  <si>
    <t>R. V. Sastry ; R. Aravind ; Gagandeep Panwar ; S. Indrapriyadarsini ; A. G. Ramakrishnan</t>
  </si>
  <si>
    <t>Automatic user customized brain switch</t>
  </si>
  <si>
    <t>https://ieeexplore.ieee.org/document/7839045</t>
  </si>
  <si>
    <t xml:space="preserve"> 2016 IEEE Annual India Conference (INDICON)</t>
  </si>
  <si>
    <t>Switches, Electroencephalography, Integrated circuits, Band-pass filters, Calibration, Protocols, alpha waves, brain-computer interface, BCI, EEG, eye closure, assistive technology</t>
  </si>
  <si>
    <t>Azocar, Alejandro Francisco</t>
  </si>
  <si>
    <t>Evaluation of the OpenBCI Neural Interface for Controlling a Quadrotor Simulation</t>
  </si>
  <si>
    <t>https://oaktrust.library.tamu.edu/handle/1969.1/154517</t>
  </si>
  <si>
    <t>Texas A&amp;M University Library</t>
  </si>
  <si>
    <t>Brain-Computer Interfaces
Electromyography
Signal Processing
Computer-Assisted
Electroencephalography
Algorithms
Quadcopter</t>
  </si>
  <si>
    <t>Michael Thomas Knierim, Max Shmmer, Dominik Woehler</t>
  </si>
  <si>
    <t>Detecting Daytime Bruxism Through Conveinent and Wearable Around-the-Ear Electrodes</t>
  </si>
  <si>
    <t>https://expeeeriments.io/pubs/Knierim2021-AHFE.pdf</t>
  </si>
  <si>
    <t>IEEE Journal of Biomedical and Health Informatics, vol 17 issue 6</t>
  </si>
  <si>
    <t>10.1109/JBHI.2013.2274532</t>
  </si>
  <si>
    <t>Electromyography, Electrocardiography, Muscles, Pain, Elecrtodes, Training, Artificial neural networks, biomechanics, biomedical electrodes, diseases, medical signal processing, neural nets, sleep, signal classification</t>
  </si>
</sst>
</file>

<file path=xl/styles.xml><?xml version="1.0" encoding="utf-8"?>
<styleSheet xmlns="http://schemas.openxmlformats.org/spreadsheetml/2006/main" xmlns:x14ac="http://schemas.microsoft.com/office/spreadsheetml/2009/9/ac" xmlns:mc="http://schemas.openxmlformats.org/markup-compatibility/2006">
  <fonts count="82">
    <font>
      <sz val="10.0"/>
      <color rgb="FF000000"/>
      <name val="Arial"/>
    </font>
    <font>
      <color rgb="FFFFFFFF"/>
      <name val="Arial"/>
    </font>
    <font>
      <sz val="10.0"/>
      <color rgb="FFFFFFFF"/>
      <name val="Arial"/>
    </font>
    <font>
      <sz val="10.0"/>
      <name val="Arial"/>
    </font>
    <font>
      <color rgb="FF333333"/>
      <name val="Arial"/>
    </font>
    <font>
      <color rgb="FF111111"/>
      <name val="Roboto"/>
    </font>
    <font>
      <u/>
      <color rgb="FF0000FF"/>
    </font>
    <font/>
    <font>
      <u/>
      <sz val="10.0"/>
      <color rgb="FF0000FF"/>
      <name val="Arial"/>
    </font>
    <font>
      <u/>
      <sz val="10.0"/>
      <color rgb="FF0000FF"/>
      <name val="Arial"/>
    </font>
    <font>
      <u/>
      <color rgb="FF0000FF"/>
    </font>
    <font>
      <name val="Arial"/>
    </font>
    <font>
      <u/>
      <color rgb="FF0000FF"/>
      <name val="Arial"/>
    </font>
    <font>
      <u/>
      <sz val="10.0"/>
      <color rgb="FF0000FF"/>
      <name val="Arial"/>
    </font>
    <font>
      <u/>
      <color rgb="FF0000FF"/>
      <name val="Arial"/>
    </font>
    <font>
      <u/>
      <color rgb="FF1155CC"/>
      <name val="Arial"/>
    </font>
    <font>
      <u/>
      <color rgb="FF1155CC"/>
      <name val="Arial"/>
    </font>
    <font>
      <u/>
      <color rgb="FF0000FF"/>
      <name val="Arial"/>
    </font>
    <font>
      <color rgb="FF333333"/>
      <name val="&quot;HelveticaNeue Regular&quot;"/>
    </font>
    <font>
      <u/>
      <color rgb="FF1155CC"/>
      <name val="Arial"/>
    </font>
    <font>
      <u/>
      <color rgb="FF333333"/>
      <name val="&quot;HelveticaNeue Regular&quot;"/>
    </font>
    <font>
      <color rgb="FF000000"/>
      <name val="Roboto_slabregular"/>
    </font>
    <font>
      <u/>
      <color rgb="FF0000FF"/>
    </font>
    <font>
      <u/>
      <sz val="10.0"/>
      <color rgb="FF0000FF"/>
      <name val="Arial"/>
    </font>
    <font>
      <sz val="10.0"/>
      <color rgb="FF222222"/>
      <name val="Arial"/>
    </font>
    <font>
      <color rgb="FF000000"/>
      <name val="Helvetica"/>
    </font>
    <font>
      <sz val="10.0"/>
      <color rgb="FF000000"/>
      <name val="Helvetica"/>
    </font>
    <font>
      <color rgb="FF000000"/>
      <name val="Arial"/>
    </font>
    <font>
      <sz val="10.0"/>
      <color rgb="FF1F1F1F"/>
      <name val="Arial"/>
    </font>
    <font>
      <u/>
      <sz val="10.0"/>
      <color rgb="FF000000"/>
      <name val="Arial"/>
    </font>
    <font>
      <sz val="10.0"/>
      <color rgb="FF333333"/>
      <name val="Arial"/>
    </font>
    <font>
      <color rgb="FF1A1A1A"/>
      <name val="Arial"/>
    </font>
    <font>
      <sz val="14.0"/>
      <color rgb="FF006699"/>
      <name val="&quot;HelveticaNeue Regular&quot;"/>
    </font>
    <font>
      <sz val="17.0"/>
      <color rgb="FF000000"/>
      <name val="Montserrat"/>
    </font>
    <font>
      <i/>
      <sz val="10.0"/>
      <color rgb="FF000000"/>
      <name val="Arial"/>
    </font>
    <font>
      <sz val="11.0"/>
      <color rgb="FF000000"/>
      <name val="Arial"/>
    </font>
    <font>
      <u/>
      <sz val="10.0"/>
      <color rgb="FF000000"/>
      <name val="Arial"/>
    </font>
    <font>
      <color rgb="FF1F1F1F"/>
      <name val="Arial"/>
    </font>
    <font>
      <color rgb="FF000000"/>
    </font>
    <font>
      <color rgb="FF1D1B1B"/>
      <name val="Helvetica"/>
    </font>
    <font>
      <u/>
      <color rgb="FF0000FF"/>
    </font>
    <font>
      <u/>
      <color rgb="FF1155CC"/>
      <name val="Arial"/>
    </font>
    <font>
      <u/>
      <color rgb="FF1155CC"/>
    </font>
    <font>
      <u/>
      <sz val="10.0"/>
      <color rgb="FF1155CC"/>
      <name val="Arial"/>
    </font>
    <font>
      <color rgb="FF000000"/>
      <name val="ArialMT"/>
    </font>
    <font>
      <color rgb="FF222222"/>
      <name val="Arial"/>
    </font>
    <font>
      <sz val="11.0"/>
      <color rgb="FF000000"/>
      <name val="Titillium-web"/>
    </font>
    <font>
      <color rgb="FF212529"/>
      <name val="Arial"/>
    </font>
    <font>
      <color rgb="FF191919"/>
    </font>
    <font>
      <u/>
      <sz val="10.0"/>
      <color rgb="FF1155CC"/>
      <name val="Arial"/>
    </font>
    <font>
      <u/>
      <sz val="10.0"/>
      <color rgb="FF222222"/>
      <name val="Arial"/>
    </font>
    <font>
      <u/>
      <sz val="10.0"/>
      <color rgb="FF1155CC"/>
    </font>
    <font>
      <u/>
      <sz val="11.0"/>
      <color rgb="FF333333"/>
      <name val="Arial"/>
    </font>
    <font>
      <i/>
      <color rgb="FF222222"/>
      <name val="Arial"/>
    </font>
    <font>
      <color rgb="FF000000"/>
      <name val="Roboto"/>
    </font>
    <font>
      <u/>
      <color rgb="FF1155CC"/>
      <name val="Arial"/>
    </font>
    <font>
      <u/>
      <color rgb="FF0000FF"/>
    </font>
    <font>
      <sz val="10.0"/>
    </font>
    <font>
      <u/>
      <sz val="10.0"/>
      <color rgb="FF0000FF"/>
    </font>
    <font>
      <u/>
      <color rgb="FF0000FF"/>
    </font>
    <font>
      <u/>
      <color rgb="FF006699"/>
      <name val="Sans-serif"/>
    </font>
    <font>
      <u/>
      <sz val="11.0"/>
      <color rgb="FF1155CC"/>
    </font>
    <font>
      <sz val="10.0"/>
      <color rgb="FF555555"/>
      <name val="Arial"/>
    </font>
    <font>
      <sz val="10.0"/>
      <color rgb="FF000000"/>
      <name val="&quot;Lucida Grande&quot;"/>
    </font>
    <font>
      <sz val="10.0"/>
      <name val="Serif"/>
    </font>
    <font>
      <sz val="10.0"/>
      <name val="Sans-serif"/>
    </font>
    <font>
      <color rgb="FF000000"/>
      <name val="NexusSerif"/>
    </font>
    <font>
      <color rgb="FF333333"/>
      <name val="Sans-serif"/>
    </font>
    <font>
      <u/>
      <color rgb="FF0000FF"/>
      <name val="Arial"/>
    </font>
    <font>
      <color rgb="FF191919"/>
      <name val="Arial"/>
    </font>
    <font>
      <u/>
      <color rgb="FF1155CC"/>
    </font>
    <font>
      <u/>
      <sz val="10.0"/>
      <color rgb="FF1155CC"/>
    </font>
    <font>
      <u/>
      <color rgb="FF1155CC"/>
      <name val="Arial"/>
    </font>
    <font>
      <name val="Inherit"/>
    </font>
    <font>
      <u/>
      <color rgb="FF0000FF"/>
      <name val="Arial"/>
    </font>
    <font>
      <u/>
      <sz val="10.0"/>
      <color rgb="FF0000FF"/>
      <name val="Arial"/>
    </font>
    <font>
      <u/>
      <sz val="10.0"/>
      <color rgb="FF000000"/>
      <name val="Arial"/>
    </font>
    <font>
      <sz val="10.0"/>
      <color rgb="FF191919"/>
      <name val="Arial"/>
    </font>
    <font>
      <u/>
      <sz val="10.0"/>
      <color rgb="FF0000FF"/>
      <name val="Arial"/>
    </font>
    <font>
      <u/>
      <sz val="10.0"/>
      <color rgb="FF0000FF"/>
      <name val="Arial"/>
    </font>
    <font>
      <u/>
      <sz val="10.0"/>
      <color rgb="FF0000FF"/>
      <name val="Arial"/>
    </font>
    <font>
      <u/>
      <sz val="10.0"/>
      <color rgb="FF3B6CAA"/>
      <name val="Arial"/>
    </font>
  </fonts>
  <fills count="6">
    <fill>
      <patternFill patternType="none"/>
    </fill>
    <fill>
      <patternFill patternType="lightGray"/>
    </fill>
    <fill>
      <patternFill patternType="solid">
        <fgColor rgb="FF3260A5"/>
        <bgColor rgb="FF3260A5"/>
      </patternFill>
    </fill>
    <fill>
      <patternFill patternType="solid">
        <fgColor rgb="FFFFFFFF"/>
        <bgColor rgb="FFFFFFFF"/>
      </patternFill>
    </fill>
    <fill>
      <patternFill patternType="solid">
        <fgColor rgb="FFFAFAFA"/>
        <bgColor rgb="FFFAFAFA"/>
      </patternFill>
    </fill>
    <fill>
      <patternFill patternType="solid">
        <fgColor rgb="FFFCFCFC"/>
        <bgColor rgb="FFFCFCFC"/>
      </patternFill>
    </fill>
  </fills>
  <borders count="3">
    <border/>
    <border>
      <left style="thin">
        <color rgb="FF000000"/>
      </left>
      <right style="thin">
        <color rgb="FF000000"/>
      </right>
      <top style="thin">
        <color rgb="FF000000"/>
      </top>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155">
    <xf borderId="0" fillId="0" fontId="0" numFmtId="0" xfId="0" applyAlignment="1" applyFont="1">
      <alignment readingOrder="0" shrinkToFit="0" vertical="bottom" wrapText="0"/>
    </xf>
    <xf borderId="1" fillId="2" fontId="1" numFmtId="0" xfId="0" applyAlignment="1" applyBorder="1" applyFill="1" applyFont="1">
      <alignment readingOrder="0" shrinkToFit="0" wrapText="0"/>
    </xf>
    <xf borderId="1" fillId="2" fontId="2" numFmtId="0" xfId="0" applyAlignment="1" applyBorder="1" applyFill="1" applyFont="1">
      <alignment readingOrder="0" shrinkToFit="0" wrapText="0"/>
    </xf>
    <xf borderId="1" fillId="2" fontId="1" numFmtId="0" xfId="0" applyAlignment="1" applyBorder="1" applyFill="1" applyFont="1">
      <alignment readingOrder="0" shrinkToFit="0" wrapText="0"/>
    </xf>
    <xf borderId="0" fillId="2" fontId="1" numFmtId="0" xfId="0" applyAlignment="1" applyFill="1" applyFont="1">
      <alignment readingOrder="0" shrinkToFit="0" wrapText="0"/>
    </xf>
    <xf borderId="0" fillId="0" fontId="3" numFmtId="0" xfId="0" applyAlignment="1" applyFont="1">
      <alignment readingOrder="0" shrinkToFit="0" wrapText="0"/>
    </xf>
    <xf borderId="0" fillId="0" fontId="3" numFmtId="0" xfId="0" applyAlignment="1" applyFont="1">
      <alignment readingOrder="0" shrinkToFit="0" wrapText="0"/>
    </xf>
    <xf borderId="0" fillId="3" fontId="4" numFmtId="0" xfId="0" applyAlignment="1" applyFill="1" applyFont="1">
      <alignment readingOrder="0"/>
    </xf>
    <xf borderId="0" fillId="3" fontId="5" numFmtId="0" xfId="0" applyAlignment="1" applyFill="1" applyFont="1">
      <alignment horizontal="left" readingOrder="0"/>
    </xf>
    <xf borderId="0" fillId="0" fontId="6" numFmtId="0" xfId="0" applyAlignment="1" applyFont="1">
      <alignment readingOrder="0" shrinkToFit="0" wrapText="0"/>
    </xf>
    <xf borderId="0" fillId="0" fontId="7" numFmtId="0" xfId="0" applyAlignment="1" applyFont="1">
      <alignment readingOrder="0"/>
    </xf>
    <xf borderId="0" fillId="0" fontId="7" numFmtId="0" xfId="0" applyAlignment="1" applyFont="1">
      <alignment readingOrder="0"/>
    </xf>
    <xf borderId="0" fillId="0" fontId="7" numFmtId="0" xfId="0" applyAlignment="1" applyFont="1">
      <alignment readingOrder="0" shrinkToFit="0" wrapText="0"/>
    </xf>
    <xf borderId="0" fillId="0" fontId="8" numFmtId="0" xfId="0" applyAlignment="1" applyFont="1">
      <alignment readingOrder="0" shrinkToFit="0" wrapText="0"/>
    </xf>
    <xf borderId="0" fillId="0" fontId="9" numFmtId="0" xfId="0" applyAlignment="1" applyFont="1">
      <alignment readingOrder="0" shrinkToFit="0" wrapText="0"/>
    </xf>
    <xf borderId="0" fillId="0" fontId="10" numFmtId="0" xfId="0" applyAlignment="1" applyFont="1">
      <alignment readingOrder="0"/>
    </xf>
    <xf borderId="0" fillId="0" fontId="11" numFmtId="0" xfId="0" applyAlignment="1" applyFont="1">
      <alignment horizontal="left" readingOrder="0"/>
    </xf>
    <xf borderId="0" fillId="0" fontId="11" numFmtId="0" xfId="0" applyAlignment="1" applyFont="1">
      <alignment readingOrder="0" shrinkToFit="0" vertical="bottom" wrapText="0"/>
    </xf>
    <xf borderId="0" fillId="0" fontId="7" numFmtId="0" xfId="0" applyAlignment="1" applyFont="1">
      <alignment readingOrder="0"/>
    </xf>
    <xf borderId="0" fillId="0" fontId="12" numFmtId="0" xfId="0" applyAlignment="1" applyFont="1">
      <alignment readingOrder="0" shrinkToFit="0" vertical="bottom" wrapText="0"/>
    </xf>
    <xf borderId="2" fillId="0" fontId="13" numFmtId="0" xfId="0" applyAlignment="1" applyBorder="1" applyFont="1">
      <alignment readingOrder="0" shrinkToFit="0" wrapText="0"/>
    </xf>
    <xf borderId="0" fillId="0" fontId="14" numFmtId="0" xfId="0" applyAlignment="1" applyFont="1">
      <alignment horizontal="left" readingOrder="0"/>
    </xf>
    <xf borderId="0" fillId="0" fontId="15" numFmtId="0" xfId="0" applyAlignment="1" applyFont="1">
      <alignment horizontal="left" readingOrder="0"/>
    </xf>
    <xf borderId="0" fillId="0" fontId="16" numFmtId="0" xfId="0" applyAlignment="1" applyFont="1">
      <alignment horizontal="left" readingOrder="0"/>
    </xf>
    <xf borderId="0" fillId="3" fontId="11" numFmtId="0" xfId="0" applyAlignment="1" applyFill="1" applyFont="1">
      <alignment readingOrder="0"/>
    </xf>
    <xf borderId="0" fillId="0" fontId="7" numFmtId="0" xfId="0" applyAlignment="1" applyFont="1">
      <alignment readingOrder="0" shrinkToFit="0" wrapText="0"/>
    </xf>
    <xf borderId="0" fillId="3" fontId="17" numFmtId="0" xfId="0" applyAlignment="1" applyFill="1" applyFont="1">
      <alignment readingOrder="0"/>
    </xf>
    <xf borderId="0" fillId="3" fontId="18" numFmtId="0" xfId="0" applyAlignment="1" applyFill="1" applyFont="1">
      <alignment readingOrder="0"/>
    </xf>
    <xf borderId="0" fillId="0" fontId="19" numFmtId="0" xfId="0" applyAlignment="1" applyFont="1">
      <alignment shrinkToFit="0" vertical="bottom" wrapText="0"/>
    </xf>
    <xf borderId="0" fillId="3" fontId="20" numFmtId="0" xfId="0" applyAlignment="1" applyFill="1" applyFont="1">
      <alignment readingOrder="0"/>
    </xf>
    <xf borderId="0" fillId="0" fontId="21" numFmtId="0" xfId="0" applyAlignment="1" applyFont="1">
      <alignment readingOrder="0"/>
    </xf>
    <xf borderId="0" fillId="0" fontId="22" numFmtId="0" xfId="0" applyAlignment="1" applyFont="1">
      <alignment readingOrder="0"/>
    </xf>
    <xf borderId="0" fillId="3" fontId="3" numFmtId="0" xfId="0" applyAlignment="1" applyFill="1" applyFont="1">
      <alignment horizontal="left" readingOrder="0"/>
    </xf>
    <xf borderId="0" fillId="3" fontId="4" numFmtId="0" xfId="0" applyAlignment="1" applyFill="1" applyFont="1">
      <alignment readingOrder="0" shrinkToFit="0" wrapText="0"/>
    </xf>
    <xf borderId="0" fillId="3" fontId="23" numFmtId="0" xfId="0" applyAlignment="1" applyFill="1" applyFont="1">
      <alignment horizontal="left" readingOrder="0"/>
    </xf>
    <xf borderId="0" fillId="3" fontId="24" numFmtId="0" xfId="0" applyAlignment="1" applyFill="1" applyFont="1">
      <alignment readingOrder="0" shrinkToFit="0" wrapText="0"/>
    </xf>
    <xf borderId="0" fillId="0" fontId="25" numFmtId="0" xfId="0" applyAlignment="1" applyFont="1">
      <alignment readingOrder="0" vertical="bottom"/>
    </xf>
    <xf borderId="0" fillId="3" fontId="24" numFmtId="0" xfId="0" applyAlignment="1" applyFill="1" applyFont="1">
      <alignment readingOrder="0"/>
    </xf>
    <xf borderId="0" fillId="3" fontId="24" numFmtId="0" xfId="0" applyAlignment="1" applyFill="1" applyFont="1">
      <alignment horizontal="left" readingOrder="0"/>
    </xf>
    <xf borderId="0" fillId="0" fontId="0" numFmtId="0" xfId="0" applyAlignment="1" applyFont="1">
      <alignment horizontal="left" readingOrder="0" shrinkToFit="0" wrapText="0"/>
    </xf>
    <xf borderId="0" fillId="0" fontId="0" numFmtId="0" xfId="0" applyAlignment="1" applyFont="1">
      <alignment readingOrder="0"/>
    </xf>
    <xf borderId="0" fillId="0" fontId="26" numFmtId="0" xfId="0" applyAlignment="1" applyFont="1">
      <alignment readingOrder="0"/>
    </xf>
    <xf borderId="0" fillId="0" fontId="27" numFmtId="0" xfId="0" applyAlignment="1" applyFont="1">
      <alignment readingOrder="0" shrinkToFit="0" wrapText="0"/>
    </xf>
    <xf borderId="0" fillId="0" fontId="0" numFmtId="0" xfId="0" applyAlignment="1" applyFont="1">
      <alignment horizontal="left" readingOrder="0"/>
    </xf>
    <xf borderId="0" fillId="0" fontId="28" numFmtId="0" xfId="0" applyAlignment="1" applyFont="1">
      <alignment readingOrder="0"/>
    </xf>
    <xf borderId="0" fillId="0" fontId="27" numFmtId="0" xfId="0" applyAlignment="1" applyFont="1">
      <alignment horizontal="left" readingOrder="0" shrinkToFit="0" wrapText="0"/>
    </xf>
    <xf borderId="0" fillId="0" fontId="27" numFmtId="0" xfId="0" applyAlignment="1" applyFont="1">
      <alignment readingOrder="0"/>
    </xf>
    <xf borderId="0" fillId="3" fontId="29" numFmtId="0" xfId="0" applyAlignment="1" applyFill="1" applyFont="1">
      <alignment horizontal="left" readingOrder="0"/>
    </xf>
    <xf borderId="0" fillId="0" fontId="27" numFmtId="0" xfId="0" applyAlignment="1" applyFont="1">
      <alignment readingOrder="0"/>
    </xf>
    <xf borderId="0" fillId="3" fontId="30" numFmtId="0" xfId="0" applyAlignment="1" applyFill="1" applyFont="1">
      <alignment horizontal="left" readingOrder="0" shrinkToFit="0" wrapText="0"/>
    </xf>
    <xf borderId="0" fillId="0" fontId="0" numFmtId="0" xfId="0" applyAlignment="1" applyFont="1">
      <alignment horizontal="left" readingOrder="0"/>
    </xf>
    <xf borderId="0" fillId="0" fontId="0" numFmtId="0" xfId="0" applyAlignment="1" applyFont="1">
      <alignment readingOrder="0"/>
    </xf>
    <xf borderId="0" fillId="0" fontId="31" numFmtId="0" xfId="0" applyAlignment="1" applyFont="1">
      <alignment horizontal="left" readingOrder="0"/>
    </xf>
    <xf borderId="0" fillId="3" fontId="0" numFmtId="0" xfId="0" applyAlignment="1" applyFill="1" applyFont="1">
      <alignment readingOrder="0" shrinkToFit="0" wrapText="0"/>
    </xf>
    <xf borderId="0" fillId="0" fontId="3" numFmtId="0" xfId="0" applyAlignment="1" applyFont="1">
      <alignment horizontal="left" readingOrder="0" shrinkToFit="0" wrapText="0"/>
    </xf>
    <xf borderId="0" fillId="0" fontId="0" numFmtId="0" xfId="0" applyAlignment="1" applyFont="1">
      <alignment readingOrder="0" shrinkToFit="0" wrapText="0"/>
    </xf>
    <xf borderId="0" fillId="0" fontId="30" numFmtId="0" xfId="0" applyAlignment="1" applyFont="1">
      <alignment readingOrder="0"/>
    </xf>
    <xf borderId="0" fillId="0" fontId="32" numFmtId="0" xfId="0" applyAlignment="1" applyFont="1">
      <alignment readingOrder="0" shrinkToFit="0" wrapText="0"/>
    </xf>
    <xf borderId="0" fillId="4" fontId="0" numFmtId="0" xfId="0" applyAlignment="1" applyFill="1" applyFont="1">
      <alignment readingOrder="0" shrinkToFit="0" wrapText="0"/>
    </xf>
    <xf borderId="0" fillId="0" fontId="0" numFmtId="0" xfId="0" applyAlignment="1" applyFont="1">
      <alignment readingOrder="0"/>
    </xf>
    <xf borderId="0" fillId="0" fontId="0" numFmtId="0" xfId="0" applyAlignment="1" applyFont="1">
      <alignment readingOrder="0"/>
    </xf>
    <xf borderId="0" fillId="3" fontId="0" numFmtId="0" xfId="0" applyAlignment="1" applyFill="1" applyFont="1">
      <alignment horizontal="left" readingOrder="0"/>
    </xf>
    <xf borderId="0" fillId="0" fontId="24" numFmtId="0" xfId="0" applyAlignment="1" applyFont="1">
      <alignment horizontal="left" readingOrder="0"/>
    </xf>
    <xf borderId="0" fillId="0" fontId="33" numFmtId="0" xfId="0" applyAlignment="1" applyFont="1">
      <alignment horizontal="left" readingOrder="0" shrinkToFit="0" wrapText="0"/>
    </xf>
    <xf borderId="0" fillId="0" fontId="34" numFmtId="0" xfId="0" applyAlignment="1" applyFont="1">
      <alignment readingOrder="0" shrinkToFit="0" wrapText="0"/>
    </xf>
    <xf borderId="0" fillId="0" fontId="35" numFmtId="0" xfId="0" applyAlignment="1" applyFont="1">
      <alignment readingOrder="0"/>
    </xf>
    <xf borderId="0" fillId="0" fontId="36" numFmtId="0" xfId="0" applyAlignment="1" applyFont="1">
      <alignment readingOrder="0"/>
    </xf>
    <xf borderId="0" fillId="0" fontId="0" numFmtId="0" xfId="0" applyAlignment="1" applyFont="1">
      <alignment readingOrder="0"/>
    </xf>
    <xf borderId="0" fillId="0" fontId="0" numFmtId="0" xfId="0" applyAlignment="1" applyFont="1">
      <alignment readingOrder="0" shrinkToFit="0" wrapText="0"/>
    </xf>
    <xf borderId="0" fillId="0" fontId="0" numFmtId="0" xfId="0" applyAlignment="1" applyFont="1">
      <alignment readingOrder="0" vertical="bottom"/>
    </xf>
    <xf borderId="0" fillId="0" fontId="11" numFmtId="0" xfId="0" applyAlignment="1" applyFont="1">
      <alignment readingOrder="0"/>
    </xf>
    <xf borderId="0" fillId="0" fontId="37" numFmtId="0" xfId="0" applyAlignment="1" applyFont="1">
      <alignment readingOrder="0"/>
    </xf>
    <xf borderId="0" fillId="0" fontId="38" numFmtId="0" xfId="0" applyAlignment="1" applyFont="1">
      <alignment readingOrder="0" shrinkToFit="0" wrapText="0"/>
    </xf>
    <xf borderId="0" fillId="0" fontId="24" numFmtId="0" xfId="0" applyAlignment="1" applyFont="1">
      <alignment readingOrder="0" shrinkToFit="0" wrapText="0"/>
    </xf>
    <xf borderId="0" fillId="0" fontId="27" numFmtId="0" xfId="0" applyAlignment="1" applyFont="1">
      <alignment readingOrder="0" shrinkToFit="0" wrapText="0"/>
    </xf>
    <xf borderId="0" fillId="3" fontId="39" numFmtId="0" xfId="0" applyAlignment="1" applyFill="1" applyFont="1">
      <alignment readingOrder="0"/>
    </xf>
    <xf borderId="0" fillId="3" fontId="5" numFmtId="0" xfId="0" applyAlignment="1" applyFill="1" applyFont="1">
      <alignment horizontal="left" readingOrder="0" shrinkToFit="0" wrapText="0"/>
    </xf>
    <xf borderId="0" fillId="0" fontId="3" numFmtId="0" xfId="0" applyAlignment="1" applyFont="1">
      <alignment readingOrder="0" shrinkToFit="0" wrapText="0"/>
    </xf>
    <xf borderId="0" fillId="0" fontId="7" numFmtId="0" xfId="0" applyAlignment="1" applyFont="1">
      <alignment shrinkToFit="0" wrapText="0"/>
    </xf>
    <xf borderId="0" fillId="0" fontId="40" numFmtId="0" xfId="0" applyAlignment="1" applyFont="1">
      <alignment readingOrder="0" shrinkToFit="0" wrapText="0"/>
    </xf>
    <xf borderId="0" fillId="0" fontId="27" numFmtId="0" xfId="0" applyAlignment="1" applyFont="1">
      <alignment readingOrder="0"/>
    </xf>
    <xf borderId="0" fillId="0" fontId="41" numFmtId="0" xfId="0" applyAlignment="1" applyFont="1">
      <alignment readingOrder="0" shrinkToFit="0" wrapText="0"/>
    </xf>
    <xf borderId="0" fillId="0" fontId="42" numFmtId="0" xfId="0" applyAlignment="1" applyFont="1">
      <alignment readingOrder="0" shrinkToFit="0" wrapText="0"/>
    </xf>
    <xf borderId="0" fillId="0" fontId="43" numFmtId="0" xfId="0" applyAlignment="1" applyFont="1">
      <alignment readingOrder="0" shrinkToFit="0" wrapText="0"/>
    </xf>
    <xf borderId="0" fillId="0" fontId="44" numFmtId="0" xfId="0" applyAlignment="1" applyFont="1">
      <alignment readingOrder="0" shrinkToFit="0" wrapText="0"/>
    </xf>
    <xf borderId="0" fillId="3" fontId="45" numFmtId="0" xfId="0" applyAlignment="1" applyFill="1" applyFont="1">
      <alignment horizontal="left" readingOrder="0" shrinkToFit="0" wrapText="0"/>
    </xf>
    <xf borderId="0" fillId="3" fontId="46" numFmtId="0" xfId="0" applyAlignment="1" applyFill="1" applyFont="1">
      <alignment readingOrder="0" shrinkToFit="0" wrapText="0"/>
    </xf>
    <xf borderId="0" fillId="3" fontId="47" numFmtId="0" xfId="0" applyAlignment="1" applyFill="1" applyFont="1">
      <alignment readingOrder="0" shrinkToFit="0" wrapText="0"/>
    </xf>
    <xf borderId="0" fillId="0" fontId="48" numFmtId="0" xfId="0" applyAlignment="1" applyFont="1">
      <alignment readingOrder="0" shrinkToFit="0" wrapText="0"/>
    </xf>
    <xf borderId="0" fillId="3" fontId="0" numFmtId="0" xfId="0" applyAlignment="1" applyFill="1" applyFont="1">
      <alignment readingOrder="0" shrinkToFit="0" wrapText="0"/>
    </xf>
    <xf borderId="2" fillId="0" fontId="49" numFmtId="0" xfId="0" applyAlignment="1" applyBorder="1" applyFont="1">
      <alignment readingOrder="0" shrinkToFit="0" wrapText="0"/>
    </xf>
    <xf borderId="0" fillId="3" fontId="50" numFmtId="0" xfId="0" applyAlignment="1" applyFill="1" applyFont="1">
      <alignment readingOrder="0" shrinkToFit="0" wrapText="0"/>
    </xf>
    <xf borderId="0" fillId="0" fontId="51" numFmtId="0" xfId="0" applyAlignment="1" applyFont="1">
      <alignment readingOrder="0" shrinkToFit="0" wrapText="0"/>
    </xf>
    <xf borderId="0" fillId="0" fontId="7" numFmtId="0" xfId="0" applyAlignment="1" applyFont="1">
      <alignment shrinkToFit="0" wrapText="0"/>
    </xf>
    <xf borderId="0" fillId="0" fontId="52" numFmtId="0" xfId="0" applyAlignment="1" applyFont="1">
      <alignment readingOrder="0" shrinkToFit="0" wrapText="0"/>
    </xf>
    <xf borderId="0" fillId="3" fontId="53" numFmtId="0" xfId="0" applyAlignment="1" applyFill="1" applyFont="1">
      <alignment horizontal="left" readingOrder="0" shrinkToFit="0" wrapText="0"/>
    </xf>
    <xf borderId="0" fillId="3" fontId="3" numFmtId="0" xfId="0" applyAlignment="1" applyFill="1" applyFont="1">
      <alignment readingOrder="0" shrinkToFit="0" wrapText="0"/>
    </xf>
    <xf borderId="0" fillId="0" fontId="3" numFmtId="0" xfId="0" applyAlignment="1" applyFont="1">
      <alignment shrinkToFit="0" wrapText="0"/>
    </xf>
    <xf borderId="0" fillId="3" fontId="54" numFmtId="0" xfId="0" applyAlignment="1" applyFill="1" applyFont="1">
      <alignment readingOrder="0" shrinkToFit="0" wrapText="0"/>
    </xf>
    <xf borderId="0" fillId="0" fontId="55" numFmtId="0" xfId="0" applyAlignment="1" applyFont="1">
      <alignment horizontal="left" readingOrder="0" shrinkToFit="0" wrapText="0"/>
    </xf>
    <xf borderId="0" fillId="0" fontId="56" numFmtId="0" xfId="0" applyAlignment="1" applyFont="1">
      <alignment shrinkToFit="0" wrapText="0"/>
    </xf>
    <xf borderId="0" fillId="0" fontId="57" numFmtId="0" xfId="0" applyAlignment="1" applyFont="1">
      <alignment readingOrder="0" shrinkToFit="0" wrapText="0"/>
    </xf>
    <xf borderId="0" fillId="0" fontId="57" numFmtId="0" xfId="0" applyAlignment="1" applyFont="1">
      <alignment shrinkToFit="0" wrapText="0"/>
    </xf>
    <xf borderId="0" fillId="0" fontId="58" numFmtId="0" xfId="0" applyAlignment="1" applyFont="1">
      <alignment readingOrder="0" shrinkToFit="0" wrapText="0"/>
    </xf>
    <xf borderId="2" fillId="0" fontId="59" numFmtId="0" xfId="0" applyAlignment="1" applyBorder="1" applyFont="1">
      <alignment shrinkToFit="0" wrapText="0"/>
    </xf>
    <xf borderId="0" fillId="0" fontId="60" numFmtId="0" xfId="0" applyAlignment="1" applyFont="1">
      <alignment readingOrder="0" shrinkToFit="0" wrapText="0"/>
    </xf>
    <xf borderId="0" fillId="0" fontId="61" numFmtId="0" xfId="0" applyAlignment="1" applyFont="1">
      <alignment readingOrder="0" shrinkToFit="0" wrapText="0"/>
    </xf>
    <xf borderId="0" fillId="3" fontId="0" numFmtId="0" xfId="0" applyAlignment="1" applyFill="1" applyFont="1">
      <alignment readingOrder="0" shrinkToFit="0" wrapText="0"/>
    </xf>
    <xf borderId="0" fillId="0" fontId="45" numFmtId="0" xfId="0" applyAlignment="1" applyFont="1">
      <alignment readingOrder="0" shrinkToFit="0" wrapText="0"/>
    </xf>
    <xf borderId="0" fillId="0" fontId="30" numFmtId="0" xfId="0" applyAlignment="1" applyFont="1">
      <alignment readingOrder="0" shrinkToFit="0" wrapText="0"/>
    </xf>
    <xf borderId="0" fillId="3" fontId="62" numFmtId="0" xfId="0" applyAlignment="1" applyFill="1" applyFont="1">
      <alignment horizontal="left" readingOrder="0" shrinkToFit="0" wrapText="0"/>
    </xf>
    <xf borderId="0" fillId="3" fontId="63" numFmtId="0" xfId="0" applyAlignment="1" applyFill="1" applyFont="1">
      <alignment readingOrder="0" shrinkToFit="0" wrapText="0"/>
    </xf>
    <xf borderId="0" fillId="0" fontId="64" numFmtId="0" xfId="0" applyAlignment="1" applyFont="1">
      <alignment readingOrder="0" shrinkToFit="0" wrapText="0"/>
    </xf>
    <xf borderId="0" fillId="0" fontId="7" numFmtId="0" xfId="0" applyAlignment="1" applyFont="1">
      <alignment readingOrder="0" shrinkToFit="0" wrapText="0"/>
    </xf>
    <xf borderId="0" fillId="0" fontId="57" numFmtId="0" xfId="0" applyAlignment="1" applyFont="1">
      <alignment readingOrder="0" shrinkToFit="0" wrapText="0"/>
    </xf>
    <xf borderId="0" fillId="0" fontId="65" numFmtId="0" xfId="0" applyAlignment="1" applyFont="1">
      <alignment readingOrder="0" shrinkToFit="0" wrapText="0"/>
    </xf>
    <xf borderId="0" fillId="3" fontId="0" numFmtId="0" xfId="0" applyAlignment="1" applyFill="1" applyFont="1">
      <alignment horizontal="left" readingOrder="0" shrinkToFit="0" wrapText="0"/>
    </xf>
    <xf borderId="0" fillId="3" fontId="27" numFmtId="0" xfId="0" applyAlignment="1" applyFill="1" applyFont="1">
      <alignment readingOrder="0" shrinkToFit="0" wrapText="0"/>
    </xf>
    <xf borderId="0" fillId="0" fontId="11" numFmtId="0" xfId="0" applyAlignment="1" applyFont="1">
      <alignment readingOrder="0" shrinkToFit="0" wrapText="0"/>
    </xf>
    <xf borderId="0" fillId="0" fontId="11" numFmtId="0" xfId="0" applyAlignment="1" applyFont="1">
      <alignment shrinkToFit="0" wrapText="0"/>
    </xf>
    <xf borderId="0" fillId="0" fontId="66" numFmtId="0" xfId="0" applyAlignment="1" applyFont="1">
      <alignment readingOrder="0" shrinkToFit="0" wrapText="0"/>
    </xf>
    <xf borderId="0" fillId="3" fontId="67" numFmtId="0" xfId="0" applyAlignment="1" applyFill="1" applyFont="1">
      <alignment readingOrder="0" shrinkToFit="0" wrapText="0"/>
    </xf>
    <xf borderId="0" fillId="5" fontId="4" numFmtId="0" xfId="0" applyAlignment="1" applyFill="1" applyFont="1">
      <alignment readingOrder="0" shrinkToFit="0" wrapText="0"/>
    </xf>
    <xf borderId="0" fillId="5" fontId="0" numFmtId="0" xfId="0" applyAlignment="1" applyFill="1" applyFont="1">
      <alignment readingOrder="0" shrinkToFit="0" wrapText="0"/>
    </xf>
    <xf borderId="0" fillId="0" fontId="68" numFmtId="0" xfId="0" applyAlignment="1" applyFont="1">
      <alignment readingOrder="0" shrinkToFit="0" wrapText="0"/>
    </xf>
    <xf borderId="2" fillId="0" fontId="3" numFmtId="0" xfId="0" applyAlignment="1" applyBorder="1" applyFont="1">
      <alignment readingOrder="0" shrinkToFit="0" wrapText="0"/>
    </xf>
    <xf borderId="0" fillId="5" fontId="0" numFmtId="0" xfId="0" applyAlignment="1" applyFill="1" applyFont="1">
      <alignment readingOrder="0" shrinkToFit="0" wrapText="0"/>
    </xf>
    <xf borderId="0" fillId="5" fontId="27" numFmtId="0" xfId="0" applyAlignment="1" applyFill="1" applyFont="1">
      <alignment readingOrder="0" shrinkToFit="0" wrapText="0"/>
    </xf>
    <xf borderId="0" fillId="0" fontId="27" numFmtId="0" xfId="0" applyAlignment="1" applyFont="1">
      <alignment readingOrder="0" shrinkToFit="0" wrapText="0"/>
    </xf>
    <xf borderId="0" fillId="3" fontId="69" numFmtId="0" xfId="0" applyAlignment="1" applyFill="1" applyFont="1">
      <alignment horizontal="left" readingOrder="0" shrinkToFit="0" wrapText="0"/>
    </xf>
    <xf borderId="2" fillId="0" fontId="3" numFmtId="0" xfId="0" applyAlignment="1" applyBorder="1" applyFont="1">
      <alignment readingOrder="0" shrinkToFit="0" wrapText="0"/>
    </xf>
    <xf borderId="2" fillId="0" fontId="7" numFmtId="0" xfId="0" applyAlignment="1" applyBorder="1" applyFont="1">
      <alignment readingOrder="0" shrinkToFit="0" wrapText="0"/>
    </xf>
    <xf borderId="2" fillId="3" fontId="47" numFmtId="0" xfId="0" applyAlignment="1" applyBorder="1" applyFill="1" applyFont="1">
      <alignment readingOrder="0" shrinkToFit="0" wrapText="0"/>
    </xf>
    <xf borderId="2" fillId="0" fontId="70" numFmtId="0" xfId="0" applyAlignment="1" applyBorder="1" applyFont="1">
      <alignment readingOrder="0" shrinkToFit="0" wrapText="0"/>
    </xf>
    <xf borderId="2" fillId="3" fontId="45" numFmtId="0" xfId="0" applyAlignment="1" applyBorder="1" applyFill="1" applyFont="1">
      <alignment horizontal="left" readingOrder="0" shrinkToFit="0" wrapText="0"/>
    </xf>
    <xf borderId="2" fillId="3" fontId="69" numFmtId="0" xfId="0" applyAlignment="1" applyBorder="1" applyFill="1" applyFont="1">
      <alignment horizontal="left" readingOrder="0" shrinkToFit="0" wrapText="0"/>
    </xf>
    <xf borderId="2" fillId="0" fontId="71" numFmtId="0" xfId="0" applyAlignment="1" applyBorder="1" applyFont="1">
      <alignment readingOrder="0" shrinkToFit="0" wrapText="0"/>
    </xf>
    <xf borderId="2" fillId="0" fontId="72" numFmtId="0" xfId="0" applyAlignment="1" applyBorder="1" applyFont="1">
      <alignment readingOrder="0" shrinkToFit="0" wrapText="0"/>
    </xf>
    <xf borderId="2" fillId="0" fontId="73" numFmtId="0" xfId="0" applyAlignment="1" applyBorder="1" applyFont="1">
      <alignment readingOrder="0" shrinkToFit="0" wrapText="0"/>
    </xf>
    <xf borderId="2" fillId="0" fontId="11" numFmtId="0" xfId="0" applyAlignment="1" applyBorder="1" applyFont="1">
      <alignment readingOrder="0" shrinkToFit="0" wrapText="0"/>
    </xf>
    <xf borderId="2" fillId="0" fontId="74" numFmtId="0" xfId="0" applyAlignment="1" applyBorder="1" applyFont="1">
      <alignment readingOrder="0" shrinkToFit="0" wrapText="0"/>
    </xf>
    <xf borderId="2" fillId="0" fontId="11" numFmtId="0" xfId="0" applyAlignment="1" applyBorder="1" applyFont="1">
      <alignment shrinkToFit="0" wrapText="0"/>
    </xf>
    <xf borderId="2" fillId="0" fontId="75" numFmtId="0" xfId="0" applyAlignment="1" applyBorder="1" applyFont="1">
      <alignment readingOrder="0" shrinkToFit="0" wrapText="0"/>
    </xf>
    <xf borderId="2" fillId="0" fontId="0" numFmtId="0" xfId="0" applyAlignment="1" applyBorder="1" applyFont="1">
      <alignment readingOrder="0" shrinkToFit="0" wrapText="0"/>
    </xf>
    <xf borderId="2" fillId="0" fontId="3" numFmtId="0" xfId="0" applyAlignment="1" applyBorder="1" applyFont="1">
      <alignment shrinkToFit="0" wrapText="0"/>
    </xf>
    <xf borderId="2" fillId="3" fontId="76" numFmtId="0" xfId="0" applyAlignment="1" applyBorder="1" applyFill="1" applyFont="1">
      <alignment horizontal="left" readingOrder="0" shrinkToFit="0" wrapText="0"/>
    </xf>
    <xf borderId="2" fillId="3" fontId="77" numFmtId="0" xfId="0" applyAlignment="1" applyBorder="1" applyFill="1" applyFont="1">
      <alignment readingOrder="0" shrinkToFit="0" wrapText="0"/>
    </xf>
    <xf borderId="2" fillId="3" fontId="3" numFmtId="0" xfId="0" applyAlignment="1" applyBorder="1" applyFill="1" applyFont="1">
      <alignment readingOrder="0" shrinkToFit="0" wrapText="0"/>
    </xf>
    <xf borderId="2" fillId="3" fontId="78" numFmtId="0" xfId="0" applyAlignment="1" applyBorder="1" applyFill="1" applyFont="1">
      <alignment readingOrder="0" shrinkToFit="0" wrapText="0"/>
    </xf>
    <xf borderId="2" fillId="3" fontId="79" numFmtId="0" xfId="0" applyAlignment="1" applyBorder="1" applyFill="1" applyFont="1">
      <alignment readingOrder="0" shrinkToFit="0" wrapText="0"/>
    </xf>
    <xf borderId="2" fillId="3" fontId="0" numFmtId="0" xfId="0" applyAlignment="1" applyBorder="1" applyFill="1" applyFont="1">
      <alignment readingOrder="0" shrinkToFit="0" wrapText="0"/>
    </xf>
    <xf borderId="0" fillId="3" fontId="80" numFmtId="0" xfId="0" applyAlignment="1" applyFill="1" applyFont="1">
      <alignment readingOrder="0" shrinkToFit="0" wrapText="0"/>
    </xf>
    <xf borderId="2" fillId="3" fontId="3" numFmtId="0" xfId="0" applyAlignment="1" applyBorder="1" applyFill="1" applyFont="1">
      <alignment readingOrder="0" shrinkToFit="0" wrapText="0"/>
    </xf>
    <xf borderId="2" fillId="3" fontId="81" numFmtId="0" xfId="0" applyAlignment="1" applyBorder="1" applyFill="1" applyFont="1">
      <alignment readingOrder="0" shrinkToFit="0" wrapText="0"/>
    </xf>
    <xf borderId="0" fillId="3" fontId="3" numFmtId="0" xfId="0" applyAlignment="1" applyFill="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E4696"/>
                </a:solidFill>
                <a:latin typeface="Tahoma"/>
              </a:defRPr>
            </a:pPr>
            <a:r>
              <a:rPr b="0">
                <a:solidFill>
                  <a:srgbClr val="0E4696"/>
                </a:solidFill>
                <a:latin typeface="Tahoma"/>
              </a:rPr>
              <a:t>Research Publications Using OpenBCI Technology</a:t>
            </a:r>
          </a:p>
        </c:rich>
      </c:tx>
      <c:overlay val="0"/>
    </c:title>
    <c:view3D>
      <c:rotX val="15"/>
      <c:rotY val="20"/>
      <c:depthPercent val="100"/>
      <c:rAngAx val="1"/>
    </c:view3D>
    <c:plotArea>
      <c:layout/>
      <c:bar3DChart>
        <c:barDir val="col"/>
        <c:grouping val="clustered"/>
        <c:ser>
          <c:idx val="0"/>
          <c:order val="0"/>
          <c:spPr>
            <a:solidFill>
              <a:srgbClr val="20EDFE"/>
            </a:solidFill>
            <a:ln cmpd="sng">
              <a:noFill/>
            </a:ln>
          </c:spPr>
          <c:cat>
            <c:strRef>
              <c:f>'Bar Graph'!$A$3:$A$12</c:f>
            </c:strRef>
          </c:cat>
          <c:val>
            <c:numRef>
              <c:f>'Bar Graph'!$B$3:$B$12</c:f>
              <c:numCache/>
            </c:numRef>
          </c:val>
        </c:ser>
        <c:axId val="224295126"/>
        <c:axId val="1347289444"/>
      </c:bar3DChart>
      <c:catAx>
        <c:axId val="224295126"/>
        <c:scaling>
          <c:orientation val="minMax"/>
        </c:scaling>
        <c:delete val="0"/>
        <c:axPos val="b"/>
        <c:title>
          <c:tx>
            <c:rich>
              <a:bodyPr/>
              <a:lstStyle/>
              <a:p>
                <a:pPr lvl="0">
                  <a:defRPr b="0">
                    <a:solidFill>
                      <a:srgbClr val="000000"/>
                    </a:solidFill>
                    <a:latin typeface="Tahoma"/>
                  </a:defRPr>
                </a:pPr>
                <a:r>
                  <a:rPr b="0">
                    <a:solidFill>
                      <a:srgbClr val="000000"/>
                    </a:solidFill>
                    <a:latin typeface="Tahoma"/>
                  </a:rPr>
                  <a:t/>
                </a:r>
              </a:p>
            </c:rich>
          </c:tx>
          <c:overlay val="0"/>
        </c:title>
        <c:numFmt formatCode="General" sourceLinked="1"/>
        <c:majorTickMark val="none"/>
        <c:minorTickMark val="none"/>
        <c:spPr>
          <a:ln>
            <a:noFill/>
          </a:ln>
        </c:spPr>
        <c:txPr>
          <a:bodyPr/>
          <a:lstStyle/>
          <a:p>
            <a:pPr lvl="0">
              <a:defRPr b="0" sz="1000">
                <a:solidFill>
                  <a:srgbClr val="111111"/>
                </a:solidFill>
                <a:latin typeface="Tahoma"/>
              </a:defRPr>
            </a:pPr>
          </a:p>
        </c:txPr>
        <c:crossAx val="1347289444"/>
      </c:catAx>
      <c:valAx>
        <c:axId val="13472894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Tahoma"/>
                  </a:defRPr>
                </a:pPr>
                <a:r>
                  <a:rPr b="0">
                    <a:solidFill>
                      <a:srgbClr val="000000"/>
                    </a:solidFill>
                    <a:latin typeface="Tahoma"/>
                  </a:rPr>
                  <a:t>Year</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Tahoma"/>
              </a:defRPr>
            </a:pPr>
          </a:p>
        </c:txPr>
        <c:crossAx val="224295126"/>
        <c:majorUnit val="25.0"/>
      </c:valAx>
    </c:plotArea>
    <c:legend>
      <c:legendPos val="r"/>
      <c:overlay val="0"/>
      <c:txPr>
        <a:bodyPr/>
        <a:lstStyle/>
        <a:p>
          <a:pPr lvl="0">
            <a:defRPr b="0">
              <a:solidFill>
                <a:srgbClr val="000000"/>
              </a:solidFill>
              <a:latin typeface="Tahoma"/>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E4696"/>
                </a:solidFill>
                <a:latin typeface="Tahoma"/>
              </a:defRPr>
            </a:pPr>
            <a:r>
              <a:rPr b="0">
                <a:solidFill>
                  <a:srgbClr val="0E4696"/>
                </a:solidFill>
                <a:latin typeface="Tahoma"/>
              </a:rPr>
              <a:t>Research Publications Using OpenBCI Technology</a:t>
            </a:r>
          </a:p>
        </c:rich>
      </c:tx>
      <c:overlay val="0"/>
    </c:title>
    <c:plotArea>
      <c:layout/>
      <c:barChart>
        <c:barDir val="col"/>
        <c:ser>
          <c:idx val="0"/>
          <c:order val="0"/>
          <c:spPr>
            <a:solidFill>
              <a:srgbClr val="3260A5"/>
            </a:solidFill>
            <a:ln cmpd="sng">
              <a:noFill/>
            </a:ln>
          </c:spPr>
          <c:cat>
            <c:strRef>
              <c:f>'Bar Graph'!$A$3:$A$12</c:f>
            </c:strRef>
          </c:cat>
          <c:val>
            <c:numRef>
              <c:f>'Bar Graph'!$B$3:$B$12</c:f>
              <c:numCache/>
            </c:numRef>
          </c:val>
        </c:ser>
        <c:axId val="1476154879"/>
        <c:axId val="1480483779"/>
      </c:barChart>
      <c:catAx>
        <c:axId val="1476154879"/>
        <c:scaling>
          <c:orientation val="minMax"/>
        </c:scaling>
        <c:delete val="0"/>
        <c:axPos val="b"/>
        <c:title>
          <c:tx>
            <c:rich>
              <a:bodyPr/>
              <a:lstStyle/>
              <a:p>
                <a:pPr lvl="0">
                  <a:defRPr b="0">
                    <a:solidFill>
                      <a:srgbClr val="000000"/>
                    </a:solidFill>
                    <a:latin typeface="Tahoma"/>
                  </a:defRPr>
                </a:pPr>
                <a:r>
                  <a:rPr b="0">
                    <a:solidFill>
                      <a:srgbClr val="000000"/>
                    </a:solidFill>
                    <a:latin typeface="Tahoma"/>
                  </a:rPr>
                  <a:t/>
                </a:r>
              </a:p>
            </c:rich>
          </c:tx>
          <c:overlay val="0"/>
        </c:title>
        <c:numFmt formatCode="General" sourceLinked="1"/>
        <c:majorTickMark val="none"/>
        <c:minorTickMark val="none"/>
        <c:spPr>
          <a:ln>
            <a:noFill/>
          </a:ln>
        </c:spPr>
        <c:txPr>
          <a:bodyPr/>
          <a:lstStyle/>
          <a:p>
            <a:pPr lvl="0">
              <a:defRPr b="0" sz="1000">
                <a:solidFill>
                  <a:srgbClr val="111111"/>
                </a:solidFill>
                <a:latin typeface="Tahoma"/>
              </a:defRPr>
            </a:pPr>
          </a:p>
        </c:txPr>
        <c:crossAx val="1480483779"/>
      </c:catAx>
      <c:valAx>
        <c:axId val="14804837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Tahoma"/>
                  </a:defRPr>
                </a:pPr>
                <a:r>
                  <a:rPr b="0">
                    <a:solidFill>
                      <a:srgbClr val="000000"/>
                    </a:solidFill>
                    <a:latin typeface="Tahoma"/>
                  </a:rPr>
                  <a:t>Year</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Tahoma"/>
              </a:defRPr>
            </a:pPr>
          </a:p>
        </c:txPr>
        <c:crossAx val="1476154879"/>
        <c:majorUnit val="25.0"/>
      </c:valAx>
    </c:plotArea>
    <c:legend>
      <c:legendPos val="r"/>
      <c:overlay val="0"/>
      <c:txPr>
        <a:bodyPr/>
        <a:lstStyle/>
        <a:p>
          <a:pPr lvl="0">
            <a:defRPr b="0">
              <a:solidFill>
                <a:srgbClr val="000000"/>
              </a:solidFill>
              <a:latin typeface="Tahoma"/>
            </a:defRPr>
          </a:pPr>
        </a:p>
      </c:txPr>
    </c:legend>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Citations Tracked per year</a:t>
            </a:r>
          </a:p>
        </c:rich>
      </c:tx>
      <c:overlay val="0"/>
    </c:title>
    <c:plotArea>
      <c:layout/>
      <c:lineChart>
        <c:varyColors val="0"/>
        <c:ser>
          <c:idx val="0"/>
          <c:order val="0"/>
          <c:tx>
            <c:strRef>
              <c:f>'Pivot Table 2'!$B$1</c:f>
            </c:strRef>
          </c:tx>
          <c:spPr>
            <a:ln cmpd="sng">
              <a:solidFill>
                <a:srgbClr val="4285F4"/>
              </a:solidFill>
            </a:ln>
          </c:spPr>
          <c:marker>
            <c:symbol val="none"/>
          </c:marker>
          <c:cat>
            <c:strRef>
              <c:f>'Pivot Table 2'!$A$2:$A$13</c:f>
            </c:strRef>
          </c:cat>
          <c:val>
            <c:numRef>
              <c:f>'Pivot Table 2'!$B$2:$B$13</c:f>
              <c:numCache/>
            </c:numRef>
          </c:val>
          <c:smooth val="0"/>
        </c:ser>
        <c:axId val="1098134721"/>
        <c:axId val="450640538"/>
      </c:lineChart>
      <c:catAx>
        <c:axId val="109813472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0"/>
        <c:majorTickMark val="none"/>
        <c:minorTickMark val="none"/>
        <c:spPr>
          <a:ln>
            <a:noFill/>
          </a:ln>
        </c:spPr>
        <c:txPr>
          <a:bodyPr/>
          <a:lstStyle/>
          <a:p>
            <a:pPr lvl="0">
              <a:defRPr b="0">
                <a:solidFill>
                  <a:srgbClr val="000000"/>
                </a:solidFill>
                <a:latin typeface="Roboto"/>
              </a:defRPr>
            </a:pPr>
          </a:p>
        </c:txPr>
        <c:crossAx val="450640538"/>
      </c:catAx>
      <c:valAx>
        <c:axId val="4506405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COUNTA of Title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098134721"/>
      </c:valAx>
    </c:plotArea>
    <c:legend>
      <c:legendPos val="r"/>
      <c:overlay val="0"/>
      <c:txPr>
        <a:bodyPr/>
        <a:lstStyle/>
        <a:p>
          <a:pPr lvl="0">
            <a:defRPr b="0">
              <a:solidFill>
                <a:srgbClr val="000000"/>
              </a:solidFill>
              <a:latin typeface="Roboto"/>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619125</xdr:colOff>
      <xdr:row>0</xdr:row>
      <xdr:rowOff>85725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790575</xdr:colOff>
      <xdr:row>0</xdr:row>
      <xdr:rowOff>133350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695325</xdr:colOff>
      <xdr:row>6</xdr:row>
      <xdr:rowOff>28575</xdr:rowOff>
    </xdr:from>
    <xdr:ext cx="7134225" cy="44100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851" sheet="Citations"/>
  </cacheSource>
  <cacheFields>
    <cacheField name="Year" numFmtId="0">
      <sharedItems containsSemiMixedTypes="0" containsString="0" containsNumber="1" containsInteger="1">
        <n v="2026.0"/>
        <n v="2025.0"/>
        <n v="2024.0"/>
        <n v="2023.0"/>
        <n v="2022.0"/>
        <n v="2021.0"/>
        <n v="2020.0"/>
        <n v="2019.0"/>
        <n v="2018.0"/>
        <n v="2017.0"/>
        <n v="2016.0"/>
        <n v="2015.0"/>
        <n v="2013.0"/>
      </sharedItems>
    </cacheField>
    <cacheField name="OpenBCI Product Used" numFmtId="0">
      <sharedItems containsBlank="1">
        <s v="Cyton Board"/>
        <s v="Cyton Board, Cyton Board"/>
        <m/>
        <s v="Cyton+Daisy Board"/>
        <s v="OpenBCI GUI, OpenBCI Hardware"/>
        <s v="OpenBCI Galea"/>
        <s v="Ganglion Board"/>
        <s v="Ganglion"/>
        <s v="OpenBCI GUI, Cyton Board"/>
        <s v="Cyton Board, OpenBCI Board, OpenBCI GUI"/>
        <s v="OpenBCI GUI"/>
        <s v=" "/>
        <s v="Galea"/>
        <s v="Cyton Board, OpenBCI Hardware"/>
        <s v="Cyton Board, OpenBCI GUI"/>
        <s v="EmotiBit"/>
        <s v="OpenBCI GUI software"/>
        <s v="Cyton+Daisy Board, OpenBCI GUI"/>
        <s v="Ganglion, OpenBCI Board, OpenBCI GUI"/>
        <s v="OpenBCI Hardware"/>
        <s v="Ganglion, OpenBCI GUI"/>
        <s v="OpenBCI GUI, Cyton+Daisy Board"/>
        <s v="Cyton Board, Ganglion"/>
        <s v="Cyton+Daisy Board, Ganglion"/>
        <s v="Ganglion "/>
        <s v="Cyton+Daisy Board+Wifi Shield"/>
        <s v="Pulse Sensor"/>
        <s v="TBD"/>
        <s v="Myoware Muscle Sensor"/>
        <s v="Cyton+Daisy"/>
        <s v="Cyton /Ganglion"/>
        <s v="Cyton &amp; Ganglion"/>
        <s v="Cyton"/>
        <s v="Ganglion 4-channel board"/>
        <s v="Cyton and Electrodes"/>
        <s v="Wifi Shield and Cyton"/>
        <s v="All Products"/>
        <s v="CytonDaisy 16-channel"/>
        <s v="Electrodes "/>
        <s v="https://github.com/OpenBCI"/>
        <s v="OpenBCI Board"/>
        <s v="OpenBCI Python"/>
        <s v="Ultracortex EEG Headset"/>
        <s v="OpenBCI Electrodes"/>
      </sharedItems>
    </cacheField>
    <cacheField name="Electrode / Other Products" numFmtId="0">
      <sharedItems containsBlank="1">
        <s v=" "/>
        <m/>
        <s v="Headband kit"/>
        <s v="Ultracortex Mark IV, Dry EEG Comb Electrodes"/>
        <s v="Ultracortex Mark IV"/>
        <s v="ThinkPulse, Ultracortex headset"/>
        <s v="EEG Electrode Cap Kit"/>
        <s v="Dry EEG Comb Electrodes"/>
        <s v="ECoG"/>
        <s v="Gold Cup Electrodes"/>
        <s v="Ultracortex Mark IV, cEEGrid"/>
        <s v="Gelfree BCI Electrode Cap Kit"/>
        <s v="cEEGrid"/>
        <s v="OpenBCI Headband kit"/>
        <s v="EmotiBit Kit and Ultracortex Mark IV"/>
        <s v="OpenBCI GUI"/>
        <s v="Snap Electrode Cables"/>
        <s v="Custom 2 Channel ECG"/>
        <s v="g.tec-g.SAHARA"/>
        <s v="Skintact Foam Electrodes"/>
        <s v="Kendall Medi-trace ECG electrodes"/>
        <s v="custom"/>
        <s v=" cEEGrid ear electrodes"/>
        <s v="PPG, HRV sensors"/>
        <s v="3rd party EEG cap"/>
        <s v="custom facepad"/>
        <s v="Ag/AgCl Electrodes"/>
        <s v="Ultracortex Mark IV, Gold Cup Electrodes"/>
        <s v="Ultracortex Mark IV,  Myoware Muscle Sensor"/>
        <s v="Ultracortex Mark IV EEG Headset"/>
        <s v="Ultracortex EEG Headset"/>
        <s v="Non OpenBCI electrodes"/>
      </sharedItems>
    </cacheField>
    <cacheField name="Author(s)" numFmtId="0">
      <sharedItems>
        <s v="Homayounfar, Seyedeh Zohreh; Mukherjee, Manideepa; Patamia, Evan Douglas; Rastikerdar, Mohammad Mehdi; Ganesan, Deepak; Andrew, Trisha"/>
        <s v="Wiga Maulana Baihaqi, Indriana Hidayah, Sri Kusrohmaniah, Noor Akhmad Setiawan"/>
        <s v="Narantuya, Binderiya; Vanchindorj, Munkhkherlen; Bayarsaikhan, Battsetseg"/>
        <s v="Palmisciano, Andrea Costanzo; Farabbi, Andrea; Latino, Francesco; Rossi, Matteo; Antonello, Niccolò; Cerveri, Pietro; Mainardi, Luca T"/>
        <s v="Wu, Qiyou; Mi, Gaotian; Wood, Dan"/>
        <s v="Yakubovsky, Dmitry; Mironov, Mikhail; Ermolaev, Georgy; Khrebtov, Aleksandr; Slavich, Aleksandr; Narute, Prashant; Chowdhury, Pritom; Kirtaev, Roman; Khramtsov, Igor; Minnekhanov, Anton; Tselikov, Gleb; Grudinin, Dmitriy; Sidorova, Maria; Pak, Nikolay; Ma"/>
        <s v="Frei, Vanessa; Mainar, Pablo; Fritz, Thomas; Chardon, Jean-Michel; Giroud, Nathalie"/>
        <s v="Kim, Kahyeon; Kim, Sumin; Gim, Juhui"/>
        <s v="Bouallagui, Hamza; Chniter, Hamza; Ghaffari, Fakhreddine; Romain, Olivier"/>
        <s v="Ayanga Imesha Kumari Kalupahana, Vishruti Ranjan, Li-Shiuan Peh"/>
        <s v="Cavalcanti de Albuquerque, Mateus; Vasconcelos, Edvaldo; Alves, Ruanderson; Gomes, Andre; Diniz, Margareth; Becker, Valdecir"/>
        <s v="Daniel J. Buxton, Mufti Mahmud, Jordan J. Bird, Thomas Hughes-Roberts, David J. Brown"/>
        <s v="Liu, Haoxian; Ouyang, Xiaomin"/>
        <s v="Hai, Xiao; Shen, Ruiyang; Wang, Xiaoyi; Yang, Guo‐Min"/>
        <s v="Sharawi, Marwa; Althekair, Abdulaziz; Odeh, Mohanned; AlBayaa, Mohammad; Abu Doush, Iyad; Almulla, Maryam"/>
        <s v="Khouliya Zalda, Riries Rulaningtyas, Khusnul Ain, Osmalina Nur Rahma, Sayyidul Istigfhar Ittaqillah, Annie Anak Joseph, Rafi Ihsana Azka, Nabila Nayara Fawza"/>
        <s v="Sameer, T.; Deekshith, R. V. M.; Karthik, P.; Pati, Peeta Basa; Bhattacharya, Debanjali"/>
        <s v="Botao He, Zhi Wang, Linna Kuang, Ishaan Ghosh, Jitendra Malik, Cornelia Fermuller, Tingfan Wu, Jiayuan Mao, Ruoshi Liu, Haozhi Qi, Yiannis Aloimonos"/>
        <s v="Ha, Juchan; Bok, Junsoo; Lee, Yunjin; Kim, Yong Sung; Kim, June Sic; Kim, Hee-Jin; Jang, Yongwoo"/>
        <s v="Engr. Aymen Jamil,Khawaja Uneeb Ullah"/>
        <s v="Tan, Dingming; Ni, Zifeng; Zhang, Baiqiao; Zhou, Chao; Bai, Tianshuo; Liu, Juan; Li, Xiangxian; Bian, Yulong"/>
        <s v="Li, Yichen; Zheng, Kai; Zhang, Guangtian; Chen, Wentao; Liu, Chengtan; Shin, Seonho; Yang, Bihai; Cai, Ran; Hu, Bin"/>
        <s v="Kunireddy, Venkata Sai Jyothsna; Goru, Hema Kumar; Nittla, Yuva Teja; Kumbha, Srinivas"/>
        <s v="Acuña, Italo A.; Suárez, Juan C.; Abarca, Victoria E.; Elias, Dante A."/>
        <s v="Rahmat, Muhammad Mirza; Yunidar, Yunidar; Melinda, Melinda"/>
        <s v="Nittla, Yuva Teja; Kumar Goru, Hema; Jyothsna Kunireddy, Venkata Sai; Kumbha, Srinivas"/>
        <s v="Vergara-Morales, J.; Matamala, B.; Retamal, B.; Gantiva, C."/>
        <s v="Concatto, Fernando; Freitas, Maurício Pasetto de; González-Dalmau, Evelio; Legal, Eduardo; Ramírez, Alejandro García"/>
        <s v="Cao, Nhan; Loyd, Brian; Kittelson, Andy; Nguyen, Anh"/>
        <s v="Maaz, Jacob; Dia, Alexandra; Waroquier, Laurent; Paban, Véronique; Rey, Arnaud"/>
        <s v="Jin, Ye-Ji; Mi, Eidmann Ammienn Bin Eh; Dulamsuren, Sharkhuu; Tamura, Shun; Kang, Na-Yun; Mao, Xiaoyang; Chang, Won-Du"/>
        <s v="Selçuk, Elif Nur; Çakmak, Gökçenur; Usal, Mustafa Reşit"/>
        <s v="Concha-Pérez, Elsa; Gonzalez-Hernandez, Hugo G.; Reyes-Avendaño, Jorge A.; Beltrán-Rodríguez, María; Olazagoitia, José Luis; Luengo, Javier Fernández de Gorostiza"/>
        <s v="M. Hanafi, A. Sahroni, S. Kusumadewi, H. Setiawan, and F. Firdaus"/>
        <s v="De Angelis, Davide; Manco, Manuel; Garzia, Emilio; Di Nardo, Emanuel; Ciaramella, Angelo"/>
        <s v="Syiva, Cut Siti Azola; Melinda, Melinda; Syahrial, Syahrial; Rahman, Imam Fathur; Das, Souvik; Heryanto, M. Ary"/>
        <s v="S, Samweslin; D, Hepsiba; Anand, L. D Vijay; Varthini, R. Kogila; Isaac, J. Samson"/>
        <s v="Channa, Asma; Jelinek, Herbert F.; Belkacem, Abdelkader Nasreddine; Atef, Mohamed; Elfadel, Ibrahim (Abe) M."/>
        <s v="Hatchett, Seth; Viana, Connor; Sargolzaei, Arman; Sargolzaei, Saman"/>
        <s v="Jayaraman Rajendiran, Dinesh Kumar; Chidambaram, Ganesh Babu; Kolluru, Vinothkumar; Adli, Gerald"/>
        <s v="Haoxian Liu, Hengle Jiang, Lanxuan Hong, Xiaomin Ouyang"/>
        <s v="Schick, Lukas; Frey, Emilia; Putze, Felix; Knierim, Michael T."/>
        <s v="WASHIO, Subaru; NOGUCHI, Ryohei; ASAKURA, Takumi; HASEGAWA, Ryohei P."/>
        <s v="R, Shwethaa. A.; Aswini, G.V."/>
        <s v="Ahn, Ji Won; Yu, Gi Yeon; Kim, Seong-Wan; Seok, Young-Seek; Byun, Kyung-Min; Choi, Seung Ho"/>
        <s v="Inoue, Masakazu; Hatakeyama, Eri; Kita, Yuya; Sasai, Shuntaro"/>
        <s v="Hu, Qingyong; Zhou, Yuxuan; Wang, Jinjian; Gong, Yanbin; Zhang, Yizhen; Sun, Jingnan; Yao, Jian; Shao, Qijia; Qiu, Lili; Zhang, Qian; Li, Guihua"/>
        <s v="Chowdhury, Nahian S; Rawsthorne, Joshua; Hesam-Shariati, Negin; Quidé, Yann; McIntyre, Angus; Restrepo, Sebastian; Chen, Kevin; Lin, Chin-Teng; John, Toby Newton; Middleton, James W; Craig, Ashley; Jensen, Mark P; McAuley, James; Gustin, Sylvia M"/>
        <s v="Buxton, Daniel and Mahmud, Mufti and Bird, Jordan and Hughes-Roberts, Thomas and Brown, David"/>
        <s v="Chan, Yean Ling; Tew, Yiqi; Goh, Ching Pang; Chan, Choon Kit"/>
        <s v="Roque, Thiago Rossi; Sun, Ruojia; Do, Ellen Yi-Luen; Leslie, Grace"/>
        <s v="Ahmad Fauzi , Ohnishi Ayumi , Tsutomu Terada , Masahiko Tsukamoto"/>
        <s v="Giusy Spacone, Sebastian Frey, Giovanni Pollo, Alessio Burrello, Daniele Jahier Pagliari, Victor Kartsch, Andrea Cossettini, Luca Benini"/>
        <s v="Guler, Saygun; Mirbakht, Seyed Sajjad; Tasdelen, Melih Can; Kuzubasoglu, Burcu Arman; Ballipinar, Faruk; Yapici, Murat Kaya"/>
        <s v="Hansika Medagedara, M.; Gopura, R.A.R.C.; Nandasiri, Gayani K."/>
        <s v="Iván Arcos, Paolo Rosso, Elena Gomis-Vicent"/>
        <s v="M. Tairab, Alaeldin; Liu, Weiqun; Zhuo, Junchao; Yi, Menglong; Chen, Hongyu; Hao, Daning; Emmanuel, Bisengimana; Aslam, Touqeer"/>
        <s v="Saglam, Abdullah Yigit; Tezel, Tugce Gulseren; Kucukselbes, Hezzal; Sayilgan, Ebru"/>
        <s v="Ghadah Alosaimi, Maha Alsayyari, Yixin Sun, Stamos Katsigiannis, Amir Atapour-Abarghouei, Toby P. Breckon"/>
        <s v="N, Keerthika.; V, Kiruthika."/>
        <s v="İbili, Aysel Burcu; Fidan, Ugur; Ibılı, Emin; Çavuşoğlu, Dilek; Özkan Yılmaz, Neşe; Okumuş, Nurullah"/>
        <s v="Xiong, Qinqin; Gui, Longjin; Shu, Chuan"/>
        <s v="Abdollahzadeh, Hamed; Montaldi, Elisa; Olivieri, Riccardo; Esposito, Paolo; Barile, Gianluca; Ferri, Giuseppe; Stornelli, Vincenzo"/>
        <s v="D’Amico, Alessandro; de Sa, Virginia R."/>
        <s v="Ramu, Vadivelan; Lakshminarayanan, Kishor"/>
        <s v="Bahramsari, Parsa; Behzadipour, Saeed"/>
        <s v="Gornale, Shivanand S.; Palaiahnakote, Shivakumara; Unki, Amruta; Moreno-Garcia, Carlos Francisco"/>
        <s v="Palmisciano, Andrea Costanzo; Farabbi, Andrea; Rossi, Matteo; Antonello, Niccolò; Trojaniello, Diana; Cerveri, Pietro; Mainardi, Luca T"/>
        <s v="Muhammad, Riaz; Nettey-Oppong, Ezekiel Edward; Usman, Muhammad; Abro, Saeed Ahmed Khan; Soomro, Toufique Ahmed; Ali, Ahmed"/>
        <s v="Alawee, Wissam H.; Al-Haddad, Luttfi A.; Basem, Ali"/>
        <s v="Fathur Rahman, Imam; Melinda, Melinda; Yunidar, Yunidar; Basir, Nurlida; Rafiki, Aufa"/>
        <s v="Zhang, Hexiang; Wu, Jiaoyi; Zou, Rui; Fan, Chengliang; Zhang, Zutao; Pan, Yajia; Luo, Dabing"/>
        <s v="Fauzi, Ahmad; Ohnishi, Ayumi; Terada, Tsutomu; Tsukamoto, Masahiko"/>
        <s v="Altoé, Rodrigo Oliveira; da Silva Braz, Gabriel; Furtado, Guilherme Rangel; Felipe Blanco-Diaz, Cristian; Guerrero-Mendez, Cristian David; Milanezi de Andrade, Rafhael"/>
        <s v="Katherine, undefined; Rulaningtyas, Riries; Chellappan, Kalaivani"/>
        <s v="Glazebrook, AJ; Shakespeare-Finch, Jane; Andrew, Brooke; van der Meer, Johan"/>
        <s v="Arnesano, Marco; Arpaia, Pasquale; Balatti, Simone; Cosoli, Gloria; Luca, Matteo De; Gargiulo, Ludovica; Moccaldi, Nicola; Pollastro, Andrea; Zanto, Theodore; Forenza, Antonio"/>
        <s v="Ramadhan, Irfan Wahyu; Adinandra, Sisdarmanto"/>
        <s v="Primartha, Rifkie; Adji, Teguh Bharata; Setiawan, Noor Akhmad"/>
        <s v="Gnonhoue, George; Tabiai, Ilyass; Voix, Jérémie; David, Éric"/>
        <s v="Rada, Juliana Moreno; Saldarriaga, Luisa María Zapata; Garcia‐Cifuentes, Elkin; Niño, David Fernando Aguillón; Ramírez, María José Hidalgo; Guerrero, Alejandro; Gómez, John Fredy Ochoa"/>
        <s v="Jain, Darshan; Pal, Amitangshu"/>
        <s v="Praseeda, undefined; Srinivasa, Srinath"/>
        <s v="Sadhu, Shehjar; Bhagat, Nishtha; Castillo, Elijah; Weyandt, Lisa; Mankodiya, Kunal; Solanki, Dhaval"/>
        <s v="Cabral, Fernando Bermudes; Mehrpour, Sheida; de Souza, Fernanda Vaz; Lima, Jessica Paola Souza; Gonzalez-Cely, Aura Ximena; Bastos-Filho, Teodiano Freire"/>
        <s v="Zárate-Ruiz, Ángel del Rosario; Arias-Montiel, Manuel; Millán-Hernández, Christian Eduardo"/>
        <s v="Xiong, Haolin and Fu, Tianwen and Prasad, Pratusha and Cai, Yunxuan and Chen, Haiwei and Teng, Wenbin and Xiao, Hanyuan and Zhao, Yajie"/>
        <s v="Gupta, Kurusetti Vinay; Kumar Reddy Bollu, Tharun; Behera, Laxmidhar; Ika, Krishna; Pachori, Ram Bilas"/>
        <s v="Gnonhoue, George; David, Éric; Voix, Jérémie; Tabiai, Ilyass"/>
        <s v="Palanichamy, Chandresh; Thirumoorthi, Subash Palaniappan; Lakshminarayanan, Kishor; Madathil, Deepa; Rahman, Mohammad Habibur"/>
        <s v="undefined, undefined; Zhuravlev, D.V.; Golubinsky, A.N.; undefined, undefined; Letov, N.A.; undefined, undefined"/>
        <s v="Ortiz-Espinoza, Alexandro; Cebral-Loureda, Manuel; Hernandez-Morales, José; Torres-Huitzil, César; Ramírez-Moreno, Mauricio A."/>
        <s v="Chen, Yinghua; Tan, Ting; Yan, Zhimiao"/>
        <s v="Tairab, Alaeldin M.; Zhuo, Junchao; Liu, Weiqun; Bisengimana, Emmanuel; Mugheri, Shoukat Ali; Aslam, Touqeer; Hao, Daning"/>
        <s v="Joodaki, Mahyar; Rodgers, Griffin; Hopf, Alois; Koller, Mathias R.; Guzman, Raphael; Santarnecchi, Emiliano; Vögerl, Johannes S.; Ferchow, Julian; Ruffner, Annina; Funken, Marc; Meboldt, Mirko; Osmani, Bekim"/>
        <s v="Lin, Sheng-Kai; Lee, Jui-Hua; Tsai, Hao-Sin; Chen, Yen-Chun; Zhang, Ming-Xiang; Kuo, Wen-Cheng; Yang, Yao-Joe"/>
        <s v="Blanco-Díaz, Cristian Felipe; González-Cely, Aura Ximena; Guerrero-Mendez, Cristian David; Villa-Parra, Ana Cecilia; Bastos-Filho, Teodiano"/>
        <s v="Abdallah, Ismail Ben; Bouteraa, Yassine; Alotaibi, Ahmed"/>
        <s v="Bhaskara, Sreenivas; Shabari Girishan, K. V.; Murugaiyan, Saravanan; Dwivedi, Anand Arun; Krishnakumaran, R.; Pandya, Hardik Jeetendra"/>
        <s v="Aulenkamp, Jana Luisa; Nedergaard, Rasmus; Niazi, Imran Khan; Liao, Donghua; Kuhlmann, Louise; Rojas, Fredy; Rasool, Kamran; Phillips, Anna; Yadav, Dhiraj; De-Madaria, Enrique; Hegyi, Peter; Garg, Pramod; Olesen, Søren; Jagannath, Soumya; Hagn-Meincke, Ra"/>
        <s v="Campelo, T.; Aime, M.; Rusterholz, T.; Gutierrez Herrera, C.; Adamantidis, A."/>
        <s v="Done, Christian; Palmer, Jaden; Oakey, Kayson; Gupta, Atulan; Thiros, Constantine; Franklin, Janet; Schoen, Marco P."/>
        <s v="LaRocco, John; Tahmina, Qudsia; Zia, Saideh; Merchant, Shahil; Forrester, Jason; He, Eason; Lin, Ye"/>
        <s v="Song, Kunpeng; Liu, Yamei; Xu, Peng"/>
        <s v="Bastos-Filho, Teodiano; González-Cely, Aura Ximena; Mehrpour, Sheida; Schreider, Sheila; Souza, Fernanda; Cabral, Fernando; Villa-Parra, Ana Cecilia"/>
        <s v="Xu, Wei; Shi, Haopeng; Gu, Yuzhe; Ruan, Tingwen; Zhang, Yinghai; He, Wei; Li, Yang; He, Jingyu; Zheng, Shiyu; Wang, Yuxin; Chen, Qiumeng; Chen, Qingyun; Ren, Qingying; Xie, Yannan; Li, Wei"/>
        <s v="Zhu, Howe Yuan; Hieu, Nguyen Quang; Hoang, Dinh Thai; Nguyen, Diep N.; Lin, Chin-Teng"/>
        <s v="Bernal, Guillermo; Jung, Hahrin; Yassı, İsmail Emir; Hidalgo, Nelson; Alemu, Yodahe; Barnes-Diana, Tyler; Maes, Pattie"/>
        <s v="Gupta, Kunal; Chang, Zhuang; Gunasekaran, Tamil Selvan; Zhang, Yuewei; Nunnerley, Joanne; King, Marcus; Murphy, Peta; Pitts, Philip; Russomanno, Conor; Billinghurst, Mark"/>
        <s v="Gupta, Kunal; Zhang, Yuewei; Gunasekaran, Tamil Selvan; Sasikumar, Prasanth; Krishna, Nanditha; Pits, Philip; Russomanno, Conor; Billinghurst, Mark"/>
        <s v="Gupta, Kunal; Zhang, Yuewei; Gunasekaran, Tamil Selvan; Sasikumar, Prasanth; Krishna, Nanditha; Pai, Yun Suen; Billinghurst, Mark"/>
        <s v="Bernal, Guillermo; Hidalgo, Nelson; Russomanno, Conor; Maes, Pattie"/>
        <s v="Viriyopase, Atthaphon; Narajeenron, Khuansiri"/>
        <s v="Wu, Xiaolong; Long, Dingfu; Yang, Jianhong"/>
        <s v="Alif Haiqal Khairul Shah, undefined; A Rahman, Khairul Azlan; Goh Thing Thing, undefined; Sin Jin Tan, undefined; Christian Ritz, undefined; Fuad, Norfaiza"/>
        <s v="Bello, Khalid; Aqlan, Faisal"/>
        <s v="Kucukselbes, Hezzal; Sayilgan, Ebru"/>
        <s v="Reis Carneiro, Manuel; Lopes, Telmo; Silva, André F.; Majidi, Carmel; Tavakoli, Mahmoud"/>
        <s v="Alamalhoda, MohammadAmin; Leesch, Friederike; Giovanetti, Francesca; Dunne, Eoghan; Pilloni, Giuseppina; Caffrey, Mark; O’Keeffe, Jack; Venturino, Alessandro; Ferretti, Maria Teresa"/>
        <s v="Dale, Yash; Anirvan, Nanduri Kowshik; Karjigi, Suhas S; H. S, Sameena"/>
        <s v="Sayilgan, Ebru"/>
        <s v="González, Pablo Villanueva; Cuevas, Cristobal Subiabre; Jeldez, Lino; Troncoso, Benjamin Torrealba; Guiñazú, María Flavia; Velásquez, Juan D."/>
        <s v="P S, Prof. Sharanya; Prithviraj, Prithviraj; Roopesh, Roopesh; Kotian, S Vaishnavi; Rao S, Shreesha"/>
        <s v="AL-Quraishi, Maged S.; Ahmed, Gamil; AbouOmar, Mahmoud S.; Ouerdane, Fethi; Eltayeb, Ahmed; Alyazidi, Nezar M.; Ali, Syed Saad Azhar"/>
        <s v="Evgeniya Anisimova, Sameer N.B. Alladin, Styliani Tsamaz, Edwin S. Dalmaijer"/>
        <s v="Suto, Jozsef; Kumar, Rahul Suresh"/>
        <s v="Huang, Wei-Han; Chen, Jian-Yu; Lin, Chun-Chang; Chang, Po-Hsueh; Lin, Ru-Zheng; Chiueh, Herming; Huang, Wei-Chen"/>
        <s v="Sahoo, Shivani; Sumitra, S; BS, Manoj"/>
        <s v="Hanafy, Mohamed A.; Yusufjonov, Saykhun; Sharafian Ardakani, Payman; Rayguru, Madan M.; Popa, Dan O."/>
        <s v="Choi, TaeHo; Ji, SeungYeul; Jun, HanJong"/>
        <s v="Shao, Qijia; Chen, Junxiao; Leung, Ho Man Colman; Zhao, Meiqi; Xu, Ruoyu; Liu, Jiting; García, Lisa Maria DiSalvo; Jiang, Xiaofan; St-Onge, Marie-Pierre; Zhou, Xia"/>
        <s v="Purohit, Mahaveer P.; Yu, Brenda J.; Roy, Kanchan Sinha; Xiang, Yun; Ewbank, Sedona N.; Azadian, Matine M.; Hart, Alex R.; Muwanga, Gabriella P. B.; Martinez, Payton J.; Wang, Jeffrey B.; Taoube, Ali K.; Markarian, Eric; Macedo, Nicholas; Kwan, Audrey K.;"/>
        <s v="Victoria Peterson, Valeria Spagnolo, Catalina M Galván, Nicolás Nieto, Rubén D Spies, Diego H Milone "/>
        <s v="Yekani, Milad; Abolghasemi, Mohammad-Mahdi; Rezghi Shirsavar, Shahriar; Bahramani, Amirreza"/>
        <s v="Castro-Moncada, Christian Armando; Pérez-Vidal, Alan Francisco; Ortiz-Torres, Gerardo; Sorcia-Vázquez, Felipe De Jesús; Rumbo-Morales, Jesse Yoe; Cervantes, José-Antonio; Hernández-Magaña, Carmen Elvira; Figueroa-Jiménez, María Dolores; Brizuela-Mendoza, "/>
        <s v="Leng, Jun; Li, Pengcheng; Guo, Shuxiang; Chen, Weiyu; Li, Chunying"/>
        <s v="Sayilgan, Ebru; Kucukselbes, Hezzal"/>
        <s v="Wibawa, Adhi Dharma; Suryani, Siti Dwi; Pratasik, Stralen"/>
        <s v="Huang, Xingyue; Fan, Chengliang; Yang, Lin; Chen, Hongyu; Zong, Qianqian; Sun, Jiantong; Kong, Lingji; Xiao, Enzan; Zhang, Zutao"/>
        <s v="Roque, Thiago Rossi; Sun, Ruojia; Do, Yi Luen Ellen; Maldonado, Daniel Llamas; Leslie, Grace"/>
        <s v="Aunchit, Sasithon; Angsuwatanakul, Thanate; Phairot, Ekkapon; Jinawan, Chulikon; Sirirattanapan, Boonrut; Thongyu, Ratree; Srimanee, Jarinya; Khamanuwong, Thapanee"/>
        <s v="Angthong, Sorawich; Angsuwatanakul, Thanate; Phairot, Ekkapon; Bunyasuwan, Meena; Khieukhajee, Jedsada; Khemanuwong, Thapanee"/>
        <s v="Abdul Basit, Maha Nawaz, Saim Rehman, Muhammad Shafique"/>
        <s v="G, Jisha Daphne; Vivek, Vuppala; Sumitra, S; Manoj, B S"/>
        <s v="Zare Lahijan, Lida; Meshgini, Saeed; Afrouzian, Reza; Danishvar, Sebelan"/>
        <s v="Hariyadi, Dedy; Wibawa, Adhi Dharma; Wirawan, Wirawan"/>
        <s v="Torres, Kamila; Vargas, Fabiana; Flores, Joes; Díaz, Alejandra; Cardwood, Zoemar; Cordero, Taina; Ortiz, Yami; Vigo, Kevin; Hernández, Ariana; Espinel, Arnaldo; Santiago, Yadiel; Cabrera, Juan; Rivera, Jan; Cruz, Jose; Valentin, Yovana"/>
        <s v="Mohamed A. Hanafy, Saykhun Yusufjonov, Djaykhun Yusufjonov, Payman Sharafianardakani, Madan M. Rayguru, Dan O. Popa"/>
        <s v="Schick, Lukas; Knierim, Michael Thomas; Gaube, Benjamin; Nadj, Mario; Mädche, Alexander"/>
        <s v="Nguyen-Duy, Xuan-Bach; Nguyen-Thanh, Khiem; Dinh-Duc, Anh-Vu"/>
        <s v="Yugaraju, Gunda; Masood, Mohd Maneeb; Gupta, Suprakash"/>
        <s v="Rathi, G.; Anuradha, R.; Pramila, M."/>
        <s v="Sharghilavan, Sara; Geman, Oana; Abbasi, Hadi; Toderean, Roxana; Postolachee, Octavian; Mihai, Alexandra-Stefania"/>
        <s v="Mannan, Malik Muhammad Naeem; Lloyd, David G.; Pizzolato, Claudio"/>
        <s v="Bastos-Filho, Teodiano; Gonzalez-Cely, Aura Ximena; Mehrpour, Sheida; Souza, Fernanda; Villa-Parra, Ana Cecilia; Cabral, Fernando"/>
        <s v="Md. Mahbub Hasan, Md Rakibul Hasan, Md Zakir Hossain, Tom Gedeon"/>
        <s v="Lee, Jae-Hyun; Jang, Ye-Seul; Chang, Won-Du"/>
        <s v="Naas, Adrian; Sonderegger, Andreas; Lemay, Delphine Ribes; Shabestari, Payam S.; Meyer, Martin; Neff, Patrick"/>
        <s v="Duplevska, Diana; Savicka, Anete; Ivanovs, Maksims"/>
        <s v="Wu, Keqi; Fan, Chengliang; Tang, Minfeng; Chen, Hongyu; Pan, Yajia; Luo, Dabing; Zhang, Zutao"/>
        <s v="Kremenska, Adelina; Lekova, Anna; Kremenski, Svetoslav; Dimitrov, Georgi"/>
        <s v="Zeng, Jianhuan; LI, Xiao; Zhang, Zenan"/>
        <s v="Liu, Yijun; bin Mustafa, Mohd Shafie; bin Saripan, MIqbal; bin Kamel Ariffin, Muhammad Rezal; Wan, Xianglong; Dong, Xianling; Lan, Xifa; Wen, Dong"/>
        <s v="Souza, Filipe Luis; Min, Chuang Yu; Catecatti, Tiago; Garcia-Ramirez, Alejandro Rafael"/>
        <s v="Liu, Ning; Rossi, Wendy; Kireev, Dmitry; Akinwande, Deji"/>
        <s v="Vivek, Vuppala; G, Jisha Daphne; Sumitra, S; Manoj, B S"/>
        <s v="Tobias King, Michael Knierim, Philipp Lepold, Christopher Clarke, Hans Gellersen, Michael Beigl, Tobias Röddiger"/>
        <s v="Liu, Xulong; Jia, Ziwei; Xun, Meng; Wan, Xianglong; Lu, Huibin; Zhou, Yanhong"/>
        <s v="Arceo, Alejandro; Candela-Leal, Milton O.; Gutiérrez-Garza, Rodrigo; Tudon-Martinez, Juan C.; Ramirez-Moreno, Mauricio A.; de J. Lozoya-Santos, Jorge; Cebral-Loureda, Manuel"/>
        <s v="Hang, Wenhua; Yang, Qin; Ye, Mengxiong; Li, Jincheng; Cai, Shaojun; Zhang, Qing; Nie, Jiachen; Ding, Li"/>
        <s v="Fujikawa, Ibuki; Fujikawa, Joji; Fujiwara, Masayuki; Takagi, Yasushi; Morigaki, Ryoma"/>
        <s v="S., Sibi M.; K., Seetha D.; Sunil, Nancy; S., Parvathy S.; Sumitra, S.; S., Manoj B."/>
        <s v="Chepyk, Oleksiy; Bruna, Arcangelo; Tomaselli, Valeria; Mammone, Nadia; Campolo, Maurizio; Ruggeri, Giuseppe; Ieracitano, Cosimo; Morabito, Francesco C."/>
        <s v="Fang, Zheng; Kong, Lingji; Chen, Hongyu; Zhao, Xinyi; Wang, Yuan; Fan, Chengliang; Zhang, Zutao; Bai, Luyao"/>
        <s v="Huang, Shiqi; Meng, Xingyu; Zhu, Yuanxi; He, Aijun"/>
        <s v="Afolalu, Sunday A.; Alexander, Aminone O.; Ogunnigbo, Olawale C.; Ting, Tin T."/>
        <s v="Bastos-Filho, Teodiano; Villa-Parra, Ana Cecilia; Guerrero-Méndez, Cristian David; González-Cely, Aura Ximena; Mehrpour, Sheida; Ferreira, Matheus; de Souza, Fernanda Vaz; Delisle-Rodríguez, Denis"/>
        <s v="Heim, Mavin; Heinrichs, Florian; Hueppe, Michael; Nunez, Fran; Szameitat, Alexander; Reuter, Muriel; Goetz, Stefan M.; Weber, Corinna"/>
        <s v="Guler, Saygun; Golparvar, Ata; Ozturk, Ozberk; Yapici, Murat Kaya"/>
        <s v="Alhasan, Seba Nur; Mirbakht, S. Sajjad; Guler, Saygun; Sahin, Osman; Umar, Muhammad; Arman Kuzubasoglu, Burcu; Yapici, Murat Kaya"/>
        <s v="Guler, Saygun; Aslanger, Emre; Yapici, Murat Kaya"/>
        <s v="Xiong, Kaixiao; Fan, Chengliang; He, Deqiang; Chen, Hongyu; Zhao, Xinyi; Feng, Xihui; Zhang, Zutao; Wu, Xiaoping"/>
        <s v="Boddapu, Likhith; Sumitra, S; BS, Manoj"/>
        <s v="Ashwin, Amal Jude; Bajpai, Alok; Tiwari, Hari Prakash; Priyanka B, Nandini; Balasubramani, Pragathi Priyadharsini"/>
        <s v="Xiang, Yu; Zhang, Xu; Zhang, Wenqiang; Dou, Ziheng; Wang, Taihong"/>
        <s v="Rivera, Mayumi; Tamang, Abigail; Dorjee, Lhatso"/>
        <s v="K, Seetha D; S, Sibi M; Sahoo, Shivani; Sheetal, K B; Anil, Navya; Sajeev, Neethu; K, Anjana; T, Sruthi N; Sumitra, S; S., Manoj B."/>
        <s v="Li, Sining; Liu, Gan; Feng, Fan; Chang, Ziqing; Li, Wenyu; Duan, Feng"/>
        <s v="Hernandez-Navarro, Asaf J.; Ortiz-Torres, Gerardo; Pérez-Vidal, Alan F.; Cervantes, José-Antonio; Sorcia-Vázquez, Felipe D. J.; López, Sonia; Ramos-Martinez, Moises; Lozoya-Ponce, R. E.; Jauregui, Néstor Fernando Delgadillo; Rumbo-Morales, Jesse Y.; Rumbo"/>
        <s v="Thomas Krämer, Francesco Chiossi, Thomas Kosch"/>
        <s v="Ahn, Seong-Ho; Kim, Zion; Jung, Jun Ha; Lee, Hyeon-Jun; Kim, Heejin; Cho, Jungu; Jeong, Jaeseung"/>
        <s v="Sheikh, Jahanzeb; Swee, Tan Tian; Salim, Maheza Irna Mohamad; Tan, Michael Loong Peng; Chai, Hum Yan; Alang, Tengku Ahmad T."/>
        <s v="de Jesus, Belmir J.; Perreault, Léa; Lopes, Marilia K. S.; Roberge, Marie-Claude; Oliveira, Alcyr A.; Falk, Tiago H."/>
        <s v="Perur, Shrivatsa D.; Kenchannava, Harish H."/>
        <s v="Soberanes, Montse; Pérez-Ramírez, Carlos A.; Assaneo, M. Florencia"/>
        <s v="Bashar Hmaza, Asmaa; K. Hasoun, Rajaa"/>
        <s v="Nirabi, Ali; Rahman, Faridah Abd; Habaebi, Mohamed Hadi; Sidek, Khairul Azami; Yusoff, Siti"/>
        <s v="Şahin, Elif Bilge; Onay Durdu, Pınar"/>
        <s v="Mista, Christian Ariel; Young, Elizabeth Loreley; Laugero, Silvio Jorge; Biurrun Manresa, José Alberto"/>
        <s v="He, Deqiang; Chen, Hongyu; Zhao, Xinyi; Fan, Chengliang; Xiong, Kaixiao; Zhang, Yue; Zhang, Zutao"/>
        <s v="Palatinus, Zsolt; Lukovics, Miklós; Volosin, Márta; Dudás, Zsolt; Prónay, Szabolcs; Majó-Petri, Zoltán; Lengyel, Henrietta; Szalay, Zsolt"/>
        <s v="Fan, Chengliang; Huang, Xingyue; He, Deqiang; Tang, Hongjie; Xiong, Kaixiao; Tang, Minfeng; Zong, Qianqian; Zhang, Zutao; Zhou, Zijie"/>
        <s v="Salih, Muwafaq Abdullah; Sattar, Muhammed Abdul"/>
        <s v="Zeng, Fangmeng; Wang, Guanghua; Sun, Chenyi; Gao, Jiayi; Ji, Shanqun; Zhang, Quanxi"/>
        <s v="Knierim, Michael T.; Zimny, Christian; Ivucic, Gabriel; Röddiger, Tobias"/>
        <s v="Sahbel, Anwar; Nasif, Andrew; Magdy, Ahmed; Elaydi, Mohamed; Sobhy, Nermeen; Abbas, Ayman"/>
        <s v="González-Cely, Aura Ximena; Blanco-Diaz, Cristian Felipe; Rivera-Flor, Hamilton; Delisle-Rodriguez, Denis; Rodriguez-Diaz, Camilo Arturo; Callejas-Cuervo, Mauro; Bastos-Filho, Teodiano"/>
        <s v="Leerskov, Kasper"/>
        <s v="Martínez, Isis; Gamero-V., Manuel Adalid"/>
        <s v="Yeswanth Kumar, K. R.; Rithik Nair, M. H.; Alex, John Sahaya Rani; Priyadarshini, B."/>
        <s v="Gupta, Ekansh; Sivakumar, Raghupathy"/>
        <s v="Sahoo, Shivani; Tayade, Shubham; Sumitra, S.; Manoj, B. S."/>
        <s v="Hernández-Cuevas, Bryan Y.; Lewis, Myles; Junkins, Wesley; Crawford, Chris S.; Denham, Andre; Luo, Feiya"/>
        <s v="Rao, Wenhao; Xu, Meiyan; Wang, Haochen; Hua, Weicheng; Guo, Jiayang; Zhang, Yongheng; Zhu, Haibin; Zhou, Ziqiu; Xiong, Jiawei; Zhang, Jianbin; Pan, Yijie; Gu, Peipei; Chen, Duo"/>
        <s v="Kimoto, Ryosuke; Ohhira, Takashi; Hashimoto, Hideki"/>
        <s v="Konno, Daisuke; Izawa, Jun"/>
        <s v="Kao, Hsiao-Wen; Chen, Yan-Cyuan; Wu, Eric Hsiao-Kuang; Yeh, Shih-Ching; Kao, Shih-Chun"/>
        <s v="Hamza, Hamza Waleed; Al-Hamadani, Ammar A.; Al-Qazzaz, Noor Kamal"/>
        <s v="Michael T. Knierim, Fabio Stano, Fabio Kurz, Antonius Heusch, Max L. Wilson"/>
        <s v="Khan, Sallar; Ali, Khawaja Usman; Qadri, Ali Raza Ali; Rizvi, Maisam"/>
        <s v="N, Keerthika; V, Kiruthika; Sukriti, undefined; E, Sathish; A, Maadesh"/>
        <s v="Camelo Roa, Sandra Milena; Rodríguez, Belman Jahir"/>
        <s v="A. Thanabalasingam, D. J. T. Fernando, S. Mahendran, A. G. B. P. Jayasekara and R. A. R. C. Gopura"/>
        <s v="Theeban Raj Shivaraja, Rabani Remli, Wan Asyraf Wan Zaidi, and Kalaivani Chellappan"/>
        <s v="Minfeng Tang, Chengliang Fan, Juhuang Song, Hongyu Chen, Luyao Bai, Zheng Fang, Yugang Liu, Zutao Zhang"/>
        <s v="Saffaryazdi, Nastaran &amp; Gunasekaran, Tamil &amp; Laveys, Kate &amp; Broadbent, Elizabeth &amp; Billinghurst, Mark. "/>
        <s v="Lu, Jianchao &amp; Tian, Yuzhe &amp; Zhang, Yang &amp; Sheng, Quan &amp; Zheng, Xi. "/>
        <s v="D. del Rosario-Gilabert, I. Vigué-Guix"/>
        <s v="Salman Al Maghribi Suwandi, Ayumi Ohnishi, Tsutomo Terada, Masahiko Tsukamoto"/>
        <s v="S.I. Chuprina, I.A. Labutin"/>
        <s v="Batista, I.T.P., Queiroz, K.M., Souza Menezes, C.E. et al."/>
        <s v="Joel S Burma et al"/>
        <s v="Liu, Y., Huang, S., Xu, W. et al."/>
        <s v="S. SharghiLavan, O. Geman and R. Toderean"/>
        <s v="Kiyn Chin, Michael Vinciguerra, Dinesh K. Patel, Peter Roberts Olcay,&#10;Eldy S. Lazaro Vasquez, and Carmel Majidi"/>
        <s v="Guptasarma, S., Vuong, B.B., Okamura, A.M., Kennedy III, M."/>
        <s v="Katelyn Lee, Runsheng Wang, Ava Chen, Lauren Winterbottom, Ho Man Colman Leung, Lisa Maria DiSalvo, Iris Xu, Jingxi Xu, Dawn M. Nilsen, Joel Stein, Xia Zhou and Matei Ciocarlie"/>
        <s v="Lucila Capurro, Michael Radloff, Luis Ignacio Brusco, Rodrigo Ramele, Cecilia Forcato"/>
        <s v="Aura Ximena Gonzalez-Cely, Cristian Felipe Blanco-Diaz, Cristian David Guerrero-Mendez, Ana Cecilia Villa-Parra  and Teodiano Bastos-Filho"/>
        <s v="S. A. M. Suwandi, A. Ohnishi, T. Terada and M. Tsukamoto"/>
        <s v="Huang, F. C.; Sun, X. D.; Shi, Y.; Pan, L. J."/>
        <s v="J. M. Rada, L. M. Zapata Saldarriaga, E. M. Guevara, S. G. Cuartas, D. F. Aguillón Niño and J. F. Ochoa Gómez"/>
        <s v="B. P. Prathaban, R. Subash, S. D, D. Ferlin Deva Shahila and S. Usha"/>
        <s v="Kabeer, A. and Megalingam, Rajesh Kannan and Sakthiprasad, K."/>
        <s v="S. G. Cuartas, E. M. Guevara, J. M. Rada, L. M. Zapata Saldarriaga and J. F. Ochoa Gomez"/>
        <s v="MO XIA, HONGXI XUE, BONING LI, and JIANTING CAO"/>
        <s v="Syed Saim Gardezi, Soyiba Jawed, Mahnoor Khan, Muneeba Bukhari, and Rizwan Ahmed Khan"/>
        <s v="Niforatos, E., He, T., Vourvopoulos, A., &amp; Giannakos, M. "/>
        <s v="I. Grichi, M. Jaberi and T. H. Falk"/>
        <s v="Shyamal Y. Dharia "/>
        <s v="M. Ogino"/>
        <s v="Hironori Watanabe, Satoshi Shibuya, Yuta Masuda, Taisuke Sugi, Kiyoshi Saito, Kei Nagashima"/>
        <s v="C. Likhitha, P. S. S, N. Sunil, S. Tayade, S. Sumitra and B. S. Manoj"/>
        <s v="S. Tayade, C. Likhitha, S. Sumitra and B. S. Manoi"/>
        <s v="AlQahtani, Nouf Jubran, Ibraheem Al-Naib, Ijlal Shahrukh Ateeq, and Murad Althobaiti"/>
        <s v="R. Šajina, R. Šajina and N. Tanković"/>
        <s v="Sulistyono, Marcelinus Yosep Teguh; Pane, Evi Septiana; Yuniarno, Eko Mulyanto; Purnono, Mauridhi Hery"/>
        <s v="Ulises Nieto-García, Julia Yazmín Arana-Llanes, Tomás Emmanuel Higareda-Pliego, Gabriel Sánchez-Bautista "/>
        <s v=" Fahad Bin Zahid et al"/>
        <s v="Hernández-Mustieles, M.A., Magaña-Cruz, E., Machado-Trejo, J., Corona-González, C.E., Lozoya-Santos, J.d.J., Ramírez-Moreno, M.A."/>
        <s v="A. X. Gonzalez-Cely, C. F. Blanco-Diaz, D. Delisle-Rodriguez and T. Bastos-Filho"/>
        <s v="Maha Nawaz and Abdul Basit and Muhammad Shafique"/>
        <s v="Nguyen-Ngan-Ha Lam, Chiao-Hsin Lin, Yi-Lu Li, Wei-Siang Ciou, Yi-Chun Du"/>
        <s v="Wang, X., Bai, G., Liang, J. et al."/>
        <s v="Mariam Al-Mohammadi, Auns Al-Nuaimi, Lama Bou Farah"/>
        <s v="C. F. Blanco-Diaz, C. David Guerrero-Mendez, G. R. Furtado, T. Bastos-Filho and R. M. de Andrade"/>
        <s v="Jennie Couchman, Orestis Kaparounakis, Chatura Samarakoon, and Phillip Stanley-Marbell"/>
        <s v="JINSHA LIU, BONING LI, TAKAHARU YAMAZAKI, AND JIANTING CAO "/>
        <s v="Dhananjaya, Praveen and Adikari, Isurika and Lakmali, Sumudu and Devindi, Isuri and Liyanage, Sashini and Wickramasinghe, Mahanama and Dissanayake, Theekshana and Ragel, Roshan and Nawinne, Isuru"/>
        <s v="Athapattu, A.D. and Dassanayake, P.S.B. and Nanayakkara, G.S.C. and Liyanage, S.N. and Devindi, G.A.I. and Ragel, Roshan and Dissanayake, Theekshana and Nawinne, Isuru"/>
        <s v="María Fernanda Carballo Turcios, Manuel Adalid Gamero"/>
        <s v="Arnau Dillen, Mohsen Omidi, Fakhreddine Ghaffari, Bram Vanderborght,&#10;Bart Roelands, Olivier Romain, Ann Nowé and Kevin De Pauw"/>
        <s v="Alexandra Katsoulakis, Favour Nakyazze,  Max Mchugh, Sean Morris, Monil Bhavsar, Om Tank, Dmitry Kireev"/>
        <s v="Qiao, Yi and Shi, Ruochuan and Guo, Fengrui and Zhao, Bo and Li, Wenyu and Liu, Zhongxin and Duan, Feng"/>
        <s v="V. Ramu and K. Lakshminarayanan"/>
        <s v="Mounesi Rad, Shokoufeh, and Sebelan Danishvar"/>
        <s v="M. Benusa and C. -H. Min"/>
        <s v="Y. Sugimoto, G. Pongthanisorn and G. Capi"/>
        <s v="M. Y. L. Lejap, A. D. Wibawa and P. H. Mukti"/>
        <s v="Brandon Fobugwe, B.Sc., Julian Klabes, M.Sc., Dr.-Ing. Alexander Herzog, Prof.&#10;Tran Quoc Khanh"/>
        <s v="S. M. Asish, A. K. Kulshreshth, C. W. Borst and S. Sutradhar"/>
        <s v="Jongsook Sanguantrakul, Apit Hemakom, Tharapong Soonrach and Pasin Israsena"/>
        <s v="R. Ahad, L. M. Foong, M. Z. Mustafa, A. A. Rahman, N. Fuad and F. F. Seri Kawi"/>
        <s v="Sameer N.B. Alladin, Dani Berry, Evgeniya Anisimova, Ruth Judson, Poppy Whittaker, Edwin S. Dalmaijer"/>
        <s v="Guo, Jun, Xuanqi Wang, Ruiyu Bai, Zimo Zhang, Huazhen Chen, Kai Xue, Chuang Ma, Dawei Zang, Erwei Yin, Kunpeng Gao, and et al."/>
        <s v="Jinshan XU, Junhua Shen, Yiwei Lin, Xiaoxia Bai, Alain Pumir, Boahua Li"/>
        <s v="S. Ullah and D. -H. Kim"/>
        <s v="Likhith Boddapu, Chittaloori Likhitha, Parvathy S S, Nancy Sunil, S. Sumitra, and Manoj BS"/>
        <s v="Y. Rais, A. D. Wibawa and D. P. Wulandari"/>
        <s v="Röddiger, Tobias; Knierim, Michael; Lepold, Philipp; King, Tobias; Beigl, Michael"/>
        <s v="CHENGYUAN SHEN, YASUE MITSUKURA, AND JIANTING CAO "/>
        <s v="B. G. Pratama, A. D. Wibawa, D. P. Wulandari and S. Pratasik"/>
        <s v="Mosa Muntadher Mohammed Mosa, Arief Ruhullah A. Harris"/>
        <s v="Khaled Abdulrahman Abdulaziz Al-Awadhi, Arief Ruhullah A. Harris"/>
        <s v="Samuel van Bohemen, Jeffrey Rogers, Jillian Clarke, Joaquin Valderrama, Philip Boughton, Andre Kyme"/>
        <s v="Liu, J., Ling, B.WK., Zhou, Z. et al. "/>
        <s v="Junjie Wang, Jingwei Yu, Hongbo Wei, An Wang, Zishuo Hou, Moses Kumi, Xinge Wang, Tengjiao Wang, Peng Li, Wei Huang"/>
        <s v="Nafiseh Ghaffar Nia"/>
        <s v="Zhuo, S., Tessier, A., Arefi, M. et al. "/>
        <s v="J. Knudson, A. Cavalcanti and M. Singh"/>
        <s v="Muwafaq Abdullah Salih, Muhammed Abdul Sattar"/>
        <s v="R. Darweesh, D. Cuscino, A. Geronimo and N. Elaraby"/>
        <s v="Mohamed Torad, Mohamed Samir, Alaa Mohamed, Yosr Mohamed, Ahmed Mohamed, MazenTarek, Mohamed Mostafa"/>
        <s v="Lakshminarayanan K, Ramu V, Shah R, Haque Sunny MS, Madathil D, Brahmi B, Wang I, Fareh R, Rahman MH"/>
        <s v="T.F. Bastos-Filho, A. C. Villa-Parra, C.D. Guerrero-Méndez, A. X. González-Cely, C. F. Blanco-Díaz, D. Delisle-Rodríguez &amp; T. Igasaki"/>
        <s v="Reyes-Consuelo, Miguel Alejandro; Kiss, Jocelyne; Edwards, Geoffreyjen; Beland, Martin.  "/>
        <s v="Cristian Felipe Blanco-Diaz, Cristian David Guerrero-Mendez, Rafhael Milanezi de Andrade, Claudine Badue,  Alberto Ferreira De Souza, Denis Delisle-Rodriguez ,  Teodiano Bastos-Filho "/>
        <s v="Marios Hadjiaros, Andria Shimi, Marios N. Avraamides, Kleanthis Neokleous, Constantinos S. Pattichis"/>
        <s v="Yuanming Ye, Jun Guo, An Wang, Chengxiang Zheng ,Tao Wu, Zhipeng Chen, Xuanqi Wang, Yichen Chu, Ruiyu Bai, Zekai Liang, Honglong Chang, Kai Tao, Tengjiao Wang, Bowen Ji"/>
        <s v="Keerthika N, Kiruthika V"/>
        <s v="Anju Latha Nair S., Dr. Rajesh Kannan Megalingam"/>
        <s v="Ziqi Pan, Alexandra I. Cristea, Frederick W. B. Li"/>
        <s v="Pierre-Baptiste Mathieu de Carvalho, Lorraine Charles, Elena Parsy, Ana Raquel Lindquist, Laurent Bougrain"/>
        <s v="SHAOSHUAI HE, JINHONG DAI, DONG WAN, SHENGSHU SUN, XIYA YANG , XIN XIA , AND YUNLONG ZI"/>
        <s v="Marc-Antoine Moinnereau, Tiago H. Falk"/>
        <s v="Silvia Suchalova; Robert Hudec; Miroslav Benco; Andrej Pisarcik"/>
        <s v="Anjan Kumar Sahoo"/>
        <s v="Nathan Semertzidis, Michaela Jayne Vranic-Peters, Xiao Zoe Fang, Rakesh Patibanda, Aryan Saini, Don Samitha Elvitigala, Fabio Zambetta, and Florian ‘Floyd’ MuellerAuthors Info &amp; Claims"/>
        <s v="Biswanath Samanta"/>
        <s v="MANAS RANJAN SAHU"/>
        <s v="Qijia Shao, Jiting Liu, Emily Bejerano, Ho Man Colman, Jingping Nie, Xiaofan Jiang, and XiaZhouAuthors Info &amp; Claims"/>
        <s v="Romo-De León, Rebeca; Cham-Pérez, Mei Li L.; Elizondo-Villegas, Verónica Andrea; Villarreal-Villarreal, Alejandro; Ortiz-Espinoza, Alexandro Antonio; Vélez-Saboyá, Carol Stefany; Lozoya-Santos, Jorge de Jesús; Cebral-Loureda, Manuel; Ramírez-Moreno, Mauri"/>
        <s v="Shivani Sahoo, Shubham Tayade, Chittaloori Likhitha, S Sumitra, and B S Manoj"/>
        <s v="Ray Zhao, Oliver Chen "/>
        <s v="Phurin Rangpong, Akima Connelly, Pengcheng Li, Theerawit Wilaiprasitporn, Tohru Yagi"/>
        <s v="Jiakai Zhang, Yuqi Zhang, Xinlong Zhang, ..., Ju Wang, Shaojie Lu, Xiaoyan Shen"/>
        <s v="S. M. Musfequr Rahman, Henna Mattila, Asif Shaikh, Pasi Raumonen &amp; Johanna Virkki "/>
        <s v="Long Wang, Hongjie Tang, Zutao Zhang, Yajia Pan, Dabing Luo, Bendong Xiong, Tengfei Liu, Congcong Zhang, Hao Wang, Weihua Kong,"/>
        <s v="Siyu Liu; Zhiyuan Ming; Mengzhen Liu; Deyu Zhang; Ziyu Liu; Qiming Chen; Lingfei Ma; Jiawei Luo; Dingjie Suo; Jian Zhang; Tianyi Yan"/>
        <s v="Emma J. Pretty; Renan Guarese; Chloe A. Dziego; Haytham M. Fayek; Fabio Zambetta"/>
        <s v="Mohammad-Mahdi Abolghasemi, Shahrar Rezghi Shirsavar, Milad Yekani"/>
        <s v="Xinyue Wu, Xianwei Lin, Yimeng Zeng, Zefeng Wang, Ying Yu, Chenggang Zhang, Xuanmei Wu, Cong Yan"/>
        <s v="Romo-De León, R.; Cham-Pérez, M.L.L.; Elizondo-Villegas, V.A.; Villarreal-Villarreal, A.; Ortiz-Espinoza, A.A.; Vélez-Saboyá, C.S.; Lozoya-Santos, J.d.J.; Cebral-Loureda, M.; Ramírez-Moreno, M.A."/>
        <s v="Sekhar, Sumi"/>
        <s v="S. Suchalova, R. Hudec and S. Matuska"/>
        <s v="Nancy Sunil, Parvathy S S, Shubham Tayade, Chittaloori Likhitha, S. Sumitra, and&#10;Manoj B. S."/>
        <s v="Maryam Khoshkhooy Titkanlou, Duc Thien Pham, and Roman Mouček "/>
        <s v="Guerrero-Mendez, C.D.; Blanco-Diaz, C.F.; Rivera-Flor, H.; Fabriz-Ulhoa, P.H.; Fragoso-Dias, E.A.; de Andrade, R.M.; Delisle-Rodriguez, D.; Bastos-Filho, T.F"/>
        <s v="Luu, Cidnee and Gao, Yuan and Cat Nguyen, Han and Soltanian, Saeid and Virji-Babul, Naznin and Servati, Peyman and Van Der Loos, H. F. Machiel and Wu, Lyndia C"/>
        <s v="Yu Liang, Chenlong Zhang, Shan An, Zaitian Wang, Kaize Shi, Tianhao Peng, Yuqing Ma, Xiaoyang Xie, Jian He,and Kun Zheng"/>
        <s v="Zhang, Kaining and Cao, Zehong and Zheng, Xianglin and Billinghurst, Mark"/>
        <s v="Samuel Jacobus van Bohemen"/>
        <s v="Ekansh Gupta; Cheng-Yeh Chen; Raghupathy Sivakumar"/>
        <s v="Faraz Ahmad; Maohua Liu; Fred R. Beyette"/>
        <s v="Parvathi Nair, Parvathy S S, Nancy Sunil, Anurag Mukati, Charu Chauhan, S Sumitra, B S Manoj"/>
        <s v="Erick A. Gonzalez-Rodriguez, Luis Kevin Cepeda-Zapata, Angel Antonio Rivas-Silva, Vania G. Martinez-Gonzalez, Luz Maria Alonso-Valerdi, David Isaac Ibarra-Zarate,"/>
        <s v="Siti Dwi Suryani; Adhi Darma Wibawa; Diah Puspito Wulandari"/>
        <s v="R.W.L. Yu, A.H.S. Chan"/>
        <s v="Rathin K. Joshi, Manu K. S., Hari R. S., Ajay Krishnan , M. Jayachandra, Manjunath Dandinarasaiah, Hardik J. Pandya "/>
        <s v="X. Wang, W. Huang, C. He, H. Wu, J. Lin and L. Cheng"/>
        <s v="Neeraj Choudhary; Kodidasu Murali Kumar; Jimson Mathew; Sravanthi Acchugatla"/>
        <s v="Noor Abbas Alseydy; Salah A. Albermany; Ahmed J. Obaid"/>
        <s v="Andres Jaramillo-Gonzalez"/>
        <s v="Chicaiza-Jaque, J., Herrera-Vela, J., Escobar-Sánchez, M., Montaluisa-Yugla, F."/>
        <s v="Blanco-Ríos MA, Candela-Leal MO, Orozco-Romo C, Remis-Serna P, Vélez-Saboyá CS, Lozoya-Santos JdJ, Cebral-Loureda M and Ramírez-Moreno MA"/>
        <s v="Sylvia Bhattacharya and J. Stephen Higgins"/>
        <s v="Shubham Tayade, Parvathy S S, Nancy Sunil, Charu Chauhan, S Sumitra, B S Manoj"/>
        <s v="Zhizhang Hu, Amirmohammad Radmehr, Yue Zhang, Shijia Pan, and Phuc Nguyen"/>
        <s v="Luo, Feiya and Liu, Ruohan and Awoyemi, Idowu David and Crawford, Chris and Nasrin, Fatema"/>
        <s v="K. Gupta, Y. Zhang, T. S. Gunasekaran, N. Krishna, Y. S. Pai and M. Billinghurst"/>
        <s v="Cristian Felipe Blanco D´ıaz"/>
        <s v="LaRocco John, Tahmina Qudsia, Lecian Sam, Moore Jason, Helbig Cole, Gupta Surya"/>
        <s v="Chen Chen"/>
        <s v="Junjie Wang, Qian Zhou, An Wang, Zhijun Zhu, Kumi Moses, Tengjiao Wang, Peng Li, Wei Huang"/>
        <s v="Nair, S.A.L., Megalingam, R.K."/>
        <s v="Miguel A. Blanco-Rios, Milton O. Candela-Leal, Cecilia Orozco-Romo, Paulina Remis-Serna, Carol S. Velez-Saboya, Jorge De-J. Lozoya-Santos, Manuel Cebral-Loureda, Mauricio A. Ramirez-Moreno"/>
        <s v="Yunbiao Zhao, Tiantong Wang, Yue Li, Ziqiang Zhao, Jianming Xue, and Qining Wang"/>
        <s v="Isabel M. Gomez-Gonzalez, Juan A. Castro-Garcia, Manuel Merino-Monge, Gemma Sanchez-Anton,&#10;Foad Hamidi, Alejandro Mendoza-Sagrera, Alberto j. Molina-Cantero"/>
        <s v="Adelina Kremenska and Anna Lekova "/>
        <s v="Mingliang Zuo, Bingbing Yu, Li Sui"/>
        <s v="Palpolage Don Shehan Hiroshan Gunawardane, Raymond Robert MacNeil, Leo Zhao,&#10;James Theodore Enns, Clarence Wilfred de Silva, and Mu Chiao "/>
        <s v="Sevda Zafarmandi Ardabili, Soufia Bahmani, Lida Zare Lahijan, Nastaran Khaleghi, Sobhan Sheykhivand and Sebelan Danishvar "/>
        <s v="AJ Glazebrook, Jane Shakespeare-Finch, Brooke Andrew &amp; Johan van der Meer"/>
        <s v="Genta Rexha; Arbnor Pajaziti; Xhevahir Bajrami; Jozef Kola; Genci Capi; Goragod Pongthanisorn"/>
        <s v="Tom Colas, Nicolas Farrugia, Etienne Hendrickx, Mathieu Paquier "/>
        <s v="Rafia Akhter"/>
        <s v="Beatrice Barbazzeni"/>
        <s v="Stralen Pratasik; Adhi Dharma Wibawa; Diah Puspito Wulandari"/>
        <s v="Denuka Jayaweera, Lahiru Wijesinghe, Adithya Gallage, Roshan Ragel, Isuru Nawinne, Mahanama Wickrmasinghe"/>
        <s v="M. H. Muhammad Sidik, S. A. Che Ghani, Abdul Nasir, M.N.F. Saniman"/>
        <s v="Fahmi Fahmi; Wervyan Shalannanda; Muhammad Yazid; Erwin Sutanto"/>
        <s v="Wissam H. Alawee, Ali Basem and Luttfi A. Al-Haddad"/>
        <s v="MUQUN YU"/>
        <s v="Abdulaziz Althekair, Mohanned Odeh, Mohammad AlBayaa, Marwa Sharawi &amp; Iyad Abu Doush "/>
        <s v="Guilherme Correia , Michael J Crosse , Alejandro Lopez Valdes "/>
        <s v="Ekkarat Adsawinnawanawa; Md Soliman Faragy; Supakij Buasod; Ratchakoon Pruengkarn; Narongdech Keeratipranon"/>
        <s v="Jiyeon Ha, Seung-Cheol Baek, Yoonseob Lim &amp; Jae Ho Chung"/>
        <s v="Apoorva Sunil Chakkamallisery; Sonam Tenzin Pelmo; Thanate Angsuwatanakul; Yutthana Pititheeraphab; Tasawan Puttasakul; Thapanee Khemanuwong"/>
        <s v="Daniela Peña-Gómez; Eduardo Magaña-Cruz; Joanna K. De Gasperín-Vázquez; Ricardo A. Ramírez-Mendoza&#10;"/>
        <s v="Lauri Hakala"/>
        <s v="Jin Su Kim and Sungbum Pan"/>
        <s v="Hafiz Muhammad Umer Farooqi, Johoo Lee, Cheong-Ah Lee, Seung-Uk Im, Muhammad Awais Farooqi, Tasbiha Gul, Ghayas Uddin Siddiqui &amp; Dong-Guk Paeng"/>
        <s v="Lisa Marie Sparrer, Prof. Dr. Sven Winkelmann, Prof. Dr. Alexander von Hoffmann, Prof. Dr. Daniel S´anchez Morillo"/>
        <s v="S. Arif, S. Munawar et al."/>
        <s v="H. Rivera-Flor, C.D. Guerrero-Mendez, K.A. Hernandez-Ossa, D. Delisle-Rodriguez, R. Mello, T.F. Bastos-Filho"/>
        <s v="Kurniawan JF, Lee S, Le H-K, et al."/>
        <s v="Luana Maria Queiroga Ponciano Mota, Carlos Eduardo de Souza Menezes, Nayara Magda Gomes Barbosa da Costa, Yanna Torres, Edgar Marçal"/>
        <s v="Estreito, Z., Le, V., Harris Jr., F. C., &amp; Dascalu, S. M."/>
        <s v="Li Chen, Zhen Zhang, Rui Han, Kuankuan Li, Gangwen Guo, Dong Huang, Yuzhao Huang&#10;&amp; Haocheng Zhou"/>
        <s v="Pierre Kateb, Jiaxin Fan, Jinsil Kim, Xin Zhou, Gregory A Lodygensky and Fabio Cicoira"/>
        <s v="Verónica Janeth Martínez-Hernández &amp; Guadalupe Dorantes-Méndez "/>
        <s v="Alison Contreras-Rodríguez, Nemecio Olvera-Montes, Carlos Mariaca-Gaspar, Abel Mosco-Vargas, Victor Maya-Venegas, Sonia Charleston-Villalobos, Tomas Aljama-Corrales &amp; Bersain Reyes "/>
        <s v="Zsolt Palatinus, Marta Volosin, Zsolt Dudas, Miklos Lukovics, Zoltan Majo-Petri, Szabolcs Pronay, Henrietta Lengyel, Zsolt Szalay"/>
        <s v="Jeffrey Bond Wang"/>
        <s v="Shuyu Chen, Mengjie Huang, Yuting Zheng, Annan Lu, Rui Yang"/>
        <s v="Reza Amini Gougeh &amp; Tiago H. Falk "/>
        <s v="Jianchao Lu, Yuzhe Tian, Yang Zhang, Jiaqi Ge, Quan Z. Sheng, Xi Zheng"/>
        <s v="Jingfeng Bi and Ming Chu"/>
        <s v="Zaineb M. Alhakeem, Ramzy S. Ali"/>
        <s v="Muhammad Adeel Hafeez &amp; Sadia Shakil "/>
        <s v="Mohammad Ahmadi, Alireza Farrokhi Nia, Samantha W. Michalka, Alexander L. Sumich, Burkhard Wuensche, Mark Billinghurst"/>
        <s v="Wang, M., Khundrakpam, B. &amp; Vaughan, T."/>
        <s v="DAVIDE D’ADAMO, EMILIANO ROBERT, and CRISTINA GENA"/>
        <s v="Sandya Subramanian, Member, IEEE, David C. Kunkel, Todd P. Coleman, Fellow, IEEE"/>
        <s v="Norihisa Namura and Suguru Kanoga"/>
        <s v="Hong, Jin-Ki, Hyuk-June Moon, and Hyun-Joon Shin"/>
        <s v="J. M. Suhendro, A. D. Wibawa and A. Mas"/>
        <s v="N. Fatih, A. D. Wibawa, M. H. Purnomo and A. Mas"/>
        <s v="Víctor Asanza, Leandro L. Lorente-Leyva, Diego H. Peluffo-Ordóñez, Daniel Montoya, Kleber Gonzalez"/>
        <s v="Tseghai, G.B.; Malengier, B.; Fante, K.A.; Van Langenhove, L."/>
        <s v="Li Q, Zhang T, Song Y, Liu Y, Sun M."/>
        <s v="Isao Sakamaki, Mahdi Tavakoli, Sandra Wiebe &amp; Kim Adams "/>
        <s v="Camargo-Vargas, D., Callejas-Cuervo, M. &amp; Alarcón-Aldana"/>
        <s v="Sridhar, S.; Romney, A.; Manian, V."/>
        <s v="C. F. Blanco-Díaz, C. D. Guerrero-Méndez, T. F. Bastos-Filho, A. F. Ruiz-Olaya and S. Jaramillo-Isaza"/>
        <s v="Xin Zhou, Pierre Kateb, Floriane Miquet-Westphal, Gregory A. Lodygensky,&#10;and Fabio Cicoira*"/>
        <s v="Fatima Islam Mouri"/>
        <s v="Gunda Yuga Raju, Suprakash Gupta and Lalit Kumar Singh"/>
        <s v="A. Farizal, A. D. Wibawa, D. P. Wulandari and Y. Pamungkas"/>
        <s v="Sabeenian Royappan Savarimuthu; Sree Janani Kuralnatham Karuppannan"/>
        <s v="Chatterjee, S., Joshi, R.K., Sakorikar, T. et al. "/>
        <s v="S. Shilaskar, D. Bobby, A. Dusane and S. Bhatlawande"/>
        <s v="Arnold Nieto, Jaylinn Solis, Matthew Tamanaha"/>
        <s v="Phuc Nguyen, Nam Bui, Anh Nguyen, Hoang Truong, Abhijit Suresh, Matt&#10;Whitlock, Duy Pham, Thang Dinh, and Tam Vu."/>
        <s v="Glenn Bruns, Michael Haidar, Federico Rubino"/>
        <s v="Tong Bill Xua, Saleh Kalantari"/>
        <s v="Mahdi Homayounfar,  Mehdi Fadaei, Mansour Soufi, Omid Pishevarzad"/>
        <s v="Sarfraz Ali; Wajid Mumtaz; Aiman Maqsood"/>
        <s v="Artur Pilacinski, Ana Pinto, Soraia Oliveira, Eduardo Araújo, Carla Carvalho, Paula Alexandra Silva, Ricardo Matias, Paulo Menezes, Sonia Sousa"/>
        <s v="Patricia Almeida, Brigida Monica Faria &amp; Luis Paulo Reis "/>
        <s v="Fusheng Wang "/>
        <s v="Osagie Mike. Odigie, Ugochukwu Bond Anyaehie, Daniel Chukwu Nwachukwu, John Chukwuka Igweh, Alexander Obidike Naiho"/>
        <s v="Yunna Hao, Qiuyang Yan, Huijie Liu, Xinyang He, Peihua Zhang, Xiaohong Qin, Ranran Wang, Jing Sun, Liming Wang, Yin Cheng"/>
        <s v="LUTFI AIZAT MOHAMED JEFRI, FARIDAH ABD RAHMAN, NOREHA ABDUL MALIK AND FARAH NADIA MOHD ISA"/>
        <s v="Wolf, Daniyar, Mark Mamchenko, and Elena Jharko"/>
        <s v="Xiaobi Chen,Guanghua Xu, Bo He, Sicong Zhang, Zijvn Su,Yaguang Jia, Xun Zhang and Zhe Zhao"/>
        <s v="Satoshi Shibuya and Yukari Ohki"/>
        <s v="McClenaghan, Adam; Goudswaard, Mark; Hicks, Ben "/>
        <s v="Felipe Augusto Fiorin, Larissa Gomes Sartori, María Verónica González Méndez 2ORCID,Christiane Henriques Ferreira 1ORCID,Maria Bernadete de Morais França 3ORCID andEddy Krueger 1,*"/>
        <s v="Dibyanshu Jaiswal, Debatri Chatterjee, Arindam Sarkar, Meghana S, Ramesh Kumar Ramakrishnan, Arpan Pal, Ratna Ghosh"/>
        <s v="CARLOS GONZALEZ VISIEDO"/>
        <s v="Hiroki Ikeda, Takashi Ohhira, Hideki Hashimoto"/>
        <s v="Dong Wen, Member, Jingpeng Yuan, Jingjing Li, Yue Sun, Xianpu Wang, Ruihang Shi, Xianglong Wan, Yanhong Zhou, Haiqing Song, Xianling Dong, Fangzhou Xu, Xifa Lan, and Tzyy-Ping Jung"/>
        <s v="MANOROT BORIRAKARAWIN, YUNYONG PUNSAWAD"/>
        <s v="Adhi Dharma Wibawa, Yuri Pamungkas, Monica Pratiwi, Rosita Devi Kusumastuti, Wardah Rahmatul Islamiyah, Diah Risqiwati&#10;"/>
        <s v="Suman Chatterjee; Rathin K. Joshi; Shabari Girishan KV; Hardik J. Pandya"/>
        <s v="Oneris Daniel Rico Garcia, Javier Fernandez Fernandez, Rafael Andres Becerra Saldana, and Olaf Witkowski"/>
        <s v="CAMERON AUME, SHANTANU PAL, ALIREZA JOLFAEI, SUBHAS MUKHOPADHYAY"/>
        <s v="Shelby L. Hatton, Shubham Rathore, Ilya Vilinsky, Annette Stowasser"/>
        <s v="CHUKWUEMEKA NWAGU, ALAA ALSLAITY, RITA ORJI"/>
        <s v="Mohammad Y. M. Naser; Charles Mcclary; Isaac A. Cheruku; Bhanu P. R. Dendi; Sylvia Bhattacharya"/>
        <s v="Houźe Alexandre; Binczak Stéphane"/>
        <s v="Michael Thomas Knierim, Martin Georg Bleichner, and Pierluigi Reali "/>
        <s v="Md Imran Hossen, Yazhou Tu, Xiali Hei"/>
        <s v="Sarker M. Asish; Arun K Kulshreshth; Christoph W Borst"/>
        <s v="Nandagopal C; Sneha B; Sriragavi R; Veeradharshini R"/>
        <s v="Chatterjee, Suman"/>
        <s v="Tahira Mahboob, Min Young Chung, Kae Won Choi"/>
        <s v="Ashok Kumar Chaudhary, Vinay Gupta, Kumar Gaurav, Tharun Kumar Reddy and Laxmidhar Behera"/>
        <s v="Adriano Cavalcanti"/>
        <s v="Fahad Bin Zahid, Zhi Chao Ong, Shin Yee Khoo, Mohd Fairuz Mohd Salleh"/>
        <s v="Feng Zhang, Hongyi Cheng, Kaiyun Qu, Xuetian Qian, Yongping Lin, Yike Zhang, Sichong Qian, Ningping Huang, Chang Cui, Minglong Chen"/>
        <s v="Emma J. Prett, Renan Guarese, Haytham M. Fayek, Fabio Zambetta"/>
        <s v="Yeison Nolberto Cardona-Álvarez, Andrés Marino Álvarez-Meza, David Augusto Cárdenas-Peña, Germán Albeiro Castaño-Duque, and German Castellanos-Dominguez"/>
        <s v="Miklós Lukovics, Szabolcs Prónay, Zoltán Majó-Petri, Péter Kovács, Tamás Ujházi, Márta Volosin, Zsolt Palatinus, Tamara Keszey"/>
        <s v="Yongyi Zhao, Yunsik Ohm, Jiahe Liao, Yichi Luo, Huai-Yu Cheng, Phillip Won, Peter Roberts, Manuel Reis Carneiro, Mohammad F. Islam, Jung Hyun Ahn, Lynn M. Walker &amp; Carmel Majidi &#10;"/>
        <s v="Deepak D. Kapgate, and Krishna Prasad K"/>
        <s v="HARFI MAULANA, AHMAD RIDWAN, SUPRIJANTO, SHANTY RAHAYU KUSUMAWARDANI &amp; LULU LUSIANTI FITRI"/>
        <s v="Beatrice Barbazzeni, Oliver Speck and Emrah Duzel"/>
        <s v="Theeban Raj Shivaraja ,Rabani Remli, Noorfazila Kamal, Wan Asyraf Wan Zaidi and Kalaivani Chellappan"/>
        <s v="Jin Woo Choi; Jaehoon Choi; Sungho Jo"/>
        <s v="Dmitrii Borkin, Andrea Nemethova, Martin Nemeth and Pavol Tanuska"/>
        <s v="Mahyar TajDini, Volodymyr Sokolov, Ievgeniia Kuzminykh, Bogdan Ghita "/>
        <s v="Guoyang Liu, Janet H. Hsiao, Weidong Zhou, Lan Tian"/>
        <s v="Tao Xu, Jiabao Wang, Gaotian Zhang, Ling Zhang, and Yun Zhou"/>
        <s v="H.M.K.K.M.B. Herath a, W.R. de Mel b, Mamta Mittal"/>
        <s v="Sarah Eom, Seijung Kim, Yihang Jiang, Ryan Jay Chen, Ali R Roghanizad, M. Zachary Rosenthal, Jessilyn Dunn, Maria Gorlatova&#10;"/>
        <s v="Carlo Greco, Thilina H. Weerakkody, Venanzio Cichella, Leonardo Pagnotta, and Caterina Lamuta&#10;"/>
        <s v="Samuel J. van Bohemen, Jeffrey M. Rogers, Philip C. Boughton, Jillian L. Clarke, Joaquin T. Valderrama &amp; Andre Z. Kyme "/>
        <s v="José Jair Alves Mendes Junior, Daniel Prado Campos, Lorenzo Coelho de Andrade Villela De Biassio,Pedro Carlin Passos,Paulo Broniera Júnior,André Eugênio Lazzaretti,andEddy Krueger&#10;"/>
        <s v="G B Tseghai, B Malengier, K A Fante, and L Van Langenhove"/>
        <s v="Mohammad Javad Mollakazemi, Dibyajyoti Biswal, Brooke Place, Abhijit Patwardhan"/>
        <s v="Kristel Fobelets; Ghena Hammour; Kris Thielemans"/>
        <s v="Garces-Gomez, Yeison Alberto; Lara-Escobar, Ruben Darío; López-Jimenez, Paula Andrea; Toro-García, Nicolás; Jose Israel Cardenas-Jimenez"/>
        <s v="Serhii Lupenko, Roman Butsiy, and Nataliya Shakhovska"/>
        <s v="Ozberk Ozturka, Ata Golparvar, Gizem Acar, Saygun Guler, Murat Kaya Yapici"/>
        <s v="Benjamin Poole; Minwoo Lee"/>
        <s v="Mudassar Ayub; Kaleem Ullah; Muhammad Jawad Khan; Hassan Farooq; Afzaal Khan"/>
        <s v="Zhi Zhou"/>
        <s v="Bolivar Núñez-Montoya; Mauricio Valarezo Añazco; Alexander Saravia-Avila; Francis R. Loayza; Edwin Valarezo Añazco, Efrain Teran"/>
        <s v="Steve Juárez; Alejandro González; Mauro Maya; Antonio Cardenas; Emilio J. Gonzalez-Galvan; Hugo I. Medellin-Castillo"/>
        <s v="Deepak D. Kapgate and Krishna Prasad"/>
        <s v="Efe Ertekin; Burak Bahir Günden; Yasin Yilmaz; Alperen Sayar; Tuna Çakar; Sefik Şuayb Arslan"/>
        <s v="Hofstädter, Krisztián"/>
        <s v="Namgyun Kim, Laurent Gregoire, Moein Razavi, Niya Yan, Changbum R. Ahn, Brian A. Anderson"/>
        <s v="Munawar Agus Riyadi; Al Ikhsan Nugraha; Anggorowati"/>
        <s v=" Minu Thomas,  Sushmitha Veeralingam, and  Sushmee Badhulikaa"/>
        <s v="Ashvin Arora, Robert Malkin "/>
        <s v="Jingjing Li, Qiang Wang"/>
        <s v="Marianna Gutiérrez-Zermeño, Edgar Aguilera-Rodríguez, Emilio Barajas-González, Israel Román-Godínez, Sulema Torres-Ramos &amp; Ricardo A. Salido-Ruiz"/>
        <s v="Xinyu Li; Wenjun Xu; Bitao Yao; Zhenrui Ji; Xuedong Liu"/>
        <s v="Michael THomas Knierim, Christian Zimny, Julia Seitz "/>
        <s v="Miracle Udurume, Angela Caliwag, Wansu Lim, Gwigon Kim"/>
        <s v="Jiaxi Liu; Thy Le; Ellie Sadatian; Lulu Yao; Harinath Garudadri; Stephen Dunphy; Christian McClung; Tse Nga Ng"/>
        <s v="Norheliena Aziz , Nurul Syuhadah Khusaini , Zulkifli Mohamed , Aminuddin Hamid , Ya'akob Yusof , Mohd Rozaiman Aziz "/>
        <s v="Rathin K. Joshi; Manu K S; Hari R S; Mahesh Jayachandra; Hardik J. Pandya"/>
        <s v="Adhi Dharma Wibawa; Nur Fatih; Yuri Pamungkas; Monica Pratiwi; Prio Adi Ramadhani; Suwadi"/>
        <s v="Paul Michael Custodio, Henar Mike O. Canilang, Wansu Lim"/>
        <s v="Sarker M. Asish, Arun K. Kulshreshth, Christoph W. Borst"/>
        <s v="Xiao Yu, Chen Li Sui"/>
        <s v="Aurora Saibene, Silvia Corchs, Mirko Caglioni, and Francesca Gasparini"/>
        <s v="Maxime Antoine, Hamdi Ben Abdessalem, Claude Frasson"/>
        <s v="Johanna Carolina Cerezo Ramirez, José Luis Murillo López &amp; Sang Guun Yoo"/>
        <s v="Adelina Georgieva Kremenska; Anna Kostadinova Lekova; Georgi Petrov Dimitrov"/>
        <s v="Suman Chatterjee, Tushar Sakorikar, Arjun BS, Rathin K. Joshi, Abhay Sikaria, Mahesh Jayachandra, Vikas V &amp; Hardik J. Pandya"/>
        <s v="Wen Chen, Shih-Kang Chen, Yi-Hung Liu, Yu-Jen Chen and Chin-Sheng Chen "/>
        <s v="Manuel Cherep; Mikolaj Kegler; Jean-Philippe Thiran; Pablo Mainar"/>
        <s v="Houzé Alexandre; Binczak Stéphane"/>
        <s v="Michael T. Knierim, Max Schemmer, Niklas Bauer"/>
        <s v="Chunzhi Yi; Baichun Wei; Jianfei Zhu; Seungmin Rho; Zhiyuan Chen; Feng Jiang"/>
        <s v="Abhishek Kumar Sinha, Himanshu Singhal, Shikha Shrivastava "/>
        <s v="Haobo Niu, Yingni Zhai, Yanqiu Huang,  Xianglin Wang, Xinta Wang"/>
        <s v="Shrivatsa D. Perur; Harish H. Kenchannavar; Mohammad Asad Sheikh"/>
        <s v="Rafia Akhter, Faraz Ahmad, Fred R. Beyette"/>
        <s v="Aloaye Itsueli, Nicholas Ferrara, Jonathan Kamba, Jeremie Kamba &amp; R. Alba-Flores "/>
        <s v="Agung Shamsuddin Saragih, Hadyan Nasran Basyiri, and Muhammad Yusuf Raihan"/>
        <s v="David Zambrana-Vinaroz, Jose Maria Vicente-Samper, Juliana Manrique-Cordoba, and Jose Maria Sabater-Navarro "/>
        <s v="Mario I. Chacon-Murguia &amp; Eduardo Rivas-Posada "/>
        <s v="Dibyajyoti Biswal"/>
        <s v="Xuecheng Qu, Zhuo Liu, Puchuan Tan, Chan Wang, Ying Liu, Hongqing Feng, Dan Luo, Zhou Li, Zhong Lin Wang"/>
        <s v="Yevheniy Dmytriyev, Federico Insero, Marco Carnevale and Hermes Giberti"/>
        <s v="Bingshan Hu, Jiangtao Xue, Dongjie Jiang, Puchuan Tan, Yiqian Wang, Minghao Liu, Hongliu Yu, Yang Zou, and Zhou Li"/>
        <s v="Ahmed J. Abougarair, Hanadi M. Gnan, Ali M. Elmelhi, Nasar Aldian Ambark Shashoa"/>
        <s v="Cristina Farmaki, Nikolaos Zacharioudakis, Matthew Pediaditis, Myrto Krana, Vangelis Sakkalis"/>
        <s v="Karina Sanchez, Sruthi Sakthivel, Michael Bose, and Evan Jennings"/>
        <s v="Nastaran Saffaryazdi, Syed Talal Wasim, Kuldeep Dileep, Alireza Farrokhi Nia, Suranga Nanayakkara, Elizabeth Broadbent, Mark Billinghurst"/>
        <s v="Sadaf Sarafan"/>
        <s v="Swapnali A. Chaudhari, Dr. Bharti W. Gawali, and Dr. Omprakash S. Jadhav"/>
        <s v="Joseph Kempel, David Bridgett, Andero Uusberg, Sachit Butail"/>
        <s v="Ana S. Santos Cardoso, Rasmus L. Kæseler, Mads Jochumsen, Lotte N. S. Andreasen Struijk"/>
        <s v="Brandon Hernandez, Oscar Morales-Ponce"/>
        <s v="Emma Louise Baczkowski"/>
        <s v="Berith Atemoztil De la Cruz-Sanchez, Manuel Arias-Montiel, Esther Lugo-Gonzalez"/>
        <s v="Josh Andres, Nathan Semertzidis, Zhuying Li, Yan Wang, Florian Mueller"/>
        <s v="Jiangfan Chen, Haobo Li, Lei Han, Jiaoyi Wu, Ali Azam, Zutao Zhang"/>
        <s v="Sandra Cano, Jonathan Soto, Laura Acosta, Victor Peñeñory, Fernando Moreira"/>
        <s v="Joseph O'Neill, Rutledge Detyens, Ryan Integlia, Sorinel Oprisan"/>
        <s v="Victoria Peterson, Catalina Galván, Hugo Hernández, Maria Paula Saavedra, Ruben Spies"/>
        <s v="Eric Redlinger, Bernhard Glas, Yang Rong"/>
        <s v="Wang Haohong, Gao Shenghao, Zhao Yimin, Song Maojia, Damien Constantine Rompapas, Wang Heng"/>
        <s v="Destini Chambers, Amina Ndiaye, Javan Hutchinson, Charles Mcclary, Dr. Sylvia Bhattacharya"/>
        <s v="Aloaye E. Itsueli; Jonathan D. N. Kamba; Jeremie O. K. Kamba; R. Alba-Flores"/>
        <s v="Puchuan Tan, Xi Han, Yang Zou, Xuecheng Qu, Jiangtao Xue, Tong Li, Yiqian Wang, Ruizeng Luo, Xi Cui, Yuan Xi, Le Wu, Bo Xue, Dan Luo, Yubo Fan, Xun Chen, Zhou Li, Zhong Lin Wang"/>
        <s v="Takumi Asakura"/>
        <s v="Shahanawaj Ahamad"/>
        <s v="David Zambrana-Vinaroz, Jose Maria Vicente-Samper, Jose Maria Sabater-Navarro"/>
        <s v="Jonas Auda, Uwe Gruenefeld, Thomas Kosch, Stefan Schneegaß"/>
        <s v="Nastaran Saffaryasdi, Yenushka Goonesekera, Nafiseh Saffaryazdi, Nebiyou Daniel Hailemariam, Ebasa Girma Temesgen, Suranga Nanayakkara, Elizabeth Broadbent, Mark Billinghurst "/>
        <s v="Charles Perkins"/>
        <s v="Corentin Piozin, Gabriela Herrera Altamira, Catherine Simon, Brice Lavrard, Jean-Yves Audran, Florian Waszak, Selim Eskiizmirliler"/>
        <s v="Catur Atmaji, Danang Lelono, Agus Harjoko, Andi Dharmawan"/>
        <s v="Swati Mandekar, Abigail Holland, Moritz Thielen, Mehdi Behbahani, Mark Melnykowycz"/>
        <s v="Henry, Eléonore H; Bougard, Clément; Bourdin, Christophe; Bringoux, Lionel."/>
        <s v="Yang Zou, Yansong Gai, Puchuan Tan, Dongjie Jiang, Xuecheng Qu, Jiantao Xue, Han Ouyang, Bojing Shi, Linlin Li, Dan Luo, Yulin Deng, Zhou Li, Zhong Lin Wang"/>
        <s v="Oger Amanuel and Yarub Alazzawi"/>
        <s v="Yuan Liu, Shuaifei Huang, Zhuang Wang, Fengrui Ji and Dong Ming"/>
        <s v="Piera Riccio, Kristin Bergaust, Boel Christensen-Scheel, Juan-Carlos De Martin, Maria A. Zuluaga, Stefano Nichele"/>
        <s v="Takumi Nagasawa, Kenta Masui, Hirokazu Doi, Keiko Ogawa-Ochiai &amp; Norimichi Tsumura"/>
        <s v="Vivianne Flávia Cardoso, Denis Delisle-Rodriguez, Maria Alejandra Romero-Laiseca, Flávia A. Loterio, Dharmendra Gurve, Alan Floriano, Sridhar Krishnan, Anselmo Frizera-Neto &amp; Teodiano Freire Bastos Filho "/>
        <s v="Guoxia Zou"/>
        <s v="Chuanchu Wang; Haihong Zhang; Soon Huat Ng; Xiaoqun Zhu; Kai Keng Ang"/>
        <s v="M. A. Obaidah, Mahmudunnabi and M. M. Khan"/>
        <s v="K. A. A. Weiss, F. Concatto, R. G. C. Teive, and A. R. G. Ramirez"/>
        <s v="Jose Manuel Macias-Macias, Juan Alberto Ramirez-Quintana, Jose Salvador Antonio Mendez-Aguirre, Mario IgnacioChacon-Murguia, Alma Delia Corral-Saenz"/>
        <s v="Mario Valderrama, Edgar Gonzalez, Fernando Garcia"/>
        <s v="José Juez, David Henao, Fredy Segura, Rodrigo Gomez, Michel Le Van Quyen, Mario Valderrama"/>
        <s v="Garc´ıa Ayola Fernando Luis, Bigio Roitman David, Valderrama Manrique Mario Andres Department of Biomedical Engineer, Universidad de los Andes, Bogota, Colombia"/>
        <s v="Hessa Albawardi; Aljohara Almoaibed; Noor Al Abbas; Sarah Alsayed; Tarfa Almaghlouth; Saleh Alzahrani"/>
        <s v="Carlton Moeller"/>
        <s v="Lim, Zheng You and Sim, Kok Swee and Tan, Shing Chiang"/>
        <s v="Md Ahnaf Shariar, Syeda Maliha Monowara, Md. Shafayat Ul Islam, Muhammed Junaid Noor Jawad, Saifur Rahman Sabuj"/>
        <s v="Nibras Abo Alzahab, Angelo Di Iorio, Luca Apollonio, Muaaz Alshalak, Alessandro Gravina, Luca Antognoli, Marco Baldi, Lorenzo Scalise, Bilal Alchalabi"/>
        <s v="Andrew Perley, Mehrdad Roustaei, Marcelo Aguilar-Rivera, David C. Kunkel, Tzung K. Hsiai, Todd P. Coleman, and Parinaz Abiri"/>
        <s v="Claudine Schallera, Andrea Fümm b, Simon Bachmann b, Luca Oechslin a, Yoshi Nakaharaa, Roger Melliger c, Patric Biaggia, Christophe Alain Wyssa"/>
        <s v="Srividya Pattisapu, Supratim Ray"/>
        <s v="Victor Asanza, Daniel Montoya, Enrique Peláez, Francis Loayza, Leandro L. Lorente-Leyva, Diego H. Peluffo-Ordóñez, Kléber González"/>
        <s v="B. H. Kim, S. Jo, S. Choi"/>
        <s v="O’Sullivan, M.; Temko, A.; Bocchino, A.; O’Mahony, C.; Boylan, G.; Popovici, E"/>
        <s v="Eric Redlinger, Claudia Shao"/>
        <s v="T. Majoros; S. Oniga"/>
        <s v="Wassim Alhilali, Cyril Camachon, Christophe Hurter, and Vsevolod Peysakhovich"/>
        <s v="Mario Quiles Pérez, Enrique Tomás Martínez Beltrán, Sergio López Bernal, Alberto Huertas Celdrán and Gregorio Martínez Pérez"/>
        <s v="Rosca Sebastian Daniel; Leba Monica; Sibisanu Remus Constantin; Panaite Arun Fabian"/>
        <s v="Mauricio A. Ramírez-Moreno, Mariana Díaz-Padilla, Karla D. Valenzuela-Gómez, et al."/>
        <s v="Chen Chen,  Ke Sun,  Xinyu Zhang"/>
        <s v="Zhu, M., Chen, J., Li, H. et al"/>
        <s v="Ng K.H., Ng S., Siew X.H., Wai A.A.P"/>
        <s v="Gumilar, Ihshan and Barde, Amit and Hayati, Ashkan F. and Billinghurst, Mark and Lee, Gun and Momin, Abdul and Averill, Charles and Dey, Arindam"/>
        <s v="Shihab Ahmed, Animesh Mitra, Sumon Saha and Md. Afsar Ali"/>
        <s v="Xu, Jianbo; Chen, Wenxi"/>
        <s v="Sandra Cano, Jonathan Soto, Laura Acosta, Victor Peñeñor, Fernando Moreira"/>
        <s v="Joel S. Burma, Andrew P. Lapointe, Ateyeh Soroush,. Ibukunoluwa K. Onighi, Jonathan D. Smirl, Jeff F. Dunn"/>
        <s v="R.Anuradha, G.Rathi, A.GraceSelvarani, N.Gokul, M.S.Dhakshata "/>
        <s v="Vincent Kiplimo Ngetich"/>
        <s v="Jatmika Nurhadi, Rosita Rahma, Lestari Kusuma Dewi, Aswan"/>
        <s v="Bernal Guillermo, Montgomery Sean M., Maes Pattie"/>
        <s v="Zhenrui Ji, Quan Liu, Wenjun Xu, Bitao Yao, Jiayi Liu , Zude Zhou"/>
        <s v="Mikolaj Bunchwald, Aleksandra Czyz, Marcin Jukiewicz"/>
        <s v="Deepak Kapgate"/>
        <s v="Shahnavazi, A., Homayounfar, M., Fadaei, M &amp; Shabani, Sh."/>
        <s v="Vivianne Flávia Cardos, Denis Delisle-Rodriguez, Maria Alejandra Romero-Laiseca, Flávia A. Loterio, Dharmendra Gurve, Alan Floriano, Carlos Valadão, Leticia Silva, Sridhar Krishnan, Anselmo Frizera-Neto and Teodiano Freire Bastos-Filho"/>
        <s v="Netiwit Kaongoen, Jaehoon Choi, and Sungho Jo"/>
        <s v="Na Wu, Hao JIN, Xiachuan Pei, Shurong Dong, Jikui Luo, Ruijian Yan, and Gang Feng"/>
        <s v="Palpolage Don Shehan Hiroshan Gunawardane; Raymond Macneil; Leo Zhao; James Enns; Clarence De Silva; Mu Chiao"/>
        <s v="Rana Md Shahariar Parbez; Khondaker A. Mamun"/>
        <s v="Yumiao Chen, Zhongliang Yang and Yangliang Wen"/>
        <s v="Aikaterini Gialopsou, Christopher Abel, Timothy M. James, Thomas Coussens,  Mark G. Bason, Reuben Puddy, Francesco Di Lorenzo, Katharina Rolfs, Jens Voigt, Tilmann Sander, Mara Cercignani, Peter Krüger"/>
        <s v="Michael Thomas Knierim, Christoph Berger, Pierluigi Reali"/>
        <s v="Marianna Koctúrová, Jozef Juhár"/>
        <s v="Mads Jochumsen,Taha Al Muhammadee Janjua, Juan Carlos Arceo, Jimmy Lauber, Emilie Simoneau Buessinger and Rasmus Leck Kæseler"/>
        <s v="Wilver Auccahuasi, Grisi Bernardo, Madelaine Bernardo, Alfonso Fuentes, Fernando Sernaque, Elizabeth Oré"/>
        <s v="M. M. Khan, T. Tazin, M. K. Tanzid, Z. H. Arshie, S. Islam and R. H. Ashique"/>
        <s v="Griffin Milsap, and Preston Peranich"/>
        <s v="Arkadiusz Hulewicz; Krzysztof Dziarski"/>
        <s v="Eric Redlingera, Bernhard Glasb,Yang Ronga"/>
        <s v="Soha Rostaminia,1 S. Zohreh Homayounfar,2 Ali Kiaghadi,3 Trisha L. Andrew2,4,* Deepak Ganesan,1"/>
        <s v="Xiaoyan Shen a,b, *, Xuemei Wang a , Song Lu a , Zhiling Li a , Wei Shao a , Yan Wu a"/>
        <s v="Bingbing Wang,1 Zeju Xu,1 Tong Luo,1 and Jiahui Pan"/>
        <s v="R. Anuradha; G. Rathi; A. GraceSelvarani; N. Gokul; M. S. Dhakshata"/>
        <s v="Yevheniy Dmytriyev; Ahmed Magdy Ahmed Zaki; Marco Carnevale; Federico Insero; Hermes Giberti"/>
        <s v="Fang ZiYing; Darren Neo; Wang Jue; Zheng YiCheng; Yvonne Y. H. Lam"/>
        <s v="Ahmed J. Abougarair; Hanadi M. Gnan; Abdulhamid Oun; Saadedin O. Elwarshfani"/>
        <s v="Saad Arif; Mahad Arif; Saba Munawar; Yasar Ayaz; Muhammad Jawad Khan; Noman Naseer"/>
        <s v="Edgar P. Torres P., Edgar Torres H., Myriam Hernández-Álvarez, Sang Guun Yoo"/>
        <s v="Enrique Tomás Martínez Beltrán, Mario Quiles Pérez, Sergio López Bernal, Alberto Huertas Celdrán &amp; Gregorio Martínez Pérez "/>
        <s v="Ennio Idrobo-Ávilaa, Humberto Loaiza-Correaa, Flavio Muñoz-Bolaños, Leon van Noorden, Rubiel Vargas-Cañasd"/>
        <s v="Fernando Concatto; Eduardo José Legal; Alejandro Rafael Garcia Ramirez"/>
        <s v="Avirath Sundaresan, Brian Penchina, Sean Cheong, Victoria Grace, Antoni Valero-Cabré &amp; Adrien Martel"/>
        <s v="Matheus G Mussi"/>
        <s v="Fitri Trapsilawati, Pitaloka B. Prastiwi, Yolla Vista, Zara Myesha, Muhammad K. Herliansyah, Titis Wijayanto"/>
        <s v="Zheng You Lim, Neo Yong Quan"/>
        <s v="Dybvik, Henrikke; Erichsen, Christian Kuster; Steinert, Martin "/>
        <s v="MY Teguh Sulistyono; Evi Septiana Pane; Adhi Dharma Wibawa; Mauridhi Hery Purnomo"/>
        <s v="H. M. K. K. M. B. Herath 1 and W.R. de Mel2"/>
        <s v="Juan A. Ramirez-Quintana, Luis Madrid-Herrera, Mario I. Chacon-Murguia &amp; Luis F. Corral-Martinez "/>
        <s v="Rafia Akhter, Kehinde Lawal, Md. Tanvir Rahman and Shamim Ahmed Mazumder"/>
        <s v="S. Cano, N. Araujo, C. Guzman, C. Rusu and S. Albiol-Pérez"/>
        <s v="Patrich Schemrbi, Mariusz Pelc, Jixin Ma"/>
        <s v="M. Elsayed, K. S. Sim and S. C. Tan"/>
        <s v="Z. Moghaddas, B. Asheri, M. Mohamadi, A. Rafei, F. Farahani, M. Gholizadeh, D. S. Samiei, M. Bagher Menhaj"/>
        <s v="Dmitry Kireev, Emmanuel Okogbue, Jayanth RT, Tae-Jun Ko, Yeonwoong Jung, Deji Akinwande"/>
        <s v="B. Guragai, O. AlShorman, M. Masadeh and M. B. B. Heyat"/>
        <s v="A. K, S. J. Kuruvila, S. Pramode and N. Krupa"/>
        <s v="Cornejo, Raymundo, Oscar Ordoñez, Alain Manzo, Adrián Alarcón, Luis Gaxiola, Fernando Martínez, Leonor Duque, &amp; Martha Ornelas"/>
        <s v="Jorge Luis Lozano Rodríguez"/>
        <s v="Fangmeng Zeng, Panote Siriaraya, Dongeun Choi, Noriaki Kuwahara"/>
        <s v="Callum Young, Gabriel Miles, Ben Adams, Meghan Edgerton"/>
        <s v="Lenka Hanáková, Vladimír Socha, Jan Bořil, Lukáš Herman, Jan Štrobl, Terézia Pilmannová"/>
        <s v="Edgar P. Torres P., Edgar Torres H., Myriam Hernández-Álvarez, Sang Guun Yoo"/>
        <s v="C. A. S. Filho, J. I. Serrano, R. Attux, G. Castellano, E. Rocon and M. D. d. Castillo"/>
        <s v="R. Cassani, A. Tiwari, I. Posner, B. Afonso and T. H. Falk"/>
        <s v="M. -A. Moinnereau, A. Oliveira and T. H. Falk"/>
        <s v="M. Wang, M. Bulger, Y. Dai, K. Noël, C. Axon, A. Brandenberger, S. Fay, Z. Gao, S. Gilmer, J. Hamdan, P. Humane, J. Jiang, C. Killian, I. Langleben, B. Li, A. M. Zamora, S. Mavromatis, S. Njini, R. Riachi, C. Rong, A. Zhen, M. Xiong"/>
        <s v="Ker-Jiun Wang, Caroline Yan Zheng, Mohammad Shidujaman, Maitreyee Wairagkar, Mariana von Mohr"/>
        <s v="Pierre Gander, Jonathan Rittmo, Rickard Carlsson, Robert Lowe"/>
        <s v="Sridhar, S.; Manian, V"/>
        <s v="E. M. Camilo, J. A. M. Gutiérrez, O. P. Ramírez, J. G. Martínez, A. V. Hernández and L. L. Salas"/>
        <s v="A. Abdeltawab and A. Ahmad"/>
        <s v="Iqram Hussain; Se Jin Park"/>
        <s v="Kunal Gupta, Jovana Lazarevic, Yun Suen Pai, and Mark Billinghurst"/>
        <s v="Rogerio Gabriel, Marilda M. Spindola and Marcello Chiaramonte"/>
        <s v="A. F. Setiawan, A. D. Wibawa, M. H. Purnomo and W. R. Islamiyah"/>
        <s v="Browarska, N., Kawala-Sterniuk, A., Chechelski, P., &amp; Zygarlicki, J"/>
        <s v="Manuel Olguín Muñoz, Roberta Klatzky, Junjue Wang, Padmanabhan Pillai, Mahadev Satyanarayanan, James Gross"/>
        <s v="Mohamed Fawzan Hussain"/>
        <s v="Angela Vujic, Rosalind Picard. Stephanie Tong, Pattie Maes "/>
        <s v="LaRocco John, Le Minh Dong, Paeng Dong-Guk"/>
        <s v="Isao Sakamaki, Mahdi Tavakoli, Sandra Wiebe, Kim Adams"/>
        <s v="A. Miladinović , M. Ajčević , G. Silveri, A. Accardo"/>
        <s v="Dmitry Kireev, Emmanuel Okogbue, Jayanth RT, Tae-Jun Ko, Yeonwoong Jung, and Deji Akinwande"/>
        <s v="N. Gokul , M. S. Dhakshata , Mrs. G. Rathi, Dr. R. Anuradha"/>
        <s v="David Gaddy, Dan Klein"/>
        <s v="Brian Penchina, Avirath Sundaresan, Sean Cheong, Adrien Martel"/>
        <s v="M. D. Novitasari, A. D. Wibawa, M. H. Purnomo, W. R. Islamiyah and A. Fatoni"/>
        <s v="S. Gul, M. F. Siddiqui and N. u. Rehman"/>
        <s v="Erichsen, Christian Kuster; Dybvik, Henrikke; Steinert, Martin"/>
        <s v="Manuel Reis Carneiro, Aníbal T. de Almeida, Mahmoud Tavakoli"/>
        <s v="Ariel Guerra, Kang-Hyun Jo, Danilo Caceres, Fernando Merchan"/>
        <s v="Longze Sha, Ting Chen, Yu Deng, et al."/>
        <s v="Naveen Senniappan Karuppusamy, Bo-Yeong Kang"/>
        <s v="R. Cassani, M. Moinnereau, L. Ivanescu, O. Rosanne and T. H. Falk"/>
        <s v="Jonathan Rittmo, Rickard Carlsson, Pierre Gander, Robert Lowe "/>
        <s v="I. A. Pap, S. Oniga and A. Alexan"/>
        <s v="Duo Xu, Mohit Agarwal, Faramarz Fekri, Raghupathy Sivakumar"/>
        <s v="S. Vlahinić, Z. Šverko, D. Bačnar and L. Bebić"/>
        <s v="Edgar P. Torres, Edgar A. Torres, Myriam Hernández-Álvarez, Sang Guun Yoo"/>
        <s v="Ting Gui, Yunlun Li, Shijun Zhang, Nan Zhang, Ying Sun, Fengzhen Liu, Qingfa Chen, Zhibo Gai"/>
        <s v="M.A. Khan, R. Das, H.K. Iversen, S. Puthusserypady"/>
        <s v="Leonard Marino, Vineetha Alluri, Ashish Kumar, et al."/>
        <s v="Kenta Masui, Hirokazu Doi, Takumi Nagasawa, Norimichi Tsumura   "/>
        <s v="Ramirez-Quintana, J.A., Madrid-Herrera, L., Chacon-Murguia, M.I. et al."/>
        <s v="de Oliveira W.C., Gottardo E., Pimentel A.R"/>
        <s v="Evangelos Niforatos, Athanasios Vourvopoulos, Michail Giannakos"/>
        <s v="J. Khan, M. U. G. Khan, R. Iqbal and O. Riaz"/>
        <s v="Francisco Laport, Adriana Dapena, Paula M. Castro, Francisco J. Vazquez-Araujo and Daniel Iglesia"/>
        <s v="Sikender Gul, Muhammad Faisal Siddiqui, Naveed Ur Rehman"/>
        <s v="Jeong, D.-H.; Jeong, J."/>
        <s v="Martínez-Cerveró, J.; Ardali, M.K.; Jaramillo-Gonzalez, A.; Wu, S.; Tonin, A.; Birbaumer, N.; Chaudhary, U."/>
        <s v="Daniel Schlör, Albin Zehe, Konstantin Kobs, Blerta Veseli, Franziska Westermeier, Larissa Brübach, Daniel Roth, Marc Erich Latoschik, Andreas Hotho"/>
        <s v="Josh Andres, m.c. Schraefel , Nathan Semertzidis, Brahmi Dwivedi, Yutika C Kulwe, Juerg von Kaenel , Florian ‘Floyd’ Mueller"/>
        <s v="Victoria Peterson, Catalina Galván, Hugo Hernández, Ruben Spies"/>
        <s v="Lindsey Power, Heather F Neyedli, Shaun G Boe, and Timothy Bardouille"/>
        <s v="M. A. Romero-Laiseca, D. Delisle-Rodriguez, V. Cardoso, D. Gurve, F. Loterio, J. H. Posses Nascimento, S. Krishnan, A. Frizera-Neto, T. Bastos-Filho"/>
        <s v="N. Kaongoen and S. Jo"/>
        <s v="E. J. S. González and K. McMullen"/>
        <s v="Kunal Gupta, Kunal Gupta, Yun Suen Pai, Andreas Duenser, Martin Lochner, Mark Billinghurst"/>
        <s v="Sung-Woo Kim ; Kwangmuk Lee ; Junyeong Yeom ; Tae-Hoon Lee ; Don-Han Kim ; Jae Joon Kim"/>
        <s v="Lindsey Power, Heather F. Neyedli, Shaun G. Boe, and Tim Bardouille"/>
        <s v="Iveth  Moreno, Emmanuel  Batista, Sofía Serracín, José Serracín"/>
        <s v="Tseghai, Granch Berhe &amp; Malengier, B. &amp; Fante, Kinde &amp; Nigusse, Abreha &amp; Van Langenhove, Lieva"/>
        <s v="Verma A., Tripathi A., Choudhury T."/>
        <s v="Ekansh Gupta, Mohit Agarwal, R. Sivakumar"/>
        <s v="Chia-Feng Lu ; Sheng-Jia Tsai ; Chun Hsiao ; Han-Mei Lu ; Chi-Wen Jao ; Po-Shan Wang ; Yu-Te Wu"/>
        <s v="Audette, William &amp; Bieszczad, Jerry &amp; Allen, Lindsay &amp; Diamond, Solomon &amp; Kynor, David"/>
        <s v="Kapgate D., Kalbande D., Shrawankar U."/>
        <s v="Magnus Thorstensen"/>
        <s v="Nathan Semertzidis, Michaela Scary, Josh Andres, Brahmi Dwivedi, Yutika Chandrashekhar Kulwe, Fabio Zambetta, Florian ‘Floyd’ Mueller"/>
        <s v="Qingqing Li , Penghui Dong and Jun Zheng"/>
        <s v="Izabela Rejer, Łukasz Cieszynski"/>
        <s v="M Agarwal, R Sivakumar"/>
        <s v="Duo Xu, Mohit Agarwal, Faramarz Fekri and Raghupathy Sivakumar"/>
        <s v="Verónica Gaviria García, Daniel Loaiza López, Carolina Serna Rojas , Sara Ríos Arismendy, Eduardo Montoya Guevara, Juan Daniel Mora Lesmes, Francisco Javier Gómez Oquendo, John Fredy Ochoa Gómez"/>
        <s v="Juan Ramírez-Quintana, Jose Macias-Macias, Alma Corral-Saenz &amp; Mario Chacon-Murguia "/>
        <s v="Kamila Kowalska"/>
        <s v="Kunal Gupta, Ryo Hajika, Yun Suen Pai, Andreas Duenser, Martin Lochner, and Mark Billinghurst"/>
        <s v="Matheus G. Mussi, Marilda M. Spindola, Patric Janner Marques"/>
        <s v="Volobuev, Vitaly &amp; Turischeva, Polina &amp; Mazzara, Manuel &amp; Sahibgareev, Ruslan &amp; Saitova, Ravida &amp; Zagidullina, Aliya."/>
        <s v="Sofía Ahufinger, Paloma Balugo, María Mercedes González, Elías Pequeño, Henar González, Pilar Herrero"/>
        <s v="LEE, Tae-Gyu"/>
        <s v="Volobuev, Vitaly &amp; Maksudov, Bulat &amp; Mavridis, Nikolaos"/>
        <s v="D. E. Ugarte, D. Linares, G. Kemper and C. A. Almenara"/>
        <s v="X. Zhu et al."/>
        <s v="A. Aamer, A. Esawy, O. Swelam, T. Nabil, A. Anwar and A. Eldeib"/>
        <s v="Phairot Autthasan ; Xiangqian Du ; Jetsada Arnin ; Sirakorn Lamyai ; Maneesha Perera; Sirawaj Itthipuripat; Tohru Yagi; Poramate Manoonpong; Theerawit Wilaiprasitporn"/>
        <s v="Hy Do ; Vu Truong ; Kiran George ; Bhagyashree Shirke"/>
        <s v="P. Sawangjai, S. Hompoonsup, P. Leelaarporn, S. Kongwudhikunakorn and T. Wilaiprasitporn"/>
        <s v="Reza Amini Gougeh, Tohid Yousefi Rezaii, Ali Farzamnia"/>
        <s v="Rameau, A"/>
        <s v="M. Agarwal and R. Sivakumar"/>
        <s v="Rahak Asheri ; Vahld Rostarni ; Mohammadbagher Menhai"/>
        <s v="G. Florencia, S. María Sofía and C. Héctor Andrés"/>
        <s v="Faeze Asadi1*&#10;, Bahram Kimia Ghalam1&#10;1 Faculty of Electrical, Computer and IT Engineering, Qazvin Branch, Islamic Azad University,&#10;Qazvin, Iran."/>
        <s v="Audrey Aldridge, Eli Barnes, Cindy L. Bethel, Daniel W. Carruth, Marianna Kocturova, Matus Pleva, and Jozef Juhar"/>
        <s v="Gunawardane, Hiroshan &amp; Silva, C &amp; Chiao, Mu"/>
        <s v="Anthony Casey, Hannan Azhar, Marek Grzes &amp; Mohamed Sakel"/>
        <s v="Junyi Cao, Zhongming Tian, Zhengtao Wang"/>
        <s v="Athanasios Vourvopoulos, et al."/>
        <s v="Shi XZ, Xu Q"/>
        <s v="Jenny M. Qiu, Michael A. Casey, and Solomon G. Diamond"/>
        <s v="Lakhan, Payongkit &amp; Banluesombatkul, Nannapas &amp; Changniam, Vongsagon &amp; Dhithijaiyratn, Ratwade &amp; Leelaarporn, Pitshaporn &amp; Boonchieng, Ekkarat &amp; Hompoonsup, Supanida &amp; Wilaiprasitporn, Theerawit."/>
        <s v="Luca Entremont"/>
        <s v="Linxing Jiang, Andrea Stocco, Darby M. Losey, Justin A. Abernethy, Chantel S. Prat &amp; Rajesh P. N. Rao "/>
        <s v="Brenda E.Olivas-PadillaMario I.Chacon-Murguia"/>
        <s v="McGill University Neurotech"/>
        <s v="Nick Merrill, Max T. Curran, Swapan Gandhi, and John Chuang"/>
        <s v="Gaetano D. Gargiulo 1,2,* OrcID, Paolo Bifulco 3OrcID, Mario Cesarelli 3, Alistair McEwan 4, Armin Nikpour 5, Craig Jin 4, Upul Gunawardana 2, Neethu Sreenivasan 2, Andrew Wabnitz 1 and Tara J. Hamilton 6OrcID"/>
        <s v="Rossana Terracciano ; Alessandro Sanginario ; Simona Barbero ; Davide Putignano ; Lorenzo Canavese"/>
        <s v="Julia M Juliano, Ryan P Spicer, Stephanie Lefebvre, Kay Jann, Tyler Ard, Emiliano Santarnecchi, David M Krum, Sook-Lei Liew"/>
        <s v="Olivier Valentin  ; Mikaël Ducharme ; Gabrielle Crétot-Richert ; Hami Monsarrat-Chanon ; et al."/>
        <s v="José M. Macías Macías, Juan A. Ramírez Quintana, Alma D. Corral Sáenz, Mario I. Chacón Murguía"/>
        <s v="Yang Shi ; Fangyu Li ; Tianming Liu ; Fred R. Beyette ; WenZhan Song"/>
        <s v="Qaseem Ramzan1,2* and Stanislav Shidlovskiy1"/>
        <s v="Umar Asif, Jianbin Tang, Stefan Harrer"/>
        <s v="Lei Zhang  Yikai Shi  Wendong Wang  Yang Chu  Xiaoqing Yuan"/>
        <s v="Yue Han, Yihe Ma, Lingkai Zhu, Yanpeng Zhang, Li Li, Wei Zheng, Junshan Guo, Yongqiang Che"/>
        <s v="Michael McMahon ; Michael Schuka"/>
        <s v="Mark O'Sullivan, Emanuel Popovici, Andrea Bocchino, Conor O'Mahony, Geraldine Boylan, Andriy Temko"/>
        <s v="Gina M.Notaro, Solomon G.Diamond"/>
        <s v="Emmanuel Christophe, Jérémy Frey, Richard Kronland-Martinet, Jean-ArthurMicoulaud-Franchi, Jelena Mladenović, Gaëlle Mougin, Jean Vion-Dury, Sølvi Ystad, Mitsuko Aramaki"/>
        <s v="Dr. James Noble, MD, and Dr. Barclay Morrison III, PhD "/>
        <s v="Michael McMahon ; Michael Schukat"/>
        <s v="Linxing Jiang, Andrea Stocco, Darby M. Losey, Justin A. Abernethy, Chantel S. Prat, Rajesh P. N. Rao"/>
        <s v="Shideh Kabiri Ameri, Myungsoo Kim, Irene Agnes Kuang, Withanage K. Perera, Mohammed Alshiekh, Hyoyoung Jeong, Ufuk Topcu, Deji Akinwande &amp; Nanshu Lu "/>
        <s v="Fanny Monori, Sefan Oniga"/>
        <s v="IBM Research-Australia"/>
        <s v="Payongkit Lakhan, Nannapas Banluesombatkul, Vongsagon Changniam, Ratwade Dhithijaiyratn, Irawadee Thawornbut, Ekkarat Boonchieng, Theerawit Wilaiprasitporn"/>
        <s v="Usman Rashid, Imran Khan Niazi, Nada Signal, and Denise Taylor"/>
        <s v="Giacomo Amela"/>
        <s v="Ayush Raj ; S.M. Jaisakthi"/>
        <s v="Davis, Josh Urban"/>
        <s v="Pablo Pelayo ; Hemamalini Murthy ; Kiran George"/>
        <s v="Theerawit Wilaiprasitporn et al."/>
        <s v="Brian Meneses-Claudio ; Avid Roman-Gonzalez"/>
        <s v="Jacob Knight, Lucas Vanderaa, Nadja Bressan, PhD, Emad Naseri, MSc"/>
        <s v="A. I. Martin ; C. Toledo ; J. A. Mercado ; A. Vera ; L. Leija ; J. Gutierrez"/>
        <s v="Qing Wu ; Wenbing Zhao ; Tessadori Jacopo"/>
        <s v="Mark O’Sullivan, Sergi Gomez, Alison O’Shea, Eduard Salgado, Kevin Huillca, Sean Mathieson, Geraldine Boylan, Emanuel Popovici, Andriy Temko"/>
        <s v="Suleman Aijaz Memon ; Abdul Waheed ; Toygun Başaklar ; Yusuf ziya Ider Ider"/>
        <s v="Greeshma Reddy Padiri"/>
        <s v="Pei-Chi Hu ; Po-Hao Chen ; Po-Chih Kuo"/>
        <s v="Krupal Sureshbai Mistry ; Pablo Pelayo ; Divya Geethakumari Anil ; Kiran George"/>
        <s v="Jelena Mladenovic, Jeremy Frey, Jessica R. Cauchard"/>
        <s v="Eduard Salgado Burruezo "/>
        <s v="Rosita Rahma, Jatmika Nurhadi"/>
        <s v="Sachinthana Pathiranage ; Ishara Paranawithana ; Monty Perera ; Anjula C De Silva"/>
        <s v="Muhammad Adeel Hafeez ; Sadia Shakil ; Sobia Jangsher"/>
        <s v="Peng Gang, Jiang Hui S. Stirenko Yu. GordienkoT. ShemsedinovO. AlieninYu. KochuraN. GordienkoA. RojbiJ. R. López BenitoE. Artetxe González"/>
        <s v="Pierce Stegman, Chris Crawford, Jeff Gray"/>
        <s v="Geesara PrathapEmail authorTitus Nanda KumaraRoshan Ragel"/>
        <s v="Vinay Kumar Karigar Shivappa ; Brian Luu ; Marco Solis ; Kiran George"/>
        <s v="S. Sridhar ; U. Ramachandraiah ; E. Sathish ; G. Muthukumaran ; P. Rajendra Prasad"/>
        <s v="I. Sakamaki, C. E. P. del Campo, S. A. Wiebe, M. Tavakoli and K. Adams"/>
        <s v="Bjørge, Lars-Erik &amp; Emaus, Trond"/>
        <s v="Sakamaki, Isao &amp; Tavakoli, Mahdi &amp; Adams, Kim"/>
        <s v="Shi-Kuo Chang, Wei Guo, Duncan Yung, ZiNan Zhang, HaoRan Zhang and WenBin You"/>
        <s v="Xin Dang, Bingbing Kang, Xuyang Liu, and Guangyu Cui"/>
        <s v="MUKUNDA RAKSIT Y R #1 and PROF. RAJESH N *2"/>
        <s v="Rosenthal, James &amp; Benabdallah, Gabrielle"/>
        <s v="Ariel Teles∗, Maur´ıcio Cagy†, Francisco Silva‡, Markus Endler§, Victor Bastos¶and Silmar Teixe"/>
        <s v="Witman Alvarado-Díaz ; Perú Lima ; Brian Meneses-Claudio ; Avid Roman-Gonzalez"/>
        <s v="V. R. R. SamsonEmail authorB. Praveen KittiS. Pradeep KumarD. Suresh BabuCh. Monica"/>
        <s v="Ker-Jiun Wang ; Lan Zhang ; Bo Luan ; Hsiao-Wei Tung ; Quanfeng Liu ; Jiacheng Wei ; Mingui Sun , et al"/>
        <s v="Mikołaj Buchwald, Marcin Jukiewicz"/>
        <s v="C. J. Perera, I. Naotunna, C. Sadaruwan, R. A. R. C. Gopura and T. D. Lalitharatne"/>
        <s v="Daniel Alte"/>
        <s v="Jérémy Frey"/>
        <s v="R. V. Sastry ; R. Aravind ; Gagandeep Panwar ; S. Indrapriyadarsini ; A. G. Ramakrishnan"/>
        <s v="Azocar, Alejandro Francisco"/>
        <s v="Michael Thomas Knierim, Max Shmmer, Dominik Woehler"/>
      </sharedItems>
    </cacheField>
    <cacheField name="Title" numFmtId="0">
      <sharedItems containsBlank="1">
        <s v="NeuroComb: A Novel Hydrogel-Integrated 3D Printed EEG Headband for Daytime Cognitive Load Monitoring"/>
        <s v="Beyond Local Power: Functional Connectivity Analysis for Subject-Independent Learning Style Recognition"/>
        <s v="Optimized Real-Time Eye-Blink–Based Control Using EEG"/>
        <s v="A Gated Artifact Management Pipeline for Low-Density Eyewear EEG"/>
        <s v="Calibration-Light Subject-Independent Motor Imagery BCI via Self-Supervised Pretraining and Conformer"/>
        <s v="Wafer‐Scale Atomically‐Thin Gold: Transferable Platform for Flexible Optoelectronics, Thermal Management and Bio‐Interfaces"/>
        <s v="Signal-specific performance of in-ear EEG: strengths and limitations"/>
        <s v="EEG-based Analysis of Driver Cognitive Responses to Leading Vehicle Braking"/>
        <s v="Dual-Mechanism Benefits of Mixed Reality in Motor Imagery BCIs: Simultaneous Signal Enhancement and Fatigue Mitigation"/>
        <s v="E-MagDiP: Electro-Magnetic based Differential Privacy for EEG based Community Sensing"/>
        <s v="Visualizer: An HCI-Driven System for Translating Complex EEG Data Into Applied Insights for Non-expert Domains"/>
        <s v="A Platform-Agnostic Multimodal Digital Human Modelling Framework: Neurophysiological Sensing in Game-Based Interaction"/>
        <s v="Poster Abstract: Benchmarking Signal Quality and Enhancement Methods for Real-World Wearable BCI Datasets"/>
        <s v="Noninvasive Intelligent Brain‐Metasurface System for Real‐Time Electromagnetic Wave Manipulation"/>
        <s v="MGaming EEG‐BCI: Advancing Inclusive and Gesture‐Free Neural Interaction for Mobile Gaming Applications"/>
        <s v="Development of driver drowsiness classification based on EEG signals using long short-term memory method"/>
        <s v="Learning Latent Neural Signatures from EEG Scalograms for Robust Biometric Identification"/>
        <s v="ForceBand: Learning Forceful Manipulation with sEMG"/>
        <s v="Noninvasive Electrophysiological Biomarkers of Olfactory Responses Across Cognitive States in Alzheimer Dementia: Cross-Sectional Study"/>
        <s v="VOICE CONTROLLED AND TFT TOUCHSCREEN CONTROLLED WHEELCHAIR"/>
        <s v="TongueBCI: An Interaction Method Based on EEG Signals from Tongue Movement Direction"/>
        <s v="Intelligent Breathing Electronic Skin Inspired by Nepenthes for Active Sweat Management, Multimodal Sensing and High-Fidelity Electromyographic Teleoperation Using Machine Learning"/>
        <s v="Auditory EEG-based Biometric Identification using an SE-Enhanced CNN Model"/>
        <s v="Design of a Low-Cost Test Bench for Surface EMG Signal Reproduction Using a Raspberry Pi Platform"/>
        <s v="A Comparative Study of MSPCA and MSICA Denoising for EEG Based Autism Spectrum Disorder Classification Using LightGBM and TCN-SA."/>
        <s v="Auditory Evoked EEG-Based Biometric Authentication Using a Hybrid CNN-Transformer Model"/>
        <s v="Ethical Decision-Making in Chilean University Students: Behavioral and Electroencephalographic Evidence from Professional Ethical Dilemmas"/>
        <s v="A suitable EEG System for Cognitive Monitoring in Aphasia Rehabilitation: A Pilot Feasibility Study"/>
        <s v="Objective quantification of motion-induced dizziness using a proof-of-concept multimodal wearable platform"/>
        <s v="Non-specific increase in alpha power during a neurofeedback session targeting its downregulation"/>
        <s v="On the Feasibility of Eog-Based Eye-Writing in Virtual Reality"/>
        <s v="Gelatin‐Based Head Phantoms: A Practical Guide for Artificial Brain Signal Research"/>
        <s v="Movement Intention Recognition Using Wearable Dry-Electrode Sensors and Multimodal EEG-EMG data"/>
        <s v="Processing and Analysis of Electrogastrogram (EGG) Signals to Evaluate Stressor and Motion Sickness Conditions in Virtual Reality Environments"/>
        <s v="Emotion Recognition Tool for Brain-Computer Interface"/>
        <s v="Dual-Domain Temporal–Spatial Denoising Approach for Autism Spectrum Disorder EEG Signals Based on Stationary Wavelet Transform and SPHARA"/>
        <s v="Neuromuscular Fatigue Detection Using Hybrid Machine Learning Classifier"/>
        <s v="In-ear EEG wearables for brain activity assessment and cognitive rehabilitation: the emerging role of multimodal embedded intelligence"/>
        <s v="Assessment of Driver Cognitive Load in Autonomous Driving Using Extended Reality Simulation"/>
        <s v="Comprehensive Examination of Cognitive Skills Using Hybrid Optimized Convolutional Neural Networks for EEG Signal Classification with OpenBCI Validation"/>
        <s v="WearBCI Dataset: Understanding and Benchmarking Real-World Wearable Brain-Computer Interfaces Signals"/>
        <s v="Rest Assured: Detecting Mental Fatigue and Recovery with EEG Headphones"/>
        <s v="Frontal EEG and Emotional Impressions in Response to Chord Progressions: Interactions of Musical Mode and Chord Type"/>
        <s v="IoT Based Epilepsy Monitoring Device for Children"/>
        <s v="A Cheonjiin Layout Mental Speller: Developing a Simple and Cost-Effective EEG-Based Brain–Computer Interface System"/>
        <s v="Large-scale training data enhances silent speech decoding with around-ear EEG"/>
        <s v="The EasyCog Dataset: Towards Easier Cognitive Assessment with Passive Video Watching"/>
        <s v="Evaluation of PainWaive: A consumer-grade EEG headset for remotely delivered neurofeedback and monitoring in chronic pain"/>
        <s v="Multi-Class Electroencephalography Motor Imagery Classification of Limb Movements Using Convolutional Neural Network"/>
        <s v="HyperDance: Real-Time Vibrotactile Stimulation Feedback of Inter-Brain Connectivity in Partner Dance"/>
        <s v="Evaluating Wearable Sensors for Combined Physical and Mental Fatigue Assessment"/>
        <s v="SilentWear: an Ultra-Low Power Wearable System for EMG-based Silent Speech Recognition"/>
        <s v="Inkjet-Printed Graphene Electrodes on a Plastic Armband for Mobile Electrocardiography"/>
        <s v="Towards the Development of Knitted Surface EMG Sensors: Impact of Knit Structures and Configuration on Monitoring Dynamic Muscle Contractions"/>
        <s v="Human-Centered Multimodal Fusion for Sexism Detection in Memes with Eye-Tracking, Heart Rate, and EEG Signals"/>
        <s v="A centrifugal mechanism hybrid energy harvester with AI-enabled self-sensing and self-powered for railway monitoring"/>
        <s v="Video game-driven EEG signal classification for rehabilitation applications using LSTM networks"/>
        <s v="EEG-Driven Intention Decoding: Offline Deep Learning Benchmarking on a Robotic Rover"/>
        <s v="Comparison of preprocessing techniques for effective cognitive analysis using electroencephalography (EEG)"/>
        <s v="Çocuklarda Migren Tespiti İçin Işıklı Uyarım Frekansı ve EEG Kanallarının Belirlenmesi: Makine Öğrenmesi Algoritmaları ile Bir Yaklaşım"/>
        <s v="Support vector machine algorithm-based wearable device in sports rehabilitation training for people with disabilities"/>
        <s v="Peak-Independent Cuffless Blood Pressure Monitoring Using a Smart Sock: The Role of Temporal Lag Modeling in Foot-Based PPG"/>
        <s v="Comparing Simultaneous Scalp EEG Recordings from the OpenBCI Cyton and Brain Products BrainAmp"/>
        <s v="IoT‐Enabled Framework for OpenViBE‐Based Online BCI with an OSC‐Driven Somatosensory Stimulator and Unity Animation Control"/>
        <s v="Classification of the lower limb motor imagery and execution using high vs. low channel EEG devices"/>
        <s v="A Novel EEG-ECG Based Fusion Model for Multimodal Emotional Classification"/>
        <s v="Form factor meets function: Anatomy-dependent electrode-skin coupling and signal content in consumer eyewear EEG systems"/>
        <s v="Neural Efficiency and Attentional Instability in Gaming Disorder: A Task-Based Occipital EEG and Machine Learning Study"/>
        <s v="Enhancing a task recognition model for real-time control of artificial limbs using data-driven boosting-based stacking on the MILimbEEG dataset"/>
        <s v="MEWT-Enhanced EEGNet for ASD EEG Classification: Performance Evaluation with k-Fold Cross-Validation"/>
        <s v="AI-Enabled Sensing Wristband for Student Behavior Detection"/>
        <s v="Evaluation of Wearable Sensors for Mental Fatigue Level Estimation under Physical Fatigue"/>
        <s v="Preliminary Investigation of Virtual Reality versus Non-Virtual Reality Visualization Impact on EEG-based Movement Identification for Future Prosthetic Control Applications"/>
        <s v="EMG-Spectrogram-Empowered CNN Stroke-Classifier Model Development"/>
        <s v="Enhancing Posttraumatic Growth Using EEG Neurofeedback: Feasibility Case Studies with Healthy Trauma-Exposed Adults"/>
        <s v="Development of a Measurement Procedure for Emotional States Detection Based on Single-Channel Ear-EEG: A Proof-of-Concept Study"/>
        <s v="Optimization of Electromyography (EMG) Signal Parameters for Assistive Device Control Using a Convolutional Neural Network (CNN)"/>
        <s v="Active-Reflective Learning Style Detection Using EEG  and Abrupt Change Detection"/>
        <s v="Electrical and thermo-mechanical properties of styrene-ethylene-butylene-styrene/carbon nanotube and styrene-ethylene-butylene-styrene/carbon black multipin electrodes for electroencephalography"/>
        <s v="Quantitative EEG obtained from Dual‐Task paradigms for the study of preclinical populations at risk of Alzheimer Disease"/>
        <s v="Silent Speech Recognition using Electromyography Signals"/>
        <s v="Conflicting competencies and their individual variability"/>
        <s v="Is wearable data reliable for monitoring behavior?  Design of a wearable-based IoMT puzzle game for remote behavior monitoring"/>
        <s v="Flexible Dry Electrodes Based on Styrene‐Ethylene‐Butylene‐Styrene/Carbon Black and Ethylene‐Vinyl Acetate/Carbon Black for Electroencephalography: Electrical, Thermal and Mechanical Properties"/>
        <s v="tDCS may enhance post-stroke neuroplasticity via real-time motor imagery BCI"/>
        <s v="A Brain–Computer Interface for Control of a Virtual Prosthetic Hand"/>
        <s v="Mind-to-Face: Neural-Driven Photorealistic Avatar Synthesis via EEG Decoding"/>
        <s v="MFG-RNN: A Multi-Feedback Gated Recurrent Neural Network with HJB-Based Weight Update for EEG-Based Concealed Information Detection"/>
        <s v="Hybrid Flexible Dry Electrodes for Electroencephalography: Electrical and Thermo‐Mechanical Properties"/>
        <s v="Multimodal brain-computer interface for robotic control: integration of real-time gaze tracking and EEG-based motor imagery"/>
        <s v="Development of active resistive-capacitive electrodes and study of circuit engineering methods for minimizing electrode noise in the “Open BCI” EEG signal recording system"/>
        <s v="Real-time generative AI experience of the Vanitas painting"/>
        <s v="General-purpose mechanical computing enabled by origami circuit reconfiguration with robotic addressing and activation"/>
        <s v="A hybrid galloping energy harvester for unmanned surface vehicles with a double-magnet mechanism"/>
        <s v="A patient-specific, 3D printed neurostimulator enabling focal transcranial electrical stimulation and EEG at home"/>
        <s v="A SILENT SPEECH INTERFACE WITH MACHINE LEARNING RECOGNITION MODEL USING MICRONEEDLE ARRAY ELECTRODES AND POLYMER-BASED STRAIN SENSORS"/>
        <s v="Enhancing cortical rhythms through robotic glove-assisted motor imagery training"/>
        <s v="A hybrid EMG–EEG interface for robust intention detection and fatigue-adaptive control of an elbow rehabilitation robot"/>
        <s v="An L-shaped flexible neural implant for chronic ECoG signal acquisition in M2 region of control and Parkinsonian rat models"/>
        <s v="Individual Autonomic Profiles Influence Brain–Heart Connectivity in Tonic Pain"/>
        <s v="REM sleep reduces subthreshold depolarization in cortical pyramidal neurons in a region-specific manner"/>
        <s v="Reinforcement Learning-Driven Prosthetic Hand Actuation in a Virtual Environment Using Unity ML-Agents"/>
        <s v="Decoding Temporally Encoded 3D Objects from Low-Cost Wearable Electroencephalography"/>
        <s v="Acute Effects of Portable Dry‐EEG Neurofeedback on Classical Chinese Learning: A Three‐Arm Repeated‐Measures Study"/>
        <s v="BCI in Stroke Rehabilitation with Robotic Devices, tACS and FES: A Case Study"/>
        <s v="A multifunctional wearable hydrogel-based charge-trapping TENG enabling electrophysiological signal monitoring and high-efficiency energy harvesting with enhanced stability"/>
        <s v="A Human-Centric Metaverse Enabled by Brain-Computer Interface: A Survey"/>
        <s v="Unraveling the Dynamics of Mental and Visuospatial Workload in Virtual Reality Environments"/>
        <s v="Healing Horizons: Adaptive VR for Traumatic Brain Injury Rehabilitation"/>
        <s v="SensoryScape: Context-Aware Empathic VR Photography"/>
        <s v="VRdoGraphy: An Empathic VR Photography Experience"/>
        <s v="Galea: A physiological sensing system for behavioral research in Virtual Environments"/>
        <s v="Correlation Between Electroencephalogram Brain-to-Brain Synchronization and Team Strategies and Tools to Enhance Performance and Patient Safety Scores During Online Hexad Virtual Simulation-Based Interprofessional Education: Cross-Sectional Correlational "/>
        <s v="Generative motor imagery dynamic networks: EEG-controlled grasping via individualized model training"/>
        <s v="Investigation of Electroencephalographic (EEG) Brainwave Signal on Mental Stress through Psychomotor Activities"/>
        <s v="Recurrence Quantification Analysis of Physiological Responses in Mixed Reality Environments: Exploring the Impact of Cognitive Workload"/>
        <s v="Real-Time EEG Decoding of Motor Imagery via Nonlinear Dimensionality Reduction (Manifold Learning) and Shallow Classifiers"/>
        <s v="Micropatterned Biphasic Printed Electrodes for High‐Fidelity on‐Skin Bioelectronics"/>
        <s v="Exploring neural entrainment and synchrony in response to repeated 60 Hz flickering white light in healthy volunteers"/>
        <s v="A Novel Method for Brain Control Interface Wheelchair Implementation"/>
        <s v="Interactive and Deep Learning-Powered EEG-BCI for Wrist Rehabilitation: A Game-based Prototype Study"/>
        <s v="A gender-aware saliency prediction system for web interfaces using deep learning and eye-tracking data"/>
        <s v="Mindcare: A Mental Health Intervention System using Linguistic Intelligence"/>
        <s v="A Brain–Machine Interface Framework for Motor Imagery Classification Using Functional Connectivity and Ensemble Learning: Toward Real-Time Applications in Healthcare and Industry"/>
        <s v="A tutorial on electrogastrography using low-cost hardware and open-source software"/>
        <s v="EEG-Based Music Stimuli Classification Using Artificial Neural Network and the OpenBCI CytonDaisy System"/>
        <s v="A Portable Real-time Multi-channel Frontal EEG Acquisition System Integrated with an Ultra-thin Biocompliant Anti-oxidation Electrode Patch"/>
        <s v="IIST BCI Dataset-14: Male and Female EEG Dataset for Odia Vowels and Consonants"/>
        <s v="A Dual-Validation Framework for Temporal Robustness Assessment in Brain-Computer Interfaces for Motor Imagery"/>
        <s v="Electroencephalogram-based analysis of attention in void and solid architectural spaces"/>
        <s v="My Pillow Knows My Sleep: Sleep Monitoring with Computational Fabrics in the Pillowcase"/>
        <s v="Acoustically activatable liposomes as a translational nanotechnology for site-targeted drug delivery and noninvasive neuromodulation"/>
        <s v="Towards subject-centered co-adaptive brain-computer interfaces based on backward optimal transport"/>
        <s v="An affordable solution for investigating zebra finch intracranial EEG signals V.3 "/>
        <s v="Development and Analysis of an Exoskeleton for Upper Limb Elbow Joint Rehabilitation Using EEG Signals"/>
        <s v="Attention-Enhanced sEMG-EEG Fusion Network for Continuous Joint Angle Estimation in Home-Based Rehabilitation"/>
        <s v="Classifying Electroencephalogram (EEG) Signals via Brain Activity Mapping to Distinguish Identified vs Unidentified Information"/>
        <s v="An AI‐Enabled Cargo Ship Monitoring System Based on Ball‐Joint Tandem Array Triboelectric Nanogenerators"/>
        <s v="Real-Time Mobile EEG Hyperscanning: A Precise and Accessible Platform for Social Brain-Computer Interfaces"/>
        <s v="Alleviating Chronic Stress in University Students: An EEG Analysis of Binaural Beat Therapy"/>
        <s v="Memory Training in Dementia: A VR-BCI Prototype with N-Back and Brainwave Analysis"/>
        <s v="CognitiveArm: Enabling Real-Time EEG-Controlled Prosthetic Arm Using Embodied Machine Learning"/>
        <s v="Post-Stroke Upper and Lower-Limb Rehabilitation Through BrainComputer Interface, Robotic Devices and Transcranial Alternating Current &amp;amp; Functional Electrical Stimulations"/>
        <s v="IIST BCI Dataset-13: A BCI Dataset for Emotion Detection for Human Space Missions"/>
        <s v="Improved Automatic Deep Model for Automatic Detection of Movement Intention from EEG Signals"/>
        <s v="A Stress Level Monitoring System for Rescue Teams During Search and Rescue Operations Based on Electroencephalography"/>
        <s v="BUZZ-PR: Wearable Neuroadaptive System for Enhancing Astronaut Health in Long-Duration Missions"/>
        <s v="A Robust EEG Brain-Computer Interface Approach for Decoding Hand and Foot Motor Imagery"/>
        <s v="Mental Readiness and Fatigue: Extended Perspectives on Cognitive Functioning and Flow Experiences at Work"/>
        <s v="Analyze EEG and IMU Signals Base on Machine Learning to Predict Patients with Possible Depression"/>
        <s v="A comprehensive approach to proactive performance assessment in safety-critical industries through EEG monitoring and advanced analysis"/>
        <s v="Impact of yoga asanas on primary dysmenorrhea-EEG band power analysis and deep learning based classification"/>
        <s v="Explainable AI in EEG Waves Based Classification for Early Identification in Autism"/>
        <s v="Optimising Continuous Control of Real-Time Brain-Computer Interfaces Through Trial Length and Feedback Update Interval Selection"/>
        <s v="Rehabilitation of Chronic Stroke Using Neurofeedback, Functional Electrical Stimulation and Cerebrospinal Direct Current Stimulation"/>
        <s v="Frequency-Specific Neural Response and Cross-Correlation Analysis of Envelope&#10;Following Responses to Native Speech and Music Using Multichannel EEG Signals: A&#10;Case Study"/>
        <s v="The cartilage-generated bioelectric potentials induced by dynamic joint movement; an exploratory study"/>
        <s v="Auditory Phantom Perceptions (Tinnitus) and Neurofeedback Training ‘In the Wild’: A Feasibility Study on Home Treatment"/>
        <s v="Motor Imagery EEG Classification with Real-World and EEG-GAN-Generated Data"/>
        <s v="Symbiotic energy-sensing wind generator enabled AI for smart roads"/>
        <s v="Validating the оpenBCI Nodes through EEG-based BCI Application for Smart Home Automation Control"/>
        <s v="ConPPMF: Construction Datasets for Privacy-Preserving Mental Fatigue"/>
        <s v="Task-state EEG feature extraction for spatial cognition analysis: a power spectral density and permutation conditional mutual information approach"/>
        <s v="An upper limb orthosis for people neurological limitations controlled via brain-computer interface: a crossover-controlled trial and development of a prototype"/>
        <s v="Electrophysiological Sensing with Graphene Electronic Tattoos for Saline and Underwater Environments"/>
        <s v="IIST BCI Dataset-12 : A BCI Dataset for Telugu Vocal and Subvocal Commands with Dialect Variation for Wheelchair Control"/>
        <s v="earEOG via Periauricular Electrodes to Facilitate Eye Tracking in a Natural Headphone Form Factor"/>
        <s v="MSFHNet: a hybrid deep learning network for multi-scale spatiotemporal feature extraction of spatial cognitive EEG signals in BCI-VR systems"/>
        <s v="Innovative Spaces with Advanced Technologies such as Research Activity Simulators for Engineering Education"/>
        <s v="A Multi-operator Study of Collaborative Communication During Cognitive Interaction"/>
        <s v="Effect of inaudible 40 Hz binaural beats on attention"/>
        <s v="IIST BCI Dataset-11: Male and Female EEG Dataset for Malayalam Vowels and Consonants"/>
        <s v="A Deep Neural Model for Embedded Brain-Computer Interfaces Controlled by EEG Signals"/>
        <s v="An intelligent traffic anomaly detection system based on self-supervised learning and self-powered hybrid nano-sensor"/>
        <s v="FreeBCI: Android application for portable EEG signal acquisition system"/>
        <s v="Development of a Brain Controlled Assistive Feeding System with OpenBCI"/>
        <s v="Towards a Complete System for Upper- and Lower-Limb Rehabilitation for Post-stroke Patients Based on Brain-Computer Interface and Robotic Devices"/>
        <s v="Real-Time EEG-Based BCI for Self-Paced Motor Imagery and Motor Execution Using Functional Neural Networks"/>
        <s v="Ear Electrocardiography With Soft Graphene Textiles for Hearable Applications"/>
        <s v="Artificially Weaved Textile‐like Surface Micromachined Graphene‐Polymer Flexible Bioelectrodes"/>
        <s v="Wearable armband with a floating mobile exploratory electrode at fingertip for on-demand touch-and-measure multilead electrocardiography"/>
        <s v="A wearable driver gesture recognition system enabled AI application in virtual reality interaction for smart traffic"/>
        <s v="IIST BCI Dataset-10 for Telugu Vowels and Consonants"/>
        <s v="Assessing the utility of brain and gut cognitive electrophysiology for early prediction of treatment outcome in major depressive disorder"/>
        <s v="Wrist Motion Regression Using EMG Attention Feature Fusion Algorithm"/>
        <s v="Closed-Loop Mu-Rhythm Brain–Computer Interface for Neuroadaptive Control of the Chrome Dinosaur Game"/>
        <s v="IIST BCI Dataset-9: EEG Dataset For Malayalam Vocal and Subvocal Commands with Dialect Variation For Wheelchair Control"/>
        <s v="An Interventional Brain-Computer Interface for Long-Term EEG Collection and Motion Classification of a Quadruped Mammal"/>
        <s v="Design, Manufacturing, and Electroencephalography of the Chameleon-1 Helmet: Technological Innovation Applied for Diverse Neurological Therapies"/>
        <s v="Evaluating Eye Tracking and Electroencephalography as Indicator for Selective Exposure During Online News Reading"/>
        <s v="Decoding EEG-Based Motor Imagery of Hand Grasp Types for an Amputee Due to Birth Trauma"/>
        <s v="Motorised bionic arms using SSVEP with enhanced hand gesture accuracy and reliability"/>
        <s v="Instrumenting a Virtual Reality Headset to Monitor Changes in Electroencephalograms of PTSD Patients During Multisensory Immersion"/>
        <s v="Enhancing Mental Well-Being Through OpenBCI: An Intelligent Approach to Stress Measurement"/>
        <s v="Insights Into the Effect of General Attentional State, Coarticulation, and Primed Speech Rate in Phoneme Production Time"/>
        <s v="Hybrid Optimized Feature Selection and Deep Learning Method for Emotion Recognition That Uses EEG Data"/>
        <s v="Cognitive Load Assessment Through EEG: A Dataset from Arithmetic and Stroop Tasks."/>
        <s v="Evaluating the potential of using EEG based BCI method in user experience research"/>
        <s v="Radiofrequency evoked potentials: A new window into the nociceptive system"/>
        <s v="Portable and Self-Powered Sensing AI-Enabled Mask for Emotional Recognition in Virtual Reality"/>
        <s v="Passenger physiology in self-driving vehicles during unexpected events"/>
        <s v="A self-powered sensing wearable watch application in ship driver metaverse interaction"/>
        <s v="Robotic head-neck brace control through EEG signals and BCI sensors using the Savitzky-Golay filter"/>
        <s v="Flexible and Washable Poly(3,4-ethylenedioxythiophene): Polystyrene Sulfonate/Polyvinyl Alcohol Fabric Dry Electrode for Long-Term Electroencephalography Signals Measurement"/>
        <s v="Advancing Wearable BCI: Headphone EEG for Cognitive Load Detection in Lab and Field"/>
        <s v="A Low-Cost Lightweight Prosthetic Arm with Soft Gripping Fingers Controlled Using CNN"/>
        <s v="Multi-Sensory Human-Machine Interfaces for Wheelchair Operation and Posture Monitoring"/>
        <s v="Hybrid FES-Robotic Rehabilitation System for Lower Limb Neurorehabilitation: Design and evaluation"/>
        <s v="Comparative Analysis of Brain Waves in Children with Autism and Typical Development During Recreational Activities"/>
        <s v="Parkin sense: Multi modal monitoring of Parkinson's disease using open BCI"/>
        <s v="Response coupling with an auxiliary neural signal for enhancing brain signal detection"/>
        <s v="EEG Data Classification of Odia Words Using ML and DL for BCI Applications"/>
        <s v="PhysioML: A Web-Based Tool for Machine Learning Education with Real-Time Physiological Data"/>
        <s v="Acupuncture State Detection at Zusanli (ST-36) Based on Scalp EEG and Transformer"/>
        <s v="Body Motion Noise Reduction of Silent Speech Recognition Using Facial Surface EMG&lt;sup&gt;*&lt;/sup&gt;"/>
        <s v="A neural signature of error processing in motor learning measured as error-related negativity"/>
        <s v="Loka: A Cross-Platform Virtual Reality Streaming Framework for the Metaverse"/>
        <s v="EEG Signals Classification Using Novel Acquisition Protocol for Lie Detection System"/>
        <s v="Exploring Flow in Real-World Knowledge Work Using Discreet cEEGrid Sensors"/>
        <s v="Silent Speech Interfaces: Non-Invasive Neuromuscular Signal Processing for Assistive Communication"/>
        <s v="Feature based cognitive analysis in sports and non-sports individuals using real-time EEG"/>
        <s v="Flickering white light stimulation at 60 Hz induces strong, widespread neural entrainment and synchrony in healthy subjects"/>
        <s v="Neurofeedback-driven Emotional Regulation Training in a virtual reality environment: a machine learning approach using OpenBCI"/>
        <s v="Brain-Controlled Wheelchair Navigation Using Visual Perception in Simulated Indoor Environments"/>
        <s v="Remote Epilepsy Monitoring: Signal Quality and Reliability Comparative Analysis"/>
        <s v="A hybrid vibration energy harvester based on flexible connection for train monitoring"/>
        <s v="Empathetic Conversational Agents: Utilizing Neural and Physiological Signals for Enhanced Empathetic Interactions"/>
        <s v="LGL-BCI: A Motor-Imagery-Based Brain–Computer Interface with&#10;Geometric Learning"/>
        <s v="Unveiling the EEG signatures of extrasensory perception during spiritual experiences: A single-case study with a well-renowned channeler"/>
        <s v="SSVEP Brain-Computer Interface Performance Examination Based on the&#10;Color and Shape Stimulus Configuration"/>
        <s v="A High-Level Adaptation Toolkit for Unified Integration of Software Systems with Neural Interfaces"/>
        <s v="Development of a digital memory and learning test for elderly individuals"/>
        <s v="A multimodal neuroimaging study of cerebrovascular regulation: protocols and insights of combining electroencephalography, functional near-infrared spectroscopy, transcranial Doppler ultrasound, and physiological parameters"/>
        <s v="An fMRI study on the generalization of motor learning after brain actuated supernumerary robot training"/>
        <s v="Speech Perception and Speech Attention: A Case Study Based on Event-Related Potential Using the OpenBCI System"/>
        <s v="Accessible Soft Electronics with Silver-Gelatin Conductive Hydrogel Composite"/>
        <s v="Facial Haptic Feedback for Robotic Prostheses"/>
        <s v="Fabric Sensing of Intrinsic Hand Muscle Activity"/>
        <s v="Changes in Brain Oscillatory Dynamics in Elderly Adults as a Consequence of Natural Aging"/>
        <s v="Classification of opening/closing hand motor imagery induced by left and right robotic gloves through EEG signals"/>
        <s v="Investigation of Color and Shape Stimulus Configuration to SSVEP Brain-Computer Interface Performance"/>
        <s v="Textile electronics for ubiquitous health monitoring"/>
        <s v="Simultaneous Dual-Task and Brain Activity Evaluation"/>
        <s v="BCI based Ambient Assisted Living (AAL) of Lock-in-Syndrome (LIS)"/>
        <s v="Brain–Computer Interfaces for Mobility Assistance: A Comparative Analysis of EEG-Based Classification Models for Brain-Controlled Wheelchairs"/>
        <s v="BrainView: A Novel Platform for Acquisition, Processing, and Warehouse of EEG Signals from a Portable Device"/>
        <s v="Real-time Detection of Deep Sleep and Intervention"/>
        <s v="Robust Feature Engineering Techniques for Designing Efficient Motor Imagery-Based BCI-Systems"/>
        <s v="Democratizing EEG: Embedding Electroencephalography in a Head-Mounted Display for Ubiquitous Brain-Computer Interfacing"/>
        <s v="Biosensor-Instrumented xR Headsets: A Double-Edged Sword for User Identity and Privacy Management in the Metaverse"/>
        <s v="Advancing EEG-Based Emotion Recognition: Multimodal Techniques, Channel Optimization, and Insights into Subjective Emotion Perception"/>
        <s v="Evaluating the Feasibility of Affordable Auditory BCIs for Communication in ALS Patients"/>
        <s v="Spatial and temporal patterns of brain neural activity mediating human thermal sensations"/>
        <s v="Classification of EEG Signals for Telugu Vowels"/>
        <s v="Machine Learning-Based Classification of Marathi Words for Brain-Computer Interface Applications"/>
        <s v="Hybrid Functional Near-Infrared Spectroscopy System and Electromyography for Prosthetic Knee Control"/>
        <s v="Efficient Personalized EEG-Based Action Recognition: Unveiling Minimal Training Requirements"/>
        <s v="Hybrid Significant Stroke Feature: A Novel Stroke Feature Analysis Approach for Stroke Severity Classification of EEG Signals Based on Time Domain, Frequency Domain, and Signal Decomposition Domain."/>
        <s v="Sensors for stress detection: first analysis"/>
        <s v="Enhancement of impact synchronous modal analysis with brain-computer interface"/>
        <s v="Design of a Virtual Chatbot Platform for Basic Needs Communication Through Imagined Speech BCI"/>
        <s v="EEG-Based Multi-Class Classification for Recognizing Pedaling Velocities: A Promising Approach for Brain-Computer Interface-Enhanced Lower-Limb Robotic Rehabilitation"/>
        <s v="MindArm: Mechanized Intelligent Non-Invasive Neuro-Driven Prosthetic Arm System"/>
        <s v="An IoT-enabled EEG headphones with customized music for chronic tinnitus assessment and symptom management"/>
        <s v="Gustatory interface for operative assessment and taste decoding in patients with tongue cancer"/>
        <s v="Smart home based on BCI for disabled people: A state-of-the-art review"/>
        <s v="Deep Learning Approach for EEG Classification in Lower-Limb Movement Phases: Towards Enhanced Brain-Computer Interface Control"/>
        <s v="Simulated Eyeblink Artifact Removal with ICA: Effect of Measurement Uncertainty"/>
        <s v="Developing an SSVEP-Based BCI System for Multi-Objective Control via IoT Integration"/>
        <s v="EEG Based Brain-Computer Interface for Inner Speech Classification"/>
        <s v="Self-Paced Brain-Computer Interface on Sensorimotor Rhythms for Controlling Virtual Objects&#10;"/>
        <s v="Development of a hand prosthesis controlled by electroencephalographic signals using Arduino and Mindflex technology"/>
        <s v="A shared robot control system combining augmented reality and motor imagery brain–computer interfaces with eye tracking"/>
        <s v="Squishy bioelectronic circuits"/>
        <s v="A Hierarchical Intelligent Rehabilitation Robotic System Based on MI-EEG"/>
        <s v="Virtual Embodiment: Revolutionizing Motor Imagery in VR-Enabled BCI with Digital Twins"/>
        <s v="Emotion Recognition Using EEG Signals through the Design of a Dry Electrode Based on the Combination of Type 2 Fuzzy Sets and Deep Convolutional Graph Networks"/>
        <s v="Wearable Driver Monitoring System"/>
        <s v="Image Generation using EEG data: A Contrastive Learning based Approach"/>
        <s v="EEG Brain Heatmap Visualization for Sweet and Sour Tasting"/>
        <s v="Identification, Localization and Classification of the Color VEP for Application in Color Science"/>
        <s v="Classification of Internal and External Distractions in an Educational VR Environment Using Multimodal Features"/>
        <s v="PDMS/CNT electrodes with bioamplifier for practical in-the-ear and conventional biosignal recordings"/>
        <s v="Analysis of Electroencephalogram Data Activity During Reading Using Scanning and Survey Question Read Recite Review Techniques"/>
        <s v="Children aged 5–13 years show adult-like disgust avoidance, but not proto-nausea"/>
        <s v="A Cost-Effective and Easy-to-Fabricate Conductive Velcro Dry Electrode for Durable and High-Performance Biopotential Acquisition"/>
        <s v="A Unied Contraction Characterization for the Identication of Spontaneous Onset of Labor in Term Nulliparous Women via Multi-Channel Electrohysterography and Tocodynamometer"/>
        <s v="Multiaccent EMG-to-Speech Optimized Transduction With PerFL and MAML Adaptations"/>
        <m/>
        <s v="An EEG Pattern Depicting the Attention of Customers While Viewing Video Advertisements"/>
        <s v="OpenEarable Suite: Open-Source Hardware to Sense 30+ Phenomena on the Ears"/>
        <s v="A Novel Complexity Algorithm for Quantification of Consciousness Levels"/>
        <s v="Neuromarketing Study of Purchase Decisions Using Advertising Videos Based on EEG Signal Analysis"/>
        <s v="Home Automation for Disabled Using Brain Computer Interface&#10;and Raspberry Pi"/>
        <s v="A Portable, Wireless and Low-cost Electroencephalogram Monitor using Raspberry Pi"/>
        <s v="Continuous Monitoring of Cerebral Blood Flow in Healthy Volunteers and Stroke&#10;Patients"/>
        <s v="Classification of electroencephalograms before or after applying transcutaneous electrical nerve stimulation therapy using fractional empirical mode decomposition"/>
        <s v="Customized Flexible Osteoid Electrode for Traumatic Brain Injury Induced Posttraumatic Epilepsy Monitoring"/>
        <s v="Predicting hand grasping orientation for prosthetic hand control using multimodal sensor data (EEG, EMG, and IMU) with machine learning approach "/>
        <s v="Reusable free-standing hydrogel electronic tattoo sensors with superior performance"/>
        <s v="Neuro-Haptic BCI Spark for TensorFlow Flying Avatars"/>
        <s v="Develop Robotic Head-Neck Brace Control through EEG Signals and BCI Sensors: Application of the Savitzky-Golay Filter&#10;"/>
        <s v="An SSVEP-Based Brain Computer Interface Prototype for Assisted Living"/>
        <s v="Brain-Controlled Robotic Arm System Using&#10;EEG Signal"/>
        <s v="Developing a tablet-based brain-computer interface and robotic prototype for upper limb rehabilitation"/>
        <s v="A novel methodology based on static visual stimuli and kinesthetic motor imagery for upper limb neurorehabilitation"/>
        <s v="EEG-Based Affective Responses to Immersion in a Virtual Forest"/>
        <s v="Decoding lower-limb kinematic parameters during pedaling tasks using deep learning approaches and EEG"/>
        <s v="Virtual Reality Brain-Computer Interfacing and the role of cognitive skills"/>
        <s v="Starfish tube feet inspired hydrogel electrode for durable underwater sEMG acquisition"/>
        <s v="Integrating Electroencephalography with Motophysic training: Assessing the shift in fitness and cognitive functions in elite youth soccer players"/>
        <s v="Human Attention Detection System using Deep learning and Brain Computer Interface"/>
        <s v="Reducing University Students’ Exam Anxiety via Mindfulness-Based Cognitive Therapy in VR with Real-Time EEG Neurofeedback"/>
        <s v="A Hybrid BCI based on SSVEP and Gaze Direction Recognition: Towards a Speller for Patients with Amyotrophic Lateral Sclerosis"/>
        <s v="Biomimetic bimodal haptic perception using triboelectric effect"/>
        <s v="Cybersickness Marker Prediction Using a Biosensors-Instrumented VR Headset: A Pilot Study"/>
        <s v="EEG Signals Preprocessing for BCI Systems Using Visual Evoked Potentials"/>
        <s v="A Highly Efficient EEG Motor Based Brain-ComputerInterface"/>
        <s v="Toward Understanding the Design of Brain-to-Brain Interfaces for Augmenting Inter-Brain Synchrony"/>
        <s v="Self-Supervised Contrastive Learning Using EEG Signals For Mental Stress Assessment"/>
        <s v="EXAMINATION OF EMOTIONAL BRAINWAVES"/>
        <s v="Joey: Supporting Kangaroo Mother Care with Computational Fabrics"/>
        <s v="EEG and Physiological Signals Dataset from Participants during Traditional and Partially Immersive Learning Experiences in Humanities."/>
        <s v="IIST BCI Dataset-6 for Selected Common Odia words"/>
        <s v="NeuroLimbAI: Enhancing Sensory Feedback in an Origami Inspired Prosthetic Arm with Electroencephalogram-Controlled Noninvasive Vibrotactile Haptic Feedback"/>
        <s v="The Effect of Virtual Reality Head-Mounted Display Stimulus in Sit-Stand Motor Imagery Training Paradigm"/>
        <s v="A high-performance general computer cursor control scheme based on a hybrid BCI combining motor imagery and eye-tracking"/>
        <s v="An Everyday Hat for Detection of Eye Blinks and Forehead Clenching"/>
        <s v="Smart nodding duck: A hybrid Halbach electromagnetic piezoelectric self-powered sensor for smart fisheries"/>
        <s v="Remote-Oriented Brain-Controlled Unmanned Aerial Vehicle for IoT"/>
        <s v="Multimodal Measurement of Cognitive Load in a Video Game Context: A Comparative Study Between Subjective and Objective Metrics"/>
        <s v="An affordable solution for investigating zebra finch intracranial EEG signals V.1 "/>
        <s v="Exploring BMI Recognition through Resting State, Free Imagination, and Visual Stimulation-Induced EEG"/>
        <s v="EEG and Physiological Signals Dataset from Participants during Traditional and Partially Immersive Learning Experiences in Humanities"/>
        <s v="Customizable Drawn on Skin Conductive Ink for Electrophysiology from Hirsute Skin"/>
        <s v="Effects of Brain Signal Preprocessing on Visual Object Stimulation"/>
        <s v="IIST BCI Dataset-5 for Malayalam Vowels and Consonants"/>
        <s v="Design of BCI-Based Exoskeleton System for Knee Rehabilitation "/>
        <s v="Influence of Temporal and Frequency Selective Patterns Combined with CSP Layers on Performance in Exoskeleton-Assisted Motor Imagery Tasks"/>
        <s v="Correlating Motion Artifacts in Wet and Dry Electrodes With Head Kinematics During Physical Activities in Ambulatory EEG Monitoring"/>
        <s v="FetchEEG: a hybrid approach combining feature extraction and temporal-channel joint attention for EEG-based emotion classification"/>
        <s v="Identifying Hand-based Input Preference Based on Wearable EEG"/>
        <s v="Development of a Novel Electrocardiography-based Metric and Device for Monitoring Changes in Cerebral Blood Flow in Stroke and Other Neurological Disorders"/>
        <s v="Do Weak Brain Signals Get Amplified When Strong Brain Signals are Evoked?"/>
        <s v="Fatigue Analysis in Assembly Line Workers Using Brain Computer Interface"/>
        <s v="IIST BCI Dataset-1 for Selected Common Malayalam Words"/>
        <s v="NeuroSense: A non-invasive and configurable somatosensory stimulator with OPENVIBE communication"/>
        <s v="EEG Analysis of Familiar and Unfamiliar Objects Using Wavelet Energy and Shannon Entropy"/>
        <s v="Effects of player–video game interaction on the mental effort of older adults with the use of electroencephalography and NASA-TLX"/>
        <s v="Automated ABR and MMN extraction using a customized headband for hearing screening"/>
        <s v="A Flexible EEG Acquisition Headband With High Reliability and High Signal-to-Noise Ratio"/>
        <s v="Classification of Left/Right Hand Movement from EEG Signal by Empirical Mode Decomposition with Ensemble of classifiers"/>
        <s v="Using EEG features of eye-blinking for the paralyzed patient"/>
        <s v="Unlocking Communication: Advancing Brain-Computer Interfaces for ALS Patients in Locked-In and Completely Locked-In States "/>
        <s v="Software for Speech Therapy Support Through PECS Oriented to Digital Learning Environments for Children with Moderate ASD "/>
        <s v="Real-time EEG-based emotion recognition for neurohumanities: perspectives from principal component analysis and tree-based algorithms"/>
        <s v="Modelling Cognitive Workload to Build Multimodal Voice&#10;Interaction in the Car "/>
        <s v="IIST BCI Dataset-2 for Selected Common Marathi Words"/>
        <s v="IOTeeth: Intra-Oral Teeth Sensing System for Dental Occlusal Diseases Recognition"/>
        <s v="Novel Insights into Elementary Girls' Experiences in Physiological Computing"/>
        <s v="CAEVR: Biosignals-Driven Context-Aware Empathy in Virtual Reality"/>
        <s v="Brain-Computer Interface for Lower-Limb Neurorehabilitation: From Signal Analysis to Practical Applications"/>
        <s v="Evaluation of an English language phoneme-based imagined speech brain computer interface with low-cost electroencephalography"/>
        <s v="Designing an Athletic Training Assistance System under Deep Learning Guided by Kinesiology Theory"/>
        <s v="Sponge Inspired Flexible, Antibacterial Aerogel Electrode with Long-Term High-Quality Electrophysiological Signal Recording for Human-Machine Interface"/>
        <s v="Human attention detection system using deep learning and brain–computer interface"/>
        <s v="REAL-TIME EEG-BASED EMOTION RECOGNITION MODEL USING PRINCIPAL COMPONENT ANALYSIS AND TREE-BASED MODELS FOR NEUROHUMANITIES"/>
        <s v="Fabrication of Breathable Multifunctional On-Skin Electronics Based on Tunable Track-Etched Membranes"/>
        <s v="Emotional State Measurement Trial (EMOPROEXE):a Protocol for Promoting Exercise in Adult and Children with Cerebral Palsy"/>
        <s v="New Nodes for Node‐RED Library within OpenBCI Category for EEG‐Based Brain‐Machine Interface Design and Integration in IoT"/>
        <s v="Application of EEG-based Machine Learning in Stock Trading-related Emotion Recognition "/>
        <s v="A Fusion Algorithm Based on a Constant Velocity Model for Improving the Measurement of Saccade Parameters with Electrooculography"/>
        <s v="A Novel Approach for Automatic Detection of Driver Fatigue Using EEG Signals Based on Graph Convolutional Networks"/>
        <s v="Posttraumatic growth EEG neuromarkers: translational neural comparisons with resilience and PTSD in trauma-exposed healthy adults"/>
        <s v="Wheelchair Control by Users’ Eye Movements Using Signals Acquired in OpenBCI"/>
        <s v="The Externalization Sensation in Binaural Listening: A Behavioral and ERP Study"/>
        <s v="AUTOMATED DETECTION OF ARTIFACT-CORRUPTED OR DISTRACTED ERP EPOCHS BY UNSUPERVISED MACHINE LEARNING ALGORITHM"/>
        <s v="Cognitive Training Based on EEG-Neurofeedback to Improve Working Memory: A Research Study on Healthy Volunteers with an Outlook on Preclinical Alzheimer’s Disease"/>
        <s v="Coherence Analysis of EEG Signal in Happy and Sad Emotions During Visual Stimulation"/>
        <s v="Human Emotion Detection with ECG and EEG Signals Using ML Techniques"/>
        <s v="Evaluation of Misclassification Matrix Method in Validation of an Assistive Device for Manual Wheelchair Propulsion"/>
        <s v="Initial Design of Wearable EEG Device for Epilepsy Patient Using Machine Learning and Mobile Application"/>
        <s v="Advancing biomedical engineering: Leveraging Hjorth features for electroencephalography signal analysis"/>
        <s v="Detecting Arm Movements from EEG-signal with Machine Learning"/>
        <s v="Mobile Gaming EMG-Based Brain Computer Interface"/>
        <s v="Brain Wearables: Validation Toolkit for Ear-Level EEG Sensors"/>
        <s v="Decode Brain Signal Into Thai Word Using EEG and L-SVM"/>
        <s v="Validation of cost-efficient EEG experimental setup for neural tracking in an auditory attention task"/>
        <s v="Mind to Motion: EEG-Based Classification of Motor Imagery and Actual Hand Movements Using LSTM Models"/>
        <s v="Design of a BCI-based fidget spinner for attention enhancement"/>
        <s v="Artificial intelligence driven pose detection from EEG-signals"/>
        <s v="Electromyogram Based Personal Recognition Using Attention Mechanism for&#10;IoT Security"/>
        <s v="Acute neuro-biochemical changes induced by nitrogen-tungsten co-doped titanium dioxide nanoparticles"/>
        <s v="A Novel Framework for the Assessment of the Impact of Affective UI Sounds in a Driving Situation Through Virtual Reality and Physiological Signals"/>
        <s v="Leveraging Wavelets and Deep CNN for Sleep Pattern Recognition in Road Safety: An EEG Study"/>
        <s v="Compressive sensing applied to SSVEP-based brain–computer interface in the cloud for online control of a virtual wheelchair"/>
        <s v="Noninvasive multichannel urodynamic system: Obtaining cutaneous electrical signals from the human urinary bladder"/>
        <s v="Sound externalization in dynamic binaural listening: A comparative behavioral and EEG study"/>
        <s v="Attention deficit disorder with hyperactivity: comparative analysis of executive functions between genres based on neurofeedback training"/>
        <s v="Evaluating an Elevated Signal-to-Noise Ratio in EEG Emotion Recognition"/>
        <s v="Correlation between spinal cord stimulation analgesia and cortical dynamics in pain management"/>
        <s v="Printable, adhesive, and self-healing dry epidermal electrodes based on PEDOT:PSS and polyurethane diol"/>
        <s v="Analysis of Cardiovascular and Cerebral Interactions in Response to Cognitive Stressors Stimulus&#10;"/>
        <s v="Respiratory Rate Estimation from Tracheal Sound Analysis Using a Mobile Application for Smartphones "/>
        <s v="Physiological measurements of passengers in selfdriving cars encountering unexpected road events"/>
        <s v="Mapping the Whole-Brain Response to Noninvasive Neuromodulation: from Rodents to Humans"/>
        <s v="An integrated BCI-VR system design with game for motor imagery"/>
        <s v="Towards instrumental quality assessment of multisensory immersive experiences using a biosensor-equipped head-mounted display"/>
        <s v="LGL-BCI: A Lightweight Geometric Learning Framework for Motor Imagery-Based Brain-Computer Interfaces"/>
        <s v="TDLNet: Transfer Data Learning Network for Cross-Subject Classification Based on Multiclass Upper Limb Motor Imagery EEG"/>
        <s v="Session to session transfer learning using regularized four parameters common spatial pattern method"/>
        <s v="EEG-based stress identification and classification using deep learning"/>
        <s v="Comparing Performance of Dry and Gel EEG Electrodes in VR using MI Paradigms"/>
        <s v="Effects of Electrode Position Targeting in Noninvasive Electromyography Technologies for Finger and Hand Movement Prediction"/>
        <s v="Novel BCI paradigm for ALS pa5ents based on EEG and Pupillary Accommodative Response"/>
        <s v="Exploring the aperiodic nature of parasympathetic activity during sleep in idiopathic gastroparesis"/>
        <s v="The Effect of Muscle Artifact Reduction Methods on Few-channel SSVEPs during Head Movements"/>
        <s v="Optical EUS Activation to Relax Sensitized Micturition Response"/>
        <s v="Analysis of Attraction Response on Product Packaging Based on EEG Signal: (A preliminary study of Neuromarketing on Packaging)"/>
        <s v="Comparative Analysis of EEG-based Emotion Recognition between Male and Female Participants Using Hjorth Parameter"/>
        <s v="MILimbEEG: A dataset of EEG signals related to upper and lower limb execution of motor and motor imagery tasks"/>
        <s v="Hook Fabric Electroencephalography Electrode for Brain&#10;Activity Measurement without Shaving the Head"/>
        <s v="A design and evaluation of wearable p300 brain-computer interface system based on Hololens"/>
        <s v="Examination of effectiveness of kinaesthetic haptic feedback for motor imagery-based brain-computer interface training"/>
        <s v="Brain-computer interface prototype to support upper limb rehabilitation processes in the human body"/>
        <s v="A Deep Neural Network for Working Memory Load Prediction from EEG Ensemble Empirical Mode Decomposition"/>
        <s v="Detection of Pedaling Tasks through EEG Using Extreme Learning Machine for Lower-Limb Rehabilitation Brain-Computer Interfaces"/>
        <s v="Soft, Conductive, and Anti-Freezing Conducting Polymer&#10;Organohydrogels"/>
        <s v="Emotion Recognition with Asymmetry Features of EEG Signals"/>
        <s v="Prediction of human performance using EEG data to improve safety and productivity in the mines"/>
        <s v="Investigation of Human Brain Waves (EEG) to Recognize Familiar and Unfamiliar Objects Based on Power Spectral Density Features"/>
        <s v="An investigation on mental stress detection from various physiological signals"/>
        <s v="Design and fabrication of a microelectrode array for studying epileptiform discharges from rodents"/>
        <s v="Fusion of EEG, EMG, and ECG Signals for Accurate Recognition of Pain, Happiness, and Disgust"/>
        <s v="NeuroGen: EEG and Near-Infrared Light Stimulation Control System "/>
        <s v="TYTH-Typing On Your Teeth: Tongue-Teeth Localization for Human-Computer Interface"/>
        <s v="Neural Memory Decoding with EEG Data and Representation Learning"/>
        <s v="Visual Flow-based Programming Plugin for Brain–Computer&#10;Interface in Computer-Aided Design"/>
        <s v="Investigating the Relationship Between Memorable TV Advertisement and Consumers’ Audiovisual Emotions Using Neuromarketing Approach"/>
        <s v="EEG Based Thought-to-Text Translation Via Deep Learning"/>
        <s v="The robot eyes don't have it. The presence of eyes on collaborative robots yields marginally higher user trust but lower performance"/>
        <s v="Brain Waves Classification Using a Single-Channel Dry EEG Headset: An Application for Controlling an Intelligent Wheelchair"/>
        <s v=" Integrative Multimodal Communication for ALS Patients Using iPad "/>
        <s v="The Inuence of Varying Sound Pitch on the Brain’s Electrical Activities of Young Nigerian Adults"/>
        <s v="A Stretchable, Breathable, And Self-Adhesive Electronic Skin with Multimodal Sensing Capabilities for Human-Centered Healthcare"/>
        <s v="EYE BLINK IDENTIFICATION AND REMOVAL FROM SINGLE-CHANNEL EEG USING EMD WITH ENERGY THRESHOLD AND ADAPTIVE FILTER"/>
        <s v="Control of Unmanned Vehicles in Smart Cities Using a Multi-Modal Brain–Computer Interface"/>
        <s v="Capturing synchronization with complexity measure of ordinal pattern transition network constructed by crossplot"/>
        <s v="Mu Rhythm Desynchronization while Observing Rubber Hand Movement in the Mirror: The Interaction of Body Representation with Visuo-Tactile Stimulation"/>
        <s v="INVESTIGATING THE PROCESS, DESIGN OUTPUTS AND NEUROCOGNITIVE DIFFERENCES BETWEEN PROTOTYPING ACTIVITIES WITH PHYSICAL AND DIGITAL LEGO "/>
        <s v="The Learning Curve of People with Complete Spinal Cord Injury Using a NESs-FESs Interface in the Sitting Position: Pilot Study"/>
        <s v="Assessment of Mental Workloads using Differential Dermal Potentials Recorded from in and around Ear"/>
        <s v="Deep Learning EEG-based Motor Imagery System for Robot Control using 3D Printed Headset and Electrodes"/>
        <s v="Classification of silent speech words considering walking using VMD applied facial EMG"/>
        <s v="Design and Test of Spatial Cognitive Training and Evaluation System based on Virtual Reality Head-mounted Display with EEG Recording"/>
        <s v="Hybrid Brain–Computer Interface System Using Auditory Stimulation and Speech Imagination Paradigms for Assistive Technology"/>
        <s v="EEG Time-Frequency Domain Analysis for Describing Healthy Subjects and Stroke Patients during Stroke Rehabilitation Motion Tasks"/>
        <s v="Flexible Microelectrode Array for Chronic Electrocorticography Recording under Different Neurophysiological Conditions"/>
        <s v="Emotion-Driven Interactive Storytelling: Let Me Tell You How to Feel"/>
        <s v="Multimodal Social Data Analytics on the Design and Implementation&#10;of an EEG-Mechatronic System Interface"/>
        <s v="Quantitative and Qualitative Representation of Introductory and Advanced EEG Concepts: An Exploration of Different EEG Setups"/>
        <s v="EEG-Based Brain-Computer Interactions in Immersive Virtual and Augmented Reality: A Systematic Review"/>
        <s v="Prediction of Gait Intention by Utilizing Pre-Movement EEG Signals: A Pilot Study"/>
        <s v="Real time eye-blinks detection from dry and portable EEG headset using machine learning"/>
        <s v="A Systematic Comparison of High-End and Low-Cost EEG Amplifiers for Concealed, Around-the-Ear EEG Recordings"/>
        <s v="A First Look at the Security of EEG-based Systems and Intelligent Algorithms under Physical Signal Injections"/>
        <s v="Detecting Distracted Students in an Educational VR Environment Utilizing Machine Learning on EEG and Eye-Gaze Data"/>
        <s v="Brainwave Sensor based Smart Home Controller for Paralysed People"/>
        <s v="Design and Development of Implantable Electrode Arrays for Recording Signals from Rat’s Brain"/>
        <s v="EMG–based 3D hand gesture prediction using transformer–encoder classification"/>
        <s v="EEG Control of a Robotic Wheelchair"/>
        <s v="Tutorial on TensorFlow Spark for BCI Augmented Robotics"/>
        <s v="Implementation of BCI based semi-automated impact device for performing Impact Synchronous Modal Analysis"/>
        <s v="Continuous contractile force and electrical signal recordings of 3D cardiac tissue utilizing conductive hydrogel pillars on a chip"/>
        <s v="Replicability and Transparency for the Creation of Public Human User Video Game Datasets"/>
        <s v="A Novel OpenBCI Framework for EEG-Based Neurophysiological Experiments"/>
        <s v="Combining survey-based and neuroscience measurements in customer acceptance of self-driving technology"/>
        <s v="A self-healing electrically conductive organogel composite"/>
        <s v="An improved model for the use of facial stimulation in hybrid SSVEP+P300 braincomputer interfaces "/>
        <s v="Electrocardiogram Analysis of Hyperlipidemia-Induced Wistar Rats using Wireless Mice Electrocardiogram"/>
        <s v="Cognitive training, but not EEG-neurofeedback, improves working memory in healthy volunteers"/>
        <s v="Assessment of a 16-Channel Ambulatory Dry Electrode EEG for Remote Monitoring"/>
        <s v="Reference Bank Multi-Feature Extraction for EEG-Based Concentration Discrimination"/>
        <s v="Control of a Production Manipulator with the Use of BCI in Conjunction with an Industrial PLC"/>
        <s v="Brainwave-based authentication using features fusion"/>
        <s v="MartMi-BCI: A matlab-based real-time motor imagery brain-computer interface platform"/>
        <s v="Confused or not: decoding brain activity and recognizing confusion in reasoning learning using EEG"/>
        <s v="Brain-computer interfacing for flexion and extension of bio-inspired robot fingers"/>
        <s v="Investigation of Thermal Perception and Emotional Response inAugmented Reality using Digital Biomarkers: A Pilot Study"/>
        <s v="Lightweight Bioinspired Exoskeleton for Wrist Rehabilitation Powered by Twisted and Coiled Artificial Muscles"/>
        <s v="Continuous non-invasive estimates of cerebral blood flow using electrocardiography signals: a feasibility study"/>
        <s v="AD8232 to Biopotentials Sensors: Open Source Project and Benchmark"/>
        <s v="Loop Fabric EEG Textrode for Brain Activity Monitoring"/>
        <s v="Effects of breathing pathway and musical features on the processing of music induced emotions"/>
        <s v="Knitted ECG electrodes in relaxed fitting garments"/>
        <s v="Exploring students’ emotional state during a test-related task using wearable electroencephalogram "/>
        <s v="Advanced Modeling and Signal Processing Methods in Brain–Computer Interfaces Based on a Vector of Cyclic Rhythmically Connected Random Processes"/>
        <s v="Single-arm diagnostic electrocardiography with printed graphene on wearable textiles"/>
        <s v="Error-related Potential Variability: Exploring the Effects on Classification and Transferability"/>
        <s v="Cognitive Improvement Estimation using EEG Imaging after tDCS Therapy"/>
        <s v="TASK PERFORMANCE AND PERCEPTION OF NOISE UNDER DIFFERENT OFFICE NOISE CONDITIONS"/>
        <s v="Supervised Machine Learning Applied to Non-Invasive EMG Signal Classification for an Anthropomorphic Robotic Hand"/>
        <s v="A comprehensive system for the acquisition of EMG signals and muscle force in lower limb"/>
        <s v="Adaptive classification helps hybrid visual brain computer interface systems handle non‐stationary cortical signals"/>
        <s v="EMG-based BCI for PiCar Mobilization"/>
        <s v="Developing brain-computer music interfaces for meditation"/>
        <s v="Virtual accident curb risk habituation in workers by restoring sensory responses to real-world warning"/>
        <s v="Brainwaves Analysis Using Electroencephalogram (EEG) in Nursing Mothers for Relaxation Conditions"/>
        <s v="MoSe2/PVA-based wearable multi-functional platform for pulse rate monitoring, skin hydration sensor, and human gesture recognition utilizing electrophysiological signals"/>
        <s v="HANDLINK: A Dexterous Robotic Hand Exoskeleton controlled by Motor Imagery "/>
        <s v="Comparison of the representational ability in individual difference analysis using 2-D time-series image and time-series feature patterns"/>
        <s v="Decoding Imagined Speech of Daily Use Words from EEG Signals Using Binary Classification"/>
        <s v="Dynamic task reallocation in human-robot collaborative workshop based on online biotic fatigue detection"/>
        <s v="Monitoring Cognitive Load with 3D-Printed EEG Headphones"/>
        <s v="Emotion Recognition Implementation with Multimodalities of Face, Voice and EEG"/>
        <s v="Stretchable Textile Bands for Ambulatory Electrocardiogram and Oximetry"/>
        <s v="Smart Wheelchairs : A Review on Control Methods"/>
        <s v="Design, Development and Validation of a Portable Visual P300 Event-Related Potential Extraction System"/>
        <s v="Time and Frequency Domain Feature Selection Using Mutual Information for EEG-based Emotion Recognition"/>
        <s v="BCI-based EEG Signal Processing and Application"/>
        <s v="Detecting Internal Distraction in an Educational VR Environment Using EEG Data"/>
        <s v="Alpha band neurofeedback training based on a portable device improves working memory performance of young people"/>
        <s v="The evolution of AI approaches for motor imagery EEG-based BCIs"/>
        <s v="Cognitive Workload Assessment of Aircraft Pilots"/>
        <s v="An Online BCI System Based in SSVEPs to Control IoT Devices"/>
        <s v="EEG Brain-Computer Interfaces for Internet of Everything (IoE)"/>
        <s v="A flexible implantable microelectrode array for recording electrocorticography signals from rodents"/>
        <s v="An Electric Wheelchair Manipulating System Using SSVEP-Based BCI System"/>
        <s v="Mental Flow Estimation Through Wearable EEG"/>
        <s v="Blinking characterization for each eye from EEG analysis using wavelets"/>
        <s v="A simplified design of a cEEGrid ear-electrode adapter for the OpenBCI biosensing platform"/>
        <s v="Mordo: Silent Command Recognition Through Lightweight Around-Ear Biosensors"/>
        <s v="Overview: Digital Voicing of Silent Speech "/>
        <s v="Investigating the short-term cognitive abilities under local strong thermal radiation through EEG measurement"/>
        <s v="Analysis Of EEG Signals Using Open BCI To Predict The Stress Level"/>
        <s v="Automated Detection of ERP artifacts of auditory oddball paradigm by Unsupervised Machine Learning Algorithm"/>
        <s v="Facial Gesture Recognition for Drone Control"/>
        <s v="Analysis of motor imagery data from EEG device to move prosthetic hands by using deep learning classification"/>
        <s v="Wearable Epileptic Seizure Prediction System Based on Machine Learning Techniques Using ECG, PPG and EEG Signals"/>
        <s v="A CNN-based modular classification scheme for motor imagery using a novel EEG sampling protocol suitable for IoT healthcare systems"/>
        <s v="VOLUNTARY CONTROL OF BREATHING ACCORDING TO THE BREATHING PATTERN DURING LISTENING TO MUSIC AND NON- CONTACT MEASUREMENT OF HEART RATE AND RESPIRATION"/>
        <s v="Artificial tactile perception smart finger for material identification based on triboelectric sensing"/>
        <s v="Brain–Computer Interface and Hand-Guiding Control in a Human–Robot Collaborative Assembly Task"/>
        <s v="Wearable Exoskeleton System for Energy Harvesting and Angle Sensing Based on a Piezoelectric Cantilever Generator Array"/>
        <s v="Real Time Classification for Robotic Arm Control Based Electromyographic Signal"/>
        <s v="Application of dry EEG electrodes on low-cost SSVEP-based BCI for robot navigation"/>
        <s v="NeuroGen: EEG AND Near-Infrared Light Stimulation Device"/>
        <s v="Using Facial Micro-Expressions in Combination With EEG and Physiological Signals for Emotion Recognition"/>
        <s v="Novel Computation for Fetal Electrocardiogram Extraction"/>
        <s v="Statistical Analysis Of EEG Data For Attention Deficit Hyperactivity Disorder"/>
        <s v="The effect of positive extrinsic distraction on the temporal dynamics of emotional response to aversive stimuli"/>
        <s v="Manual 3D Control of an Assistive Robotic Manipulator Using Alpha Rhythms and an Auditory Menu: A Proof-of-Concept"/>
        <s v="A Human-Computer Interface for Hands-Free Musical Accompaniment"/>
        <s v="Minimally Invasive Clinical Monitoring and Data Transference in Cardiac Patients"/>
        <s v="EMG-controlled hand exoskeleton for assisted bilateral rehabilitation"/>
        <s v="Integrated Exertion – Understanding the Design of Human–Computer Integration in an Exertion Context"/>
        <s v="Driver vigilance detection for high-speed rail using fusion of multiple physiological signals and deep learning"/>
        <s v="Using Brain -Computer Interface to evaluate the User eXperience in interactive systems"/>
        <s v="3D Convolutional Neural Networks on an EEG-Based Motor Imagery Dataset"/>
        <s v="A motor imagery vs. rest dataset with low-cost consumer grade EEG hardware"/>
        <s v="Impact of Visual Game-Like Features on Cognitive Performance in a Virtual Reality Working Memory Task: Within-Subjects Experiment"/>
        <s v="The Mind Commands You: Combining Brain-Computer Interactions with Augmented Reality to Control Internet of Things (IoT) tools, and Robotic Platforms"/>
        <s v="Prediction of Gait Intention from Pre-movement EEG Signals for Vehicle-to-Pedestrian (V2P) Communication Modeling"/>
        <s v="Drone Control Using Electroencephalogram (EEG) Signals"/>
        <s v="Self-powered gesture recognition wristband enabled by machine learning for full keyboard and multi-command input&#10;"/>
        <s v="Relationship between Subjective and Biological Responses to Comfortable and Uncomfortable Sounds"/>
        <s v="System Architecture for Brain-Computer Interface based on Machine Learning and Internet of Things"/>
        <s v="Validation of Continuous Monitoring System for Epileptic Users in Outpatient Settings"/>
        <s v="The Butterfly Effect: Novel Opportunities for Steady-State Visually-Evoked Potential Stimuli in Virtual Reality"/>
        <s v="Emotion Recognition in Conversations Using Brain and Physiological Signals"/>
        <s v="Multichannel Transcranial Acoustoelectric Brain Imaging in a Human Head Model"/>
        <s v="Motion prediction for the sensorimotor control of hand prostheses with a brain-machine interface using EEG"/>
        <s v="The Use of Time and Frequency Features in Finger Movements Based on Electromyogram Recording"/>
        <s v="Advancing towards Ubiquitous EEG, Correlation of In-Ear EEG with Forehead EEG"/>
        <s v="Changes in Electroencephalography Activity of Sensory Areas Linked to Car Sickness in Real Driving Conditions"/>
        <s v="Stretchable graded multichannel self-powered respiratory sensor inspired by shark gill"/>
        <s v="Design and Implementation of EEG-Based Smart Structure"/>
        <s v="Functional Reorganization After Four-Week Brain–Computer Interface-Controlled Supernumerary Robotic Finger Training: A Pilot Study of Longitudinal Resting-State fMRI"/>
        <s v="AI-based artistic representation of emotions from EEG signals: a discussion on fairness, inclusion, and aesthetics"/>
        <s v="Continuous estimation of emotional change using multimodal responses from remotely measured biological information"/>
        <s v="BCI based on pedal end-effector triggered through pedaling imagery to promote excitability over the feet motor area"/>
        <s v="The Recognition of Action Idea EEG with Deep Learning"/>
        <s v="Wireless Multi-sensor Physio-Motion Measurement and Synchronization System and Method for HRI Research"/>
        <s v="Brain Wave and Head Motion Controlled Music System"/>
        <s v="On-line recognition of emotions via electroencephalography"/>
        <s v="P300 Embedded Processing Based on Convolutional Neural Network for Ubiquitous Brain-Computer Interface"/>
        <s v="Development of a low-cost surface EMG acquisition system device for wearable applications"/>
        <s v="Development and implementation of a wearable system with ear-EEG for the monitoring of epileptic seizures"/>
        <s v="Design and fabrication of a myoelectric prosthesis for trans-radial amputees"/>
        <s v="Design of Low-Cost Steady State Visually Evoked Potential-Based Brain Computer Interface Using OpenBCI and Neuromore"/>
        <s v="Time Perception Changes During Open Monitoring but not Focused Attention Meditation: A Result of Attentional Scope Dilation"/>
        <s v="Left And Right Brain Balancing Application With EEG Neurofeedback System"/>
        <s v="Brainwave Assistive System for Paralyzed Individuals "/>
        <s v="Auditory evoked potential EEG-Biometric dataset"/>
        <s v="Miniaturized wireless gastric pacing via inductive power transfer with non-invasive monitoring using cutaneous Electrogastrography"/>
        <s v="Heart rate profiles and heart rate variability during scuba diving"/>
        <s v="Stimulus-induced narrow-band gamma oscillations in humans can be recorded using open-hardware low-cost EEG amplifier"/>
        <s v="MILimbEEG: An EEG Signals Dataset based on Upper and Lower Limb Task During the Execution of Motor and Motorimagery Tasks"/>
        <s v="ALIS: Learning Affective Causality Behind Daily Activities From a Wearable Life-Log System"/>
        <s v="Analysis of a Low-Cost EEG Monitoring System and Dry Electrodes toward Clinical Use in the Neonatal ICU"/>
        <s v="Comparing brain activity in virtual and non-virtual environments: A VR &amp; EEG study"/>
        <s v="Activity recognition using consumer-grade EEG device"/>
        <s v="Eye movement detection in military aeronautics using EOG"/>
        <s v="Breaching Subjects’ Thoughts Privacy: A Study with Visual Stimuli and Brain-Computer Interfaces"/>
        <s v="Analysis of EEG-Based Stroke Severity Groups Clustering using K-Means"/>
        <s v="EEG-Based Tool for Prediction of University Students’ Cognitive Performance in the Classroom"/>
        <s v="ExGSense: Toward Facial Gesture Sensing with a Sparse Near-Eye Sensor Array"/>
        <s v="Vehicle driver drowsiness detection method using wearable EEG based on convolution neural network"/>
        <s v="EEG Based Multitasking Assessment Using Simultaneous Spatiotemporal Stimulus"/>
        <s v="Connecting the Brains via Virtual Eyes : Eye-Gaze Directions and Inter-brain Synchrony in VR"/>
        <s v="Fabrication of Cost-Effective Prosthetic Arm Using Electroencephalography Signal"/>
        <s v="Impact of Water Temperature on Heart Rate Variability during Bathing"/>
        <s v="Electroencephalography as an Alternative for Evaluating User eXperience in Interactive Systems"/>
        <s v="The validity and reliability of an open source biosensing board to quantify heart rate variability"/>
        <s v="Real Time Electric Light Control using EOG Signals"/>
        <s v="Familiarity Detection from EEG Signals Using Wavelet Transform and LSTM"/>
        <s v="An Anxiety Phenomenonin Reading Scientific Articles in Indonesian and English: A Neurolinguistics Analysis"/>
        <s v="Brain-Computer Interfaces, Open-Source, and Democratizing the Future of Augmented Consciousness  "/>
        <s v="A Closed-Loop Brain-Computer Interface with Augmented Reality Feedback for Industrial Human-Robot Collaboration"/>
        <s v="Analysis of EEG Signals for Non-technial and Non-medical Students"/>
        <s v="Efficient Quadcopter Flight Control Using Hybrid SSVEP + P300 Visual Brain Computer Interface"/>
        <s v="The Effect of Light on Reaction of Food Customers Based on Neuro-marketing"/>
        <s v="Effect of a Brain–Computer Interface Based on Pedaling Motor Imagery on Cortical Excitability and Connectivity"/>
        <s v="Speech-imagery-based brain–computer interface system using ear-EEG"/>
        <s v="Gesture recognition system based on CNN-IndRNN and OpenBCI"/>
        <s v="A Fusion Algorithm for Saccade Eye Movement Enhancement with EOG and Lumped-element Models"/>
        <s v="BlinkFruity: A Real-Time EEG Based Neurofeedback Game for Brain-Computer Interface"/>
        <s v="A Soft Exoskeleton Glove for Hand Bilateral Training via Surface EMG"/>
        <s v="Improved spatio-temporal measurements of visually evoked fields using optically-pumped magnetometers"/>
        <s v="Open-Source Concealed EEG Data Collection for Brain-Computer-Interfaces"/>
        <s v="A Novel Approach to EEG Speech Activity Detection with Visual Stimuli and Mobile BCI"/>
        <s v="Induction of Neural Plasticity Using a Low-Cost Open Source Brain-Computer Interface and a 3D-Printed Wrist Exoskeleton"/>
        <s v="Control and remote monitoring of muscle activity and stimulation in the rehabilitation process for muscle recovery"/>
        <s v="Development of Home Auotomation System by Using Brain Wave"/>
        <s v="Technical Note: A Low-Cost Research Platform for Brain Computer-Interface Applications in Mixed Reality"/>
        <s v="Steady-State Visual Evoked Potentials SSVEP in Brain-Computer Interfaces"/>
        <s v="Impact of screen size on cognitive training task performance: An HMD study"/>
        <s v="PhyMask: Robust Sensing of Brain Activity and Physiological Signals During Sleep with an All-textile Eye Mask"/>
        <s v="Research on the real-time control system of lower-limb gait movement based on motor imagery and central pattern generator"/>
        <s v="EEG-Based Closed-Loop Neurofeedback for Attention Monitoring and Training in Young Adults"/>
        <s v="Real -Time Thought Controlled Action for Paralytic Patient using Electroencephalogram"/>
        <s v="Brain computer interface for human-cobot interaction in industrial applications"/>
        <s v="An Integrated Fall Prevention System with Single-Channel EEG and EMG Sensor"/>
        <s v="Implementation of a Brain-Computer Interface for Robotic Arm Control"/>
        <s v="EEG Spectral Comparison Between Occipital and Prefrontal Cortices for Early Detection of Driver Drowsiness"/>
        <s v="EEG-Based BCI Emotion Recognition Using the Stock-Emotion Dataset"/>
        <s v="Noise-based cyberattacks generating fake P300 waves in brain–computer interfaces"/>
        <s v="Judgement of valence of musical sounds by hand and by heart, a machine learning paradigm for reading the heart"/>
        <s v="On-line Measurement of Working Memory in Individuals with Aphasia using Electroencephalographic Signals"/>
        <s v="Evaluating deep learning EEG-based mental stress classification in adolescents with autism for breathing entrainment BCI"/>
        <s v="Development of a simultaneous Hybrid Brain-Computer Interface using SSVEP and P300"/>
        <s v="Investigating traffic and controller factors in spatial multitasking: The context of air traffic conflict resolution"/>
        <s v="Convolutional Neural Network Based Electroencephalogram Controlled Robotic Arm"/>
        <s v="Demonstrating The Feasibility Of Multimodal Neuroimaging Data Capture With A Wearable Electoencephalography + Functional Near infrared Spectroscopy (Eeg+fnirs) In Situ"/>
        <s v="Brain Controlled Lego NXT Mindstorms 2.0 Platform"/>
        <s v="Controlling an Anatomical Robot Hand Using the Brain-Computer Interface Based on Motor Imagery"/>
        <s v="Brain-Computer Interface System Based on P300 Processing with Convolutional Neural Network. Novel Speller, and Low Number of Electrodes"/>
        <s v="Classification of Common and Uncommon Tones by P300 Feature Extraction and Identification of Accurate P300 Wave by Machine Learning Algorithms"/>
        <s v="Low-Cost Assessment of User eXperience Through EEG Signals"/>
        <s v="Impact of Mental Fatigue during Repetitive Exercises of a Visual P300 Speller"/>
        <s v="A Novel Approach to Objectively Quantify the Subjective Perception of Pain Through Electroencephalogram Signal Analysis"/>
        <s v="Improving Attention and Focus Using Brain-Computer Interfaces and Cog-Car Games with brain signals processing"/>
        <s v="Multipurpose and Reusable Ultrathin Electronic Tattoos Based on PtSe2 and PtTe2"/>
        <s v="A Survey on Deep Learning Classification Algorithms for Motor Imagery"/>
        <s v="Brain Computer Interface for Neurorehabilitation with Kinesthetic Feedback"/>
        <s v="Video Game’s design Implications to promote moderate activity in seniors"/>
        <s v="Design and fabrication method for a microneedle electrode with flexible backing for biosignals monitoring"/>
        <s v="Textile EEG Cap using Dry-Comb Electrodes for Emotion Detection of Elderly People"/>
        <s v="Morse-Code Encoded Eye Blinking as a Source of Biometric Authentication via EEG"/>
        <s v="Subjective Evaluation of Fatigue in Pilots During 24-hour Testing"/>
        <s v="Criteria for event-related (de)synchronization detection and feature consistency for motor imagery-based neuromodulation"/>
        <s v="Initial Investigation into Neurophysiological Correlates of Argentine Tango Flow States: a Case Study"/>
        <s v="Saccadic Eye Movement Classification Using ExG Sensors Embedded into a Virtual Reality Headset"/>
        <s v="A 3D-Printed, Adjustable Armband for Electromyography-Based Finger Movement Classification With Haptic Feedback"/>
        <s v="Jean Joseph v2.0 (REmotion): Make Remote Emotion Touchable, Seeable and Thinkable by Direct Brain-to-Brain Telepathy Neurohaptic Interface Empowered by Generative Adversarial Network"/>
        <s v="A social differential outcomes learning task: Performance, EEG, and questionnaire data"/>
        <s v="EEG and Deep Learning Based Brain Cognitive Function Classification"/>
        <s v="A Functional Electrical Stimulation Controller for Contralateral Hand Movements Based on EMG Signals"/>
        <s v="Classification of Motor Imagery EEG Signals Using Machine Learning"/>
        <s v="HealthSOS: Real-time Health Monitoring System for Stroke Prognostics"/>
        <s v="AffectivelyVR: Towards VR Personalized Emotion Recognition"/>
        <s v="Wavelets and SVM analysis applied to signals responsive to auditory and visual stimulus captured by EEG in students with ADHD"/>
        <s v="Monitoring Stroke Rehabilitation Re-Learning Program using EEG Parameter: A preliminary study for developing self-monitoring system for stroke rehabilitation during new normal"/>
        <s v="Analysis of brain waves changes in stressful situations based on horror game with the implementation of virtual reality and brain-computer interface system: a case study"/>
        <s v="Impact of delayed response on Wearable Cognitive Assistance"/>
        <s v="Development of an EOG Classification System for SCI Prosthetic Hand Movement"/>
        <s v="Going with our Guts: Potentials of Wearable Electrogastrography (EGG) for Affect Detection"/>
        <s v="A Systemic Review of Available Low-Cost EEG Headsets Used for Drowsiness Detection"/>
        <s v="Integration of an Eye Gaze Interface and BCI with Biofeedback for Human-Robot Interaction"/>
        <s v="Performance of Dual-Augmented Lagrangian Method and Common Spatial Patterns applied in classification of Motor-Imagery BCI"/>
        <s v="Real-Time Electric Light Control using Electro-Oculogram"/>
        <s v="Digital Voicing of Silent Speech"/>
        <s v="Deep LSTM Recurrent Neural Networkfor Anxiety Classification from EEGin Adolescents with Autism"/>
        <s v="Investigating EEG Pattern During Designed-Hand Movement Tasks in Stroke Patients"/>
        <s v="FPGA-Based Design for Online Computation of Multivariate Empirical Mode Decomposition"/>
        <s v="Integration of low-cost, dry-comb EEG-electrodes with a standard electrode cap for multimodal signal acquisition during human experiments"/>
        <s v="Wearable and comfortable e-textile headband for long-term acquisition of forehead EEG signals"/>
        <s v="Real Time Operator Focus Monitoring SystemBased on a Brain-Computer Interface"/>
        <s v="Hsp90 inhibitor HSP990 in very low dose upregulates EAAT2 and exerts potent antiepileptic activity"/>
        <s v="Multimodal System to Detect Driver Fatigue Using EEG, Gyroscope, and Image Processing"/>
        <s v="Neural Interface Instrumented Virtual Reality Headsets: Toward Next-Generation Immersive Applications"/>
        <s v="Vicarious Value Learning: Knowledge transfer through affective processing on a social differential outcomes task"/>
        <s v="Machine Learning EEG Data Analysis For eHealth IoT System"/>
        <s v="Accelerating Reinforcement Learning Agent with EEG-based Implicit Human Feedback"/>
        <s v="Analyses of IR stimulation influence on EEG"/>
        <s v="Machine Learning Analysis of EEG Measurements of Stock Trading Performance"/>
        <s v="Docosahexaenoic acid protects against palmitate-induced mitochondrial dysfunction in diabetic cardiomyopathy"/>
        <s v="Review on motor imagery based BCI systems for upper limb post-stroke neurorehabilitation: From designing to application"/>
        <s v="Cognitive Biometrics"/>
        <s v="Continuous estimation of emotional change using multimodal affective responses"/>
        <s v="Brain-Computer Interface System Based on P300 Processing with Convolutional Neural Network, Novel Speller, and Low Number of Electrodes"/>
        <s v="Changes of Affective States in Intelligent Tutoring System to Improve Feedbacks Through Low-Cost and Open Electroencephalogram and Facial Expression"/>
        <s v="Endowing Head-Mounted Displays with Physiological Sensing for Augmenting Human Learning and Cognition"/>
        <s v="Robust Multi-sensor Fusion for the Development of EEG Controlled Vehicle"/>
        <s v="A Prototype of EEG System for IoT"/>
        <s v="FPGA based design for online computation of Multivariate EMD (MEMD)"/>
        <s v="In-Ear EEG Based Attention State Classification Using Echo State Network "/>
        <s v="Open Software/Hardware Platform for Human-Computer Interface Based on Electrooculography (EOG) Signal Classification"/>
        <s v="Improving Sentiment Analysis with Biofeedback Data"/>
        <s v="Introducing Peripheral Awareness as a Neurological State for Human-Computer Integration "/>
        <s v="A feasibility study of a complete low-cost consumer-grade brain-computer interface system"/>
        <s v="Efficacy of low-cost wireless neurofeedback to modulate brain activity during motor imagery"/>
        <s v="A Low-Cost Lower-Limb Brain-Machine Interface Triggered by Pedaling Motor Imagery for Post-Stroke Patients Rehabilitation"/>
        <s v="An Ear-EEG-based Brain-Computer Interface using Concentration Level for Control"/>
        <s v="The Design of an Algorithmic Modal Music Platform for Eliciting and Detecting Emotion"/>
        <s v="Measuring Human Trust in a Virtual Assistant using Physiological Sensing in Virtual Reality"/>
        <s v="Wearable Multi-Biosignal Analysis Integrated Interface With Direct Sleep-Stage Classification"/>
        <s v="SSVEP Offline Analysis Procedures for Low Cost BCI Systems"/>
        <s v="Development of a Flex and Stretchy Conductive Cotton Fabric Via Flat Screen Printing of PEDOT:PSS/PDMS Conductive Polymer Composite."/>
        <s v="Implementing Brain–Machine Interface (BMI) with Smart Computing"/>
        <s v="Blink to Get In: Biometric Authentication for Mobile Devices using EEG Signals"/>
        <s v="Consistency of Motor-Imagery Frequency Band is Associated with the Performance of Real-Time Brain Computer Interface"/>
        <s v="Design and Demonstration of a Head Phantom for Testing of Electroencephalography (EEG) Equipment"/>
        <s v="Optimization of External Stimulus Features for Hybrid Visual Brain–Computer Interface"/>
        <s v="Brain Computer Interface with Convolutional Neural Networks"/>
        <s v="Neo-Noumena: Augmenting Emotion Communication "/>
        <s v="Enhancing the Security of Pattern Unlock with Surface EMG-Based Biometrics"/>
        <s v="RVEB—An algorithm for recognizing voluntary eye blinks based on the signal recorded from prefrontal EEG channels"/>
        <s v="Charge for a whole day:Extending Battery Life for BCIWearables using a Lightweight Wake-Up Command"/>
        <s v="Playing Games with Implicit Human Feedback"/>
        <s v="Assessment of changes in the electrical activity of the brain during general anesthesia using portable electroencephalography"/>
        <s v="Novel SSVEP Processing Method Based on Correlation and Feedforward Neural Network for embedded Brain Computer Interface"/>
        <s v="Brain–computer interface for autonomous vehicles: An investigation of a hands-free control system"/>
        <s v="In AI We Trust: Investigating the Relationship between Biosignals, Trust and Cognitive Load in VR"/>
        <s v="Classification of EEG Motor Imagery signal processed in time-frequency with Convolutional Neural Network"/>
        <s v="Effect of mindfulness on improving performance of software development"/>
        <s v="A User-centered Smartphone Application for Wireless EEG and its Role in Epilepsy"/>
        <s v="Data Pattern Modeling for Bio-information Processing based on OpenBCI Platform; &#10;OpenBCI 플랫폼 기반 생체 정보 처리를 위한 데이터 패턴 모델링&#10;                                                "/>
        <s v="Person/Task discretization in brain computer interfaces based on mental task activities"/>
        <s v="An Algorithm to Measure the Stress Level from EEG, EMG and HRV Signals"/>
        <s v="EEG Controlled Automated Writing Robotic Arm Based on Steady State Visually Evoked Potential&quot;"/>
        <s v="BCI Integrated with VR for Rehabilitation"/>
        <s v="A Single-Channel Consumer-Grade EEG Device for Brain-Computer Interface: Enhancing Detection of SSVEP and Its Amplitude Modulation"/>
        <s v="EEG-Based Biometrics Utilizing Image Recognition for Patient Identification"/>
        <s v="Consumer grade EEG Measuring Sensors as Research Tools: A Review"/>
        <s v="An Automatic Driver Assistant based on Intention Detecting Using EEG Signal"/>
        <s v="Pilot study for a novel and personalized voice restoration device for patients with laryngectomy"/>
        <s v="Blink: A Fully Automated Unsupervised Algorithm for Eye-Blink Detection in EEG Signals"/>
        <s v="The Ability to Control A Brain-Computer Interactive Game by Concentration"/>
        <s v="SSVEP-based Brain-Computer Interface as an Input Device for an Alternative Communication System: Parameters Assessment and Case Report of Performance in a Healthy and an ALS User"/>
        <s v="Detection of Autism with Electroencephalographic Signals and Comparison with Healthy People Using Genetic Algorithm Network"/>
        <s v="Accessible Electroencephalograms (EEGs): A Comparative Review with OpenBCI’s Ultracortex Mark IV Headset"/>
        <s v="An Oculomotor Sensing Technique for Saccade Isolation of Eye Movements using OpenBCI"/>
        <s v="BCI controlled robotic arm as assistance to the rehabilitation of neurologically disabled patients"/>
        <s v="Hand Gestures Recognition Based on One-Channel Surface EMG Signal"/>
        <s v="EEGlass: An EEG-Eyeware Prototype for Ubiquitous Brain-Computer Interaction"/>
        <s v="An Improved Method for Electroencephalographic Detection of Epileptic Discharge"/>
        <s v="Assessing Feedback Response With a Wearable Electroencephalography System"/>
        <s v="Consumer Grade Brain Sensing for Emotion Recognition"/>
        <s v="Brain Computer Interfaces - A Conjunction Between Two Worlds"/>
        <s v="BrainNet: A Multi-Person Brain-to-Brain Interface for Direct Collaboration Between Brains"/>
        <s v="Classification of multiple motor imagery using deep convolutional neural networks and spatial filters"/>
        <s v="MiLo (Motor-imagery controlled wheelchair)"/>
        <s v="One-Step, Three-Factor Passthrough Authentication With Custom-Fit, In-Ear EEG"/>
        <s v="Fully Open-Access Passive Dry Electrodes BIOADC: Open-Electroencephalography (EEG) Re-Invented"/>
        <s v="Pattern-Reversal Visual Evoked Potential on Smart Glasses"/>
        <s v="Embodiment improves performance on an immersive brain computer interface in head-mounted virtual reality"/>
        <s v="Validation and Benchmarking of a Wearable EEG Acquisition Platform for Real-World Applications"/>
        <s v="Detección de la onda P300 con red neuronal convolucional implementada en sistema embebido portable"/>
        <s v="Dynamic Time-frequency Feature Extraction for Brain Activity Recognition"/>
        <s v="Evolution of the Brain Computing Interface (BCI) and Proposed Electroencephalography (EEG) Signals Based Authentication Model"/>
        <s v="GraspNet: An Efficient Convolutional Neural Network for Real-time Grasp Detection for Low-powered Devices"/>
        <s v="Real‐time and user‐independent feature classification of forearm using EMG signals"/>
        <s v="Study on Mind Controlled Robotic Arms by Collecting and Analyzing Brain Alpha Waves"/>
        <s v="A low-Cost, Open-Source, BCI- VR Game Control Development Environment Prototype for Game Based Neurorehabilitation"/>
        <s v="System Level Framework for Assessing the Accuracy of Neonatal EEG Acquisition"/>
        <s v="Simultaneous EEG, eye-tracking, behavioral, and screen-capture data during online German language learning"/>
        <s v="Evaluation of a congruent auditory feedback for Motor Imagery BCI"/>
        <s v="Cyton-based EEG Headset Prototype Used To Detect Brain Injury In Real-Time"/>
        <s v="A low-cost, open-source, BCI-VR prototype for real-time signal processing of EEG to manipulate 3D VR objects as a form of neurofeedback"/>
        <s v="Imperceptible electrooculography graphene sensor system for human–robot interface"/>
        <s v="Processing EEG signals acquired from a consumer grade BCI device"/>
        <s v="Controlling Prosthetic Limbs With Thought and AI"/>
        <s v="EDOSE: Emotion Datasets from Open Source EEG with a Real-Time Bracelet Sensor"/>
        <s v="An EEG Experimental Study Evaluating the Performance of Texas Instruments ADS1299"/>
        <s v="Novel system for detection of pattern reversal visual evoked potentials"/>
        <s v="Analysis of Brain Wave Due to Stimulus Using EEG"/>
        <s v="The Gender Generator: Towards a Machine-Empathy Interface for the Evocation of Gender Dysphoria Symptoms"/>
        <s v="Brain-Computer Interface Controlled Robotic Arm to Improve Quality of Life"/>
        <s v="Multi-series of OpenBCI-based research"/>
        <s v="Study of the Brain Waves for the identification of the Basic Needs of Patients with Amyotrophic Lateral Sclerosis"/>
        <s v="Differentiation of Brain Waves from the Movement of the Upper and Lower Extremities of the Human Body"/>
        <s v="Study of the Brain Waves for the differentiation of Gamers category between a Newbie and a Hardcore in the game Dota 1"/>
        <s v="THE NEURA-FEAT POWERED EXOSKELETON; DESIGN AND CONTROL"/>
        <s v="Evaluation of dry electrodes for sEMG recording"/>
        <s v="Towards Objective Assessment of Movie Trailer Quality Using Human Electroencephalogram and Facial Recognition"/>
        <s v="Neonatal EEG Interpretation and Decision Support Framework for Mobile Platforms"/>
        <s v="Low-Cost Portable 4-Channel Wireless EEG Data Acquisition System for BCI Applications"/>
        <s v="Using EEG to Assess Programming Expertise against Self-reported Data"/>
        <s v="Educational Model Based on Hands-on Brain-Computer Interface: Implementation of Music Composition Using EEG"/>
        <s v="An SSVEP based brain computer interface system to control electric wheelchairs"/>
        <s v="Dišimo: Anchoring Our Breath"/>
        <s v="Android Implementation of a Visualisation, Sonification and AI-Assisted Interpretation of Neonatal EEG"/>
        <s v="Measurement of Concentration Duration on Reading Activity: EEG Analysis with OpenBCI Ganglion Board"/>
        <s v="An In-depth Study of SSVEP Signals Against Stimulus Frequency and Distance to the Stimulus"/>
        <s v="Stress Effects on Exam Performance using EEG"/>
        <s v="User-Driven Intelligent Interface on the Basis of Multimodal Augmented Reality and Brain-Computer Interaction for People with Functional Disabilities"/>
        <s v="WebBCI: An Electroencephalography Toolkit Built on Modern Web Technologies"/>
        <s v="Near Real-Time Data Labeling Using a Depth Sensor for EMG Based Prosthetic Arms"/>
        <s v="Home automation system using brain computer interface paradigm based on auditory selection attention"/>
        <s v="Identification of Eye Blink Artifacts Using Wireless EEG Headset for Brain Computer Interface System"/>
        <s v="Assistive technology design and preliminary testing of a robot platform based on movement intention using low-cost brain computer interface"/>
        <s v="Identification of EEG-based signature produced by visual exposure to the primary colours RGB"/>
        <s v="Generating forbidden region virtual fixtures by classification of movement intention based on event-related desynchronization"/>
        <s v="A Mobile TDR System for Smart Phones "/>
        <s v="An Interactive Care System Based on a Depth Image and EEG for Aged Patients with Dementia"/>
        <s v="Biometric Authentication of PC by Using EEG Signals"/>
        <s v="IBPoet: an interactive &amp; biosensitive poetry composition device"/>
        <s v="Using Brain-Computer Interface and Internet of Things to Improve Healthcare for Wheelchair Users"/>
        <s v="Implementation of a brain-machine interface for controlling a wheelchair"/>
        <s v="Electroencephalogram-Based OpenBCI Devices for Disabled People | SpringerLink "/>
        <s v="Brain-computer interface combining eye saccade two-electrode EEG signals and voice cues to improve the maneuverability of wheelchair"/>
        <s v="Electromyography/Electrooculography (EMG/EOG) speller"/>
        <s v="&quot;SSVEP based BMI for a meal assistance robot,&quot;"/>
        <s v="Control of a robotic arm, using a low-cost BCI"/>
        <s v="Comparison of a consumer grade EEG amplifier with medical grade equipment in BCI applications"/>
        <s v="Automatic user customized brain switch"/>
        <s v="Evaluation of the OpenBCI Neural Interface for Controlling a Quadrotor Simulation"/>
        <s v="Detecting Daytime Bruxism Through Conveinent and Wearable Around-the-Ear Electrodes"/>
      </sharedItems>
    </cacheField>
    <cacheField name="Website" numFmtId="0">
      <sharedItems>
        <s v="https://ieeexplore.ieee.org/document/11652984/"/>
        <s v="https://arxiv.org/abs/2608.12000"/>
        <s v="https://ieeexplore.ieee.org/document/11633092/"/>
        <s v="https://iopscience.iop.org/article/10.1088/1361-6579/ae99ab"/>
        <s v="https://jtie.stekom.ac.id/index.php/jtie/article/view/493"/>
        <s v="https://advanced.onlinelibrary.wiley.com/doi/10.1002/advs.76495"/>
        <s v="https://www.frontiersin.org/articles/10.3389/fnins.2026.1859327/full"/>
        <s v="https://ieeexplore.ieee.org/document/11623827/"/>
        <s v="https://www.researchsquare.com/article/rs-9336892/v1"/>
        <s v="https://arxiv.org/abs/2607.25968"/>
        <s v="https://link.springer.com/10.1007/978-3-032-29593-4_14"/>
        <s v="https://arxiv.org/abs/2603.10680"/>
        <s v="https://ieeexplore.ieee.org/document/11575023/"/>
        <s v="https://onlinelibrary.wiley.com/doi/10.1002/nap2.70194"/>
        <s v="https://onlinelibrary.wiley.com/doi/10.1155/js/9983391"/>
        <s v="https://doi.org/10.29354/diag/225253"/>
        <s v="https://www.researchsquare.com/article/rs-9858854/v1"/>
        <s v="https://arxiv.org/abs/2606.26093"/>
        <s v="https://mhealth.jmir.org/2026/1/e76245"/>
        <s v="https://zenodo.org/doi/10.5281/zenodo.20756330"/>
        <s v="https://link.springer.com/10.1007/978-981-95-7195-6_26"/>
        <s v="https://link.springer.com/10.1007/s40820-026-02252-2"/>
        <s v="https://ieeexplore.ieee.org/document/11542044/"/>
        <s v="https://link.springer.com/10.1007/978-3-032-24724-7_18"/>
        <s v="https://doi.org/10.22266/ijies2026.0630.11"/>
        <s v="https://ieeexplore.ieee.org/document/11518027/"/>
        <s v="https://doi.org/10.3390/bs16050815"/>
        <s v="https://www.authorea.com/doi/full/10.22541/au.177260770.08096523/v1"/>
        <s v="https://www.nature.com/articles/s41598-026-52443-5"/>
        <s v="https://direct.mit.edu/imag/article/doi/10.1162/IMAG.a.1258/136565/Non-specific-increase-in-alpha-power-during-a"/>
        <s v="https://ieeexplore.ieee.org/document/11489690/"/>
        <s v="https://onlinelibrary.wiley.com/doi/10.1155/ijbm/2255123"/>
        <s v="https://ieeexplore.ieee.org/document/11494659/"/>
        <s v="https://doi.org/10.35882/jeeemi.v8i2.1531"/>
        <s v="https://link.springer.com/10.1007/978-981-95-4072-3_11"/>
        <s v="https://publikasi.dinus.ac.id/jcta/article/view/15875"/>
        <s v="https://ieeexplore.ieee.org/document/11479272/"/>
        <s v="https://www.frontiersin.org/articles/10.3389/fnhum.2026.1793705/full"/>
        <s v="https://ieeexplore.ieee.org/document/11476058/"/>
        <s v="https://spj.science.org/doi/10.34133/bosn.0003"/>
        <s v="https://arxiv.org/abs/2604.09649"/>
        <s v="https://dl.acm.org/doi/10.1145/3772318.3791781"/>
        <s v="https://www.jstage.jst.go.jp/article/ijae/advpub/0/advpub_IJAE-D-25-00037/_article"/>
        <s v="https://ieeexplore.ieee.org/document/10816932/"/>
        <s v="https://www.mdpi.com/1424-8220/26/7/2265"/>
        <s v="https://iopscience.iop.org/article/10.1088/1741-2552/ae54d0"/>
        <s v="https://dl.acm.org/doi/10.1145/3789682"/>
        <s v="http://medrxiv.org/lookup/doi/10.64898/2026.03.05.26347650"/>
        <s v="https://www.mdpi.com/2673-4591/128/1/20"/>
        <s v="https://dl.acm.org/doi/10.1145/3731459.3773332"/>
        <s v="https://zenodo.org/doi/10.5281/zenodo.18081032"/>
        <s v="https://arxiv.org/abs/2603.02847"/>
        <s v="https://link.springer.com/10.1007/s10916-026-02357-6"/>
        <s v="https://ieeexplore.ieee.org/document/11420897/"/>
        <s v="https://arxiv.org/abs/2602.23862"/>
        <s v="https://iopscience.iop.org/article/10.1088/1361-665X/ae4aec"/>
        <s v="https://www.spiedigitallibrary.org/conference-proceedings-of-spie/14114/3096307/Video-game-driven-EEG-signal-classification-for-rehabilitation-applications-using/10.1117/12.3096307.full"/>
        <s v="https://arxiv.org/abs/2602.20041"/>
        <s v="https://linkinghub.elsevier.com/retrieve/pii/S2215016126000385"/>
        <s v="https://dergipark.org.tr/tr/doi/10.35414/akufemubid.1711013"/>
        <s v="https://www.nature.com/articles/s41598-026-39904-7"/>
        <s v="https://www.mdpi.com/1424-8220/26/4/1269"/>
        <s v="https://www.mdpi.com/1424-8220/26/4/1153"/>
        <s v="https://onlinelibrary.wiley.com/doi/10.1002/9781394336166.ch27"/>
        <s v="http://biorxiv.org/lookup/doi/10.64898/2026.02.10.704620"/>
        <s v="https://www.worldscientific.com/doi/10.1142/S0218001426590081"/>
        <s v="https://iopscience.iop.org/article/10.1088/1741-2552/ae4271"/>
        <s v="https://www.mdpi.com/2306-5354/13/2/152"/>
        <s v="https://link.springer.com/10.1007/s11042-026-21351-1"/>
        <s v="https://ijeeemi.org/index.php/ijeeemi/article/view/313"/>
        <s v="https://pubs.acs.org/doi/10.1021/acsami.5c19985"/>
        <s v="https://ieeexplore.ieee.org/document/11316703/"/>
        <s v="https://ieeexplore.ieee.org/document/11338702/"/>
        <s v="https://www.mdpi.com/2075-1729/16/1/114"/>
        <s v="https://www.tandfonline.com/doi/full/10.1080/15325024.2025.2585079"/>
        <s v="https://www.mdpi.com/1424-8220/26/2/385"/>
        <s v="https://cst.kipmi.or.id/journal/article/view/1758"/>
        <s v="https://cst.kipmi.or.id/journal/article/view/1737"/>
        <s v="https://linkinghub.elsevier.com/retrieve/pii/S092442472501252X"/>
        <s v="https://alz-journals.onlinelibrary.wiley.com/doi/10.1002/alz70863_110642"/>
        <s v="https://ieeexplore.ieee.org/document/11284651/"/>
        <s v="https://linkinghub.elsevier.com/retrieve/pii/S2590291125010575"/>
        <s v="https://dl.acm.org/doi/10.1145/3770501.3770523"/>
        <s v="https://onlinelibrary.wiley.com/doi/10.1002/app.70163"/>
        <s v="https://link.springer.com/10.1007/s42600-025-00446-y"/>
        <s v="https://www.mdpi.com/2079-3197/13/12/287"/>
        <s v="https://arxiv.org/abs/2512.04313"/>
        <s v="https://linkinghub.elsevier.com/retrieve/pii/S105120042500822X"/>
        <s v="https://onlinelibrary.wiley.com/doi/10.1002/app.70099"/>
        <s v="https://link.springer.com/10.1007/s11517-025-03489-6"/>
        <s v="http://jre.cplire.ru/jre/nov25/33/abstract_e.html"/>
        <s v="https://www.tandfonline.com/doi/full/10.1080/23311983.2025.2591387"/>
        <s v="https://www.nature.com/articles/s41467-025-65464-x"/>
        <s v="https://linkinghub.elsevier.com/retrieve/pii/S0960148125024735"/>
        <s v="https://jneuroengrehab.biomedcentral.com/articles/10.1186/s12984-025-01769-8"/>
        <s v="https://linkinghub.elsevier.com/retrieve/pii/S2666053925001249"/>
        <s v="https://revistas.utb.edu.co/tesea/article/view/580"/>
        <s v="https://www.nature.com/articles/s41598-025-24831-w"/>
        <s v="https://www.nature.com/articles/s41598-025-23049-0"/>
        <s v="https://www.dovepress.com/individual-autonomic-profiles-influence-brainheart-connectivity-in-ton-peer-reviewed-fulltext-article-JPR"/>
        <s v="https://linkinghub.elsevier.com/retrieve/pii/S221112472501277X"/>
        <s v="https://www.mdpi.com/2813-2084/4/4/53"/>
        <s v="https://www.mdpi.com/2227-7080/13/11/501"/>
        <s v="https://onlinelibrary.wiley.com/doi/10.1002/brb3.70977"/>
        <s v="https://jbeb.avestia.com/2025/002.html"/>
        <s v="https://xlink.rsc.org/?DOI=D5NR03106K"/>
        <s v="https://ieeexplore.ieee.org/document/10496440/"/>
        <s v="https://www.mdpi.com/2073-431X/13/10/246"/>
        <s v="https://dl.acm.org/doi/10.1145/3610549.3614600"/>
        <s v="https://dl.acm.org/doi/10.1145/3610549.3614596"/>
        <s v="https://ieeexplore.ieee.org/document/10108725/"/>
        <s v="https://ieeexplore.ieee.org/document/9756768/"/>
        <s v="https://mededu.jmir.org/2025/1/e69725"/>
        <s v="https://link.springer.com/10.1007/s11571-025-10360-9"/>
        <s v="https://semarakilmu.com.my/journals/index.php/applied_sciences_eng_tech/article/view/13544"/>
        <s v="https://journals.sagepub.com/doi/10.1177/10711813251358251"/>
        <s v="https://www.mdpi.com/2079-6374/15/10/692"/>
        <s v="https://advanced.onlinelibrary.wiley.com/doi/10.1002/adfm.202505419"/>
        <s v="https://dx.plos.org/10.1371/journal.pone.0332310"/>
        <s v="https://ieeexplore.ieee.org/document/11182424/"/>
        <s v="https://www.lidsen.com/journals/neurobiology/neurobiology-09-03-302"/>
        <s v="https://braininformatics.springeropen.com/articles/10.1186/s40708-025-00274-x"/>
        <s v="https://ijarcce.com/wp-content/uploads/2024/05/IJARCCE.2024.13525.pdf"/>
        <s v="https://link.springer.com/10.1007/s13369-025-10616-w"/>
        <s v="https://arxiv.org/abs/2509.17260"/>
        <s v="https://www.mdpi.com/2227-7080/13/9/426"/>
        <s v="https://ieeexplore.ieee.org/document/11164920/"/>
        <s v="https://www.techrxiv.org/users/785192/articles/1326344-iist-bci-dataset-14-male-and-female-eeg-dataset-for-odia-vowels-and-consonants?commit=54933b9addbc8c9b008b54a467aafe1f50102385"/>
        <s v="https://www.preprints.org/manuscript/202509.0429/v1"/>
        <s v="https://www.tandfonline.com/doi/full/10.1080/13467581.2025.2557018"/>
        <s v="https://dl.acm.org/doi/10.1145/3749550"/>
        <s v="https://www.nature.com/articles/s41565-025-01990-5"/>
        <s v="https://iopscience.iop.org/article/10.1088/1741-2552/addb7a"/>
        <s v="https://www.protocols.io/view/an-affordable-solution-for-investigating-zebra-fin-dkiq4udw"/>
        <s v="https://www.mdpi.com/2571-5577/8/5/126"/>
        <s v="https://ieeexplore.ieee.org/document/11120699/"/>
        <s v="https://www.preprints.org/manuscript/202508.0873/v1"/>
        <s v="https://journal.binus.ac.id/index.php/commit/article/view/12500"/>
        <s v="https://advanced.onlinelibrary.wiley.com/doi/10.1002/adsu.202500727"/>
        <s v="https://www.techrxiv.org/users/951601/articles/1320935-real-time-mobile-eeg-hyperscanning-a-precise-and-accessible-platform-for-social-brain-computer-interfaces?commit=86389fb8b88f9869138971a263f45d8c4cc69a03"/>
        <s v="https://ieeexplore.ieee.org/document/11113810/"/>
        <s v="https://ieeexplore.ieee.org/document/11113736/"/>
        <s v="https://arxiv.org/abs/2508.07731"/>
        <s v="https://avestia.com/CDSR2025_Proceedings/files/paper/CDSR_135.pdf"/>
        <s v="https://www.techrxiv.org/users/933156/articles/1303897-iist-bci-dataset-13-a-bci-dataset-for-emotion-detection-for-human-space-missions?commit=bbf50015c0a62690936cdd596a80ed9e260df49b"/>
        <s v="https://www.mdpi.com/2313-7673/10/8/506"/>
        <s v="http://jaree.its.ac.id/index.php/jaree/article/view/437"/>
        <s v="https://arc.aiaa.org/doi/10.2514/6.2025-4112"/>
        <s v="https://dl.acm.org/doi/10.1145/3733155.3733220"/>
        <s v="https://dl.acm.org/doi/10.1145/3706599.3719836"/>
        <s v="https://ieeexplore.ieee.org/document/11009041/"/>
        <s v="https://www.tandfonline.com/doi/full/10.1080/10255842.2025.2527385"/>
        <s v="https://linkinghub.elsevier.com/retrieve/pii/S1110866525001343"/>
        <s v="https://ieeexplore.ieee.org/document/11068079/"/>
        <s v="https://ieeexplore.ieee.org/document/11063010/"/>
        <s v="https://ieeexplore.ieee.org/document/11063073/"/>
        <s v="https://arxiv.org/abs/2507.05635"/>
        <s v="https://bmcmusculoskeletdisord.biomedcentral.com/articles/10.1186/s12891-025-08939-8"/>
        <s v="https://ieeexplore.ieee.org/document/11058796/"/>
        <s v="https://ieeexplore.ieee.org/document/11050769/"/>
        <s v="https://xlink.rsc.org/?DOI=D5SE00510H"/>
        <s v="https://jcoms.fesb.unist.hr/10.24138/jcomss-2025-0012/"/>
        <s v="https://docs.lib.purdue.edu/cib-conferences/vol1/iss1/381"/>
        <s v="https://linkinghub.elsevier.com/retrieve/pii/S0306452225007183"/>
        <s v="https://ojs.studiespublicacoes.com.br/ojs/index.php/cadped/article/view/17138"/>
        <s v="https://pubs.acs.org/doi/10.1021/acsaelm.5c00310"/>
        <s v="https://www.techrxiv.org/users/931774/articles/1302738-iist-bci-dataset-12-a-bci-dataset-for-telugu-vocal-and-subvocal-commands-with-dialect-variation-for-wheelchair-control?commit=6c69035d34e3b4bfefe627f0c5761afcfbf6f11c"/>
        <s v="https://arxiv.org/abs/2506.07193"/>
        <s v="https://link.springer.com/10.1007/s11517-025-03386-y"/>
        <s v="https://ieeexplore.ieee.org/document/11016540/"/>
        <s v="https://link.springer.com/10.1007/978-3-031-93838-2_14"/>
        <s v="https://link.springer.com/10.1007/s00221-025-07097-6"/>
        <s v="https://www.techrxiv.org/users/916094/articles/1296844-iist-bci-dataset-11-male-and-female-eeg-dataset-for-malayalam-vowels-and-consonants?commit=af296277931ef2186a95f7847bcb3c0671217514"/>
        <s v="https://link.springer.com/10.1007/978-981-96-0994-9_18"/>
        <s v="https://linkinghub.elsevier.com/retrieve/pii/S1474034625003544"/>
        <s v="https://www.spiedigitallibrary.org/conference-proceedings-of-spie/13637/3056815/FreeBCI-Android-application-for-portable-EEG-signal-acquisition-system/10.1117/12.3056815.full"/>
        <s v="https://iieta.org/journals/jesa/paper/10.18280/jesa.580203"/>
        <s v="https://link.springer.com/10.1007/978-3-031-89510-4_4"/>
        <s v="https://ieeexplore.ieee.org/document/11004003/"/>
        <s v="https://ieeexplore.ieee.org/document/9855407/"/>
        <s v="https://advanced.onlinelibrary.wiley.com/doi/10.1002/admt.202402032"/>
        <s v="https://www.cambridge.org/core/product/identifier/S2631717625000118/type/journal_article"/>
        <s v="https://linkinghub.elsevier.com/retrieve/pii/S0360544225020766"/>
        <s v="https://www.techrxiv.org/users/814488/articles/1289920-iist-bci-dataset-10-for-telugu-vowels-and-consonants?commit=ee45063fd8e9ece1121bb713db6669cc8b41aab4"/>
        <s v="http://medrxiv.org/lookup/doi/10.1101/2025.03.07.25323496"/>
        <s v="https://www.techrxiv.org/users/914536/articles/1287616-wrist-motion-regression-using-emg-attention-feature-fusion-algorithm?commit=d43654d376c0b8fff40576d2106bcd26326bdd50"/>
        <s v="https://engrxiv.org/preprint/view/4555/version/6202"/>
        <s v="https://www.techrxiv.org/users/916082/articles/1288937-iist-bci-dataset-9-eeg-dataset-for-malayalam-vocal-and-subvocal-commands-with-dialect-variation-for-wheelchair-control?commit=df5d65312bcbd1f300d25acf679cb35d35ff29c8"/>
        <s v="https://ieeexplore.ieee.org/document/10972026/"/>
        <s v="https://www.mdpi.com/2571-5577/8/2/56"/>
        <s v="https://arxiv.org/abs/2503.22018"/>
        <s v="https://ieeexplore.ieee.org/document/10931531/"/>
        <s v="http://www.inderscience.com/link.php?id=145218"/>
        <s v="https://ieeexplore.ieee.org/document/10938306/"/>
        <s v="https://link.springer.com/10.1007/978-981-97-9262-7_17"/>
        <s v="https://pubs.asha.org/doi/10.1044/2025_JSLHR-24-00595"/>
        <s v="https://ijci.uoitc.edu.iq/index.php/ijci/article/view/545"/>
        <s v="https://linkinghub.elsevier.com/retrieve/pii/S2352340925002094"/>
        <s v="https://link.springer.com/10.1007/s10209-025-01207-5"/>
        <s v="https://linkinghub.elsevier.com/retrieve/pii/S1388245725000045"/>
        <s v="https://pubs.acs.org/doi/10.1021/acsami.5c01936"/>
        <s v="https://www.nature.com/articles/s41598-024-81960-4"/>
        <s v="https://linkinghub.elsevier.com/retrieve/pii/S2468519425001120"/>
        <s v="https://pubs.aip.org/aip/acp/article-lookup/doi/10.1063/5.0259169"/>
        <s v="https://www.mdpi.com/2073-4360/17/5/683"/>
        <s v="https://dl.acm.org/doi/10.1145/3712283"/>
        <s v="https://ieeexplore.ieee.org/document/10566461/"/>
        <s v="https://ieeexplore.ieee.org/document/10906643/"/>
        <s v="https://vbn.aau.dk/da/publications/hybrid-fes-robotic-rehabilitation-system-for-lower-limb-neuroreha"/>
        <s v="https://ieeexplore.ieee.org/document/10891090/"/>
        <s v="https://www.taylorfrancis.com/books/9781003606208/chapters/10.1201/9781003606208-25"/>
        <s v="https://www.nature.com/articles/s41598-025-87414-9"/>
        <s v="https://ieeexplore.ieee.org/document/10882414/"/>
        <s v="https://dl.acm.org/doi/10.1145/3641554.3701815"/>
        <s v="https://ieeexplore.ieee.org/document/10882902/"/>
        <s v="https://ieeexplore.ieee.org/document/10870878/"/>
        <s v="https://linkinghub.elsevier.com/retrieve/pii/S2665917424006822"/>
        <s v="https://www.mdpi.com/1424-8220/25/4/1066"/>
        <s v="https://iieta.org/journals/isi/paper/10.18280/isi.300113"/>
        <s v="https://arxiv.org/abs/2501.19217"/>
        <s v="https://ieeexplore.ieee.org/document/10849081/"/>
        <s v="http://digital-library.theiet.org/doi/10.1049/icp.2024.4404"/>
        <s v="http://biorxiv.org/lookup/doi/10.1101/2025.01.27.634699"/>
        <s v="https://revistas.usb.edu.co/index.php/IJPR/article/view/7467"/>
        <s v="https://doi.org/doi: 10.1109/EECon64470.2024.10841863."/>
        <s v="https://scholar.google.com/scholar_url?url=https://ieeexplore.ieee.org/iel8/6287639/6514899/10844263.pdf&amp;hl=en&amp;sa=X&amp;d=6550892119441711207&amp;ei=aGGOZ5-UEemmy9YPy-7GuAE&amp;scisig=AFWwaeYWiRiddSJsqekFhuzSJoWA&amp;oi=scholaralrt&amp;hist=8WBGhdYAAAAJ:5437843588291773220:A"/>
        <s v="https://scholar.google.com/scholar_url?url=https://www.sciencedirect.com/science/article/pii/S0888327025000482&amp;hl=en&amp;sa=X&amp;d=13744526941664129611&amp;ei=qd-MZ8HTNKHfy9YPq-HH2AY&amp;scisig=AFWwaeYxkkdItlMzKO9MitGinngO&amp;oi=scholaralrt&amp;hist=8WBGhdYAAAAJ:54378435882917"/>
        <s v="https://scholar.google.com/scholar_url?url=https://arxiv.org/pdf/2501.08393&amp;hl=en&amp;sa=X&amp;d=4019097504527394886&amp;ei=nH6LZ7maN8-Z6rQPtZnLgAg&amp;scisig=AFWwaeY3S4dinGP_g3vPCZNAt0A_&amp;oi=scholaralrt&amp;hist=8WBGhdYAAAAJ:5437843588291773220:AFWwaebmzrq9zPN1CYXQ5l-OkEG-&amp;h"/>
        <s v="https://scholar.google.com/scholar_url?url=https://arxiv.org/pdf/2501.05589&amp;hl=en&amp;sa=X&amp;d=3703460010045057963&amp;ei=b8aHZ8WjBKHfy9YPq-HH2AY&amp;scisig=AFWwaebPXQCk2sImtTgOT6gPzs2m&amp;oi=scholaralrt&amp;hist=8WBGhdYAAAAJ:5437843588291773220:AFWwaebmzrq9zPN1CYXQ5l-OkEG-&amp;h"/>
        <s v="https://scholar.google.com/scholar_url?url=https://www.sciencedirect.com/science/article/pii/S1550830725000059&amp;hl=en&amp;sa=X&amp;d=5013894352339868070&amp;ei=pOyEZ_O_OLO5y9YPw734iAo&amp;scisig=AFWwaebyI-8nUdrfVV-FJ0ib7ISq&amp;oi=scholaralrt&amp;hist=8WBGhdYAAAAJ:543784358829177"/>
        <s v="https://scholar.google.com/scholar_url?url=https://www.ascspublications.org/wp-content/uploads/woocommerce_uploads/2024/12/Jbins3Vol.Issue1_12_30_2024.pdf&amp;hl=en&amp;sa=X&amp;d=16576539562819622197&amp;ei=dpaDZ77zD8qP6rQP6LbOiQ4&amp;scisig=AFWwaeZwUFy-cLfcxEuehYvt068p&amp;oi="/>
        <s v="https://scholar.google.com/scholar_url?url=https://sv-journal.org/2024-4/02/en.pdf&amp;hl=en&amp;sa=X&amp;d=9301085894881901819&amp;ei=-LV7Z8zaF4qay9YP7vuXyQg&amp;scisig=AFWwaeYabZlRfggAZxeoilgEn1gr&amp;oi=scholaralrt&amp;hist=8WBGhdYAAAAJ:5437843588291773220:AFWwaebmzrq9zPN1CYXQ5l-"/>
        <s v="https://bmcgeriatr.biomedcentral.com/articles/10.1186/s12877-024-05421-3"/>
        <s v="https://scholar.google.com/scholar_url?url=https://iopscience.iop.org/article/10.1088/1741-2552/ada4de/pdf&amp;hl=en&amp;sa=X&amp;d=1143076876349024365&amp;ei=ZVp6Z4a7H5OW6rQP3-rzuQM&amp;scisig=AFWwaeaNbeC4RyZKFdd1Iz4AWooq&amp;oi=scholaralrt&amp;hist=8WBGhdYAAAAJ:5437843588291773220"/>
        <s v="https://scholar.google.com/scholar_url?url=https://www.nature.com/articles/s41539-024-00294-y&amp;hl=en&amp;sa=X&amp;d=13030632392103648732&amp;ei=ih91Z8_yKZOW6rQP3-rzuQM&amp;scisig=AFWwaeZnaks68xwREhdPvkLTQO6k&amp;oi=scholaralrt&amp;hist=8WBGhdYAAAAJ:5437843588291773220:AFWwaebmzrq"/>
        <s v="https://scholar.google.com/scholar_url?url=https://ieeexplore.ieee.org/abstract/document/10805747/&amp;hl=en&amp;sa=X&amp;d=4645206465876728450&amp;ei=Tj9xZ4uhF4qay9YP7vuXyQg&amp;scisig=AFWwaeb1_f_MHmVHvYyCDx3IhZGh&amp;oi=scholaralrt&amp;hist=8WBGhdYAAAAJ:5437843588291773220:AFWwaeb"/>
        <s v="https://scholar.google.com/scholar_url?url=https://advanced.onlinelibrary.wiley.com/doi/pdf/10.1002/admt.202401193&amp;hl=en&amp;sa=X&amp;d=16228187293792314233&amp;ei=_hBsZ_yDAsKM6rQP6_3j2Ao&amp;scisig=AFWwaeaQ4UlHNq6HsUt_2ev8J3TE&amp;oi=scholaralrt&amp;hist=8WBGhdYAAAAJ:5437843588"/>
        <s v="https://link.springer.com/chapter/10.1007/978-3-031-77584-0_61"/>
        <s v="https://arxiv.org/pdf/2412.14185"/>
        <s v="https://scholar.google.com/scholar_url?url=https://www.researchsquare.com/article/rs-5655250/latest.pdf&amp;hl=en&amp;sa=X&amp;d=4145350129779656241&amp;ei=TF5oZ8y1HYCX6rQPjNn28Q0&amp;scisig=AFWwaeYHkoOvC8JOmE5FR83RA2m5&amp;oi=scholaralrt&amp;hist=8WBGhdYAAAAJ:15302681845162797931:A"/>
        <s v="https://scholar.google.com/scholar_url?url=https://revistas.utb.edu.co/tesea/article/download/579/433&amp;hl=en&amp;sa=X&amp;d=10056253333484240099&amp;ei=3pVlZ5WcMYCX6rQPjNn28Q0&amp;scisig=AFWwaeZNKhLuJfhv2-n7unnOKoJE&amp;oi=scholaralrt&amp;hist=8WBGhdYAAAAJ:5437843588291773220:AFW"/>
        <s v="https://ieeexplore.ieee.org/abstract/document/10792829"/>
        <s v="https://www.oaepublish.com/articles/ss.2024.37"/>
        <s v="https://scholar.google.com/scholar_url?url=https://ieeexplore.ieee.org/abstract/document/10784772/&amp;hl=en&amp;sa=X&amp;d=9670495188076322322&amp;ei=HuVfZ_OHBvuh6rQP5JSQeA&amp;scisig=AFWwaeaACSUd5Wesu1G5aIr2-QK0&amp;oi=scholaralrt&amp;hist=8WBGhdYAAAAJ:5437843588291773220:AFWwaebm"/>
        <s v="https://scholar.google.com/scholar_url?url=https://ieeexplore.ieee.org/abstract/document/10780287/&amp;hl=en&amp;sa=X&amp;d=5764204531683563830&amp;ei=HuVfZ_OHBvuh6rQP5JSQeA&amp;scisig=AFWwaeZ7QWtdU9_QWDawckU2LaBb&amp;oi=scholaralrt&amp;hist=8WBGhdYAAAAJ:5437843588291773220:AFWwaebm"/>
        <s v="https://www.researchgate.net/publication/385389496_Brain-Computer_Interfaces_for_Mobility_Assistance_A_Comparative_Analysis_of_EEG-Based_Classification_Models_for_Brain-Controlled_Wheelchairs"/>
        <s v="https://scholar.google.com/scholar_url?url=https://ieeexplore.ieee.org/abstract/document/10784751/&amp;hl=en&amp;sa=X&amp;d=18349905168998312162&amp;ei=HuVfZ_OHBvuh6rQP5JSQeA&amp;scisig=AFWwaeaRfrhTth35RJ7WIDPFv034&amp;oi=scholaralrt&amp;hist=8WBGhdYAAAAJ:5437843588291773220:AFWwaeb"/>
        <s v="https://scholar.google.com/scholar_url?url=https://ieeexplore.ieee.org/iel8/6287639/6514899/10788712.pdf&amp;hl=en&amp;sa=X&amp;d=338561209553599573&amp;ei=xvpeZ6ziK57Iy9YP6KKEiAM&amp;scisig=AFWwaeb1m_k7UHh0irVasnk8yQot&amp;oi=scholaralrt&amp;hist=8WBGhdYAAAAJ:5437843588291773220:AF"/>
        <s v="https://scholar.google.com/scholar_url?url=https://arxiv.org/pdf/2412.07175&amp;hl=en&amp;sa=X&amp;d=8600538035406407004&amp;ei=8O5bZ_2MBdXEy9YP1J6M0AQ&amp;scisig=AFWwaeaQJlBpZF6eC676iyuTaP-B&amp;oi=scholaralrt&amp;hist=8WBGhdYAAAAJ:5437843588291773220:AFWwaebmzrq9zPN1CYXQ5l-OkEG-&amp;h"/>
        <s v="https://www.tandfonline.com/doi/full/10.1080/10447318.2024.2388368"/>
        <s v="https://ieeexplore.ieee.org/abstract/document/10765181"/>
        <s v="https://winnspace.uwinnipeg.ca/bitstream/handle/10680/2180/Dharia_Shyamal_MSc_thesis_2024.pdf?sequence=1"/>
        <s v="https://scholar.google.com/scholar_url?url=https://ieeexplore.ieee.org/abstract/document/10760317/&amp;hl=en&amp;sa=X&amp;d=1934303467678149086&amp;ei=U6RMZ5bhJZ7Iy9YPk5DIuQU&amp;scisig=AFWwaeZ69K_9-OJbjFtEtuIfFtMx&amp;oi=scholaralrt&amp;hist=8WBGhdYAAAAJ:5437843588291773220:AFWwaeb"/>
        <s v="https://scholar.google.com/scholar_url?url=https://www.ibroneuroscience.org/article/S0306-4522(24)00633-X/fulltext&amp;hl=en&amp;sa=X&amp;d=5270483328089068148&amp;ei=2ZtEZ7i_ENyj6rQPg__02QQ&amp;scisig=AFWwaea3eIE-m-UFCVE1H_IWsZa1&amp;oi=scholaralrt&amp;hist=8WBGhdYAAAAJ:54378435882"/>
        <s v="https://scholar.google.com/scholar_url?url=https://ieeexplore.ieee.org/abstract/document/10752265/&amp;hl=en&amp;sa=X&amp;d=12044883069830944302&amp;ei=zU9AZ7GGBJ236rQP5I_LyQE&amp;scisig=AFWwaeZLkIX0di1m1cD_YrTnKBXn&amp;oi=scholaralrt&amp;hist=8WBGhdYAAAAJ:5437843588291773220:AFWwae"/>
        <s v="https://scholar.google.com/scholar_url?url=https://ieeexplore.ieee.org/abstract/document/10752169/&amp;hl=en&amp;sa=X&amp;d=15724404164648191371&amp;ei=zU9AZ7GGBJ236rQP5I_LyQE&amp;scisig=AFWwaeYtJobLtyUdMI1MZrpa6q-S&amp;oi=scholaralrt&amp;hist=8WBGhdYAAAAJ:5437843588291773220:AFWwae"/>
        <s v="https://scholar.google.com/scholar_url?url=https://www.mdpi.com/2079-6374/14/11/553&amp;hl=en&amp;sa=X&amp;d=11773865635898594621&amp;ei=yJc5Z7KUG9-uy9YP_sbV-Qs&amp;scisig=AFWwaeaCtARLseJ4h4Ikj-wpZULD&amp;oi=scholaralrt&amp;hist=8WBGhdYAAAAJ:5437843588291773220:AFWwaebmzrq9zPN1CYXQ5"/>
        <s v="https://scholar.google.com/scholar_url?url=https://ieeexplore.ieee.org/abstract/document/10737575/&amp;hl=en&amp;sa=X&amp;d=13619585751740314394&amp;ei=xDYvZ7mwE7Os6rQPzZTH4AM&amp;scisig=AFWwaeZP5e3zy82FM6cSmz8BKRTK&amp;oi=scholaralrt&amp;hist=8WBGhdYAAAAJ:5437843588291773220:AFWwae"/>
        <s v="https://scholar.google.com/scholar_url?url=https://search.ebscohost.com/login.aspx%3Fdirect%3Dtrue%26profile%3Dehost%26scope%3Dsite%26authtype%3Dcrawler%26jrnl%3D2185310X%26AN%3D180507192%26h%3D9bYLS8S56zKCZotkYWnOXejc0jM4qy%252BT0Ag304y6NSdz%252FZfdhEIdh"/>
        <s v="https://www.researchgate.net/publication/384543331_The_Sensors_for_stress_detection_first_analysis"/>
        <s v="https://iopscience.iop.org/article/10.1088/1361-6501/ad8df4"/>
        <s v="https://link.springer.com/chapter/10.1007/978-3-031-66656-8_16"/>
        <s v="https://scholar.google.com/scholar_url?url=https://ieeexplore.ieee.org/abstract/document/10719823/&amp;hl=en&amp;sa=X&amp;d=4495119380336621313&amp;ei=PVcjZ-buMdaw6rQPj5OakAk&amp;scisig=AFWwaeZsApIa-sjVbhrT0mQYtJtd&amp;oi=scholaralrt&amp;hist=8WBGhdYAAAAJ:5437843588291773220:AFWwaeb"/>
        <s v="https://arxiv.org/html/2403.19992v2"/>
        <s v="https://scholar.google.com/scholar_url?url=https://www.sciencedirect.com/science/article/pii/S2542660524003524&amp;hl=en&amp;sa=X&amp;d=9171480725589675706&amp;ei=zJIWZ6rwL4iCy9YP4oSS6As&amp;scisig=AFWwaeYaA6uu4FGOp_gH-6HIjoWb&amp;oi=scholaralrt&amp;hist=8WBGhdYAAAAJ:543784358829177"/>
        <s v="https://www.nature.com/articles/s41467-024-53379-y"/>
        <s v="https://pubs.aip.org/aip/acp/article-abstract/3232/1/040033/3316695/Smart-home-based-on-BCI-for-disabled-people-A"/>
        <s v="https://ieeexplore.ieee.org/abstract/document/10704914"/>
        <s v="https://arxiv.org/pdf/2410.03261"/>
        <s v="https://ieeexplore.ieee.org/stamp/stamp.jsp?arnumber=10704624"/>
        <s v="https://ieeexplore.ieee.org/abstract/document/10688451"/>
        <s v="https://ieeexplore.ieee.org/abstract/document/10688894"/>
        <s v="https://laccei.org/LACCEI2024-CostaRica/full-papers/Contribution_1418_final_a.pdf"/>
        <s v="https://iopscience.iop.org/article/10.1088/1741-2552/ad7f8d/pdf"/>
        <s v="https://www.cell.com/device/fulltext/S2666-9986(24)00475-7"/>
        <s v="https://ieeexplore.ieee.org/abstract/document/10662738"/>
        <s v="https://ieeexplore.ieee.org/abstract/document/10677025"/>
        <s v="https://www.mdpi.com/2313-7673/9/9/562"/>
        <s v="https://ieeexplore.ieee.org/abstract/document/10658722"/>
        <s v="https://ieeexplore.ieee.org/abstract/document/10667256"/>
        <s v="https://ieeexplore.ieee.org/abstract/document/10668352"/>
        <s v="https://www.tu-ilmenau.de/fileadmin/Bereiche/MB/lichttechnik/Lux_junior/2024/Fobugwe_Paper_Lux_junior_2024.pdf"/>
        <s v="https://ieeexplore.ieee.org/abstract/document/10670586"/>
        <s v="https://iopscience.iop.org/article/10.1088/1741-2552/ad7905/meta"/>
        <s v="https://ieeexplore.ieee.org/abstract/document/10663155"/>
        <s v="https://journals.sagepub.com/doi/10.1177/23982128241279616"/>
        <s v="https://www.mdpi.com/2079-6374/14/9/432"/>
        <s v="https://assets-eu.researchsquare.com/files/rs-4810605/v1_covered_d322b39d-5a8b-4799-aa0d-0a3dea003401.pdf?c=1725276952"/>
        <s v="https://ieeexplore.ieee.org/abstract/document/10648846"/>
        <s v="https://d197for5662m48.cloudfront.net/documents/publicationstatus/217875/preprint_pdf/f7eaa8b1879fb7b45dc1930aa71f2374.pdf"/>
        <s v="https://ieeexplore.ieee.org/abstract/document/10636872"/>
        <s v="https://dl.gi.de/items/d1840fa0-7965-4cfb-b0f1-184486110cb8"/>
        <s v="https://ieeexplore.ieee.org/stamp/stamp.jsp?arnumber=10638658"/>
        <s v="https://ieeexplore.ieee.org/abstract/document/10617623"/>
        <s v="https://scholar.google.com/scholar_url?url=https://humentech.utm.my/index.php/humentech/article/download/77/71&amp;hl=en&amp;sa=X&amp;d=8108418357648130435&amp;ei=oqK4ZpW1B-i06rQPwLqYgQM&amp;scisig=AFWwaea7ZJFYJih3lmcole_iDEu_&amp;oi=scholaralrt&amp;hist=8WBGhdYAAAAJ:543784358829177"/>
        <s v="https://scholar.google.com/scholar_url?url=https://humentech.utm.my/index.php/humentech/article/download/78/74&amp;hl=en&amp;sa=X&amp;d=4898799593110343236&amp;ei=oqK4ZpW1B-i06rQPwLqYgQM&amp;scisig=AFWwaebwZwkUfHrkv5sUPMS2OJ0m&amp;oi=scholaralrt&amp;hist=8WBGhdYAAAAJ:543784358829177"/>
        <s v="https://wpd.ugr.es/~jvalderrama/wp-content/uploads/2024/06/Conf_2021_Bohemen_Abstract.pdf"/>
        <s v="https://link.springer.com/article/10.1007/s11042-024-19992-1#citeas"/>
        <s v="https://onlinelibrary.wiley.com/doi/abs/10.1002/adfm.202407394"/>
        <s v="https://scholar.utc.edu/cgi/viewcontent.cgi?article=2134&amp;context=theses"/>
        <s v="https://www.nature.com/articles/s41528-024-00335-x#citeas"/>
        <s v="https://ieeexplore.ieee.org/abstract/document/10609879"/>
        <s v="https://www.researchgate.net/profile/Muhammed-Sattar/publication/382538060_Develop_Robotic_Head-Neck_Brace_Control_through_EEG_Signals_and_BCI_Sensors_Application_of_the_Savitzky-Golay_Filter/links/66a25bf6de060e4c7e5a72d2/Develop-Robotic-Head-Neck-Brace-"/>
        <s v="https://ieeexplore.ieee.org/abstract/document/10609935"/>
        <s v="https://ijisd.journals.ekb.eg/article_371115_edbb7baadcaf5d35de8515f542e69491.pdf"/>
        <s v="https://peerj.com/articles/cs-2174/"/>
        <s v="https://link.springer.com/article/10.1007/s42600-024-00372-5"/>
        <s v="https://www.proquest.com/openview/2107d89dd0f1668a883e720fdbd26126/1?pq-origsite=gscholar&amp;cbl=5529415"/>
        <s v="https://link.springer.com/article/10.1007/s11517-024-03147-3"/>
        <s v="https://ieeexplore.ieee.org/stamp/stamp.jsp?arnumber=10595042"/>
        <s v="https://www.sciencedirect.com/science/article/abs/pii/S1385894724053713"/>
        <s v="https://www.cell.com/heliyon/fulltext/S2405-8440(24)10373-8"/>
        <s v="https://www.researchgate.net/profile/Anju-Latha-Nair/publication/379372163_Human_attention_detection_system_using_deep_learning_and_brain-computer_interface/links/66303cbc08aa54017acd31f8/Human-attention-detection-system-using-deep-learning-and-brain-comp"/>
        <s v="https://link.springer.com/chapter/10.1007/978-3-031-64312-5_52"/>
        <s v="https://hal.science/hal-04630176/document"/>
        <s v="https://www.science.org/doi/full/10.1126/sciadv.ado6793"/>
        <s v="https://ieeexplore.ieee.org/document/10555857"/>
        <s v="https://ieeexplore.ieee.org/abstract/document/10557010/authors#authors"/>
        <s v="https://www.jmeonline.in/admin/uploadss/jme%20(aug%202020).pdf"/>
        <s v="https://dl.acm.org/doi/10.1145/3613904.3641983"/>
        <s v="https://digitalcommons.georgiasouthern.edu/etd/2797/"/>
        <s v="https://www.fuzzy-tversu.com/Vol.07,%20Issue.%202,%20July-December%20:%20%202022/151.pdf"/>
        <s v="https://dl.acm.org/doi/abs/10.1145/3643832.3661867"/>
        <s v="https://openurl.ebsco.com/EPDB%3Agcd%3A5%3A29490309/detailv2?sid=ebsco%3Aplink%3Ascholar&amp;id=ebsco%3Agcd%3A177498914&amp;crl=c"/>
        <s v="https://d197for5662m48.cloudfront.net/documents/publicationstatus/209576/preprint_pdf/b2966d8c2c2e6ad3e8f7b7682f8fd585.pdf"/>
        <s v="https://ieeexplore.ieee.org/abstract/document/10541248/authors#authors"/>
        <s v="https://www.jstage.jst.go.jp/article/ieejeiss/144/6/144_528/_article/-char/ja/"/>
        <s v="https://www.cell.com/iscience/pdf/S2589-0042(24)01389-0.pdf"/>
        <s v="https://link.springer.com/chapter/10.1007/978-3-031-61625-9_8"/>
        <s v="https://www.sciencedirect.com/science/article/abs/pii/S1385894724041810"/>
        <s v="https://ieeexplore.ieee.org/abstract/document/10540596"/>
        <s v="https://ieeexplore.ieee.org/document/10541061/"/>
        <s v="https://www.protocols.io/view/an-affordable-solution-for-investigating-zebra-fin-ctu3wnyn.html"/>
        <s v="https://www.sciencedirect.com/science/article/pii/S2211285524004968"/>
        <s v="https://www.mdpi.com/2306-5729/9/5/68"/>
        <s v="https://etda.libraries.psu.edu/catalog/28971svs7421"/>
        <s v="https://ieeexplore.ieee.org/abstract/document/10524074"/>
        <s v="https://d197for5662m48.cloudfront.net/documents/publicationstatus/207322/preprint_pdf/81a07fc1ff8a09cc28e8e30eac9cf7fb.pdf"/>
        <s v="https://www.scitepress.org/Papers/2024/126888/126888.pdf"/>
        <s v="https://www.mdpi.com/2673-4087/5/2/12"/>
        <s v="https://ieeexplore.ieee.org/abstract/document/10522982"/>
        <s v="https://iopscience.iop.org/article/10.1088/1741-2552/ad4743/meta"/>
        <s v="https://dl.acm.org/doi/abs/10.1145/3652920.3653028"/>
        <s v="https://scholar.google.com/scholar_url?url=https://ses.library.usyd.edu.au/bitstream/handle/2123/32487/vanbohemen_sj_thesis.pdf%3Fsequence%3D1%26isAllowed%3Dy&amp;hl=en&amp;sa=X&amp;d=18013699322914481207&amp;ei=QRQvZszFJZjJy9YP2cuf6AE&amp;scisig=AFWwaebi7HNIZctAUYdGTYUXQvn3"/>
        <s v="https://ieeexplore.ieee.org/abstract/document/10502941"/>
        <s v="https://ieeexplore.ieee.org/abstract/document/10500236"/>
        <s v="https://www.techrxiv.org/users/712048/articles/696682-iist-bci-dataset-1-for-selected-common-malayalam-words"/>
        <s v="https://www.sciencedirect.com/science/article/pii/S2468067224000233"/>
        <s v="https://ieeexplore.ieee.org/abstract/document/10499671"/>
        <s v="https://www.sciencedirect.com/science/article/abs/pii/S0167494324001183"/>
        <s v="https://www.sciencedirect.com/science/article/abs/pii/S1746809424003227"/>
        <s v="https://ieeexplore.ieee.org/abstract/document/10487645"/>
        <s v="https://ieeexplore.ieee.org/abstract/document/10463300"/>
        <s v="https://pubs.aip.org/aip/acp/article-abstract/2919/1/110003/3278987/Using-EEG-features-of-eye-blinking-for-the?redirectedFrom=fulltext"/>
        <s v="https://scholar.google.com/scholar_url?url=https://tobias-lib.ub.uni-tuebingen.de/xmlui/bitstream/handle/10900/152143/Dissertation_Andres_Jaramillo.pdf%3Fsequence%3D2%26isAllowed%3Dy&amp;hl=en&amp;sa=X&amp;d=14505797620042768767&amp;ei=dAYFZsXEI7bBy9YPgLuguAg&amp;scisig=AFWw"/>
        <s v="https://link.springer.com/chapter/10.1007/978-3-031-51982-6_27"/>
        <s v="https://www.researchgate.net/profile/Mauricio-Adolfo-Ramirez-Moreno-2/publication/378930843_Real-time_EEG-based_emotion_recognition_for_neurohumanities_perspectives_from_principal_component_analysis_and_tree-based_algorithms/links/65f1c159286738732d3e158c"/>
        <s v="https://www.scitepress.org/Papers/2024/122493/122493.pdf"/>
        <s v="https://www.techrxiv.org/doi/full/10.36227/techrxiv.171043118.80448751/v1"/>
        <s v="https://dl.acm.org/doi/pdf/10.1145/3643516"/>
        <s v="https://dl.acm.org/doi/abs/10.1145/3626252.3630900"/>
        <s v="https://ieeexplore.ieee.org/abstract/document/10458349"/>
        <s v="https://sappg.ufes.br/tese_drupal/tese_17478_Disserta%E7%E3o%20de%20Mestrado%20-%20Cristian%20Felipe%20Blanco%20D%EDaz.pdf"/>
        <s v="https://www.frontiersin.org/articles/10.3389/fninf.2023.1306277/full"/>
        <s v="https://intapi.sciendo.com/pdf/10.2478/amns-2024-0299"/>
        <s v="https://onlinelibrary.wiley.com/doi/abs/10.1002/adfm.202309704"/>
        <s v="https://doi.org/10.1007/s00521-024-09628-8"/>
        <s v="https://scholar.google.com/scholar_url?url=https://arxiv.org/pdf/2401.15743&amp;hl=en&amp;sa=X&amp;d=16370505158041638748&amp;ei=ttK6ZdaFO4rLy9YPmdyDiA4&amp;scisig=AFWwaeZv4F4m6DjDdksTBtQDMEkI&amp;oi=scholaralrt&amp;hist=8WBGhdYAAAAJ:5437843588291773220:AFWwaebmzrq9zPN1CYXQ5l-OkEG-&amp;"/>
        <s v="https://pubs.acs.org/doi/abs/10.1021/acsaelm.3c01414"/>
        <s v="https://scholar.google.com/scholar_url?url=https://www.preprints.org/manuscript/202401.1607/download/final_file&amp;hl=en&amp;sa=X&amp;d=7558598752193376698&amp;ei=zdi0ZeaWB_W56rQPi4yb-Ak&amp;scisig=AFWwaeYZPS5Fx5tStXqEyQZrPyQW&amp;oi=scholaralrt&amp;hist=8WBGhdYAAAAJ:54378435882917"/>
        <s v="https://scholar.google.com/scholar_url?url=https://www.preprints.org/manuscript/202401.1608/download/final_file&amp;hl=en&amp;sa=X&amp;d=4781543196447158273&amp;ei=zdi0ZeaWB_W56rQPi4yb-Ak&amp;scisig=AFWwaebSiMQSaw3pTzKsdpxS01oN&amp;oi=scholaralrt&amp;hist=8WBGhdYAAAAJ:54378435882917"/>
        <s v="https://eudl.eu/pdf/10.4108/eai.27-10-2023.2342016"/>
        <s v="https://scholar.google.com/scholar_url?url=https://www.mdpi.com/1424-8220/24/2/540/pdf&amp;hl=en&amp;sa=X&amp;d=6233231181156253458&amp;ei=36SnZYvBDoCNy9YPueucmAQ&amp;scisig=AFWwaebwCBHJGAuJkob7faNXm07G&amp;oi=scholaralrt&amp;hist=8WBGhdYAAAAJ:5437843588291773220:AFWwaebmzrq9zPN1CYX"/>
        <s v="https://www.mdpi.com/1424-8220/24/2/364"/>
        <s v="https://www.tandfonline.com/doi/full/10.1080/20008066.2023.2272477"/>
        <s v="https://ieeexplore.ieee.org/document/10410673?dld=b3BlbmJjaS5jb20%3D&amp;source=SEARCHALERT"/>
        <s v="https://dael.euracoustics.org/confs/fa2023/data/articles/000330.pdf"/>
        <s v="https://s3.amazonaws.com/na-st01.ext.exlibrisgroup.com/01GALI_UGA/storage/alma/62/E4/A0/63/1D/8B/A3/49/73/8B/4E/96/1C/B3/C2/AA/Dissertation_RA__Edit_811722168.pdf?response-content-type=application%2Fpdf&amp;X-Amz-Algorithm=AWS4-HMAC-SHA256&amp;X-Amz-Date=20240202"/>
        <s v="https://opendata.uni-halle.de/bitstream/1981185920/115333/1/Barbazzeni_Beatrice_Dissertation_2023.pdf"/>
        <s v="https://ieeexplore.ieee.org/abstract/document/10390906"/>
        <s v="https://cepdnaclk.github.io/e17-4yp-Human-Emotion-Detection-with-Electrocardiographic--Electroencephelographic-and-Other-Signals/public/Pera___emotion_data_collection.pdf"/>
        <s v="https://www.researchgate.net/profile/Muhammad-Nur-Farhan-Saniman/publication/366629678_Evaluation_of_Misclassification_Matrix_Method_in_Validation_of_an_Assistive_Device_for_Manual_Wheelchair_Propulsion/links/63d7868a62d2a24f92dd3fe9/Evaluation-of-Misclas"/>
        <s v="https://ieeexplore.ieee.org/abstract/document/10364501"/>
        <s v="https://sciendo.com/article/10.2478/joeb-2023-0009"/>
        <s v="https://www.theseus.fi/bitstream/handle/10024/816735/Muqun_Yu.pdf?sequence=2"/>
        <s v="https://link.springer.com/chapter/10.1007/978-3-031-49425-3_3"/>
        <s v="https://scholar.google.com/scholar_url?url=https://www.preprints.org/manuscript/202312.1529/download/final_file&amp;hl=en&amp;sa=X&amp;d=1766519112628300706&amp;ei=r--GZcC_ILCs6rQPwPCN-Ag&amp;scisig=AFWwaeZavk62smeCQ1b2pW6bnkvU&amp;oi=scholaralrt&amp;hist=8WBGhdYAAAAJ:54378435882917"/>
        <s v="https://ieeexplore.ieee.org/abstract/document/10354583"/>
        <s v="https://www.nature.com/articles/s41598-023-49990-6"/>
        <s v="https://ieeexplore.ieee.org/abstract/document/10322025"/>
        <s v="https://ieeexplore.ieee.org/abstract/document/10344237"/>
        <s v="https://www.theseus.fi/bitstream/handle/10024/813308/Hakala_Lauri.pdf?sequence=2"/>
        <s v="https://cdn.techscience.cn/files/cmc/2023/TSP_CMC-77-2/TSP_CMC_43998/TSP_CMC_43998.pdf"/>
        <s v="https://applbiolchem.springeropen.com/articles/10.1186/s13765-023-00836-9"/>
        <s v="https://scholar.google.com/scholar_url?url=https://opus4.kobv.de/opus4-ohm/files/1202/Impact_of_Affective_UI_Sounds.pdf&amp;hl=en&amp;sa=X&amp;d=984106752588330375&amp;ei=Q09lZbf-GerBy9YPtoy_iA8&amp;scisig=AFWwaebPrpO90EhZ759A_BtMSjC7&amp;oi=scholaralrt&amp;hist=8WBGhdYAAAAJ:5437843"/>
        <s v="https://link.springer.com/10.1007/978-3-031-53082-1_19"/>
        <s v="https://www.sciencedirect.com/science/article/abs/pii/S174680942301131X"/>
        <s v="https://onlinelibrary.wiley.com/doi/pdf/10.1002/lim2.93"/>
        <s v="https://www.sciencedirect.com/science/article/abs/pii/S0378595523002241"/>
        <s v="https://scholar.google.com/scholar_url?url=https://ojs.observatoriolatinoamericano.com/ojs/index.php/olel/article/download/1982/1329&amp;hl=en&amp;sa=X&amp;d=1516558612516834940&amp;ei=8X9MZe7hHuOvy9YPpqmgyAQ&amp;scisig=AFWwaeYJwVIYkaRBCR-3GUx0zb65&amp;oi=scholaralrt&amp;hist=8WBGhd"/>
        <s v="https://www.igi-global.com/gateway/article/full-text-pdf/333161&amp;riu=true"/>
        <s v="https://onlinelibrary.wiley.com/doi/pdf/10.1002/acn3.51932"/>
        <s v="https://iopscience.iop.org/article/10.1088/2058-8585/ad05d6/pdf"/>
        <s v="https://link.springer.com/chapter/10.1007/978-3-031-46933-6_31"/>
        <s v="https://link.springer.com/chapter/10.1007/978-3-031-46933-6_30#author-information"/>
        <s v="https://assets.researchsquare.com/files/rs-3462278/v1/0a254e4f-ca75-43dc-948a-4a452cf7a4ee.pdf?c=1698171781"/>
        <s v="https://www.proquest.com/openview/7b451655dc56a17a5bbd653e585397d3/1?pq-origsite=gscholar&amp;cbl=18750&amp;diss=y"/>
        <s v="https://www.spiedigitallibrary.org/conference-proceedings-of-spie/12803/128031G/An-integrated-BCI-VR-system-design-with-game-for-motor/10.1117/12.3009526.short#_=_"/>
        <s v="https://link.springer.com/article/10.1007/s41233-023-00062-7"/>
        <s v="https://arxiv.org/pdf/2310.08051.pdf"/>
        <s v="https://ieeexplore.ieee.org/stamp/stamp.jsp?arnumber=10275048"/>
        <s v="https://scholar.google.com/scholar_url?url=https://www.beei.org/index.php/EEI/article/download/6079/3474&amp;hl=en&amp;sa=X&amp;d=7710416709534295915&amp;ei=FYgqZdPpNfOpy9YP8_S82Aw&amp;scisig=AFWwaeYMh7i90Bz1Ro8F_C43OwjZ&amp;oi=scholaralrt&amp;hist=8WBGhdYAAAAJ:5437843588291773220:A"/>
        <s v="https://link.springer.com/article/10.1007/s11042-023-17111-0"/>
        <s v="https://dl.acm.org/doi/abs/10.1145/3611659.3617436"/>
        <s v="https://link.springer.com/article/10.1007/s40846-023-00823-x#citeas"/>
        <s v="https://arxiv.org/pdf/2307.14541.pdf"/>
        <s v="https://ieeexplore.ieee.org/document/10340046/"/>
        <s v="https://arinex.com.au/EMBC/pdf/full-paper_94.pdf"/>
        <s v="https://www.mdpi.com/2075-1729/13/10/1961"/>
        <s v="https://ieeexplore.ieee.org/abstract/document/10242535"/>
        <s v="https://ieeexplore.ieee.org/abstract/document/10242538"/>
        <s v="https://www.sciencedirect.com/science/article/pii/S2352340923006406"/>
        <s v="https://scholar.google.com/scholar_url?url=https://biblio.ugent.be/publication/01H9NEG2QQJZJ1TJ99SPN7PJNQ/file/01H9NEYCDGG0CJS9GRXB0XFHTZ.pdf&amp;hl=en&amp;sa=X&amp;d=5947921335461932478&amp;ei=4_r7ZJq3NMKK6rQP3uq74Ak&amp;scisig=AFWwaeY5VxrmSquEH9uqcWkJ0leN&amp;oi=scholaralrt&amp;hi"/>
        <s v="https://europepmc.org/article/med/37666761"/>
        <s v="https://www.tandfonline.com/doi/abs/10.1080/2326263X.2022.2114225"/>
        <s v="https://link.springer.com/article/10.1007/s41870-023-01400-w"/>
        <s v="https://www.mdpi.com/2078-2489/14/9/473"/>
        <s v="https://ieeexplore.ieee.org/abstract/document/10225911"/>
        <s v="https://onlinelibrary.wiley.com/doi/pdf/10.1002/adsr.202300072"/>
        <s v="https://winnspace.uwinnipeg.ca/xmlui/bitstream/handle/10680/2102/Mouri_Fatima_I_Final_Thesis_2023.pdf?sequence=1&amp;isAllowed=y"/>
        <s v="https://www.inderscienceonline.com/doi/abs/10.1504/IJRS.2023.132946"/>
        <s v="https://ieeexplore.ieee.org/abstract/document/10221052"/>
        <s v="https://pubs.aip.org/aip/acp/article-abstract/2857/1/020086/2907256/An-investigation-on-mental-stress-detection-from?redirectedFrom=fulltext"/>
        <s v="https://link.springer.com/article/10.1007/s10544-023-00672-0#citeas"/>
        <s v="https://ieeexplore.ieee.org/abstract/document/10201674"/>
        <s v="https://scholarcommons.scu.edu/cgi/viewcontent.cgi?article=1092&amp;context=idp_senior"/>
        <s v="https://mnslab.org/tamvu/paper/2018%20TYTH_Phuc.pdf"/>
        <s v="https://arxiv.org/pdf/2307.13181.pdf"/>
        <s v="https://arxiv.org/pdf/2307.11023.pdf"/>
        <s v="https://cbs.uok.ac.ir/article_62782_en.html?lang=fa"/>
        <s v="https://ieeexplore.ieee.org/abstract/document/10178595"/>
        <s v="https://www.cell.com/heliyon/pdf/S2405-8440(23)05372-0.pdf"/>
        <s v="https://link.springer.com/chapter/10.1007/978-3-031-37616-0_1"/>
        <s v="https://apps.dtic.mil/sti/trecms/pdf/AD1204427.pdf"/>
        <s v="https://assets.researchsquare.com/files/rs-3140799/v1/a695d40e-c2c4-45bd-9437-33084c4d3b4d.pdf?c=1689002314"/>
        <s v="https://onlinelibrary.wiley.com/doi/abs/10.1002/adfm.202303881"/>
        <s v="https://scholar.google.com/scholar_url?url=https://journals.iium.edu.my/ejournal/index.php/iiumej/article/download/2814/919&amp;hl=en&amp;sa=X&amp;d=9804616974460377915&amp;ei=gf-nZKKREraJ6rQPusK_-AE&amp;scisig=ABFrs3w7ED0Npe3_d7UeT2vPcjcm&amp;oi=scholaralrt&amp;hist=8WBGhdYAAAAJ:54"/>
        <s v="https://www.mdpi.com/2673-4591/33/1/43"/>
        <s v="https://royalsocietypublishing.org/doi/pdf/10.1098/rsos.221067"/>
        <s v="https://www.mdpi.com/2076-3425/13/6/969"/>
        <s v="https://www.cambridge.org/core/services/aop-cambridge-core/content/view/F2512E36C3B31CF20C363234BA5138E3/S2732527X23002377a.pdf/div-class-title-investigating-the-process-design-outputs-and-neurocognitive-differences-between-prototyping-activities-with-phy"/>
        <s v="https://www.mdpi.com/2673-4117/4/2/97"/>
        <s v="https://dl.acm.org/doi/abs/10.1145/3597061.3597257"/>
        <s v="https://www.theseus.fi/bitstream/handle/10024/803563/Gonzalez_Visiedo_Carlos.pdf?sequence=2"/>
        <s v="https://www.jstage.jst.go.jp/article/isase/ISASE2023/0/ISASE2023_1_3/_pdf"/>
        <s v="https://ieeexplore.ieee.org/stamp/stamp.jsp?arnumber=10144784"/>
        <s v="https://ieeexplore.ieee.org/stamp/stamp.jsp?arnumber=10138171"/>
        <s v="https://scholar.unair.ac.id/en/publications/eeg-time-frequency-domain-analysis-for-describing-healthy-subject"/>
        <s v="https://ieeexplore.ieee.org/abstract/document/10123820"/>
        <s v="https://scholar.google.com/scholar_url?url=https://psyarxiv.com/bn79r/download%3Fformat%3Dpdf&amp;hl=en&amp;sa=X&amp;d=13272216046916353581&amp;ei=K1hlZJ_wD6nZsQLh8KKoAQ&amp;scisig=AGlGAw82VTMRQ7NgZohv_tbpT2ZU&amp;oi=scholaralrt&amp;hist=8WBGhdYAAAAJ:5437843588291773220:AGlGAw_R86km"/>
        <s v="https://dl.acm.org/doi/pdf/10.1145/3597306"/>
        <s v="https://www.funjournal.org/wp-content/uploads/2023/05/june-21-142.pdf?x36670"/>
        <s v="https://www.researchgate.net/profile/Chukwuemeka-Nwagu/publication/370611758_EEG-Based_Brain-Computer_Interactions_in_Immersive_Virtual_and_Augmented_Reality_A_Systematic_Review/links/645a38ab39c408339b378bc2/EEG-Based-Brain-Computer-Interactions-in-Immer"/>
        <s v="https://ieeexplore.ieee.org/abstract/document/10115079"/>
        <s v="https://ieeexplore.ieee.org/document/10090032"/>
        <s v="https://www.mdpi.com/1424-8220/23/9/4559"/>
        <s v="https://www.xialihei.com/wp-content/uploads/2023/02/sectl23-2.pdf"/>
        <s v="https://ieeexplore.ieee.org/abstract/document/10108695"/>
        <s v="https://ieeexplore.ieee.org/abstract/document/10104682"/>
        <s v="https://etd.iisc.ac.in/handle/2005/6068"/>
        <s v="https://www.sciencedirect.com/science/article/pii/S240595952300053X"/>
        <s v="https://www.intechopen.com/online-first/86899"/>
        <s v="https://micsymposium.org/mics2023/wp-content/uploads/2023/03/MICS-2023-Cavalcanti_full-paper-official.pdf"/>
        <s v="https://www.sciencedirect.com/science/article/abs/pii/S0263224123000180"/>
        <s v="https://www.sciencedirect.com/science/article/pii/S2590006423000868"/>
        <s v="https://arxiv.org/pdf/2304.02861.pdf"/>
        <s v="https://www.mdpi.com/1424-8220/23/7/3763"/>
        <s v="https://www.sciencedirect.com/science/article/pii/S1369847823000657"/>
        <s v="https://www.nature.com/articles/s41928-023-00932-0"/>
        <s v="https://wjaets.com/sites/default/files/WJAETS-2023-0046.pdf"/>
        <s v="http://www.ukm.my/jsm/pdf_files/SM-PDF-51-2-2023/20.pdf"/>
        <s v="https://watermark.silverchair.com/fcad101.pdf?token=AQECAHi208BE49Ooan9kkhW_Ercy7Dm3ZL_9Cf3qfKAc485ysgAAAtUwggLRBgkqhkiG9w0BBwagggLCMIICvgIBADCCArcGCSqGSIb3DQEHATAeBglghkgBZQMEAS4wEQQM7JWoz3wg2jKVGm4TAgEQgIICiISwdiKCbCKYZwlVyUWl1Jxf4AtKhDu453bLcoORpPoFgXc"/>
        <s v="https://www.mdpi.com/1424-8220/23/7/3654"/>
        <s v="https://ieeexplore.ieee.org/abstract/document/10078480"/>
        <s v="https://www.mdpi.com/1424-8220/23/7/3546"/>
        <s v="https://www.sciencedirect.com/science/article/pii/S0167404823001086"/>
        <s v="https://www.sciencedirect.com/science/article/pii/S2352711023000675"/>
        <s v="https://iopscience.iop.org/article/10.1088/1741-2552/acbfe0/meta"/>
        <s v="https://www.sciencedirect.com/science/article/pii/S2666307423000098"/>
        <s v="https://www.researchgate.net/publication/368636685_Investigation_of_Thermal_Perception_and_Emotional_Response_in_Augmented_Reality_using_Digital_Biomarkers_A_Pilot_Study"/>
        <s v="https://www.mdpi.com/2218-6581/12/1/27"/>
        <s v="https://link.springer.com/article/10.1007/s13534-023-00265-z"/>
        <s v="https://www.mdpi.com/2079-9292/12/4/833"/>
        <s v="https://iopscience.iop.org/article/10.1088/1757-899X/1266/1/012019/pdf"/>
        <s v="https://www.sciencedirect.com/science/article/pii/S277252862300002X"/>
        <s v="https://ieeexplore.ieee.org/abstract/document/10022004"/>
        <s v="https://www.proquest.com/openview/f1ec7c924e76f101348768e54b9e14de/1?pq-origsite=gscholar&amp;cbl=1686344"/>
        <s v="https://www.mdpi.com/1424-8220/23/2/760"/>
        <s v="https://www.sciencedirect.com/science/article/pii/S0924424722006938"/>
        <s v="https://ieeexplore.ieee.org/document/10022137/authors#authors"/>
        <s v="https://ieeexplore.ieee.org/abstract/document/10007202"/>
        <s v="https://etda.libraries.psu.edu/files/final_submissions/27036"/>
        <s v="https://ieeexplore.ieee.org/abstract/document/9989874"/>
        <s v="https://ieeexplore.ieee.org/abstract/document/9988114"/>
        <s v="https://ietresearch.onlinelibrary.wiley.com/doi/pdf/10.1049/ccs2.12077"/>
        <s v="https://ieeexplore.ieee.org/document/9919502"/>
        <s v="https://ethos.bl.uk/OrderDetails.do?uin=uk.bl.ethos.871172"/>
        <s v="https://pdf.sciencedirectassets.com/318494/1-s2.0-S2589004222X00138/1-s2.0-S2589004222021009/main.pdf?X-Amz-Security-Token=IQoJb3JpZ2luX2VjEDUaCXVzLWVhc3QtMSJIMEYCIQD3yCxZuDurrJ3H4oU8Sxco1EALhjR%2FS%2BSed%2FQnQcJRXAIhAP1ZexRZnBtfbM2teaDuLl9Lf5UnSOJpr%2Bxt"/>
        <s v="https://ieeexplore.ieee.org/abstract/document/9972981/authors#authors"/>
        <s v="https://aip.scitation.org/doi/full/10.1063/5.0123238"/>
        <s v="http://sciencerepository.uk/id/eprint/560/1/4879-Article%20Text-9260-1-10-20221201.pdf"/>
        <s v="https://www.sciencedirect.com/science/article/abs/pii/S0957417422024484"/>
        <s v="https://scholar.google.com/scholar_url?url=https://books.google.com/books%3Fhl%3Den%26lr%3Dlang_en%26id%3DkwqXEAAAQBAJ%26oi%3Dfnd%26pg%3DPA293%26dq%3Dopenbci%26ots%3DLM_vUjqxL0%26sig%3DeBCarD3V55oNOQtblCTzhTaroLA&amp;hl=en&amp;sa=X&amp;d=2652626597243026658&amp;ei=5jxcY4"/>
        <s v="https://ieeexplore.ieee.org/abstract/document/9926591"/>
        <s v="https://ieeexplore.ieee.org/abstract/document/9919502"/>
        <s v="https://aisel.aisnet.org/icis2022/hci_robot/hci_robot/9/"/>
        <s v="https://www.dbpia.co.kr/Journal/articleDetail?nodeId=NODE11138652"/>
        <s v="https://ieeexplore.ieee.org/abstract/document/9940285/authors#authors"/>
        <s v="https://ieeexplore.ieee.org/stamp/stamp.jsp?arnumber=9936836"/>
        <s v="https://ieeexplore.ieee.org/abstract/document/9948657"/>
        <s v="https://ieeexplore.ieee.org/abstract/document/9946522"/>
        <s v="https://journal-home.s3.ap-northeast-2.amazonaws.com/site/2022f/abs/UMHNF-0186.pdf"/>
        <s v="https://www.researchgate.net/profile/Sarker-Asish/publication/365012453_Detecting_Internal_Distraction_in_an_Educational_VR_Environment_Using_EEG_Data/links/63630809431b1f5300665719/Detecting-Internal-Distraction-in-an-Educational-VR-Environment-Using-EEG"/>
        <s v="https://www.sciencedirect.com/science/article/abs/pii/S1746809422007625"/>
        <s v="https://arxiv.org/pdf/2210.06290.pdf"/>
        <s v="https://www.scirp.org/journal/paperinformation.aspx?paperid=120327"/>
        <s v="https://link.springer.com/chapter/10.1007/978-3-031-18272-3_1"/>
        <s v="https://ieeexplore.ieee.org/abstract/document/9897097"/>
        <s v="https://link.springer.com/article/10.1007/s10544-022-00632-0"/>
        <s v="https://scholar.google.com/scholar_url?url=https://www.mdpi.com/2079-6374/12/10/772/pdf%3Fversion%3D1663666937&amp;hl=en&amp;sa=X&amp;d=2122762824865877888&amp;ei=2G0uY4WcMbLGsQLB-a_YCQ&amp;scisig=AAGBfm0FGqTPd9xvnxDm2UVS8i-xv41gkw&amp;oi=scholaralrt&amp;hist=8WBGhdYAAAAJ:5437843588"/>
        <s v="https://ieeexplore.ieee.org/abstract/document/9871594"/>
        <s v="https://ieeexplore.ieee.org/abstract/document/9871044"/>
        <s v="https://www.sciencedirect.com/science/article/pii/S246806722200102X"/>
        <s v="https://ieeexplore.ieee.org/abstract/document/9878163"/>
        <s v="http://www.ijaconline.com/wp-content/uploads/2022/08/5a.pdf"/>
        <s v="https://www.sciencedirect.com/science/article/abs/pii/S0360132322007971"/>
        <s v="https://ieeexplore.ieee.org/abstract/document/9862906"/>
        <s v="chrome-extension://efaidnbmnnnibpcajpcglclefindmkaj/https://www.researchgate.net/profile/Rafia-Akhter/publication/363018781_Automated_Detection_of_ERP_artifacts_of_auditory_oddball_paradigm_by_Unsupervised_Machine_Learning_Algorithm/links/630d84971ddd4470"/>
        <s v="https://link.springer.com/chapter/10.1007/978-3-031-16075-2_34"/>
        <s v="https://aip.scitation.org/doi/abs/10.1063/5.0098178"/>
        <s v="https://www.mdpi.com/1424-8220/22/23/9372"/>
        <s v="https://link.springer.com/article/10.1007/s00521-021-06716-x"/>
        <s v="https://uknowledge.uky.edu/cgi/viewcontent.cgi?article=1079&amp;context=cbme_etds"/>
        <s v="https://www.science.org/doi/full/10.1126/sciadv.abq2521"/>
        <s v="https://www.mdpi.com/2075-1702/10/8/654/htm"/>
        <s v="https://pubs.acs.org/doi/abs/10.1021/acsami.2c08757"/>
        <s v="https://ieeexplore.ieee.org/abstract/document/9837703/authors#authors"/>
        <s v="https://ieeexplore.ieee.org/abstract/document/9827672"/>
        <s v="https://scholarcommons.scu.edu/cgi/viewcontent.cgi?article=1086&amp;context=idp_senior"/>
        <s v="https://www.frontiersin.org/articles/10.3389/fpsyg.2022.864047/full"/>
        <s v="https://escholarship.org/content/qt58w3j6xs/qt58w3j6xs.pdf"/>
        <s v="https://scholar.google.com/scholar_url?url=https://www.journalppw.com/index.php/jpsp/article/download/6975/4542&amp;hl=en&amp;sa=X&amp;d=1985725718726201779&amp;ei=hhaxYsuJJveVy9YPqL6LKA&amp;scisig=AAGBfm20WBBfQZv7lmu1M8Dj3LUNiU46lg&amp;oi=scholaralrt&amp;hist=8WBGhdYAAAAJ:543784358"/>
        <s v="https://scholar.google.com/scholar_url?url=https://psyarxiv.com/kncw7/download%3Fformat%3Dpdf&amp;hl=en&amp;sa=X&amp;d=16275490770030353809&amp;ei=lXmtYtzLDYzGsQL0uo0o&amp;scisig=AAGBfm3cgEt7UxXObNLGuXFwWYh51EZtVQ&amp;oi=scholaralrt&amp;hist=8WBGhdYAAAAJ:5437843588291773220:AAGBfm0A"/>
        <s v="https://www.mdpi.com/2624-6120/3/2/24/htm"/>
        <s v="https://scholarworks.calstate.edu/downloads/2n49t693d"/>
        <s v="https://orca.cardiff.ac.uk/id/eprint/149941/13/2022baczkowskielphd.pdf"/>
        <s v="https://www.sciencedirect.com/science/article/pii/S020852162200033X"/>
        <s v="https://dl.acm.org/doi/abs/10.1145/3528352"/>
        <s v="https://www.sciencedirect.com/science/article/pii/S1568494622003143"/>
        <s v="https://www.tandfonline.com/doi/abs/10.1080/21681163.2022.2072398"/>
        <s v="https://ieeexplore.ieee.org/abstract/document/9764024"/>
        <s v="https://www.sciencedirect.com/science/article/pii/S2352340922004280"/>
        <s v="https://www.ncbi.nlm.nih.gov/pmc/articles/PMC9100375/"/>
        <s v="https://www.researchgate.net/profile/Damien-Rompapas/publication/360152176_The_Mind_Commands_You_Combining_Brain-Computer_Interactions_with_Augmented_Reality_to_Control_Internet_of_Things_IoT_tools_and_Robotic_Platforms/links/6264bd3b1b747d19c2a32cd9/The-"/>
        <s v="https://scholar.google.com/scholar_url?url=https://digitalcommons.kennesaw.edu/undergradsymposiumksu/spring2022/presentations/436/&amp;hl=en&amp;sa=X&amp;d=16756503522913991790&amp;ei=ypJgYsCSAcLZmQHc1ovQAg&amp;scisig=AAGBfm2GjkpOpF97-PUZqah2E5F7VjeUPA&amp;oi=scholaralrt&amp;hist=ph"/>
        <s v="https://ieeexplore.ieee.org/abstract/document/9764002"/>
        <s v="https://onlinelibrary.wiley.com/doi/10.1002/adma.202200793"/>
        <s v="https://scholar.google.com/scholar_url?url=https://www.mdpi.com/2076-3417/12/7/3417/pdf&amp;hl=en&amp;sa=X&amp;d=14737034462109096518&amp;ei=yqNGYqiaI5aYmAGvjqiIDA&amp;scisig=AAGBfm30Y_kOl6jhsJYvo8m644EVMasOOg&amp;oi=scholaralrt&amp;hist=8WBGhdYAAAAJ:5437843588291773220:AAGBfm0AXzDY"/>
        <s v="https://www.researchgate.net/profile/Shahanawaj-Ahamad/publication/359651028_System_Architecture_for_Brain-Computer_Interface_based_on_Machine_Learning_and_Internet_of_Things/links/6246e4a321077329f2e821d0/System-Architecture-for-Brain-Computer-Interface-"/>
        <s v="https://www.mdpi.com/1424-8220/22/8/2900/htm"/>
        <s v="https://www.researchgate.net/profile/Jonas-Auda/publication/359222066_The_Butterfly_Effect_Novel_Opportunities_for_Steady-State_Visually-Evoked_Potential_Stimuli_in_Virtual_Reality/links/622f9e67435ec5645a11f8b4/The-Butterfly-Effect-Novel-Opportunities-fo"/>
        <s v="https://dl.acm.org/doi/pdf/10.1145/3490099.3511148"/>
        <s v="https://repository.arizona.edu/bitstream/handle/10150/663412/azu_etd_19434_sip1_m.pdf?sequence=1&amp;isAllowed=y"/>
        <s v="https://ieeexplore.ieee.org/abstract/document/9734823"/>
        <s v="https://ieeexplore.ieee.org/abstract/document/9726009"/>
        <s v="https://scholar.google.com/scholar_url?url=https://www.mdpi.com/1424-8220/22/4/1568/pdf&amp;hl=en&amp;sa=X&amp;d=1826699962798773757&amp;ei=aYEUYubMLYmUy9YPxIaL2AQ&amp;scisig=AAGBfm0WGfCpEUVvT5l1bBo1skEo0HfAwQ&amp;oi=scholaralrt&amp;hist=phuwsnkAAAAJ:1324821476278215287:AAGBfm1j5tuk"/>
        <s v="https://www.frontiersin.org/articles/10.3389/fnhum.2021.809714/full"/>
        <s v="https://www.sciencedirect.com/science/article/pii/S2667325822000425"/>
        <s v="https://inass.org/wp-content/uploads/2022/10/2023022828-2.pdf"/>
        <s v="https://www.researchgate.net/profile/Yuan-Liu-78/publication/358522671_Functional_Reorganization_After_Four-Week_Brain-Computer_Interface-Controlled_Supernumerary_Robotic_Finger_Training_A_Pilot_Study_of_Longitudinal_Resting-State_fMRI/links/62060fa9afa88"/>
        <s v="https://arxiv.org/pdf/2202.03246.pdf"/>
        <s v="https://link.springer.com/article/10.1007/s10015-022-00734-1"/>
        <s v="https://link.springer.com/article/10.1007/s42600-021-00196-7"/>
        <s v="https://www.hindawi.com/journals/complexity/2022/5308885/"/>
        <s v="https://ieeexplore.ieee.org/abstract/document/9629500"/>
        <s v="https://ieeexplore.ieee.org/abstract/document/9666738"/>
        <s v="https://latamt.ieeer9.org/index.php/transactions/article/download/6063/1444"/>
        <s v="http://recibe.cucei.udg.mx/index.php/ReCIBE/article/view/153"/>
        <s v="https://ieeexplore.ieee.org/abstract/document/9626100"/>
        <s v="https://repositorio.uniandes.edu.co/bitstream/handle/1992/48660/u833306.pdf?sequence=1"/>
        <s v="https://repositorio.uniandes.edu.co/bitstream/handle/1992/43980/u830592.pdf?sequence=1"/>
        <s v="https://ieeexplore.ieee.org/document/9677782"/>
        <s v="https://impulse.appstate.edu/sites/impulse.appstate.edu/files/Moeller,%202021.pdf"/>
        <s v="http://shdl.mmu.edu.my/9895/"/>
        <s v="https://www.researchgate.net/profile/Ahnaf-Shariar/publication/353954251_BRAINWAVE_ASSISTIVE_SYSTEM_FOR_PARALYZED_INDIVIDUALS/links/61cefa7ae669ee0f5c785324/BRAINWAVE-ASSISTIVE-SYSTEM-FOR-PARALYZED-INDIVIDUALS.pdf"/>
        <s v="https://www.physionet.org/content/auditory-eeg/1.0.0/"/>
        <s v="https://www.ncbi.nlm.nih.gov/pmc/articles/PMC8383397/"/>
        <s v="https://smw.ch/article/doi/SMW.2021.w30039"/>
        <s v="https://www.biorxiv.org/content/biorxiv/early/2021/11/19/2021.11.16.468841.full.pdf"/>
        <s v="https://data.mendeley.com/datasets/w9xfz56txv/2"/>
        <s v="http://nmail.kaist.ac.kr/wordpress/index.php/2018/11/14/daily-life-emotion-dynamics-tracking-through-wearable-device/"/>
        <s v="https://www.mdpi.com/1424-8220/19/11/2637"/>
        <s v="https://www.sciencedirect.com/science/article/pii/S2665917421000258"/>
        <s v="https://ieeexplore.ieee.org/abstract/document/9515106/keywords#keywords"/>
        <s v="https://neuroergonomicsconference.um.ifi.lmu.de/wp-content/uploads/submissions/190.pdf"/>
        <s v="https://www.hindawi.com/journals/jhe/2021/5517637/"/>
        <s v="https://ieeexplore.ieee.org/document/9502250/authors#authors"/>
        <s v="http://scholar.google.com/scholar_url?url=https://www.mdpi.com/2076-3425/11/6/698/pdf&amp;hl=en&amp;sa=X&amp;d=17228105893307217039&amp;ei=1G-1YKn2G8mO6rQP8LClmAo&amp;scisig=AAGBfm0vpo9JJTohqqfa7b0cKg5CoyUAeQ&amp;nossl=1&amp;oi=scholaralrt&amp;hist=phuwsnkAAAAJ:1324821476278215287:AAGBf"/>
        <s v="https://dl.acm.org/doi/10.1145/3412382.3458268"/>
        <s v="https://link.springer.com/article/10.1007/s00521-021-06038-y"/>
        <s v="https://link.springer.com/chapter/10.1007/978-981-15-9472-4_32"/>
        <s v="https://dl.acm.org/doi/abs/10.1145/3411763.3451583"/>
        <s v="www.ieomsociety.org/imeom/167.pdf"/>
        <s v="https://www.mdpi.com/2075-1729/11/5/378"/>
        <s v="https://link.springer.com/chapter/10.1007/978-3-030-72657-7_42"/>
        <s v="https://www.sciencedirect.com/science/article/pii/S2405844021012512"/>
        <s v="https://ieeexplore.ieee.org/abstract/document/9399605"/>
        <s v="https://link.springer.com/content/pdf/10.1007/978-981-33-4084-8.pdf#page=382"/>
        <s v="https://www.atlantis-press.com/proceedings/conaplin-20/125956006"/>
        <s v="https://www.frontiersin.org/articles/10.3389/fcomp.2021.661300/full"/>
        <s v="https://www.researchgate.net/publication/350473185_A_Closed-Loop_Brain-Computer_Interface_with_Augmented_Reality_Feedback_for_Industrial_Human-Robot_Collaboration"/>
        <s v="http://www.e-iji.net/dosyalar/iji_2021_2_48.pdf"/>
        <s v="https://www.tandfonline.com/doi/full/10.1080/10447318.2021.1921482"/>
        <s v="https://cbs.uok.ac.ir/article_61752.html?lang=en"/>
        <s v="http://scholar.google.com/scholar_url?url=https://www.mdpi.com/1424-8220/21/6/2020/pdf&amp;hl=en&amp;sa=X&amp;d=3743719481528309039&amp;ei=YYBSYOzuFeiN6rQPg5ud0Aw&amp;scisig=AAGBfm2BH34uzxiWvfRIbJ5Bzld1oFJT_g&amp;nossl=1&amp;oi=scholaralrt&amp;hist=phuwsnkAAAAJ:1324821476278215287:AAGBf"/>
        <s v="http://nmail.kaist.ac.kr/paper/JNE2021.pdf"/>
        <s v="https://www.matec-conferences.org/articles/matecconf/pdf/2021/05/matecconf_cscns20_06003.pdf"/>
        <s v="https://www.researchgate.net/publication/349617055_A_Fusion_Algorithm_for_Saccade_Eye_Movement_Enhancement_with_EOG_and_Lumped-element_Models"/>
        <s v="https://ieeexplore.ieee.org/abstract/document/9333469"/>
        <s v="http://scholar.google.com/scholar_url?url=https://www.mdpi.com/1424-8220/21/2/578/pdf&amp;hl=en&amp;sa=X&amp;d=10454797439915091092&amp;ei=llwLYLqKI8qnywS5jqaQAg&amp;scisig=AAGBfm0Ls-jO1jgC_8b9EV5_cK09JXNeXA&amp;nossl=1&amp;oi=scholaralrt&amp;hist=phuwsnkAAAAJ:1324821476278215287:AAGBfm"/>
        <s v="https://www.biorxiv.org/content/10.1101/2021.01.27.428396v1"/>
        <s v="https://arxiv.org/ftp/arxiv/papers/2102/2102.00414.pdf"/>
        <s v="http://scholar.google.com/scholar_url?url=https://www.mdpi.com/2076-3417/11/2/674/pdf&amp;hl=en&amp;sa=X&amp;d=11378052140150603235&amp;ei=llwLYLqKI8qnywS5jqaQAg&amp;scisig=AAGBfm03JBVY-T9kTT0ztI2Jzvx3_YOQUg&amp;nossl=1&amp;oi=scholaralrt&amp;hist=phuwsnkAAAAJ:1324821476278215287:AAGBfm"/>
        <s v="https://www.mdpi.com/1424-8220/21/2/572"/>
        <s v="https://www.sciencedirect.com/science/article/pii/B9780128196649000132"/>
        <s v="https://ieeexplore.ieee.org/abstract/document/9350509"/>
        <s v="https://ieeexplore.ieee.org/abstract/document/9441260"/>
        <s v="https://ieeexplore.ieee.org/document/9446779/"/>
        <s v="https://www.sciencedirect.com/science/article/pii/S0167876021001835"/>
        <s v="https://dl.acm.org/doi/10.1145/3513023"/>
        <s v="https://www.sciencedirect.com/science/article/pii/S1746809421004006"/>
        <s v="https://www.hindawi.com/journals/jhe/2021/5535810/"/>
        <s v="https://ieeexplore.ieee.org/abstract/document/9456194"/>
        <s v="https://ieeexplore.ieee.org/abstract/document/9461383"/>
        <s v="https://ieeexplore.ieee.org/abstract/document/9464220"/>
        <s v="https://ieeexplore.ieee.org/abstract/document/9464359"/>
        <s v="https://ieeexplore.ieee.org/abstract/document/9466007"/>
        <s v="https://www.researchgate.net/publication/347747774_EEG-Based_BCI_Emotion_Recognition_Using_the_Stock-Emotion_Dataset"/>
        <s v="https://link.springer.com/article/10.1007/s10586-021-03326-z"/>
        <s v="https://www.sciencedirect.com/science/article/pii/S24058440210166866"/>
        <s v="https://ieeexplore.ieee.org/document/9476316"/>
        <s v="https://braininformatics.springeropen.com/articles/10.1186/s40708-021-00133-5#citeas"/>
        <s v="https://www.resna.org/sites/default/files/conference/2021/NewEmergingTechnology/75_Mussi.html"/>
        <s v="https://www.sciencedirect.com/science/article/pii/S2046043021000617"/>
        <s v="https://ieeexplore.ieee.org/abstract/document/9495879"/>
        <s v="https://www.cambridge.org/core/services/aop-cambridge-core/content/view/A36F36047D5F10A739B2D350E347C9C1/S2732527X21000900a.pdf/demonstrating_the_feasibility_of_multimodal_neuroimaging_data_capture_with_a_wearable_electoencephalography_functional_nearinfr"/>
        <s v="https://ieeexplore.ieee.org/abstract/document/9502250"/>
        <s v="https://ieeexplore.ieee.org/abstract/document/9502229"/>
        <s v="https://www.hindawi.com/journals/ahci/2021/5515759/"/>
        <s v="https://link.springer.com/article/10.1007/s12559-020-09744-2"/>
        <s v="https://thesai.org/Publications/ViewPaper?Volume=11&amp;Issue=10&amp;Code=IJACSA&amp;SerialNo=80"/>
        <s v="https://ieeexplore.ieee.org/document/9170488"/>
        <s v="https://www.scitepress.org/Papers/2020/88709/88709.pdf"/>
        <s v="https://ieeexplore.ieee.org/document/9229386/"/>
        <s v="https://ieeexplore.ieee.org/abstract/document/9349612"/>
        <s v="https://arxiv.org/abs/2010.07534"/>
        <s v="https://ieeexplore.ieee.org/abstract/document/9331503"/>
        <s v="https://ieeexplore.ieee.org/abstract/document/9310801/"/>
        <s v="http://aihc.amexihc.org/index.php/aihc/article/view/59"/>
        <s v="https://open.library.ubc.ca/cIRcle/collections/ubctheses/24/items/1.0395339"/>
        <s v="https://pdfs.semanticscholar.org/4f78/fe53072f42837e4c969d670c6e2c7e2dcbe7.pdf"/>
        <s v="https://scholarworks.boisestate.edu/cgi/viewcontent.cgi?article=1007&amp;context=mss_2020"/>
        <s v="https://ieeexplore.ieee.org/abstract/document/9291239/"/>
        <s v="https://link.springer.com/chapter/10.1007/978-3-030-63665-4_18"/>
        <s v="https://ieeexplore.ieee.org/abstract/document/9288078"/>
        <s v="https://ieeexplore.ieee.org/abstract/document/9282835"/>
        <s v="https://ieeexplore.ieee.org/document/9283019"/>
        <s v="https://ieeexplore.ieee.org/abstract/document/9283117"/>
        <s v="https://ieeexplore.ieee.org/abstract/document/9283049/"/>
        <s v="https://www.sciencedirect.com/science/article/pii/S2352340920314712#"/>
        <s v="https://www.mdpi.com/2073-431X/9/4/104"/>
        <s v="https://ieeexplore.ieee.org/abstract/document/9299199"/>
        <s v="https://ieeexplore.ieee.org/abstract/document/9265364"/>
        <s v="https://ieeexplore.ieee.org/stamp/stamp.jsp?tp=&amp;arnumber=9269978"/>
        <s v="https://dl.acm.org/doi/abs/10.1145/3385956.3422122"/>
        <s v="http://scholar.google.com/scholar_url?url=http://revistasabi.fi.mdp.edu.ar/index.php/revista/article/download/356/344&amp;hl=en&amp;sa=X&amp;d=9980152827287068544&amp;ei=AOuuX5n9JdKimAGFhLnYDg&amp;scisig=AAGBfm0YGDF7e0znbVnljeUIGvZT_0J5PQ&amp;nossl=1&amp;oi=scholaralrt&amp;hist=phuwsnkA"/>
        <s v="https://ieeexplore.ieee.org/document/9234239/authors"/>
        <s v="https://www.degruyter.com/view/journals/bams/ahead-of-print/article-10.1515-bams-2020-0050/article-10.1515-bams-2020-0050.xml"/>
        <s v="https://www.researchgate.net/profile/Manuel_Olguin_Munoz/publication/345065642_Impact_of_delayed_response_on_Wearable_Cognitive_Assistance/links/5f9d453b299bf1b53e547b53/Impact-of-delayed-response-on-Wearable-Cognitive-Assistance.pdf"/>
        <s v="https://www.futurescienceleaders.com/blog/2020/06/development-of-an-eog-classification-system-for-sci-prosthetic-hand-movement/"/>
        <s v="https://dl.acm.org/doi/abs/10.1145/3382507.3418882"/>
        <s v="https://www.frontiersin.org/articles/10.3389/fninf.2020.553352/full"/>
        <s v="https://era.library.ualberta.ca/items/c00514a1-e810-4ddf-9e1b-af3a3d90c65a/view/a3552101-cd62-4d2a-991c-337d6b0e68af/Cyber%20Colloquim%20Sakamaki.pdf"/>
        <s v="https://arxiv.org/ftp/arxiv/papers/2010/2010.10359.pdf"/>
        <s v="https://arxiv.org/ftp/arxiv/papers/2010/2010.07534.pdf"/>
        <s v="http://www.proteusresearch.org/gallery/pj-2487-47-f.pdf"/>
        <s v="https://arxiv.org/pdf/2010.02960.pdf"/>
        <s v="https://link.springer.com/chapter/10.1007/978-3-030-59277-6_21"/>
        <s v="https://ieeexplore.ieee.org/abstract/document/9163680"/>
        <s v="https://ieeexplore.ieee.org/abstract/document/9159690"/>
        <s v="https://www.designsociety.org/publication/42519/Integration+of+low-cost%2C+dry-comb+EEG-electrodes+with+a+standard+electrode+cap+for+multimodal+signal+acquisition+during+human+experiments"/>
        <s v="https://ieeexplore.ieee.org/abstract/document/9142320"/>
        <s v="https://ieeexplore.ieee.org/abstract/document/9152264"/>
        <s v="https://www.ncbi.nlm.nih.gov/pmc/articles/PMC7381737/"/>
        <s v="https://ieeexplore.ieee.org/document/9139955"/>
        <s v="https://ieeexplore.ieee.org/abstract/document/9142156"/>
        <s v="https://www.sciencedirect.com/science/article/abs/pii/S0001691820300901"/>
        <s v="https://ieeexplore.ieee.org/document/9129966"/>
        <s v="https://arxiv.org/abs/2006.16498"/>
        <s v="https://ieeexplore.ieee.org/abstract/document/9128824"/>
        <s v="https://link.springer.com/chapter/10.1007/978-3-030-51328-3_9"/>
        <s v="https://www.sciencedirect.com/science/article/pii/S0753332220304984"/>
        <s v="https://www.sciencedirect.com/science/article/abs/pii/S0010482520302031"/>
        <s v="http://www.csis.pace.edu/~ctappert/srd/b6.pdf"/>
        <s v="https://openaccess.thecvf.com/content_CVPRW_2020/papers/w19/Masui_Continuous_Estimation_of_Emotional_Change_Using_Multimodal_Affective_Responses_CVPRW_2020_paper.pdf"/>
        <s v="https://link.springer.com/chapter/10.1007/978-3-030-49663-0_8"/>
        <s v="http://ceur-ws.org/Vol-2610/paper10.pdf"/>
        <s v="https://ieeexplore.ieee.org/abstract/document/9086518"/>
        <s v="https://www.worldscientific.com/doi/abs/10.1142/S0129065720500185"/>
        <s v="https://arxiv.org/abs/2005.11413"/>
        <s v="https://www.mdpi.com/2076-3425/10/6/321"/>
        <s v="https://www.mdpi.com/1424-8220/20/9/2443/htm"/>
        <s v="https://www.aclweb.org/anthology/2020.onion-1.5/"/>
        <s v="https://dl.acm.org/doi/pdf/10.1145/3313831.3376128"/>
        <s v="https://www.sciencedirect.com/science/article/pii/S240584402030270X"/>
        <s v="https://iopscience.iop.org/article/10.1088/2057-1976/ab872c/meta"/>
        <s v="https://ieeexplore.ieee.org/document/8999731"/>
        <s v="https://ieeexplore.ieee.org/abstract/document/9061652"/>
        <s v="https://ieeexplore.ieee.org/abstract/document/9061664"/>
        <s v="https://conferences.computer.org/vr-tvcg/2020/pdfs/VR2020-2f8MzUJjtCXG6Ue9RYFSN2/560800a756/560800a756.pdf"/>
        <s v="https://ieeexplore.ieee.org/document/9025032?dld=b3BlbmJjaS5jb20%3D"/>
        <s v="https://dl.acm.org/doi/abs/10.1145/3374587.3374636"/>
        <s v="https://www.researchgate.net/publication/340072194_Development_of_a_Flex_and_Stretchy_Conductive_Cotton_Fabric_Via_Flat_Screen_Printing_of_PEDOTPSSPDMS_Conductive_Polymer_Composite"/>
        <s v="https://link.springer.com/chapter/10.1007/978-981-15-2449-3_5"/>
        <s v="https://www.semanticscholar.org/paper/Blink-to-Get-In%3A-Biometric-Authentication-for-using-Gupta-Agarwal/c61ce3c1561536576569dc757fd543cc0520598b"/>
        <s v="https://ieeexplore.ieee.org/document/9024354/keywords#keywords"/>
        <s v="https://www.researchgate.net/publication/339697951_Design_and_Demonstration_of_a_Head_Phantom_for_Testing_of_Electroencephalography_EEG_Equipment"/>
        <s v="https://link.springer.com/chapter/10.1007/978-981-15-1286-5_42#citeas"/>
        <s v="https://www.duo.uio.no/bitstream/handle/10852/73309/1/Master-thesis---Magnus-Thorstensen.pdf"/>
        <s v="https://exertiongameslab.org/wp-content/uploads/2020/02/neo-noumena_chi2020.pdf"/>
        <s v="https://www.mdpi.com/2076-3417/10/2/541"/>
        <s v="https://www.sciencedirect.com/science/article/abs/pii/S174680942030032X"/>
        <s v="http://gnan.ece.gatech.edu/archive/agarwal-chi20.pdf"/>
        <s v="http://gnan.ece.gatech.edu/archive/agarwal-aaairlg20.pdf"/>
        <s v="https://pdfs.semanticscholar.org/806e/a807e16b0424e78ee0c02a2b98b4e7a67547.pdf"/>
        <s v="https://link.springer.com/chapter/10.1007/978-3-030-21077-9_23"/>
        <s v="https://odr.chalmers.se/server/api/core/bitstreams/25ed8397-bf27-46b4-9330-69ac1e33da2b/content"/>
        <s v="https://doi.org/10.1145/3359996.3364276"/>
        <s v="https://www.researchgate.net/profile/Matheus-Mussi/publication/357780881_Classification_of_EEG_Motor_Imagery_signal_processed_in_time-frequency_with_Convolutional_Neural_Network/links/61df43395c0a257a6fe35ea2/Classification-of-EEG-Motor-Imagery-signal-pro"/>
        <s v="https://www.researchgate.net/publication/335752987_Effect_of_mindfulness_on_improving_performance_of_software_development"/>
        <s v="https://dialnet.unirioja.es/descarga/articulo/7016836.pdf"/>
        <s v="http://www.koreascience.kr/article/JAKO201935236777417.page"/>
        <s v="https://www.researchgate.net/publication/330675051_PersonTask_discretization_in_brain_computer_interfaces_based_on_mental_task_activities"/>
        <s v="https://ieeexplore.ieee.org/document/9052306"/>
        <s v="https://ieeexplore.ieee.org/document/9071613"/>
        <s v="https://ieeexplore.ieee.org/abstract/document/9021752/"/>
        <s v="https://ieeexplore.ieee.org/document/8926475"/>
        <s v="https://ieeexplore.ieee.org/document/8992962?dld=b3BlbmJjaS5jb20%3D&amp;source=SEARCHALERT\"/>
        <s v="https://ieeexplore.ieee.org/abstract/document/8945233"/>
        <s v="http://imreza.ir/downloads/ID51.pdf"/>
        <s v="https://doi.org/10.1002/hed.26057"/>
        <s v="http://gnan.ece.gatech.edu/archive/agarwal-blink.pdf"/>
        <s v="https://ieeexplore.ieee.org/document/8769766"/>
        <s v="https://ieeexplore.ieee.org/abstract/document/8914572"/>
        <s v="http://spre.azad.ac.ir/article_671214_cfd454802124a0cda30defd0cf5cf336.pdf"/>
        <s v="https://ieeexplore.ieee.org/document/8733482"/>
        <s v="https://www.researchgate.net/profile/Hiroshan_Gunawardane/publication/336903635_An_Oculomotor_Sensing_Technique_for_Saccade_Isolation_of_Eye_Movements_using_OpenBCI/links/5dba1d60a6fdcc2128f0c972/An-Oculomotor-Sensing-Technique-for-Saccade-Isolation-of-Ey"/>
        <s v="https://www.tandfonline.com/doi/full/10.1080/17483107.2019.1683239"/>
        <s v="https://www.scirp.org/journal/paperinformation.aspx?paperid=95481"/>
        <s v="https://www.researchgate.net/publication/334812059_EEGlass_An_EEG-Eyeware_Prototype_for_Ubiquitous_Brain-Computer_Interaction"/>
        <s v="https://www.ncbi.nlm.nih.gov/pubmed/30837042"/>
        <s v="https://www.ncbi.nlm.nih.gov/pmc/articles/PMC6669939/"/>
        <s v="https://ieeexplore.ieee.org/document/8762012"/>
        <s v="https://drive.google.com/file/d/1DBtyleBGm7rpW2ac6IG_ToJ4OgyWq7k7/view?usp=sharing"/>
        <s v="https://www.nature.com/articles/s41598-019-41895-7"/>
        <s v="https://www.sciencedirect.com/science/article/pii/S156849461830663X"/>
        <s v="https://github.com/NTX-McGill/NeuroTechX-McGill-2019"/>
        <s v="https://www.frontiersin.org/articles/10.3389/fnins.2019.00354/full"/>
        <s v="https://www.mdpi.com/1424-8220/19/4/772"/>
        <s v="https://ieeexplore.ieee.org/abstract/document/8642836"/>
        <s v="https://www.biorxiv.org/content/10.1101/578682v1.full"/>
        <s v="https://ieeexplore.ieee.org/abstract/document/8492430/metrics#metrics"/>
        <s v="http://electro.itchihuahua.edu.mx/revista/2018/PDS-5_C.pdf"/>
        <s v="https://www.ncbi.nlm.nih.gov/pubmed/30441051"/>
        <s v="https://www.matec-conferences.org/articles/matecconf/abs/2018/14/matecconf_imet2018_01006/matecconf_imet2018_01006.html"/>
        <s v="https://www.ibm.com/blogs/research/2018/07/bionics-real-life/"/>
        <s v="https://onlinelibrary.wiley.com/doi/full/10.1002/jsid.749"/>
        <s v="https://www.atlantis-press.com/proceedings/ammsa-18/25898286"/>
        <s v="https://ieeexplore.ieee.org/abstract/document/8516468/keywords#keywords"/>
        <s v="https://arxiv.org/pdf/1806.03045.pdf"/>
        <s v="https://www.sciencedirect.com/science/article/pii/S2352340918314379"/>
        <s v="https://hal.inria.fr/hal-01794900v2/document"/>
        <s v="https://openbci.com/community/cyton-based-eeg-headset-prototype-used-to-detect-brain-injury-in-real-time/"/>
        <s v="https://ieeexplore.ieee.org/abstract/document/8585373"/>
        <s v="https://arxiv.org/pdf/1809.08632.pdf"/>
        <s v="https://www.nature.com/articles/s41699-018-0064-4"/>
        <s v="https://content.sciendo.com/abstract/journals/cjece/11/2/article-p29.xml"/>
        <s v="https://arxiv.org/abs/1810.04582"/>
        <s v="https://www.mdpi.com/1424-8220/18/11/3721"/>
        <s v="https://webthesis.biblio.polito.it/8023/1/tesi.pdf"/>
        <s v="https://ieeexplore.ieee.org/abstract/document/8452823"/>
        <s v="https://search.proquest.com/openview/58800a3a14a7aa1d52d1e59b78f0d16c/1?pq-origsite=gscholar&amp;cbl=18750&amp;diss=y"/>
        <s v="https://ieeexplore.ieee.org/abstract/document/8419405"/>
        <s v="https://scholar.google.com/citations?user=U-L-iGIAAAAJ&amp;hl=en&amp;authuser=1"/>
        <s v="https://ieeexplore.ieee.org/abstract/document/8584193"/>
        <s v="https://drive.google.com/open?id=1pTsqxYm7Q_gvsv7H1kxVfXdzGA7aYddp"/>
        <s v="https://ieeexplore.ieee.org/abstract/document/8584340"/>
        <s v="https://proceedings.cmbes.ca/index.php/proceedings/article/view/703/697"/>
        <s v="https://ieeexplore.ieee.org/abstract/document/8400758"/>
        <s v="https://ieeexplore.ieee.org/abstract/document/8500283"/>
        <s v="https://arxiv.org/pdf/1806.04037.pdf"/>
        <s v="https://ieeexplore.ieee.org/abstract/document/8597134"/>
        <s v="https://lib.dr.iastate.edu/cgi/viewcontent.cgi?article=1010&amp;context=creativecomponents"/>
        <s v="https://ieeexplore.ieee.org/abstract/document/8616170"/>
        <s v="https://ieeexplore.ieee.org/abstract/document/8409632"/>
        <s v="https://dl.acm.org/citation.cfm?id=3186517"/>
        <s v="https://upcommons.upc.edu/handle/2117/117722"/>
        <s v="https://papers.ssrn.com/sol3/papers.cfm?abstract_id=3174465"/>
        <s v="https://ieeexplore.ieee.org/abstract/document/8421897/metrics#metrics"/>
        <s v="https://ieeexplore.ieee.org/abstract/document/8603652/keywords#keywords"/>
        <s v="https://ieeexplore.ieee.org/abstract/document/8512914"/>
        <s v="https://link.springer.com/chapter/10.1007/978-3-030-03402-3_43"/>
        <s v="https://link.springer.com/chapter/10.1007/978-3-319-91470-1_18"/>
        <s v="https://link.springer.com/chapter/10.1007/978-3-030-01057-7_25"/>
        <s v="https://ieeexplore.ieee.org/abstract/document/8409863/metrics"/>
        <s v="https://ieeexplore.ieee.org/abstract/document/8589911"/>
        <s v="https://ieeexplore.ieee.org/document/8122954"/>
        <s v="https://www.researchgate.net/publication/318111303_Identification_of_EEG-based_signature_produced_by_visual_exposure_to_the_primary_colours_RGB"/>
        <s v="https://www.researchgate.net/publication/321607480_Generating_forbidden_region_virtual_fixtures_by_classification_of_movement_intention_based_on_event-related_desynchronization"/>
        <s v="http://ksiresearchorg.ipage.com/tdr/references/qi03dms17dc.pdf"/>
        <s v="https://www.ncbi.nlm.nih.gov/pmc/articles/PMC5540472/"/>
        <s v="http://www.ijetcse.com/wp-content/plugins/ijetcse/file/upload/docx/75BIOMETRIC-AUTHENTICATION-OF-PC-BY-USING-EEG-SIGNALS-pdf.pdf"/>
        <s v="https://www.researchgate.net/publication/319602410_IBPoet_an_interactive_biosensitive_poetry_composition_device"/>
        <s v="https://www.researchgate.net/publication/321314519_Using_Brain-Computer_Interface_and_Internet_of_Things_to_Improve_Healthcare_for_Wheelchair_Users"/>
        <s v="https://ieeexplore.ieee.org/abstract/document/8229668"/>
        <s v="https://link.springer.com/chapter/10.1007/978-981-10-4280-5_24"/>
        <s v="https://ieeexplore.ieee.org/abstract/document/8009392/keywords#keywords"/>
        <s v="https://www.researchgate.net/publication/318389411_Project_and_evaluation_EMGEOG_Human-Computer_interface"/>
        <s v="https://ieeexplore.ieee.org/document/7844580"/>
        <s v="https://www.ias.informatik.tu-darmstadt.de/uploads/Theses/Abschlussarbeiten/daniel_alte_BSc_thesisc.pdf"/>
        <s v="https://hal.inria.fr/hal-01278245/document"/>
        <s v="https://ieeexplore.ieee.org/document/7839045"/>
        <s v="https://oaktrust.library.tamu.edu/handle/1969.1/154517"/>
        <s v="https://expeeeriments.io/pubs/Knierim2021-AHFE.pdf"/>
      </sharedItems>
    </cacheField>
    <cacheField name="Journal/Conference" numFmtId="0">
      <sharedItems containsBlank="1">
        <s v="IEEE Access"/>
        <m/>
        <s v="2026 6th International Conference on Electrical, Computer and Energy Technologies (ICECET)"/>
        <s v="Physiological Measurement"/>
        <s v="Journal of Technology Informatics and Engineering"/>
        <s v="Advanced Science"/>
        <s v="Frontiers in Neuroscience"/>
        <s v="2026 IEEE Intelligent Vehicles Symposium (IV)"/>
        <s v=" "/>
        <s v="Lecture Notes in Computer Science"/>
        <s v="2026 ACM/IEEE International Conference on Embedded Artificial Intelligence and Sensing Systems - Posters and Demos (SenSys-Adjunct)"/>
        <s v="Nanophotonics"/>
        <s v="Journal of Sensors"/>
        <s v="Diagnostyka. 2026;27(2):2026215."/>
        <s v="JMIR mHealth and uHealth"/>
        <s v="SPECTRUM OF ENGINEERING SCIENCES&#10;"/>
        <s v="Nano-Micro Letters"/>
        <s v="2026 9th International Conference on Trends in Electronics and Informatics (ICOEI)"/>
        <s v="IFMBE Proceedings"/>
        <s v="International Journal of Intelligent Engineering &amp; Systems, 2026, Vol 19, Issue 6, p186"/>
        <s v="2026 Third International Conference on Networking and Communications (ICNWC)"/>
        <s v="Behavioral Sciences. 2026; 16(5):815."/>
        <s v="Scientific Reports"/>
        <s v="Imaging Neuroscience"/>
        <s v="2026 IEEE Conference on Virtual Reality and 3D User Interfaces Abstracts and Workshops (VRW)"/>
        <s v="International Journal of Biomaterials"/>
        <s v="j.electron.electromedical.eng.med.inform, vol. 8, no. 2, pp. 789-805"/>
        <s v="Smart Innovation, Systems and Technologies"/>
        <s v="Journal of Computing Theories and Applications"/>
        <s v="2026 Twelfth International Conference on Bio Signals, Images, and Instrumentation (ICBSII)"/>
        <s v="Frontiers in Human Neuroscience"/>
        <s v="SoutheastCon 2026"/>
        <s v="Brain Organoid and Systems Neuroscience Journal"/>
        <s v="SenSys ’26, May 11–14, 2026"/>
        <s v="Proceedings of the 2026 CHI Conference on Human Factors in Computing Systems"/>
        <s v="International Journal of Affective Engineering"/>
        <s v="2024 8th International Conference on Computational System and Information Technology for Sustainable Solutions (CSITSS)"/>
        <s v="Sensors"/>
        <s v="Journal of Neural Engineering"/>
        <s v="Proceedings of the ACM on Interactive, Mobile, Wearable and Ubiquitous Technologies"/>
        <s v="IEEE ICCBE 2025"/>
        <s v="Proceedings of the Twentieth International Conference on Tangible, Embedded, and Embodied Interaction"/>
        <s v="Journal of Bioinformatics and Neuroscience (JBINS), 12 (1): 637 - 649, December 30, 2025"/>
        <s v="IEEE SENSORS JOURNAL, VOL. XX, NO. XX, XXXX 2026"/>
        <s v="Journal of Medical Systems"/>
        <s v="IEEE Sensors Journal"/>
        <s v="Proceedings of LREC 2026"/>
        <s v="Smart Materials and Structures"/>
        <s v="Eighteenth International Conference on Machine Vision (ICMV 2025)"/>
        <s v="MethodsX"/>
        <s v="Afyon Kocatepe University Journal of Sciences and Engineering"/>
        <s v="Artificial Intelligence in Instrumentation, Control and Automation"/>
        <s v="International Journal of Pattern Recognition and Artificial Intelligence"/>
        <s v="Bioengineering"/>
        <s v="Multimedia Tools and Applications"/>
        <s v="Indonesian Journal of Electronics, Electromedical Engineering, and Medical Informatics"/>
        <s v="ACS Applied Materials &amp;amp; Interfaces"/>
        <s v="2025 10th International Conference on Intelligent Informatics and Biomedical Sciences (ICIIBMS)"/>
        <s v="2025 IEEE International Conference on Advanced Robotics (ICAR)"/>
        <s v="Life"/>
        <s v="Journal of Loss and Trauma"/>
        <s v="Communications in Science and Technology"/>
        <s v="Sensors and Actuators A: Physical"/>
        <s v="Alzheimer's &amp;amp; Dementia"/>
        <s v="2025 IEEE 6th International Symposium on the Internet of Sounds (IS2)"/>
        <s v="Social Sciences &amp;amp; Humanities Open"/>
        <s v="Proceedings of the 15th International Conference on the Internet of Things"/>
        <s v="Journal of Applied Polymer Science"/>
        <s v="Research on Biomedical Engineering"/>
        <s v="Computation"/>
        <s v="Digital Signal Processing"/>
        <s v="Medical &amp;amp; Biological Engineering &amp;amp; Computing"/>
        <s v="Journal of Radio Electronics"/>
        <s v="Cogent Arts &amp;amp; Humanities"/>
        <s v="Nature Communications"/>
        <s v="Renewable Energy"/>
        <s v="Journal of NeuroEngineering and Rehabilitation"/>
        <s v="Sensors and Actuators Reports"/>
        <s v="Transactions on Energy Systems and Engineering Applications"/>
        <s v="Journal of Pain Research"/>
        <s v="Cell Reports"/>
        <s v="Virtual Worlds"/>
        <s v="Technologies"/>
        <s v="Brain and Behavior"/>
        <s v="Journal of Biomedical Engineering and Biosciences"/>
        <s v="Nanoscale"/>
        <s v="IEEE Communications Surveys &amp;amp; Tutorials"/>
        <s v="Computers"/>
        <s v="SIGGRAPH Asia 2023 XR"/>
        <s v="2023 IEEE Conference on Virtual Reality and 3D User Interfaces Abstracts and Workshops (VRW)"/>
        <s v="2022 IEEE Conference on Virtual Reality and 3D User Interfaces (VR)"/>
        <s v="JMIR Medical Education"/>
        <s v="Cognitive Neurodynamics"/>
        <s v="Journal of Advanced Research in Applied Sciences and Engineering Technology"/>
        <s v="Proceedings of the Human Factors and Ergonomics Society Annual Meeting"/>
        <s v="Biosensors"/>
        <s v="Advanced Functional Materials"/>
        <s v="PLOS One"/>
        <s v="2025 International Conference on Modern Sustainable Systems (CMSS)"/>
        <s v="OBM Neurobiology"/>
        <s v="Brain Informatics"/>
        <s v="IJARCCE"/>
        <s v="Arabian Journal for Science and Engineering"/>
        <s v="Journal of Asian Architecture and Building Engineering"/>
        <s v="Nature Nanotechnology"/>
        <s v="Applied System Innovation"/>
        <s v="2025 IEEE International Conference on Mechatronics and Automation (ICMA)"/>
        <s v="CommIT (Communication and Information Technology) Journal"/>
        <s v="Advanced Sustainable Systems"/>
        <s v="2025 17th Biomedical Engineering International Conference (BMEiCON)"/>
        <s v="eBRAIN Lab, Division of Engineering"/>
        <s v="International Conference of Control, Dynamic Systems, and Robotics"/>
        <s v="Biomimetics"/>
        <s v="JAREE (Journal on Advanced Research in Electrical Engineering)"/>
        <s v="AIAA AVIATION FORUM AND ASCEND 2025"/>
        <s v="PETRA '25"/>
        <s v="Proceedings of the Extended Abstracts of the CHI Conference on Human Factors in Computing Systems"/>
        <s v="2024 RIVF International Conference on Computing and Communication Technologies (RIVF)"/>
        <s v="Computer Methods in Biomechanics and Biomedical Engineering"/>
        <s v="Egyptian Informatics Journal"/>
        <s v="2025 IEEE Medical Measurements &amp;amp;amp; Applications (MeMeA)"/>
        <s v="2025 International Conference On Rehabilitation Robotics (ICORR)"/>
        <s v="arXiv"/>
        <s v="BMC Musculoskeletal Disorders"/>
        <s v="2025 IEEE 38th International Symposium on Computer-Based Medical Systems (CBMS)"/>
        <s v="2025 IEEE 12th Workshop on Advances in Information, Electronic and Electrical Engineering (AIEEE)"/>
        <s v="Sustainable Energy &amp;amp; Fuels"/>
        <s v="Journal of Communications Software and Systems"/>
        <s v="CIB Conferences"/>
        <s v="Neuroscience"/>
        <s v="Caderno Pedagógico"/>
        <s v="ACS Applied Electronic Materials"/>
        <s v="2025 IEEE Global Engineering Education Conference (EDUCON)"/>
        <s v="Experimental Brain Research"/>
        <s v="Advanced Engineering Informatics"/>
        <s v="Third International Conference on Informatics, Networking, and Computing (ICINC 2024)"/>
        <s v="Journal Européen des Systèmes Automatisés​"/>
        <s v="IEEE Sensors Letters"/>
        <s v="Advanced Materials Technologies"/>
        <s v="Wearable Technologies"/>
        <s v="Energy"/>
        <s v=" PREPRINT (Version 1) available at Research Square"/>
        <s v=" IEEE SENSORS JOURNAL, VOL. XX, NO. XX, XXXX 2024"/>
        <s v="IEEE Transactions on Neural Systems and Rehabilitation Engineering"/>
        <s v="2025 13th International Conference on Brain-Computer Interface (BCI)"/>
        <s v="International Journal of Biomedical Engineering and Technology"/>
        <s v="IEEE Journal of Selected Areas in Sensors"/>
        <s v="Cognitive Science and Technology"/>
        <s v="Journal of Speech, Language, and Hearing Research"/>
        <s v="Iraqi Journal for Computers and Informatics"/>
        <s v="Data in Brief"/>
        <s v="Universal Access in the Information Society"/>
        <s v="Clinical Neurophysiology"/>
        <s v="Materials Today Chemistry"/>
        <s v="AIP Conference Proceedings"/>
        <s v="Polymers"/>
        <s v="2024 14th International Conference on Electrical Engineering (ICEENG)"/>
        <s v="IEEE Transactions on Instrumentation and Measurement"/>
        <s v=" Aalborg Universitet"/>
        <s v="2024 IEEE Central America and Panama Student Conference (CONESCAPAN)"/>
        <s v="Integrated Technologies in Electrical, Electronics and Biotechnology Engineering"/>
        <s v="2024 International Conference on Brain Computer Interface &amp;amp;amp; Healthcare Technologies (iCon-BCIHT)"/>
        <s v="Proceedings of the 56th ACM Technical Symposium on Computer Science Education V. 1"/>
        <s v="IEEE Journal of Biomedical and Health Informatics"/>
        <s v="2025 IEEE/SICE International Symposium on System Integration (SII)"/>
        <s v="Measurement: Sensors"/>
        <s v="Ingénierie des systèmes d information"/>
        <s v="Cornell University"/>
        <s v="2025 IEEE 4th International Conference on AI in Cybersecurity (ICAIC)"/>
        <s v="IET Conference Proceedings"/>
        <s v="International Journal of Psychological Research"/>
        <s v="2024 4th International Conference on Electrical Engineering (EECon)"/>
        <s v="IEEE Access PP(99):1-1"/>
        <s v="Mechanical Systems and Signal Processing&#10;Volume 226, 1 March 2025, 112347"/>
        <s v="Association for Computing Machinery."/>
        <s v="10.48550/arXiv.2501.05589. "/>
        <s v="EXPLORE, Volume 21, Issue 2, 2025, 103114, ISSN 1550-8307"/>
        <s v="Journal of Bioinformatics and Neuroscience (JBINS), 11 "/>
        <s v="Scientific Visualization, 2024, volume 16, number 4, pages 11 - 24"/>
        <s v=" BMC Geriatr 25, 3"/>
        <s v="J. Neural Eng. 22 016003"/>
        <s v="npj Science of Learning volume 9, Article number: 80 (2024) "/>
        <s v="2024 E-Health and Bioengineering Conference (EHB), IASI, Romania, 2024, pp. 1-4"/>
        <s v="Adv. Mater. Technol. 2024, 2401193 "/>
        <s v="Biosystems &amp; Biorobotics ((BIOSYSROB,volume 32))"/>
        <s v="arXiv:2412.14185v1"/>
        <s v="Research Square"/>
        <s v="Transactions on Energy Systems and Engineering Applications, 5(2): 579, 2024"/>
        <s v="2024 9th International Conference on Intelligent Informatics and Biomedical Sciences (ICIIBMS)"/>
        <s v="Soft Sci. 2024, 4, 40"/>
        <s v="2024 3rd International Congress of Biomedical Engineering and Bioengineering (CIIBBI), Cali, Colombia, 2024, pp. 1-6"/>
        <s v="2024 International Conference on Power, Energy, Control and Transmission Systems (ICPECTS)"/>
        <s v="Proceedings of the Second Congress on Control, Robotics, and Mechatronics (pp.245-256)"/>
        <s v="2024 3rd International Congress of Biomedical Engineering and Bioengineering (CIIBBI)"/>
        <s v=" arXiv:2412.07175"/>
        <s v="International Journal of Human–Computer Interaction, 1–25."/>
        <s v="2024 IEEE International Symposium on Mixed and Augmented Reality Adjunct (ISMAR-Adjunct)"/>
        <s v="Department of Applied Computer Science&#10;University of Winnipeg "/>
        <s v="2024 IEEE 13th Global Conference on Consumer Electronics (GCCE)"/>
        <s v="Neuroscience, Volume 564 p260-270 January 09, 2025"/>
        <s v="2024 IEEE Region 10 Symposium (TENSYMP)"/>
        <s v="Biosensors 2024, 14, 553."/>
        <s v="2024 IEEE 22nd Jubilee International Symposium on Intelligent Systems and Informatics (SISY)"/>
        <s v="International Journal of Intelligent Engineering &amp; Systems, 2024, Vol 17, Issue 6, p1241"/>
        <s v="International Journal of Combinatorial Optimization Problems and&#10;Informatics, 15(3), Sep-Dec 2024, 205-210. ISSN: 2007-1558."/>
        <s v="2025 Meas. Sci. Technol. 36 016030"/>
        <s v="Discovering the Frontiers of Human-Robot Interaction. Springer, Cham."/>
        <s v="2024 10th IEEE RAS/EMBS International Conference for Biomedical Robotics and Biomechatronics (BioRob)"/>
        <s v="2024 18th International Conference on Control, Automation, Robotics and Vision (ICARCV)"/>
        <s v="Internet of Things,Volume 28, 2024, 101411, ISSN 2542-6605"/>
        <s v="Nat Commun 15, 8967 (2024)."/>
        <s v="AIP Conf. Proc. 11 October 2024; 3232 (1): 040033"/>
        <s v="2024 20th IEEE/ASME International Conference on Mechatronic and Embedded Systems and Applications (MESA)"/>
        <s v="CoRR abs/2410.03261"/>
        <s v="2024 Moratuwa Engineering Research Conference (MERCon)"/>
        <s v="22nd LACCEI International Multi-Conference for Engineering, Education, and Technology"/>
        <s v="J. Neural Eng. 21 (2024) 056028"/>
        <s v="Life &amp; medical sciences journals"/>
        <s v="2024 43rd Chinese Control Conference (CCC)"/>
        <s v="2024 IEEE International Conference on Electronics, Computing and Communication Technologies (CONECCT)"/>
        <s v="Biomimetics 2024, 9, 562."/>
        <s v="2024 IEEE 67th International Midwest Symposium on Circuits and Systems (MWSCAS)"/>
        <s v="2024 IEEE Canadian Conference on Electrical and Computer Engineering (CCECE)"/>
        <s v="2024 International Seminar on Intelligent Technology and Its Applications (ISITIA)"/>
        <s v="Lux Junior 2024"/>
        <s v="IEEE Transactions on Visualization and Computer Graphics, vol. 30, no. 11, pp. 7332-7342, Nov. 2024"/>
        <s v="2024 9th International STEM Education Conference (iSTEM-Ed)"/>
        <s v="Brain and Neuroscience Advances&#10;Volume 8"/>
        <s v="Biosensors 2024, 14, 432"/>
        <s v="EEE Transactions on Instrumentation and Measurement, vol. 73"/>
        <s v="2024 7th International Conference on Informatics and Computational Sciences (ICICoS)"/>
        <s v="Mensch und Computer 2024 - Workshopband"/>
        <s v="2024 IEEE International Conference on Industry 4.0, Artificial Intelligence, and Communications Technology (IAICT)"/>
        <s v="Journal of Human Centered Technology"/>
        <s v="The University of Tennessee at Chattanooga"/>
        <s v="npj Flexible Electronics volume 8, Article number: 49 "/>
        <s v="2024 IEEE International Conference on Electro Information Technology (eIT)"/>
        <s v="Department of Mechanical Engineering, Al-Nahrain University"/>
        <s v="International Journal of Industry and Sustainable Development (IJISD), Volume 5, Issue 2 (Special Issue)"/>
        <s v="PeerJ Computer Science"/>
        <s v="Springer Link"/>
        <s v=" The International Journal of Health, Wellness and Society"/>
        <s v="Science Direct "/>
        <s v="C"/>
        <s v="Research Gate "/>
        <s v="Springer Nature"/>
        <s v="HAL Open Science "/>
        <s v="Science Advances"/>
        <s v="IEEE Xplore "/>
        <s v="Journal of Management &amp; Entrepreneurship"/>
        <s v="CHI: Conference on Human Factors in Computing Systems"/>
        <s v="Georgia Southern University Thesis "/>
        <s v="Raajdhani Engineering College, Bhubaneswar"/>
        <s v="MOBISYS"/>
        <s v="EBSCO"/>
        <s v="IEEE Data Port"/>
        <s v="2024 4th International Conference on Applied Artificial Intelligence (ICAPAI)"/>
        <s v="ARTICLE, VOLUME 27, ISSUE 6, 110164"/>
        <s v="IFMBE Proceedings "/>
        <s v="Chemical Engineering Journal"/>
        <s v="IEEE Internet of Things Journal"/>
        <s v="IEEE Transactions on Games "/>
        <s v="Nano Energy"/>
        <s v="Data 2024, 9, 68"/>
        <s v="Penn State Masters thesis"/>
        <s v="2024 34th International Conference Radioelektronika "/>
        <s v="ICT4AWE 2024"/>
        <s v="NeuroSci 2024, 5, 169-183"/>
        <s v="Journal of Neural Engineering, Volume 21, Number 3"/>
        <s v="Association for Computing Machinery"/>
        <s v="2024 IEEE International Conference on Pervasive Computing and Communications Workshops and other Affiliated Events (PerCom Workshops)"/>
        <s v="SoutheastCon 2024"/>
        <s v="TechRxiv"/>
        <s v="HardwareX"/>
        <s v="2024 16th International Conference on Knowledge and Smart Technology (KST)"/>
        <s v="Archives of Gerontology and Geriatrics&#10;Volume 124, September 2024, 105442"/>
        <s v="Biomedical Signal Processing and Control&#10;Volume 94, August 2024, 106264"/>
        <s v="IEEE Sensors Journal, vol. 24, no. 9"/>
        <s v="2024 14th International Conference on Cloud Computing, Data Science &amp; Engineering (Confluence)"/>
        <s v="AIP Conf."/>
        <s v="CITIS 2023"/>
        <s v="Front. Hum. Neurosci. 18:1319574."/>
        <s v="VISIGRAPP 2024"/>
        <s v="Proc. ACM Interact. Mob. Wearable Ubiquitous Technol. 8, 1, Article 7"/>
        <s v="IEEE Transactions on Visualization and Computer Graphics, vol. 30, no. 5"/>
        <s v="Front. Neuroinform., 18 December 2023&#10;Volume 17 - 2023 |"/>
        <s v="Applied Mathematics and Nonlinear Sciences"/>
        <s v="Neural Comput &amp; Applic (2024)"/>
        <s v="American Chemical Society"/>
        <s v="Preprints"/>
        <s v="School of Health Science and Engineering University of Shanghai for Science and Technology"/>
        <s v="Sensors 2024"/>
        <s v="European Journal of Psychotraumatology"/>
        <s v="2023 IEEE International Symposium on Robotic and Sensors Environments (ROSE)"/>
        <s v="Forum Acusticum"/>
        <s v="Dissertation Submitted to the Graduate Faculty of The University of Georgia "/>
        <s v="Natural Sciences of Otto von Guericke University&#10;Magdeburg"/>
        <s v="IEEE International Biomedical Instrumentation and Technology Conference (IBITeC)"/>
        <s v="International Journal of Engineering Trends and Technology"/>
        <s v="2023 International Conference of Computer Science and Information Technology (ICOSNIKOM)"/>
        <s v="Journal of Electrical Bioimpedance, vol.14, no.1, 2023, pp.66-72"/>
        <s v="Communications in Computer and Information Science "/>
        <s v="2023 18th International Joint Symposium on Artificial Intelligence and Natural Language Processing (iSAI-NLP)"/>
        <s v="Scientific Reports volume 13"/>
        <s v="2023 15th Biomedical Engineering International Conference (BMEiCON)"/>
        <s v="2023 World Engineering Education Forum - Global Engineering Deans Council (WEEF-GEDC)"/>
        <s v="Turku University of Applied Sciences"/>
        <s v="Computers, Materials &amp; Continua"/>
        <s v="Applied Biological Chemistry"/>
        <s v="Communications in Computer and Information Science"/>
        <s v="Biomedical Signal Processing and Control, Volume 89"/>
        <s v="Lifestyle Medicine. 2024;5:e93"/>
        <s v="Hearing Research, Volume 440"/>
        <s v="REVISTA OBSERVATORIO DE LA ECONOMIA LATINOAMERICANA, "/>
        <s v="International Journal of Software Innovation"/>
        <s v="Flexible and Printed Electronics"/>
        <s v=" XLVI Mexican Conference on Biomedical Engineering"/>
        <s v="XLVI Mexican Conference on Biomedical Engineering "/>
        <s v=" Stanford University ProQuest Dissertations Publishing"/>
        <s v="Proceedings Volume 12803, Fifth International Conference on Artificial Intelligence and Computer Science (AICS 2023)"/>
        <s v="Qual User Exp 8, 9 (2023)"/>
        <s v="Bulletin of Electrical Engineering and Informatics"/>
        <s v="Multimed Tools Appl "/>
        <s v="VRST '23: Proceedings of the 29th ACM Symposium on Virtual Reality Software and Technology"/>
        <s v="Journal of Medical and Biological Engineering"/>
        <s v="Department of Computer Science,&#10;University of Turin, Italy"/>
        <s v="2023 45th Annual International Conference of the IEEE Engineering in Medicine &amp;amp; Biology Society (EMBC)"/>
        <s v="Life 2023, 13, 1961"/>
        <s v="2023 International Electronics Symposium (IES)"/>
        <s v="Data in Brief, Volume 50, 2023,109540"/>
        <s v="Polymers 2023, 15, 3673."/>
        <s v="Journal of Biomedical Engineering = Shengwu Yixue Gongchengxue Zazhi"/>
        <s v="Brain-Computer Interfaces, 10:1, 16-37"/>
        <s v="Int. j. inf. tecnol. 15"/>
        <s v="Information 2023, 14, 473."/>
        <s v="2023 IEEE Colombian Conference on Applications of Computational Intelligence (ColCACI)"/>
        <s v="Advanced Sensor Research"/>
        <s v="DEPARTMENT OF APPLIED COMPUTER SCIENCE&#10;WINNIPEG, MANITOBA, CANADA"/>
        <s v="International Journal of Reliability and Safety 2023"/>
        <s v="2023 International Seminar on Intelligent Technology and Its Applications (ISITIA)"/>
        <s v="GREEN COMPUTING FOR COMMUNICATION TECHNOLOGIES"/>
        <s v="Biomed Microdevices 25"/>
        <s v="2023 International Conference in Advances in Power, Signal, and Information Technology (APSIT)"/>
        <s v="Department of Bioengineering&#10;and the Department of Electrical Engineering&#10;of&#10;SANTA CLARA UNIVERSITY"/>
        <s v="MobiSys ’18"/>
        <s v="California State University, Monterey Bay"/>
        <s v="Human Centered Design, Cornell University"/>
        <s v="Consumer Behavior Studies Journal"/>
        <s v="2023 7th International Multi-Topic ICT Conference (IMTIC)"/>
        <s v="HELIYON"/>
        <s v=" Advances in Practical Applications of Agents, Multi-Agent Systems, and Cognitive Mimetics. The PAAMS Collection "/>
        <s v="U.S. Army Medical Research and Development Command    Fort Detrick, Maryland  21702-5012 "/>
        <s v="Wiley Online Library"/>
        <s v="IIUM Engineering Journal, Vol. 24, No. 2, 2023 "/>
        <s v="Engineering Proceedings 33, no. 1: 43."/>
        <s v="R.Soc.OpenSci."/>
        <s v="Body and Motor Awareness: Representation, Perception and Integration in the Human Brain"/>
        <s v="INTERNATIONAL CONFERENCE ON ENGINEERING DESIGN, ICED23"/>
        <s v="MDPI"/>
        <s v="BodySys '23: Proceedings of the 8th Workshop on Body-Centric Computing Systems"/>
        <s v="ISASE 2023"/>
        <s v="n IEEE Transactions on Neural Systems and Rehabilitation Engineering"/>
        <s v=" IEEE Access"/>
        <s v="International Journal on Advanced Science, Engineering and Information Technology"/>
        <s v="2023 11th International IEEE/EMBS Conference on Neural Engineering (NER)"/>
        <s v="Cross Labs, Cross Compass, Independent Researcher"/>
        <s v="Journal of Data and Information Quality"/>
        <s v="The Journal of Undergraduate Neuroscience Education (JUNE), Spring 2023, 21(2):A142-A150"/>
        <s v="ACM Hum.-Comput. Interact., Vol. 7, No. EICS, Article 174"/>
        <s v="SoutheastCon 2023"/>
        <s v="2022 16th International Conference on Signal-Image Technology &amp; Internet-Based Systems (SITIS)"/>
        <s v="Sensors, Volume 23, Issue 9 "/>
        <s v="Proceedings of the 2023 Secure and Trustworthy Deep Learning&#10;Systems Workshop (SecTL ’23)"/>
        <s v="2023 International Conference on Sustainable Computing and Data Communication Systems (ICSCDS)"/>
        <s v="Electronic Systems Engineering (ESE) [150]"/>
        <s v="ICT Express"/>
        <s v="Book: Human-Robot Interaction - Perspectives and Applications"/>
        <s v="Department of Computer Science and Information Technology, Interdisciplinary Computer Hub, Brain Computer Interface Laboratory, Saint Cloud State University"/>
        <s v="Measurement, Volume 208, 28 February 2023"/>
        <s v="Materials Today Bio Volume 20, June 2023"/>
        <s v="RMIT University, Australia"/>
        <s v="Sensors 2023: Special Issue Real-Life Wearable EEG-Based BCI: Open Challenges"/>
        <s v="Transportation Research Part F: Traffic Psychology and Behaviour"/>
        <s v="Nature Electronics"/>
        <s v="World Journal of Advanced Engineering Technology and Sciences&#10;"/>
        <s v="N/A"/>
        <s v="BRAIN COMMUNICATIONS 2023"/>
        <s v="Smart Sensors for Portable and Remote Measurement"/>
        <s v="2023 11th International Winter Conference on Brain-Computer Interface (BCI)"/>
        <s v="Artificial Intelligence, Digital Sensors and Data Science in Bio-Medicine"/>
        <s v="Computers &amp; Security&#10;Volume 129"/>
        <s v="SoftwareX&#10;Volume 22"/>
        <s v="Journal of Neural Engineering, Volume 20, Number 2"/>
        <s v="International Journal of Cognitive Computing in Engineering&#10;Volume 4, June 2023, Pages 89-99"/>
        <s v="Conference: IEEE XR for Healthcare and Wellbeing Workshop (co-located with IEEE VR)At: Virtual"/>
        <s v="Robotics 2023, 12(1), 27"/>
        <s v="Biomedical Engineering Letters (2023)"/>
        <s v="Electronics 2023"/>
        <s v="IOP Conf. Series: Materials Science and Engineering"/>
        <s v="Neuroscience Informatics"/>
        <s v=" IEEE Sensors Journal"/>
        <s v="International Journal of Electrical and Computer Engineering (IJECE)"/>
        <s v="Biomedical Data in Human-Machine Interaction"/>
        <s v="Sensors and Actuators A: Physical&#10;Volume 349"/>
        <s v="2022 IEEE Symposium Series on Computational Intelligence (SSCI)"/>
        <s v="2022 International Conference on Emerging Trends in Electrical, Control, and Telecommunication Engineering (ETECTE)"/>
        <s v="The Pennsylvania State University The Graduate School"/>
        <s v="2022 IEEE ANDESCON"/>
        <s v="2022 International Conference on Electrical, Computer, Communications and Mechatronics Engineering (ICECCME)"/>
        <s v="Cognitive Computation and Systems"/>
        <s v="2022 7th International Conference on Computer Science and Engineering (UBMK)"/>
        <s v="Doctoral Thesis - Anglia Ruskin University"/>
        <s v="iScience 26, 105827, January 20, 2023"/>
        <s v="2022 FORTEI-International Conference on Electrical Engineering (FORTEI-ICEE)"/>
        <s v="Journal of Applied Physics 132, 224303 (2022)"/>
        <s v="Journal of Advances in Medicine and Medical Research "/>
        <s v="Expert Systems with Applications&#10;Volume 215"/>
        <s v="CNIB 2022: XLV Mexican Conference on Biomedical Engineering pp 293–301"/>
        <s v="2022 IEEE 18th International Conference on Automation Science and Engineering (CASE)"/>
        <s v="ICIS 2022"/>
        <s v="Journal of information and communication convergence engineering Vol.20 No.3"/>
        <s v=" IEEE Journal on Flexible Electronics "/>
        <s v="2022 IEEE International Conference on Artificial Intelligence in Engineering and Technology (IICAIET)"/>
        <s v="2022 IEEE Biomedical Circuits and Systems Conference (BioCAS)"/>
        <s v="2022 9th International Conference on Electrical Engineering, Computer Science and Informatics (EECSI)"/>
        <s v="Kumoh National Institute of Technology"/>
        <s v="Biomedical Signal Processing and Control"/>
        <s v="Journal of Behavioral and Brain Science, 2022, 12, 474-484 "/>
        <s v=" Communications in Computer and Information Science book series (CCIS,volume 1648)"/>
        <s v="2022 International Conference on Information Technologies (InfoTech)"/>
        <s v="Biomedical Microdevices volume 24, Article number: 31 (2022) "/>
        <s v="Biosensors 2022, 12, 772"/>
        <s v="2022 44th Annual International Conference of the IEEE Engineering in Medicine &amp; Biology Society (EMBC)"/>
        <s v="HardwareX&#10;Volume 12, October 2022, e00357"/>
        <s v=" IEEE Internet of Things Journal "/>
        <s v="Journal of Analysis and Computation (JAC) "/>
        <s v="Building and Environment&#10;Volume 224, October 2022, 109567"/>
        <s v="2022 IEEE India Council International Subsections Conference (INDISCON)"/>
        <s v="Lecture Notes in Networks and Systems "/>
        <s v="S.I. : Neural Computing for IOT based Intelligent Healthcare Systems"/>
        <s v="University of Kentucky"/>
        <s v="ACS Publications"/>
        <s v="2022 IEEE 2nd International Maghreb Meeting of the Conference on Sciences and Techniques of Automatic Control and Computer Engineering (MI-STA)"/>
        <s v="2022 IEEE International Conference on Imaging Systems and Techniques (IST)"/>
        <s v="Santa Clara University "/>
        <s v="Frontiers in Psychology "/>
        <s v="signals"/>
        <s v="Biocybernetics and Biomedical Engineering"/>
        <s v="ACM Journals"/>
        <s v="Applied Soft Computing"/>
        <s v="SoutheastCon 2022"/>
        <s v="JMIR Serious Games"/>
        <s v="IEEE International Conference on Electronics Technology 2022"/>
        <s v="26th Annual Symposium of Student Scholars - 2022"/>
        <s v="Applied Sciences"/>
        <s v="(IJACSA) International Journal of Advanced Computer Science and Applications"/>
        <s v=" Portable Systems for Diagnostics and Monitoring Applications"/>
        <s v="Conference: Augmented Humans"/>
        <s v="IUI '22: 27th International Conference on Intelligent User Interfaces"/>
        <s v="The University of Arizona, University Libraries"/>
        <s v="2022 10th International Winter Conference on Brain-Computer Interface (BCI)"/>
        <s v="2022 International Conference for Advancement in Technology (ICONAT)"/>
        <s v="Sensors 2022, 22, 1568"/>
        <s v="International Journal of Intelligent Engineering and Systems, Vol.16, No.1, 2023"/>
        <s v="Neuroprosthetics,&#10;a section of the journal&#10;Frontiers in Neuroscience"/>
        <s v="Artificial Life and Robotics"/>
        <s v="Complexity"/>
        <s v="2021 43rd Annual International Conference of the IEEE Engineering in Medicine &amp; Biology Society (EMBC)"/>
        <s v="2021 IEEE 12th Annual Ubiquitous Computing, Electronics &amp; Mobile Communication Conference (UEMCON)"/>
        <s v="IEEE Latin America Transactions"/>
        <s v="ReCIBE, electronic journal of Computing, Informatics, Biomedical and Electronics"/>
        <s v="2021 IEEE 2nd International Congress of Biomedical Engineering and Bioengineering (CI-IB&amp;BI)"/>
        <s v="2021 4th International Conference on Bio-Engineering for Smart Technologies (BioSMART)"/>
        <s v="Impulse: The Premier Journal for Undergraduate Publications in the Neurosciences"/>
        <s v=" ITU Journal on Future and Evolving Technologies"/>
        <s v="PhysioNet"/>
        <s v="Bioelectron Med. 2021; 7: 12."/>
        <s v="Swiss Medical Weekly"/>
        <s v="Mendeley Data"/>
        <s v="IEEE Transactions on Cybernetics "/>
        <s v="13th International Conference on Electronics, Computers and Artificial Intelligence (ECAI)"/>
        <s v="neuroergonomics Conference 2021"/>
        <s v="Journal of Healthcare Engineering 2021"/>
        <s v="2021 International Seminar on Intelligent Technology and Its Applications (ISITIA)"/>
        <s v="MDPI Brain Sciences"/>
        <s v="In Proceedings of the 20th International Conference on Information Processing in Sensor Networks (co-located with CPS-IoT Week 2021) (IPSN '21)"/>
        <s v="Neural Computing and Applications (2021)"/>
        <s v="In: Guo H., Ren H., Kim N. (eds) IRC-SET 2020"/>
        <s v="CHI EA '21: Extended Abstracts of the 2021 CHI Conference on Human Factors in Computing Systems"/>
        <s v="Proceedings of the International Conference on Industrial &amp; Mechanical Engineering and Operations Management"/>
        <s v="In: Rocha Á., Adeli H., Dzemyda G., Moreira F., Ramalho Correia A.M. (eds) Trends and Applications in Information Systems and Technologies. WorldCIST 2021. Advances in Intelligent Systems and Computing, vol 1365"/>
        <s v="Heliyon, Volume 7, Issue 6, from CellPress"/>
        <s v="2021 International Conference on Innovative Trends in Information Technology"/>
        <s v="Proceedings of the International Conference on Computing and Communication Systems: 13CS 2020"/>
        <s v="Advances in Social Science, Education and Humanities Research"/>
        <s v="Frontiers in Computer Science     "/>
        <s v="International Journal of Instruction"/>
        <s v="International Journal of Human–Computer Interaction"/>
        <s v="Consumer Behavior Studies Journal, 2021, Vol. 8, No.1, pp. 1-21"/>
        <s v="MDPI Sensors - Special Issue &quot;Sensors Technology for Medical Robotics&quot;"/>
        <s v="MATEC Web of Conferences 336"/>
        <s v="IEEE Transactions on Biomedical Engineering"/>
        <s v="2020 2nd International Conference on Advanced Information and Communication Technology (ICAICT)"/>
        <s v="bioArxiv preprint"/>
        <s v="Arxiv Preprint"/>
        <s v="Applied Science"/>
        <s v="Healthcare Paradigms in the Internet of Things Ecosystem, "/>
        <s v="2020 2nd International Conference on Sustainable Technologies for Industry 4.0 (STI)"/>
        <s v="2021 10th International IEEE/EMBS Conference on Neural Engineering"/>
        <s v="MEASUREMENT 2021, Proceedings of the 13th International Conference, Smolenice, Slovakia"/>
        <s v="International Journal of Psychophysiology"/>
        <s v="Biomedical Signal Processing Using Non-Invasive Sensors for Healthcare"/>
        <s v="2nd International Conference for Emerging Technology (INCET)"/>
        <s v="2021 3rd International Congress on Human-Computer Interaction, Optimization and Robotic Applications (HORA)"/>
        <s v="2021 4th International Conference on Circuits, Systems and Simulation (ICCSS)"/>
        <s v="2021 IEEE 1st International Maghreb Meeting of the Conference on Sciences and Techniques of Automatic Control and Computer Engineering MI-STA"/>
        <s v="2021 International Conference on Artificial Intelligence and Mechatronics Systems (AIMS)"/>
        <s v="Advances in Emerging Trends and Technologies (pp.226-235)"/>
        <s v="Cluster Computing"/>
        <s v="2021 16th Iberian Conference on Information Systems and Technologies (CISTI)"/>
        <s v="RESNA Annual Conference - 2021"/>
        <s v="International Journal of Transportation Science and Technology"/>
        <s v="2021 IEEE International Conference on Automatic Control &amp; Intelligent Systems (I2CACIS)"/>
        <s v="INTERNATIONAL CONFERENCE ON ENGINEERING DESIGN, ICED21"/>
        <s v="International Seminar on Intelligent Technology and Its Applications (ISITIA)"/>
        <s v="Advances in Human-Computer Interaction"/>
        <s v="Cognitive Computation"/>
        <s v="International Journal of Advanced Computer Science and Applications(IJACSA), Volume 11 Issue 10"/>
        <s v="IEEE Access, vol. 8"/>
        <s v="13th International Conference of Bio-inspired Systems and Signal Processing"/>
        <s v="2020 6th Iranian Conference on Signal Processing and Intelligent Systems (ICSPIS)"/>
        <s v="2020 32nd International Conference on Microelectronics (ICM), Aqaba, Jordan, 2020"/>
        <s v="2020 5th International Conference on Robotics and Automation Engineering (ICRAE), Singapore, Singapore, 2020"/>
        <s v="Avances en Interacción Humano-Computadora"/>
        <s v="University of British Columbia Thesis"/>
        <s v="International Journal of Advanced Computer Science and Applications (IJACSA) "/>
        <s v="Boise State University Mathematics Senior Showcase "/>
        <s v="2020 New Trends in Civil Aviation (NTCA), Prague, 2020"/>
        <s v="Advances in Intelligent Systems and Computing book series (AISC, volume 1302)"/>
        <s v="2020 IEEE 20th International Conference on Bioinformatics and Bioengineering (BIBE), Cincinnati, OH, 2020"/>
        <s v="2020 IEEE International Conference on Systems, Man, and Cybernetics (SMC), Toronto, ON, 2020, pp. 3478-3483"/>
        <s v="2020 IEEE International Conference on Systems, Man, and Cybernetics (SMC), Toronto, ON, 2020, pp. 3494-3498"/>
        <s v="2020 IEEE International Conference on Systems, Man, and Cybernetics (SMC), Toronto, ON"/>
        <s v="Data in Brief, Volume 33, 2020"/>
        <s v="Computers 2020, 9(4), 104"/>
        <s v="2020 17th International Conference on Electrical Engineering, Computing Science and Automatic Control (CCE), Mexico City, 2020"/>
        <s v="2020 IEEE 10th International Conference on System Engineering and Technology (ICSET)"/>
        <s v="IEEE"/>
        <s v="In 26th ACM Symposium on Virtual Reality Software and Technology (VRST '20)"/>
        <s v="Revista Argentina de Bioingeniería"/>
        <s v="2020 International Seminar on Application for Technology of Information and Communication (iSemantic)"/>
        <s v="Bio-Algorithms and Med-Systems  (published online ahead of print 2020)"/>
        <s v="Esteamed Journal: Year 3"/>
        <s v="Proceedings of the 2020 International Conference on Multimodal Interaction"/>
        <s v="Frontiers in Neuroinformatics"/>
        <s v="Human Interface Cyber Colloquium 2020"/>
        <s v="GNB 2020"/>
        <s v="ACS Journals"/>
        <s v="Proteus Journal"/>
        <s v="EMNLP 2020"/>
        <s v="International Conference on Brain Informatics"/>
        <s v="2020 International Seminar on Intelligent Technology and Its Applications (ISITIA)"/>
        <s v="IEEE Transactions on Circuits and Systems I: Regular Papers"/>
        <s v="Proceedings of NordDesign 2020, Lyngby, Denmark, 12th - 14th August 2020"/>
        <s v="2020 IEEE 29th International Symposium on Industrial Electronics (ISIE)"/>
        <s v="Theranostics"/>
        <s v="IEEE Systems, Man, and Cybernetics Magazine"/>
        <s v="Acta Psychologica, Volume 209 "/>
        <s v="2020 IEEE International Conference on Automation, Quality and Testing, Robotics (AQTR), Cluj-Napoca, Romania, 2020, pp. 1-4"/>
        <s v="Neural and Evolutionary Computing"/>
        <s v="2020 IEEE International Instrumentation and Measurement Technology Conference (I2MTC)"/>
        <s v="International Conference on Applied Human Factors and Ergonomics"/>
        <s v="Biomedicine &amp; Pharmacotherapy"/>
        <s v="Computers in Biology and Medicine, Journal Pre-proof"/>
        <s v="Proceedings of Student-Faculty Research Day, CSIS, Pace University, May 1st, 2020"/>
        <s v="CVPR 2020"/>
        <s v="Cognitive Computation (2020)"/>
        <s v="Intelligent Tutoring Systems. ITS 2020. Lecture Notes in Computer Science, vol 12149"/>
        <s v="10th International Conference on Learning Analytics &amp; Knowledge (LAK20)"/>
        <s v="International Journal of Neural Systems, Vol. 30, No. 7 (2020) "/>
        <s v="(Preprint) Electrical Engineering and Systems Science "/>
        <s v="Brain Sciences 2020, 10, 321"/>
        <s v="Sensors 2020, 20(9), 2443"/>
        <s v="Proceedings of LREC2020 Workshop &quot;People in language, vision and the mind&quot; (ONION2020)"/>
        <s v="CHI '20, April 25–30, 2020, Honolulu, HI, USA © 2020 Association for Computing Machinery. "/>
        <s v="Heliyon, Volume 6, Issue 3, March 2020, e03425"/>
        <s v="Biomedical Physics &amp; Engineering Express, Volume 6, Number 3"/>
        <s v="IEEE Transactions on Neural Systems and Rehabilitation Engineering ( Volume: 28 , Issue: 4 , April 2020 ) &#10;"/>
        <s v="2020 8th International Winter Conference on Brain-Computer Interface (BCI) Gangwon, Korea (South), 2020, pp. 1-4."/>
        <s v="2020 8th International Winter Conference on Brain-Computer Interface (BCI), Gangwon, Korea (South), 2020, pp. 1-3."/>
        <s v="2020 IEEE Conference on Virtual Reality and 3D User Interfaces (VR)"/>
        <s v="IEEE Access ( Volume: 8 )"/>
        <s v="Biomedical Physics &amp; Engineering Express"/>
        <s v="CSAI2019: Proceedings of the 2019 3rd International Conference on Computer Science and Artificial Intelligence, December 2019,  Pages   59–63"/>
        <s v="Sensors. 20. 1742"/>
        <s v="Computational Intelligence in Pattern Recognition. Advances in Intelligent Systems and Computing, vol 1120"/>
        <s v="2019 International Automatic Control Conference (CACS)"/>
        <s v="DOI 10.13140/RG.2.2.12078.25920. "/>
        <s v=" International Conference on Innovative Computing and Communications. Advances in Intelligent Systems and Computing, vol 1087"/>
        <s v="Thesis submitted for the degree of Master in Robotics and Intelligent Systems&#10;UNIVERSITY OF OSLO&#10;"/>
        <s v="CHI 2020 Paper CHI 2020, April 25–30, 2020, Honolulu, HI, USA "/>
        <s v="Biomedical Signal Processing and Control Volume 59, May 2020, 101876"/>
        <s v="2020 Association of Computing Machinery"/>
        <s v="Association for the Advancement of ArtificialIntelligence"/>
        <s v="Colombian Journal of Anesthesiology"/>
        <s v="Mexican Conference on Pattern Recognition"/>
        <s v="Master’s thesis in Complex Adaptive Systems, Department of Mechanics and Maritime Sciences, CHALMERS UNIVERSITY OF TECHNOLOGY, Gothenburg, Sweden 2019"/>
        <s v="25th ACM Symposium on Virtual Reality Software and Technology (VRST '19)"/>
        <s v="Preprint"/>
        <s v="International Journal of Interactive Multimedia and Artificial Intelligence"/>
        <s v="The Journal of the Convergence on Culture Technology (문화기술의 융합), Volume 5, Issue 4&#10;                                                                &#10;                                                                &#10;                                          "/>
        <s v="PRE-PRINT"/>
        <s v="2019 International Conference on Information Systems and Computer Science (INCISCOS), Quito, Ecuador, 2019, pp. 346-353"/>
        <s v="2019 IEEE International Conference on Computational Intelligence and Virtual Environments for Measurement Systems and Applications (CIVEMSA)"/>
        <s v="2019 31st International Conference on Microelectronics (ICM)"/>
        <s v="2019 IEEE Ubiquitous Computing, Electronics &amp; Mobile Communication Conference (UEMCON), IEEE Annual&#10;"/>
        <s v="THE 11TH NATIONAL TECHNICAL SEMINAR ON UNMANNED SYSTEM TECHNOLOGY 2019 (NUSYS’19)"/>
        <s v="Head &amp; Neck"/>
        <s v=" 2019 57th Annual Allerton Conference on Communication, Control, and Computing"/>
        <s v=" 2018 9th Conference on Artificial Intelligence and Robotics and 2nd Asia-Pacific International Symposium, IEEE Xplore"/>
        <s v="2019 IEEE International Conference on Systems, Man and Cybernetics (SMC)"/>
        <s v="Signal Processing and Renewable Energy&#10;September 2019, (pp. 35-48)"/>
        <s v="2019 29th International Conference Radioelektronika (RADIOELEKTRONIKA)"/>
        <s v="Conference: IEEE Sensors 2019, At Montreal, Canada"/>
        <s v="Disability and Rehabilitation: Assistive Technology,&#10;DOI: 10.1080/17483107.2019.1683239&#10;"/>
        <s v="Journal of Software Engineering and Applications, 12, 383-392.&#10;https://doi.org/10.4236/jsea.2019.129023"/>
        <s v="Adjunct Proceedings of the 2019 ACM International Joint Conference on Pervasive and Ubiquitous Computing (UbiComp)"/>
        <s v="Zhongguo Yi Xue Ke Xue Yuan Xue Bao"/>
        <s v="Frontiers in human neuroscience vol. 13 258. 25 Jul. 2019"/>
        <s v="Nature Scientific Reports 2019 vol: 9 (1) pp: 6115"/>
        <s v="Applied Soft Computing, Volume 75, February 2019, Pages 461-472"/>
        <s v="Front. Neurosci., 30 April 2019 | https://doi.org/10.3389/fnins.2019.00354"/>
        <s v="Sensors 2019"/>
        <s v="IEEE Journal of Biomedical and Health Informatics "/>
        <s v="Cold Spring Harbor Laboratory BioRxiv"/>
        <s v=" IEEE Transactions on Biomedical Circuits and Systems ( Volume: 13 , Issue: 1 , Feb. 2019 )"/>
        <s v="Congr. Int. en Ing. Electrónica. Mem. ELECTRO"/>
        <s v="Conf Proc IEEE Eng Med Biol Soc. 2018 Jul;2018:3104-3107. doi: 10.1109/EMBC.2018.8512914."/>
        <s v="MATEC Web Conf.Volume 155, 2018"/>
        <s v="IJCAI International Joint Conferences on Artificial Intelligence Organization"/>
        <s v="Journal of Society for Information Display"/>
        <s v="2018 2nd International Conference on Applied Mathematics, Modelling and Statistics Application (AMMSA 2018)"/>
        <s v="2018 IEEE Games, Entertainment, Media Conference (GEM)"/>
        <s v="EMBC 2018"/>
        <s v="ScienceDirect"/>
        <s v="International BCI meeting, May 2018, Asilomar, United States."/>
        <s v="Columbia University"/>
        <s v="2018 29th Irish Signals and Systems Conference (ISSC)"/>
        <s v="Nature Scientific Reportsvolume 9, Article number: 6115 , 2019"/>
        <s v="npj 2D Materials and Applications"/>
        <s v="Carpathian Journal of Electronic and Computer Engineering"/>
        <s v="2018 International Joint Conference on Artificial Intelligence (IJCAI)"/>
        <s v="EESS.SP"/>
        <s v="Sensors 2018, 18(11), 3721; https://doi.org/10.3390/s18113721"/>
        <s v="Politecnico di Torino, Corso di laurea magistrale in Ingegneria Biomedica, 2018"/>
        <s v=" 2018 International Conference on Computer, Communication, and Signal Processing (ICCCSP)"/>
        <s v="Dartmouth College, ProQuest Dissertations Publishing,"/>
        <s v="2018 IEEE International Conference on Healthcare Informatics (ICHI)"/>
        <s v="School of Information Science and Technology, Vidyasirimedhi Institute of Science and Technology"/>
        <s v=" 2018 Congreso Argentino de Ciencias de la Informática y Desarrollos de Investigación (CACIDI)"/>
        <s v="International Journal of Advanced Computer Science and Applications Jan 2018"/>
        <s v="2018 CMBEC41 ConferenceCharlottetown PE"/>
        <s v="2018 Global Medical Engineering Physics Exchanges/Pan American Health Care Exchanges (GMEPE/PAHCE)"/>
        <s v="2018 IEEE International Conference on Electro/Information Technology (EIT)"/>
        <s v="2018 Medical Technologies National Congress (TIPTEKNO)"/>
        <s v="Iowa State University Capstones, Theses and Dissertations"/>
        <s v=" 2018 IEEE International Conference on Systems, Man, and Cybernetics (SMC)"/>
        <s v=" 2018 IEEE International Instrumentation and Measurement Technology Conference (I2MTC)"/>
        <s v="CHI EA '18 Extended Abstracts of the 2018 CHI Conference on Human Factors in Computing Systems"/>
        <s v="THESIS"/>
        <s v="SSRN"/>
        <s v=" 2018 Moratuwa Engineering Research Conference (MERCon)"/>
        <s v=" 2018 14th International Conference on Emerging Technologies (ICET)"/>
        <s v="2018 40th Annual International Conference of the IEEE Engineering in Medicine and Biology Society (EMBC)"/>
        <s v="Advances in Intelligent Systems and Computing book series (AISC, volume 886)"/>
        <s v=" Lecture Notes in Computer Science book series (LNCS, volume 10915)"/>
        <s v="IntelliSys 2018: Intelligent Systems and Applications pp 310-325"/>
        <s v=" 2018 IEEE SENSORS"/>
        <s v="I. Sakamaki, C. E. P. del Campo, S. A. Wiebe, M. Tavakoli and K. Adams, &quot;Assistive technology design and preliminary testing of a robot platform based on movement intention using low-cost brain computer interface,&quot; 2017 IEEE International Conference on Sy"/>
        <s v="THESIS for: Master of Science in Cybernetics and Robotics, Advisor: Marta Molinas"/>
        <s v="Sakamaki, Isao &amp; Tavakoli, Mahdi &amp; Adams, Kim. (2017). Generating forbidden region virtual fixtures by classification of movement intention based on event-related desynchronization. 10.1109/GlobalSIP.2017.8308676. "/>
        <s v="DMSVLSS 2017&#10;The 23rd International Conference on&#10;Distributed Multimedia Systems,&#10;Visual Languages and Sentient Systems "/>
        <s v="Journal of Healthcare Engineering, Volume 2017, Article ID 4128183"/>
        <s v="International Journal of Emerging Technology in Computer Science &amp; Electronics (IJETCSE) ISSN: 0976-1353 Volume 24 Issue 11 – AUGUST 2017."/>
        <s v="2017 ACM International Joint Conference on Pervasive and Ubiquitous Computing"/>
        <s v="UBICOMM 2017 : The Eleventh International Conference on Mobile Ubiquitous Computing, Systems, Services and Technologies"/>
        <s v="2017 CHILEAN Conference on Electrical, Electronics Engineering, Information and Communication Technologies (CHILECON)"/>
        <s v="Proceedings of 2nd International Conference on Micro-Electronics, Electromagnetics and Telecommunications"/>
        <s v=" 2017 International Conference on Rehabilitation Robotics (ICORR)"/>
        <s v="Przeglad Elektrotechniczny 1(7):130-133 · July 2017"/>
        <s v="C. J. Perera, I. Naotunna, C. Sadaruwan, R. A. R. C. Gopura and T. D. &#10;Lalitharatne, &quot;SSVEP based BMI for a meal assistance robot,&quot; 2016 IEEE International Conference on Systems, Man, and Cybernetics (SMC), Budapest, 2016, pp. 002295-002300.&#10;doi: 10.1109/"/>
        <s v="Bachelor-Thesis von Daniel Alte aus Frankfurt am Main"/>
        <s v=" International BCI meeting, May 2016, Asilomar, United States"/>
        <s v=" 2016 IEEE Annual India Conference (INDICON)"/>
        <s v="Texas A&amp;M University Library"/>
        <s v="IEEE Journal of Biomedical and Health Informatics, vol 17 issue 6"/>
      </sharedItems>
    </cacheField>
    <cacheField name="DOI" numFmtId="0">
      <sharedItems containsBlank="1">
        <s v="10.1109/ACCESS.2026.3723089"/>
        <s v="10.48550/arXiv.2608.12000"/>
        <s v="10.1109/ICECET65726.2026.11633092"/>
        <s v="10.1088/1361-6579/ae99ab"/>
        <s v="10.51903/jtie.v5i1.493"/>
        <s v="10.1002/advs.76495"/>
        <s v="10.3389/fnins.2026.1859327"/>
        <s v="10.1109/IV66570.2026.11623827"/>
        <s v="10.21203/rs.3.rs-9336892/v1"/>
        <s v="10.48550/arXiv.2607.25968"/>
        <s v="10.1007/978-3-032-29593-4_14"/>
        <s v="10.48550/arXiv.2603.10680"/>
        <s v="10.1109/SenSys-Adjunct71932.2026.00070"/>
        <s v="10.1002/nap2.70194"/>
        <s v="10.1155/js/9983391"/>
        <s v="10.29354/diag/225253"/>
        <s v="10.21203/rs.3.rs-9858854/v1"/>
        <s v="10.48550/arXiv.2606.26093"/>
        <s v="10.2196/76245"/>
        <s v="10.5281/zenodo.20756330"/>
        <s v="10.1007/978-981-95-7195-6_26"/>
        <s v="10.1007/s40820-026-02252-2"/>
        <s v="10.1109/ICOEI68323.2026.11542044"/>
        <s v="10.1007/978-3-032-24724-7_18"/>
        <s v="10.22266/ijies2026.0630.11"/>
        <s v="10.1109/ICNWC68145.2026.11518027"/>
        <s v="10.3390/bs16050815"/>
        <s v="10.22541/au.177260770.08096523/v1"/>
        <s v="10.1038/s41598-026-52443-5"/>
        <s v="10.1162/IMAG.a.1258"/>
        <s v="10.1109/VRW70859.2026.00263"/>
        <s v="10.1155/ijbm/2255123"/>
        <s v="10.1109/ACCESS.2026.3687486"/>
        <s v="10.35882/jeeemi.v8i2.1531"/>
        <s v="10.1007/978-981-95-4072-3_11"/>
        <s v="10.62411/jcta.15875"/>
        <s v="10.1109/ICBSII69710.2026.11479272"/>
        <s v="10.3389/fnhum.2026.1793705"/>
        <s v="10.1109/SoutheastCon63549.2026.11476058"/>
        <s v="10.34133/bosn.0003"/>
        <s v="10.48550/arXiv.2604.09649"/>
        <s v="10.1145/3772318.3791781"/>
        <s v="10.5057/ijae.IJAE-D-25-00037"/>
        <s v="10.1109/CSITSS64042.2024.10816932"/>
        <s v="10.3390/s26072265"/>
        <s v="10.1088/1741-2552/ae54d0"/>
        <s v="10.1145/3789682"/>
        <s v="10.64898/2026.03.05.26347650"/>
        <s v="10.3390/engproc2026128020"/>
        <s v="10.1145/3731459.3773332"/>
        <s v="10.5281/zenodo.18081032 "/>
        <s v="10.48550/arXiv.2603.02847"/>
        <s v="10.1007/s10916-026-02357-6"/>
        <s v="10.1109/JSEN.2026.3667982"/>
        <s v="10.48550/arXiv.2602.23862"/>
        <s v="10.1088/1361-665X/ae4aec"/>
        <s v="10.1117/12.3096307"/>
        <s v="10.48550/arXiv.2602.20041"/>
        <s v="10.1016/j.mex.2026.103821"/>
        <s v="10.35414/akufemubid.1711013"/>
        <s v="10.1038/s41598-026-39904-7"/>
        <s v="10.3390/s26041269"/>
        <s v="10.3390/s26041153"/>
        <s v="10.1002/9781394336166.ch27"/>
        <s v="10.64898/2026.02.10.704620"/>
        <s v="10.1142/S0218001426590081"/>
        <s v="10.1088/1741-2552/ae4271"/>
        <s v="10.3390/bioengineering13020152"/>
        <s v="10.1007/s11042-026-21351-1"/>
        <s v="10.35882/ijeeemi.v8i1.313"/>
        <s v="10.1021/acsami.5c19985"/>
        <s v="10.1109/ICIIBMS66230.2025.11316703"/>
        <s v="10.1109/ICAR65334.2025.11338702"/>
        <s v="10.3390/life16010114"/>
        <s v="10.1080/15325024.2025.2585079"/>
        <s v="10.3390/s26020385"/>
        <s v="10.21924/cst.10.2.2025.1758"/>
        <s v="10.21924/cst.10.2.2025.1737"/>
        <s v="10.1016/j.sna.2025.117446"/>
        <s v="10.1002/alz70863_110642"/>
        <s v="10.1109/IS264627.2025.11284651"/>
        <s v="10.1016/j.ssaho.2025.102326"/>
        <s v="10.1145/3770501.3770523"/>
        <s v="10.1002/app.70163"/>
        <s v="10.1007/s42600-025-00446-y"/>
        <s v="10.3390/computation13120287"/>
        <s v="10.48550/arXiv.2512.04313"/>
        <s v="10.1016/j.dsp.2025.105806"/>
        <s v="10.1002/app.70099"/>
        <s v="10.1007/s11517-025-03489-6"/>
        <s v="10.30898/1684-1719.2025.11.33"/>
        <s v="10.1080/23311983.2025.2591387"/>
        <s v="10.1038/s41467-025-65464-x"/>
        <s v="10.1016/j.renene.2025.124809"/>
        <s v="10.1186/s12984-025-01769-8"/>
        <s v="10.1016/j.snr.2025.100407"/>
        <s v="10.32397/tesea.vol6.n2.580"/>
        <s v="10.1038/s41598-025-24831-w"/>
        <s v="10.1038/s41598-025-23049-0"/>
        <s v="10.2147/JPR.S526855"/>
        <s v="10.1016/j.celrep.2025.116506"/>
        <s v="10.3390/virtualworlds4040053"/>
        <s v="10.3390/technologies13110501"/>
        <s v="10.1002/brb3.70977"/>
        <s v="10.11159/jbeb.2025.002"/>
        <s v="10.1039/D5NR03106K"/>
        <s v="10.1109/COMST.2024.3387124"/>
        <s v="10.3390/computers13100246"/>
        <s v="10.1145/3610549.3614600"/>
        <s v="10.1145/3610549.3614596"/>
        <s v="10.1109/VRW58643.2023.00352"/>
        <s v="10.1109/VR51125.2022.00024"/>
        <s v="10.2196/69725"/>
        <s v="10.1007/s11571-025-10360-9"/>
        <s v="10.37934/araset.62.2.245258"/>
        <s v="10.1177/10711813251358251"/>
        <s v="10.3390/bios15100692"/>
        <s v="10.1002/adfm.202505419"/>
        <s v="10.1371/journal.pone.0332310"/>
        <s v="10.1109/CMSS66566.2025.11182424"/>
        <s v="10.21926/obm.neurobiol.2503302"/>
        <s v="10.1186/s40708-025-00274-x"/>
        <s v="10.17148/IJARCCE.2024.13525"/>
        <s v="10.1007/s13369-025-10616-w"/>
        <s v="10.48550/arXiv.2509.17260"/>
        <s v="10.3390/technologies13090426"/>
        <s v="10.1109/JSEN.2025.3607407"/>
        <s v="10.36227/techrxiv.175687390.02101648/v1"/>
        <s v="10.20944/preprints202509.0429.v1"/>
        <s v="10.1080/13467581.2025.2557018"/>
        <s v="10.1145/3749550"/>
        <s v="10.1038/s41565-025-01990-5"/>
        <s v="10.1088/1741-2552/addb7a"/>
        <s v="10.17504/protocols.io.q26g7y2w8gwz/v3"/>
        <s v="10.3390/asi8050126"/>
        <s v="10.1109/ICMA65362.2025.11120699"/>
        <s v="10.20944/preprints202508.0873.v1"/>
        <s v="10.21512/commit.v19i1.12500"/>
        <s v="10.1002/adsu.202500727"/>
        <s v="10.36227/techrxiv.175459869.90598348/v1"/>
        <s v="10.1109/BMEiCON66226.2025.11113810&#10;"/>
        <s v="10.1109/BMEiCON66226.2025.11113736"/>
        <s v="10.48550/arXiv.2508.07731"/>
        <s v="10.11159/cdsr25.135"/>
        <s v="10.36227/techrxiv.174970463.33604978/v1"/>
        <s v="10.3390/biomimetics10080506"/>
        <s v="10.12962/jaree.v9i2.437"/>
        <s v="10.2514/6.2025-4112"/>
        <s v="10.1145/3733155.3733220"/>
        <s v="10.1145/3706599.3719836"/>
        <s v="10.1109/RIVF64335.2024.11009041"/>
        <s v="10.1080/10255842.2025.2527385"/>
        <s v="10.1016/j.eij.2025.100741"/>
        <s v="10.1109/MeMeA65319.2025.11068079"/>
        <s v="10.1109/ICORR66766.2025.11063010"/>
        <s v="10.1109/ICORR66766.2025.11063073"/>
        <s v="10.48550/arXiv.2507.05635"/>
        <s v="10.1186/s12891-025-08939-8"/>
        <s v="10.1109/CBMS65348.2025.00189"/>
        <s v="10.1109/AIEEE66149.2025.11050769"/>
        <s v="10.1039/D5SE00510H"/>
        <s v="10.24138/jcomss-2025-0012"/>
        <s v="10.7771/3067-4883.1540"/>
        <s v="10.1016/j.neuroscience.2025.06.036"/>
        <s v="10.54033/cadpedv22n8-114"/>
        <s v="10.1021/acsaelm.5c00310"/>
        <s v="10.36227/techrxiv.174953154.47572870/v1"/>
        <s v="10.48550/arXiv.2506.07193"/>
        <s v="10.1007/s11517-025-03386-y"/>
        <s v="10.1109/EDUCON62633.2025.11016540"/>
        <s v="10.1007/978-3-031-93838-2_14"/>
        <s v="10.1007/s00221-025-07097-6"/>
        <s v="10.36227/techrxiv.174803857.76103011/v1"/>
        <s v="10.1007/978-981-96-0994-9_18"/>
        <s v="10.1016/j.aei.2025.103461"/>
        <s v="10.1117/12.3056815"/>
        <s v="10.18280/jesa.580203"/>
        <s v="10.1007/978-3-031-89510-4_4"/>
        <s v="10.1109/ACCESS.2025.3569932"/>
        <s v="10.1109/LSENS.2022.3198279"/>
        <s v="10.1002/admt.202402032"/>
        <s v="10.1017/wtc.2025.11"/>
        <s v="10.1016/j.energy.2025.136434"/>
        <s v="10.36227/techrxiv.174612068.80718242/v1"/>
        <s v="10.1101/2025.03.07.25323496"/>
        <s v="10.36227/techrxiv.174537492.21807413/v1"/>
        <s v="10.31224/4555"/>
        <s v="10.36227/techrxiv.174586818.88790131/v1"/>
        <s v="10.1109/TNSRE.2025.3562922"/>
        <s v="10.3390/asi8020056"/>
        <s v="10.48550/arXiv.2503.22018"/>
        <s v="10.1109/BCI65088.2025.10931531"/>
        <s v="10.1504/IJBET.2025.145218"/>
        <s v="10.1109/JSAS.2025.3554131"/>
        <s v="10.1007/978-981-97-9262-7_17"/>
        <s v="10.1044/2025_JSLHR-24-00595"/>
        <s v="10.25195/ijci.v51i1.545"/>
        <s v="10.1016/j.dib.2025.111477"/>
        <s v="10.1007/s10209-025-01207-5"/>
        <s v="10.1016/j.clinph.2024.12.022"/>
        <s v="10.1021/acsami.5c01936"/>
        <s v="10.1038/s41598-024-81960-4"/>
        <s v="10.1016/j.mtchem.2025.102622"/>
        <s v="10.1063/5.0259169"/>
        <s v="10.3390/polym17050683"/>
        <s v="10.1145/3712283"/>
        <s v="10.1109/ICEENG58856.2024.10566461"/>
        <s v="10.1109/TIM.2025.3546388"/>
        <s v="10.54337/aau768141147"/>
        <s v="10.1109/CONESCAPAN62181.2024.10891090"/>
        <s v="10.1201/9781003606208-25"/>
        <s v="10.1038/s41598-025-87414-9"/>
        <s v="10.1109/iCon-BCIHT63907.2024.10882414"/>
        <s v="10.1145/3641554.3701815"/>
        <s v="10.1109/JBHI.2025.3540924"/>
        <s v="10.1109/SII59315.2025.10870878"/>
        <s v="10.1016/j.measen.2024.101706"/>
        <s v="10.3390/s25041066"/>
        <s v="10.18280/isi.300113"/>
        <s v="10.48550/arXiv.2501.19217"/>
        <s v="10.1109/ICAIC63015.2025.10849081"/>
        <s v="10.1049/icp.2024.4404"/>
        <s v="10.1101/2025.01.27.634699"/>
        <s v="10.21500/20112084.7467"/>
        <s v="doi: 10.1109/EECon64470.2024.10841863."/>
        <s v="DOI:10.1109/ACCESS.2025.3531130"/>
        <s v="https://doi.org/10.1016/j.ymssp.2025.112347."/>
        <s v="DOI:  10.48550/arXiv.2501.08393. "/>
        <s v="DOI: 10.48550/arXiv.2501.05589. "/>
        <s v="https://doi.org/10.1016/j.explore.2025.103114."/>
        <m/>
        <s v="https://doi.org/10.26583/sv.16.4.02"/>
        <s v="https://doi.org/10.1186/s12877-024-05421-3"/>
        <s v="https://doi.org/10.1088/1741-2552/ada4de"/>
        <s v="https://doi.org/10.1038/s41539-024-00294-y"/>
        <s v="doi: 10.1109/EHB64556.2024.10805747."/>
        <s v="DOI: 10.1002/admt.202401193"/>
        <s v="DOI: https://doi.org/10.1007/978-3-031-77584-0_61"/>
        <s v="DOI: https://doi.org/10.21203/rs.3.rs-5655250/v1"/>
        <s v="https://doi.org/10.32397/tesea.vol5.n2.579"/>
        <s v="doi: 10.1109/ICIIBMS62405.2024.10792829."/>
        <s v=" http://dx.doi.org/10.20517/ss.2024.37&#10;"/>
        <s v="doi: 10.1109/CIIBBI63846.2024.10784772"/>
        <s v="doi: 10.1109/ICPECTS62210.2024.10780287."/>
        <s v="DOI: 10.1007/978-981-97-6810-3_20"/>
        <s v="doi: 10.1109/CIIBBI63846.2024.10784751."/>
        <s v="DOI: 10.1109/ACCESS.2024.3514890"/>
        <s v="DOI:10.48550/arXiv.2412.07175"/>
        <s v="https://doi.org/10.1080/10447318.2024.2388368"/>
        <s v="doi: 10.1109/ISMAR-Adjunct64951.2024.00012."/>
        <s v="doi: 10.1109/GCCE62371.2024.10760317."/>
        <s v="https://doi.org/10.1016/j.neuroscience.2024.11.045"/>
        <s v="doi: 10.1109/TENSYMP61132.2024.10752265."/>
        <s v="doi: 10.1109/TENSYMP61132.2024.10752169."/>
        <s v="https://doi.org/10.3390/bios14110553"/>
        <s v="doi: 10.1109/SISY62279.2024.10737575."/>
        <s v="DOI: 10.22266/ijies2024.1231.91"/>
        <s v="https://doi.org/10.61467/2007.1558.2024.v15i3.358"/>
        <s v="DOI 10.1088/1361-6501/ad8df4"/>
        <s v="https://doi.org/10.1007/978-3-031-66656-8_16"/>
        <s v="doi: 10.1109/BioRob60516.2024.10719823."/>
        <s v="DOI:10.1109/ICARCV63323.2024.10821508"/>
        <s v="https://doi.org/10.1016/j.iot.2024.101411."/>
        <s v="https://doi.org/10.1038/s41467-024-53379-y"/>
        <s v="https://doi.org/10.1063/5.0236305"/>
        <s v="doi: 10.1109/MESA61532.2024.10704914."/>
        <s v="DOI:10.48550/arXiv.2410.03261"/>
        <s v="DOI: 10.1109/ACCESS.2024.3472909"/>
        <s v="doi: 10.1109/MERCon63886.2024.10688451."/>
        <s v=" doi: 10.1109/MERCon63886.2024.10688894."/>
        <s v="DOI:  10.18687/LACCEI2024.1.1.1418"/>
        <s v="https://doi.org/10.1088/1741-2552/ad7f8d"/>
        <s v="doi: 10.23919/CCC63176.2024.10662738."/>
        <s v="doi: 10.1109/CONECCT62155.2024.10677025."/>
        <s v="https://doi.org/10.3390/biomimetics9090562"/>
        <s v="doi: 10.1109/MWSCAS60917.2024.10658722."/>
        <s v="doi: 10.1109/CCECE59415.2024.10667256."/>
        <s v="doi: 10.1109/ISITIA63062.2024.10668352."/>
        <s v="DOI: 10.22032/dbt.xxxxx"/>
        <s v="doi: 10.1109/TVCG.2024.3456207."/>
        <s v="DOI 10.1088/1741-2552/ad7905"/>
        <s v="doi: 10.1109/iSTEM-Ed62750.2024.10663155."/>
        <s v="https://doi.org/10.1177/23982128241279616"/>
        <s v="https://doi.org/10.3390/bios14090432&#10;"/>
        <s v="https://doi.org/10.21203/rs.3.rs-4810605/v1"/>
        <s v="doi: 10.1109/TIM.2024.3449948"/>
        <s v="doi: 10.1109/ICICoS62600.2024.10636872."/>
        <s v="DOI 10.18420/muc2024-mci-demo-317"/>
        <s v="DOI 10.1109/ACCESS.2024.3445467"/>
        <s v="doi: 10.1109/IAICT62357.2024.10617623"/>
        <s v="https://doi.org/10.11113/humentech.v3n2.77"/>
        <s v="https://doi.org/10.11113/humentech.v3n2.78"/>
        <s v="https://doi.org/10.1007/s11042-024-19992-1"/>
        <s v="https://doi.org/10.1002/adfm.202407394"/>
        <s v="https://doi.org/10.1038/s41528-024-00335-x"/>
        <s v="doi: 10.1109/eIT60633.2024.10609879."/>
        <s v="DOI: 10.1109/eIT60633.2024.10609935"/>
        <s v="https://doi.org/10.7717/peerj-cs.2174"/>
        <s v="https://doi.org/10.1007/s42600-024-00372-5"/>
        <s v="DOI:10.18848/2156-8960/CGP/v14i04/21-50"/>
        <s v="https://doi.org/10.1007/s11517-024-03147-3"/>
        <s v="10.1109/ACCESS.2024.3426620"/>
        <s v="https://doi.org/10.1016/j.cej.2024.153882"/>
        <s v="https://doi.org/10.1016/j.heliyon.2024.e34342"/>
        <s v="10.1007/s00521-024-09628-8"/>
        <s v="https://doi.org/10.1007/9"/>
        <s v="DOI: 10.1126/sciadv.ado6793"/>
        <s v="10.1109/ICHMS59971.2024.10555857"/>
        <s v="10.1109/ELEKTRO60337.2024.10557010"/>
        <s v="https://doi.org/10.1145/3613904.3641983"/>
        <s v="https://doi.org/10.1145/3643832.3661867"/>
        <s v="10.3390/data9050068"/>
        <s v="10.36227/techrxiv.171710270.08933626/v1"/>
        <s v="10.1109/ICAPAI61893.2024.10541248"/>
        <s v=" https://doi.org/10.1541/ieejeiss.144.528"/>
        <s v="DOI: https://doi.org/10.1016/j.isci.2024.110164 "/>
        <s v="https://doi.org/10.1007/978-3-031-61625-9_8&#10;"/>
        <s v="https://doi.org/10.1016/j.cej.2024.152694."/>
        <s v="DOI: 10.1109/JIOT.2024.3406837"/>
        <s v="DOI: 10.1109/TG.2024.3406723"/>
        <s v="dx.doi.org/10.17504/protocols.io.q26g7y2w8gwz/v1"/>
        <s v="https://doi.org/10.1016/j.nanoen.2024.109748."/>
        <s v="https://doi.org/10.3390/data9050068"/>
        <s v="doi: 10.1109/RADIOELEKTRONIKA61599.2024.10524074."/>
        <s v="DOI: 10.5220/0012688800003699"/>
        <s v="https://doi.org/10.3390/neurosci5020012&#10;"/>
        <s v="doi: 10.1109/TIM.2024.3398124"/>
        <s v="DOI 10.1088/1741-2552/ad4743"/>
        <s v="https://doi.org/10.1145/3652920.3653028"/>
        <s v="DOI: 10.1109/PerComWorkshops59983.2024.10502941"/>
        <s v="doi: 10.1109/SoutheastCon52093.2024.10500236."/>
        <s v="DOI: 10.36227/techrxiv.170473894.42689961/v1"/>
        <s v="https://doi.org/10.1016/j.ohx.2024.e00529."/>
        <s v="DOI: 10.1109/KST61284.2024.10499671"/>
        <s v="https://doi.org/10.1016/j.archger.2024.105442"/>
        <s v="https://doi.org/10.1016/j.bspc.2024.106264"/>
        <s v="doi: 10.1109/JSEN.2024.3381789"/>
        <s v="doi: 10.1109/Confluence60223.2024.10463300"/>
        <s v="https://doi.org/10.1063/5.0190792"/>
        <s v="https://doi.org/10.1007/978-3-031-51982-6_27"/>
        <s v="doi: 10.3389/fnhum.2024.1319574"/>
        <s v="DOI: 10.5220/0012249300003660"/>
        <s v="DOI: 10.36227/techrxiv.171043118.80448751/v1"/>
        <s v="https://doi.org/10.1145/3643516"/>
        <s v="https://doi.org/10.1145/3626252.3630900"/>
        <s v="doi: 10.1109/TVCG.2024.3372130"/>
        <s v="https://doi.org/10.3389/fninf.2023.1306277"/>
        <s v="https://doi.org/10.2478/amns.2023.2.00338"/>
        <s v="https://doi.org/10.1002/adfm.202309704"/>
        <s v="https://doi.org/10.1007/s00521-024-09628-8"/>
        <s v="https://doi.org/10.48550/arXiv.2401.15743"/>
        <s v="https://doi.org/10.1021/acsaelm.3c01414"/>
        <s v="doi: 10.20944/preprints202401.1607.v1"/>
        <s v="doi: 10.20944/preprints202401.1608.v1"/>
        <s v="DOI 10.4108/eai.27-10-2023.2342016"/>
        <s v="https://doi.org/10.3390/&#10;s24020540"/>
        <s v="https://doi.org/10.3390/s24020364"/>
        <s v="https://doi.org/10.1080/20008066.2023.2272477"/>
        <s v="DOI: 10.1109/ROSE60297.2023.10410673"/>
        <s v="DOI: 10.61782/fa.2023.0330"/>
        <s v="doi: 10.1109/IBITeC59006.2023.10390906"/>
        <s v="https://doi.org/10.14445/22315381/IJETT-V70I12P225"/>
        <s v="DOI: 10.1109/ICoSNIKOM60230.2023.10364501"/>
        <s v="DOI: https://doi.org/10.2478/joeb-2023-0009"/>
        <s v="https://doi.org/10.1007/978-3-031-49425-3_3"/>
        <s v="doi: 10.20944/preprints202312.1529.v1"/>
        <s v="DOI: 10.1109/iSAI-NLP60301.2023.10354583"/>
        <s v="https://doi.org/10.1038/s41598-023-49990-6"/>
        <s v="DOI: 10.1109/BMEiCON60347.2023.10322025"/>
        <s v="DOI: 10.1109/WEEF-GEDC59520.2023.10344237"/>
        <s v="http://dx.doi.org/10.32604/cmc.2023.043998"/>
        <s v="https://doi.org/10.1186/s13765-023-00836-9"/>
        <s v="10.1007/978-3-031-53082-1_19"/>
        <s v="https://doi.org/10.1016/j.bspc.2023.105698"/>
        <s v="https://doi.org/10.1002/lim2.93"/>
        <s v="https://doi.org/10.1016/j.heares.2023.108912"/>
        <s v="DOI: 10.55905/oelv21n11-005"/>
        <s v="http://doi.org/10.4018/IJSI.333161"/>
        <s v="doi: 10.1002/acn3.51932"/>
        <s v="https://doi.org/10.1088/2058-8585/ad05d6"/>
        <s v="https://doi.org/10.1007/978-3-031-46933-6_31"/>
        <s v="https://doi.org/10.1007/978-3-031-46933-6_30"/>
        <s v="DOI: https://doi.org/10.21203/rs.3.rs-3462278/v1"/>
        <s v="https://doi.org/10.1117/12.3009526"/>
        <s v="https://doi.org/10.1007/s41233-023-00062-7"/>
        <s v="DOI:10.21227/8qw6-f578"/>
        <s v="DOI: 10.11591/eei.v12i6.6079"/>
        <s v="https://doi.org/10.1007/s11042-023-17111-0"/>
        <s v="https://doi.org/10.1145/3611659.3617436"/>
        <s v="https://doi.org/10.1007/s40846-023-00823-x"/>
        <s v="10.1109/EMBC40787.2023.10340046"/>
        <s v="https://doi.org/10.3390/life13101961"/>
        <s v="doi: 10.1109/IES59143.2023.10242535"/>
        <s v="doi: 10.1109/IES59143.2023.10242538"/>
        <s v="https://doi.org/10.1016/j.dib.2023.109540"/>
        <s v="https://doi.org/10.3390/polym15183673"/>
        <s v=" DOI: 10.7507/1001-5515.202207055. "/>
        <s v="DOI: 10.1080/2326263X.2022.2114225"/>
        <s v="https://doi.org/10.1007/s41870-023-01400-w"/>
        <s v="https://doi.org/10.3390/info14090473&#10;"/>
        <s v="doi: 10.1109/ColCACI59285.2023.10225911"/>
        <s v="DOI: 10.1002/adsr.202300072"/>
        <s v="https://doi.org/10.1504/IJRS.2023.132946"/>
        <s v="doi: 10.1109/ISITIA59021.2023.10221052."/>
        <s v="https://doi.org/10.1063/5.0164302"/>
        <s v="https://doi.org/10.1007/s10544-023-00672-0"/>
        <s v="doi: 10.1109/APSIT58554.2023.10201674."/>
        <s v="https://doi.org/10.1145/3210240.3210322"/>
        <s v="DOI: 10.1109/IMTIC58887.2023.10178595"/>
        <s v="https://doi.org/10.1016/j.heliyon.2023.e18164"/>
        <s v="https://doi.org/10.1007/978-3-031-37616-0_1"/>
        <s v="DOI: https://doi.org/10.21203/rs.3.rs-3140799/v1"/>
        <s v=" https://doi.org/10.1002/adfm.202303881"/>
        <s v="https://doi.org/10.31436/iiumej.v24i2.2814"/>
        <s v="https://doi.org/10.3390/engproc2023033043"/>
        <s v="https://doi.org/10.1098/rsos.221067"/>
        <s v="https://doi.org/10.3390/brainsci13060969"/>
        <s v="https://doi.org/10.1017/pds.2023.237 "/>
        <s v="https://doi.org/10.3390/eng4020097"/>
        <s v="https://doi.org/10.1145/3597061.3597257"/>
        <s v="DOI 10.1109/TNSRE.2023.3283328"/>
        <s v="DOI 10.1109/ACCESS.2023.3280636"/>
        <s v="DOI: 10.18517/ijaseit.13.2.18299"/>
        <s v="DOI: 10.1109/NER52421.2023.10123820"/>
        <s v="https://doi.org/10.1145/3597306"/>
        <s v="https://doi.org/10.5939/GEBE4090"/>
        <s v="https://doi.org/10.1145/3593226"/>
        <s v="DOI: 10.1109/SoutheastCon51012.2023.10115079"/>
        <s v="DOI: 10.1109/SITIS57111.2022.00051"/>
        <s v="https://doi.org/10.3390/s23094559"/>
        <s v="https://doi.org/10.1145/3591197.3591304"/>
        <s v="DOI: 10.1109/VRW58643.2023.00194"/>
        <s v="DOI: 10.1109/ICSCDS56580.2023.10104682"/>
        <s v="https://doi.org/10.1016/j.icte.2023.04.005"/>
        <s v="DOI: 10.5772/intechopen.110679"/>
        <s v="N/A"/>
        <s v="https://doi.org/10.1016/j.measurement.2023.112454"/>
        <s v="https://doi.org/10.1016/j.mtbio.2023.100626"/>
        <s v="https://doi.org/10.3390/s23073763"/>
        <s v="https://doi.org/10.1016/j.trf.2023.03.016"/>
        <s v="https://doi.org/10.1038/s41928-023-00932-0"/>
        <s v=": https://doi.org/10.30574/wjaets.2023.8.1.0046"/>
        <s v="http://doi.org/10.17576/jsm-2023-5202-20"/>
        <s v="https://doi.org/10.1093/braincomms/fcad101"/>
        <s v="https://doi.org/10.3390/s23073654"/>
        <s v="DOI: 10.1109/BCI57258.2023.10078480"/>
        <s v=" https://doi.org/10.3390/s23073546"/>
        <s v="https://doi.org/10.1016/j.cose.2023.103198"/>
        <s v="https://doi.org/10.1016/j.softx.2023.101371"/>
        <s v="DOI 10.1088/1741-2552/acbfe0"/>
        <s v="https://doi.org/10.1016/j.ijcce.2023.02.006"/>
        <s v="https://doi.org/10.3390/robotics12010027"/>
        <s v="https://doi.org/10.1007/s13534-023-00265-z"/>
        <s v="https://doi.org/10.3390/electronics12040833"/>
        <s v="doi:10.1088/1757-899X/1266/1/012019"/>
        <s v="https://doi.org/10.1016/j.neuri.2023.100117"/>
        <s v="DOI: 10.1109/JSEN.2023.3236723"/>
        <s v=" DOI: 10.11591/ijece.v13i1.pp307-314"/>
        <s v="https://doi.org/10.3390/s23020760"/>
        <s v="https://doi.org/10.1016/j.sna.2022.114058"/>
        <s v="DOI: 10.1109/SSCI51031.2022.10022137"/>
        <s v="DOI: 10.1109/ETECTE55893.2022.10007202"/>
        <s v="DOI: 10.1109/ANDESCON56260.2022.9989874"/>
        <s v="DOI: 10.1109/ICECCME55909.2022.9988114"/>
        <s v="DOI: 10.1049/ccs2.12077"/>
        <s v="DOI: 10.1109/UBMK55850.2022.9919502"/>
        <s v="https://doi.org/10.1016/ j.isci.2022.105827"/>
        <s v="DOI: 10.1109/FORTEI-ICEE57243.2022.9972981"/>
        <s v="https://doi.org/10.1063/5.0123238"/>
        <s v="DOI: 10.9734/JAMMR/2022/v34i234879 "/>
        <s v="https://doi.org/10.1016/j.eswa.2022.119429"/>
        <s v="DOI: 10.1007/978-3-031-18256-3_32"/>
        <s v="DOI: 10.1109/CASE49997.2022.9926591"/>
        <s v="DOI: 10.1109/JFLEX.2022.3220138"/>
        <s v="DOI: 10.1109/IICAIET55139.2022.9936836"/>
        <s v="DOI: 10.1109/BioCAS54905.2022.9948657"/>
        <s v="DOI: 10.23919/EECSI56542.2022.9946522"/>
        <s v="https://doi.org/10.1145/ 3565970.3568188"/>
        <s v="https://doi.org/10.1016/j.bspc.2022.104308"/>
        <s v="https://doi.org/10.4236/jbbs.2022.1210027"/>
        <s v="DOI: 10.1007/978-3-031-18272-3_1"/>
        <s v="DOI: 10.1109/InfoTech55606.2022.9897097"/>
        <s v="https://doi.org/10.1007/s10544-022-00632-0"/>
        <s v=" https://doi.org/10.3390/bios12100772"/>
        <s v="DOI: 10.1109/EMBC48229.2022.9871594"/>
        <s v="DOI: 10.1109/EMBC48229.2022.9871044"/>
        <s v="https://doi.org/10.1016/j.ohx.2022.e00357"/>
        <s v="DOI: 10.1109/JIOT.2022.3204336"/>
        <s v="https://doi.org/10.1016/j.buildenv.2022.109567"/>
        <s v="DOI: 10.1109/INDISCON54605.2022.9862906"/>
        <s v="DOI: 10.1109/CIBCB55180.2022.9863055"/>
        <s v="https://doi.org/10.1007/978-3-031-16075-2_34"/>
        <s v="https://doi.org/10.1063/5.0098178"/>
        <s v="https://doi.org/10.3390/s22239372"/>
        <s v="https://doi.org/10.1007/s00521-021-06716-x"/>
        <s v="https://doi.org/10.13023/etd.2022.286"/>
        <s v="https://doi.org/10.1126/sciadv.abq2521"/>
        <s v="https://doi.org/10.3390/machines10080654"/>
        <s v="https://doi.org/10.1021/acsami.2c08757"/>
        <s v="https://doi.org/10.1109/MI-STA54861.2022.9837703"/>
        <s v="https://doi.org/10.1109/IST55454.2022.9827672"/>
        <s v="https://doi.org/10.3389/fpsyg.2022.864047"/>
        <s v="https://doi.org/10.3390/signals3020024"/>
        <s v="https://doi.org/10.1016/j.bbe.2022.04.001"/>
        <s v="https://doi.org/10.1145/3528352"/>
        <s v="https://doi.org/10.1016/j.asoc.2022.108982"/>
        <s v="https://doi.org/10.1080/21681163.2022.2072398"/>
        <s v="https://doi.org/10.1109/SoutheastCon48659.2022.9764024"/>
        <s v="https://doi.org/10.1016/j.dib.2022.108225"/>
        <s v="https://doi.org/10.2196%2F35295"/>
        <s v="https://doi.org/10.1109/SoutheastCon48659.2022.9764002"/>
        <s v="https://doi.org/10.1002/adma.202200793"/>
        <s v="https://doi.org/10.3390/app12073417"/>
        <s v="(DOI) : 10.14569/IJACSA.2022.0130357"/>
        <s v="https://doi.org/10.3390/s22082900"/>
        <s v="DOI:10.1145/3519391.3519397"/>
        <s v="DOI:10.1145/3490099.3511148"/>
        <s v="DOI: 10.1109/BCI53720.2022.9734823"/>
        <s v="DOI: 10.1109/ICONAT53423.2022.9726009"/>
        <s v="https://doi.org/10.3390/s22041568"/>
        <s v="DOI:10.3389/fnhum.2021.809714"/>
        <s v="https://doi.org/10.1016/j.fmre.2022.01.003"/>
        <s v="DOI: 10.22266/ijies2023.0228.28"/>
        <s v="https://doi.org/10.3389/fnins.2021.766648"/>
        <s v="https://doi.org/10.1007/s10015-022-00734-1"/>
        <s v="https://doi.org/10.1007/s42600-021-00196-7"/>
        <s v="https://doi.org/10.1155/2022/5308885"/>
        <s v="10.1109/EMBC46164.2021.9629500"/>
        <s v="10.1109/UEMCON53757.2021.9666738"/>
        <s v="https://doi.org/10.32870/recibe.v9i2.153"/>
        <s v="DOI: 10.1109/CI-IBBI54220.2021.9626100"/>
        <s v="DOI: 10.1109/CI-IBBI54220.2021.9626123"/>
        <s v="DOI: 10.1109/CI-IBBI54220.2021.9626086"/>
        <s v="DOI: 10.1109/BioSMART54244.2021.9677782"/>
        <s v="https://doi.org/10.13026/ps31-fc50"/>
        <s v="doi: 10.1186/s42234-021-00074-8"/>
        <s v="https://doi.org/10.4414/smw.2021.w30039"/>
        <s v="https://doi.org/10.1101/2021.11.16.468841"/>
        <s v="10.17632/w9xfz56txv.2"/>
        <s v="https://doi.org/10.1109/TCYB.2021.3106638"/>
        <s v="https://doi.org/10.3390/s19112637"/>
        <s v="https://doi.org/10.1016/j.measen.2021.100062"/>
        <s v="10.1109/ECAI52376.2021.9515106"/>
        <s v="https://doi.org/10.1155/2021/5517637"/>
        <s v="10.1109/ISITIA52817.2021.9502250"/>
        <s v="https://doi.org/10.3390/brainsci11060698"/>
        <s v="https://doi.org/10.1145/3412382.3458268"/>
        <s v="https://doi.org/10.1007/s00521-021-06038-y"/>
        <s v="https://doi.org/10.1007/978-981-15-9472-4_32"/>
        <s v="https://doi.org/10.1145/3411763.3451583"/>
        <s v="https://doi.org/10.3390/life11050378"/>
        <s v="https://doi.org/10.1007/978-3-030-72657-7_42"/>
        <s v="https://doi.org/10.1016/j.heliyon.2021.e07148"/>
        <s v="10.1109/ICITIIT51526.2021.9399605"/>
        <s v="https://dx.doi.org/10.2991/assehr.k.210427.042"/>
        <s v="10.3389/fcomp.2021.661300"/>
        <s v="10.21203/rs.3.rs-283263/v1"/>
        <s v="10.29333/iji.2021.14248a"/>
        <s v="https://doi.org/10.1080/10447318.2021.1921482"/>
        <s v="https://dx.doi.org/10.34785/J018.2021.932"/>
        <s v="https://doi.org/10.3390/s21062020"/>
        <s v="https://doi.org/10.1088/1741-2552/abd10e"/>
        <s v="https://doi.org/10.1051/matecconf/202133606003"/>
        <s v="10.1109/TBME.2021.3062256"/>
        <s v="10.1109/ICAICT51780.2020.9333469"/>
        <s v="https://doi.org/10.3390/s21020578"/>
        <s v="https://doi.org/10.1101/2021.01.27.428396"/>
        <s v="https://doi.org/10.3390/app11020674"/>
        <s v="https://doi.org/10.3390/s21020572"/>
        <s v="https://doi.org/10.1016/B978-0-12-819664-9.00013-2"/>
        <s v="10.1109/STI50764.2020.9350509"/>
        <s v="10.1109/NER49283.2021.9441260"/>
        <s v="10.23919/Measurement52780.2021.9446779"/>
        <s v="https://doi.org/10.1016/j.ijpsycho.2021.06.003"/>
        <s v="10.1145/3513023"/>
        <s v="https://doi.org/10.1016/j.bspc.2021.102803"/>
        <s v="https://doi.org/10.1155/2021/5535810"/>
        <s v="10.1109/INCET51464.2021.9456194"/>
        <s v="10.1109/HORA52670.2021.9461383"/>
        <s v="10.1109/ICCSS51193.2021.9464220"/>
        <s v="10.1109/MI-STA52233.2021.9464359"/>
        <s v="10.1109/AIMS52415.2021.9466007"/>
        <s v="10.1007/978-3-030-63665-4_18"/>
        <s v="https://doi.org/10.1007/s10586-021-03326-z"/>
        <s v="https://doi.org/10.1016/j.heliyon.2021.e07565"/>
        <s v="10.23919/CISTI52073.2021.9476316"/>
        <s v="https://doi.org/10.1186/s40708-021-00133-5"/>
        <s v="https://doi.org/10.1016/j.ijtst.2021.07.006"/>
        <s v="10.1109/I2CACIS52118.2021.9495879"/>
        <s v="https://doi.org/10.1017/pds.2021.90"/>
        <s v="10.1109/ISITIA52817.2021.9502229"/>
        <s v="https://doi.org/10.1155/2021/5515759"/>
        <s v="https://doi.org/10.1007/s12559-020-09744-2"/>
        <s v="10.14569/IJACSA.2020.0111080"/>
        <s v="10.1109/ACCESS.2020.3017685"/>
        <s v="10.5220/0008870901560163"/>
        <s v="10.1109/ACCESS.2020.3032153"/>
        <s v="10.1109/ICSPIS51611.2020.9349612"/>
        <s v="10.1021/acsnano.0c08689"/>
        <s v="10.1109/ICM50269.2020.9331503"/>
        <s v="10.1109/ICRAE50850.2020.9310801"/>
        <s v="http://dx.doi.org/10.47756/aihc.y5i1.59"/>
        <s v="10.14288/1.0395339"/>
        <s v="https://dx.doi.org/10.14569/IJACSA.2020.0110409"/>
        <s v="https://doi.org/10.23919/NTCA50409.2020.9291239"/>
        <s v="https://doi.org/10.1007/978-3-030-63665-4_18"/>
        <s v="https://doi.org/10.1109/BIBE50027.2020.00101"/>
        <s v="10.1109/SMC42975.2020.9282835"/>
        <s v="10.1109/SMC42975.2020.9283019"/>
        <s v="https://doi.org/10.1109/SMC42975.2020.9283117"/>
        <s v="https://doi.org/10.1109/SMC42975.2020.9283049"/>
        <s v="https://doi.org/10.1016/j.dib.2020.106590."/>
        <s v="https://doi.org/10.3390/computers9040104"/>
        <s v="https://doi.org/10.1109/CCE50788.2020.9299199"/>
        <s v="doi: 10.1109/ICSET51301.2020.9265364"/>
        <s v="https://doi.org/10.1109/ACCESS.2020.3040437"/>
        <s v="https://doi.org/10.1145/3385956.3422122"/>
        <s v="10.1109/iSemantic50169.2020.9234239"/>
        <s v="https://doi.org/10.1515/bams-2020-0050"/>
        <s v="https://doi.org/10.1145/3382507.3418882"/>
        <s v="https://doi.org/10.3389/fninf.2020.553352"/>
        <s v="10.7939/r3-n8hm-0p20"/>
        <s v="10.1109/ISITIA49792.2020.9163680"/>
        <s v="10.1109/TCSI.2020.3012351"/>
        <s v="https://doi.org/10.35199/NORDDESIGN2020.19"/>
        <s v="10.1109/JSEN.2020.3009629"/>
        <s v="10.1109/ISIE45063.2020.9152264"/>
        <s v="10.7150/thno.44721"/>
        <s v="10.1109/ACCESS.2020.3009226"/>
        <s v="10.1109/MSMC.2019.2953627"/>
        <s v="https://doi.org/10.1016/j.actpsy.2020.103134"/>
        <s v="10.1109/AQTR49680.2020.9129966"/>
        <s v="10.1109/I2MTC43012.2020.9128824"/>
        <s v="https://doi.org/10.1007/978-3-030-51328-3_9"/>
        <s v="https://doi.org/10.1016/j.biopha.2020.110306"/>
        <s v="https://doi.org/10.1016/j.compbiomed.2020.103843"/>
        <s v=" "/>
        <s v="https://doi.org/10.1007/978-3-030-49663-0_8"/>
        <s v="10.1109/JSEN.2020.2992714."/>
        <s v="https://doi.org/10.1142/S0129065720500185"/>
        <s v="https://arxiv.org/pdf/2005.11413.pdf"/>
        <s v="https://doi.org/10.3390/brainsci10060321"/>
        <s v="https://doi.org/10.3390/s20092443"/>
        <s v="https://doi.org/10.1016/j.heliyon.2020.e03425"/>
        <s v="https://doi.org/10.1088/2057-1976/ab872c"/>
        <s v="https://doi.org/10.1109/TNSRE.2020.2974056"/>
        <s v="https://doi.org/10.1109/BCI48061.2020.9061652"/>
        <s v="https://doi.org/10.1109/BCI48061.2020.9061664"/>
        <s v="DOI 10.1109/VR46266.2020.000-5"/>
        <s v="https://doi.org/10.1109/ACCESS.2020.2978391"/>
        <s v="https://doi.org/10.1145/3374587.3374636"/>
        <s v="10.3390/s20061742"/>
        <s v="https://doi.org/10.1007/978-981-15-2449-3_5"/>
        <s v="10.1109/CACS47674.2019.9024354"/>
        <s v="https://doi.org/10.5554/22562087.e956 "/>
        <s v="https://doi.org/10.1007/978-3-030-21077-9_23"/>
        <s v="https://doi.org/10.1145/3359996.3364276"/>
        <s v="http://dx.doi.org/10.13140/RG.2.2.22094.00324"/>
        <s v="10.9781/ijimai.2019.06.004"/>
        <s v="https://doi.org/10.17703/JCCT.2019.5.4.451"/>
        <s v="10.13140/RG.2.2.21422.56644/1"/>
        <s v="https://doi.org/10.1109/INCISCOS49368.2019.00061"/>
        <s v="https://doi.org/10.1109/CIVEMSA45640.2019.9071613"/>
        <s v="https://doi.org/10.1109/ICM48031.2019.9021752"/>
        <s v="10.1109/JBHI.2013.2274532"/>
      </sharedItems>
    </cacheField>
    <cacheField name="Language" numFmtId="0">
      <sharedItems containsBlank="1">
        <s v=" "/>
        <m/>
        <s v="en"/>
        <s v="tr"/>
        <s v="English"/>
        <s v="English "/>
        <s v="English, Japanese"/>
        <s v="Spanish"/>
        <s v="Persian"/>
        <s v="Portuguese"/>
        <s v="Korean"/>
        <s v="Chinese"/>
      </sharedItems>
    </cacheField>
    <cacheField name="Keyword(s)" numFmtId="0">
      <sharedItems containsBlank="1">
        <s v=" EEG Sensor, Cognitive load monitoring, Wearable EEG device, Forward modeling,&#10;Machine learning"/>
        <m/>
        <s v="False Positive, Stable Performance, Signal Amplitude, Assistive Technology, Human-computer Interaction, EEG Signals, Reliable Detection, Control Applications, Neural Signals, Eye Blinks, Optimal Detection, Interface System, Brain-computer Interface System"/>
        <s v="  EEG artifacts, Eyewear EEG, Artifact Correction"/>
        <s v="motor imagery, eeg, brain–computer interface, subject-independent learning abstract motor imagery (mi) electroencephalography (eeg) is a foundational paradigm for non-invasive brain–computer interfaces (bcis)"/>
        <s v=" epidermal sensors | flexible optoelectronics | thermal camouflage | transparent electrodes | ultrathin gold films"/>
        <s v="auditory erp , eeg , eeg validation , in"/>
        <s v=" Cognitive Responses,EEG-based Analysis,Cognitive Processes,Process Evaluation,Neural Dynamics,Driver Behavior,Vehicle Behavior,Aggressive Conditions,Smooth Conditions,Driver State,Parietal Cortex,Time Domain,Cognitive Load,Frontal Regions,Neural Response"/>
        <s v=" G, Motor Imagery, Mixed Reality, BCI, Hololens 2, Fatigue assessment, OpenBCI,&#10;event-related desynchronisation, Cognitive load"/>
        <s v="openbci eeg visualizer dsr publish with us policies and ethics profiles margareth diniz view author profile access this chapter log in via an institution subscribe and save springer"/>
        <s v=" Benchmark, Wearable, Signal Quality, Enhancement Method, Deep Learning, Deep Learning Models, Body Movements, Spatial Dimensions, EEG Signals, Motion Intensity, Indoor Navigation, Neural Activity, Alpha Peak, Artifact Suppression"/>
        <s v="  BCI | CNN | metasurfaces | motor imagery"/>
        <s v=" "/>
        <s v="EEG, LSTM, virtual reality, discrete wavelet transform, driver drowsiness"/>
        <s v=" Biometrics, Continuous Wavelet Transform, Electroencephalography, Convolutional&#10;Autoencoder, Residual Neural Networks, Good health and well-being"/>
        <s v="noninvasive olfactory recording (1); machine learning (2131); digital biomarker (24); olfactory dysfunction (4); early diagnosis of dementia &#10;"/>
        <s v="Smart wheelchair; Human–machine interface; Voice-controlled system; Embedded systems; TFT display&#10;"/>
        <s v="Brain-computer interface, Tongue-Machine Interface(TMI), accessible interaction, non-intrusive, hands-free, Motor Imagery (MI)"/>
        <s v="Electronic skin, Nepenthes-inspired, Electrospinning, Unidirectional sweat transport, EMG teleoperation"/>
        <s v=" Convolutional Neural Network, Convolutional Neural Network Model, Biometric Identification, Neural Network, Feature Representation, EEG Recordings, EEG Signals, Auditory Stimulation, Channel Attention Mechanism, Secure Authentication, Biometric Technolog"/>
        <s v="surface electromyography signal reproduction raspberry pi pulse"/>
        <s v="SIGNAL denoising; AUTISM spectrum disorders; PRINCIPAL components analysis; ELECTROENCEPHALOGRAPHY; BOOSTING algorithms; INDEPENDENT component analysis; ARTIFICIAL neural networks"/>
        <s v=" Biometric Identification, Hybrid CNN-Transformer, Convolutional Neural Network, Convolutional Layers, Graphical User Interface, Transformer Model, EEG Features, Transformer Encoder, Authentication System, Fingerprint, Performance Metrics, Cohen’s Kappa, "/>
        <s v=" ethical decision making; dual-process theory; higher education"/>
        <s v="biomedical electronics brain"/>
        <s v=" Engineering, Health care, Medical research, Neurology, Neuroscience"/>
        <s v=" EEG; Neurofeedback; Non-specific influences; Alpha activity"/>
        <s v=" Virtual Reality (VR), Human-Computer Interaction (HCI), Electrooculography (EOG), Eye-writing interfaces, Assistive communication systems, Virtually, Immersive Environment, Eye Movements, Head Movements, Human-computer Interaction, Ecological Validity, V"/>
        <s v=" artificial brain wave, electroencephalography, tissue mimicking phantoms"/>
        <s v="Intention decoding, BiLSTM, voluntary movement, self-paced task"/>
        <s v=" Virtual Reality (VR); Motion Sickness; Stressor; EGG; Likert Scale"/>
        <s v="eeg brain computer interface"/>
        <s v="autism spectrum disorder, biomedical signal processing, eeg preprocessing, electroencephalography, signal denoising, multichannel eeg, stationary wavelet transform, sphara abstract electroencephalography (eeg) signals are highly susceptible to noise and a"/>
        <s v=" NeuromuscularFatigue, EEG-EMGSignalProcessing, HybridMachineLearning, SVM-CNNClassifier, RehabilitationEngineering, FatigueDetection"/>
        <s v="brain activity , cognitive monitoring , cognitive rehabilitation , eeg , embedded intelligence , in"/>
        <s v=" EEG, HRV, Eye tracking, Driving simulation, autonomous driving, Cognitive Load&#10;"/>
        <s v="  BCI- Brain Computer Interface, HCNN- Hybrid Convolution neural network , EEG -Electroencephalography,&#10;G2WO- Grasshopper and Grey Wolf Optimization, Ho- Hybrid optimization, PSO-Particle swarm optimization."/>
        <s v="Wearable BCI System, EEG Signal Enhancement, Multimodal Sensing, Motion Artifacts"/>
        <s v="chord structure , musical mode , eeg , alpha power , harmonic ambiguity journal open access advance online publication article id: ijae-d-25-00037 doi https://doi"/>
        <s v=" Epilepsy, seizures, sensors, controller"/>
        <s v=" Silent speech decoding, Electroencephalogram, Electromyography, Around ear EEG, Online system, Wearable neurotechnology, Assistive communication"/>
        <s v="Digital Human Modelling · Multimodal Neurophysiological Sensing · PlatformAgnostic Frameworks · Game-Based Interaction · Accessibility and Inclusion."/>
        <s v=" electroencephalography (EEG); motor imagery classification; convolutional neural network (CNN); brain–computer interface (BCI); limb movement classification; human health"/>
        <s v="Fatigue Assessment, Mental Fatigue, Wearable Sensors"/>
        <s v="inkjet printing graphene mobile health ecg electrode flexible wearable plastic armband internet of things"/>
        <s v=" Electrodes, Sensors, Yarn, Finite element analysis, Impedance, Electromyography, Geometry, Deformation, Monitoring, Fabrics, sensor testing and evaluation (PHEN), knitted sensors (MATR), surface EMG, signal processing (SIGP), textile based EMG sensors."/>
        <s v="electroencephalography"/>
        <s v=" ELECTROENCEPHALOGRAPHY; MACHINE learning; DIAGNOSIS; SENSORY stimulation; SUPPORT vector machines; WAVELET transforms; ARTIFICIAL neural networks; MIGRAINE&#10;"/>
        <s v="support vector machine wearable devices people with disabilities rehabilitation training quality of life compliance intelligent algorithms download pdf advertisement explore content research articles news"/>
        <s v=" EEG-eyewear, smartglasses, neurophysiological monitoring."/>
        <s v=" gaming disorder; task-based EEG; occipital cortex; machine learning; spectral slowing"/>
        <s v="biomedical engineering artificial intelligence artificial limbs relieff task recognition profiles luttfi a"/>
        <s v=" Autism spectrum disorder Electroencephalography Multivariate Empirical Wavelet Transform EEGNet Cross-validation"/>
        <s v="what are keywords article keywords are supplied by the authors and highlight key terms and topics of the paper"/>
        <s v="  EMG; deep learning; spectrogram; stroke classification; CNN"/>
        <s v="alpha transformation intervention neural flexibility posttraumatic stress disorder (ptsd) resilience acknowledgements the authors are grateful to dr trevor brown for providing helpful comment during the editing phase of this manuscript and the australian "/>
        <s v="assistive device control, deep learning, facial emg, neural networks, hyperparameters main article content irfan wahyu ramadhan department of electrical engineering, islamic university of indonesia, yogyakarta 55584, indonesia sisdarmanto adinandra depart"/>
        <s v="learning-style detection, eeg features, cusum, feature extraction, felder–silverman learning-style main article content rifkie primartha department of electrical and information engineering, universitas gadjah mada, yogyakarta 55281, indonesia; department"/>
        <s v="flexible eeg electrodes electrical conductivity contact impedance signal quality multipin electrodes wearable neurotechnology recommended articles data availability the data that has been used is confidential"/>
        <s v="teaching"/>
        <s v="motor imagery brain computer interface transcranial direct current stimulation functional electrical stimulation stroke neuroplasticity profiles jessica paola souza lima view author profile aura ximena gonzalez"/>
        <s v="  applications | dielectric properties | mechanical properties | sensors and actuators | thermogravimetric analysis (TGA)"/>
        <s v="brain computer interface, Brain computer interface (BCI), Electroencephalogram (EEG), Motor imagery (MI), Real time gaze tracking, Unity"/>
        <s v="neurohumanities eeg biometrics computer vision emotion recognition human-centred technologies subjects: communication studies art and visual culture filmmaking and postproduction media communication photography visual arts media and film studies critical "/>
        <s v="silent speech interface microneedle array polymer"/>
        <s v="eeg, hand motor imagery, robotic glove, upper-limb rehabilitation, action observation abstract improving motor imagery (mi) results in amplified event-related desynchronization/synchoronization (erd/ers), which is crucial for mi-based brain-computer inter"/>
        <s v="upper"/>
        <s v="flexible neural implant chronic signal acquisition parkinsonian rat model ecog signal secondary motor area bilateral craniotomy download pdf advertisement explore content research articles news"/>
        <s v="heart rate variability, electrocardiogram, electroencephalogram, interoception introduction pain poses a substantial burden to patients and elicits distinct physiological changes, including alterations in cortical activity and autonomic nervous system reg"/>
        <s v=" sleep, excitability, subthreshold membrane potentials, synaptic mechanisms, synaptic plasticityin vivo patch clamp recording"/>
        <s v=" augmented reality; mixed reality; reinforcement learning; Unity ML-Agents; prosthetic actuation"/>
        <s v=" EEG; electroencephalography; image reconstruction; generative AI; 3D printing"/>
        <s v="classical Chinese learning | dry EEG | neurofeedback"/>
        <s v="brain-computer interface, functional electrical stimulation, neurorehabilitation, robotic devices, stroke, transcranial alternating current stimulation"/>
        <s v="Metaverse;Sensors;Surveys;Robot sensing systems;Avatars;Temperature sensors;Tutorials;Metaverse;brain-computer interface;human digital twin;non-invasive BCI;computer vision;AI;IoT;sensors;VR;machine learning"/>
        <s v="mental workload, visuospatial processing, virtual reality, EEG, heart rate variability"/>
        <s v="photography, three-dimensional displays, conferences, virtual reality, resists, user interfaces, electromyography"/>
        <s v="heart, visualization, virtual environments, sensor phenomena and characterization, physiology, skin, real-time systems"/>
        <s v="brain"/>
        <s v="Motor imagery, Morphology pattern spectrum, Phase-amplitude coupling, Granger causality, Generative adversarial network"/>
        <s v="eeg technology, stress response, brainwave alterations, real-time monitoring system abstract mental well-being plays a crucial aspect in human life alongside physical health"/>
        <s v="cognitive workload heart rate variability physiological response mixed reality rights and permissions copyright"/>
        <s v=" SCI; EEG; BCI; rehabilitation systems; manifold learning"/>
        <s v=" Ganglia, Signal Processing, Brain Activity, Actuator, Signal Acquisition, Arduino, Motor Imagery, Adaptive Control Algorithm, Brain-computer Interface Technology, Wireless, Convolutional Neural Network, Support Vector Machine, Amyotrophic Lateral Scleros"/>
        <s v="eeg"/>
        <s v="eye tracking gaze behavior gender differences saliency prediction visual attention user segmentation web experience multimodal dataset download pdf advertisement support and contact jobs language editing for authors scientific editing for authors leave fe"/>
        <s v="depression screening, EEG biomarkers, mobile health applications, artificial intelligence, digital therapeutics"/>
        <s v="Brain–machine interface, EEG, Motor imagery, Movements, Machine learning, Functional connectivity"/>
        <s v=" EEG; brain-computer interface; music classification; neural network"/>
        <s v=" Portable System, Multichannel System, Portable EEG, Multi-channel EEG, Real-time EEG, EEG Acquisition System, Signal Acquisition System, EEG Recordings, EEG Signals, EEG Measures, Brain Activity, Dynamics of Brain Activity, Gamma Oscillations, Signal Qua"/>
        <s v="brain-computer interface; motor imagery; dual-validation framework; cross-session validation;&#10;within-session validation; temporal robustness; machine learning; EEG classification; clinical translation;&#10;performance degradation"/>
        <s v=" Electroencephalography, architectural space design, cognitive performance, learning environments"/>
        <s v=" bioengineering, signal processing and analysis, brain computer interface, eeg signal, neurodegenerative diseases, odia alphabets"/>
        <s v="rats ; animal studies ; ECoG ; nanotechnology ; drug"/>
        <s v="BCI skills; Optimal transport; co-adaptive BCI; domain adaptation; user-centered BCI"/>
        <s v="implantable ; animal studies ; zebra finch ; EEG"/>
        <s v="exoskeleton ; brain&amp;ndash;computer interface ; robot-assisted rehabilitation ; healthcare ; biomedical engineering ; eeg ; neurorehabilitation ; real-time control ; assistive technology 1"/>
        <s v="joint angles, continuous estimation, angle estimation, home-based rehabilitation, continuous joint, joint angle estimation, continuous joint angle, convolutional network, convolutional neural network, upper limb, electromyography signals, gated recurrent "/>
        <s v="eeg ; brain-computer interface (bci) ; manifold learning ; dimensionality reduction ; shallow classifiers ; t-sne subject: engineering - electrical and electronic engineering 1"/>
        <s v="electroencephalogram (eeg) signals, brain activity, identified information, unidentified information abstract conventional lie detectors have often been questioned for their accuracy and reliability, which can lead to wrongful accusations"/>
        <s v=" Chronic Stress, Binaural Beats, Mental Health, Stress Levels, Electroencephalography, Power Spectrum, Reduction In Score, Stress Scores, Auditory Stimulation, Brain Activity, Frequency Band, Neural Activity, Course Of Treatment, Emotion Regulation, Audit"/>
        <s v=" Memory Training, Dementia Training, Brain Wave Analysis, Healthy Volunteers, Brain Activity, Wave Amplitude, Power Ratio, Recall Period, Memory Encoding, N-back Task, Alpha Rhythm, Theta Rhythm, Cognitive Rehabilitation, Beta Waves, Virtual Reality Games"/>
        <s v=" Stroke, Neurorehabilitation, Brain-Computer Interface, Transcranial Alternating Current Stimulation,&#10;Functional Electrical Stimulation, Robotic Devices"/>
        <s v="bci ; cnn ; graph theory ; eeg ; movement intention ; finger tapping 1"/>
        <s v=" coherence analysis, eeg, stress, visual simulation"/>
        <s v="Brain Computer Interface(BCI), Electroencephalograph (EEG), Machine Learning, Classification, Performance evaluation"/>
        <s v=" Human-centered computing, Human computer interaction (HCI), Empirical studies in HCI"/>
        <s v=" EEG Signals, IMU Signals, Support Vector Machine, Body And Brain, Amygdala, Electrodeposition, Emotion Recognition, Circuit Board, Limbic System, Emotion Categories, Frequency Index, Gamma Oscillations, Alpha Rhythm, Beta Waves, Motion Frequency, Average"/>
        <s v="human performance safety-critical systems electroencephalography machine learning cognitive assessment acknowledgments we extend our sincere gratitude to our dedicated participants of eeg experiments whose invaluable contributions and commitment were inte"/>
        <s v="dysmenorrhea yoga with asanas young women eeg psd open bci bi"/>
        <s v=" Explainable Artificial Intelligence, Decision-making Process, Early Diagnosis, Deep Network, EEG Data, Normal Individuals, Communication Difficulties, Artificial Intelligence Applications, Bidirectional Long Short-term Memory, Artificial Intelligence Mod"/>
        <s v=" Interval Length, Trial Length, Classification Accuracy, Difference In Accuracy, EEG Data, Saturation Effect, Motor Imagery, Real-time Response, Brain-computer Interface System, Evaluate Classification Performance, Brain-computer Interfaces Performance, W"/>
        <s v=" Chronic Stroke, Neurofeedback, Functional Electrical Stimulation, Left Hand, Motor Performance, Hand Movements, Botulinum, Performance Gain, Improvement In Strength, Tibialis Anterior, Left Leg, Application Of Protocol, Maximal Voluntary Contraction, Ext"/>
        <s v="Envelope following response, Time-varying system, Transfer function, Dominant spectral response, Cross-spectral density, EEG"/>
        <s v="knee cartilage biomechanics kinematics and kinetics rehabilitation download pdf advertisement bmc musculoskeletal disorders issn"/>
        <s v=" Motor Imagery, EEG Classification, Short-term Memory, F1 Score, Real-world Data, Long Short-term Memory, EEG Data, EEG Signals, Long Short-term Memory Network, Long Short-term Memory Model, Elbow Flexion, Average F1-score, Elbow Extension, Synthetic Sign"/>
        <s v=" Spatial cognitive training, Virtual reality, Task-state EEG signals, Power spectral density permutation conditional mutual information"/>
        <s v=" BCI. Assitive Technologies. Open-technology. Randomized&#10;Controlled Trial. Rehabilitation. EEG."/>
        <s v="spatial cognition electroencephalogram feature extraction hybrid neural network access this article log in via an institution subscribe and save springer"/>
        <s v="binaural beat frequencies attention inaudible range attention network test access this article log in via an institution subscribe and save springer"/>
        <s v=" Brain-Computer Interface, EEG, Signal Processing, Machine Learning, Malayalam Language, Regional&#10;Accents"/>
        <s v="electroencephalography data processing signal processing data transmission electrodes human"/>
        <s v="amyotrophic lateral sclerosis, disabilities, electroencephalogram, brain computer interface, feeding "/>
        <s v=" auto labeling, brain-computer interface (BCI), BCI-illiteracy, electroencephalography&#10;(EEG), functional neural network (FNN), gamification, inertial measurement unit (IMU), motor execution&#10;(ME), motor imagery (MI)"/>
        <s v=" Virtually, Vital Signs, Headphones, Electrodeposition, Heart Rate Variability, Cardiac Activity, Cardiac Monitoring, Virtual Reality Headset, Electrocardiographic Monitoring, Body Parts, Dynamic Conditions, Graphene Oxide, Motion Artifacts, Body Area, El"/>
        <s v="electrocardiography flexible bioelectrode wearable graphene textile smart medical garment on"/>
        <s v=" Smart transportation; Wearable devices; Deep learning; TENG; Digital twin &#10;"/>
        <s v="brain–computer interface, mu rhythm, vibrotactile feedback, eeg, arduino abstract background: mu-rhythm bcis provide a noninvasive entry to motor control via event-related desynchronization detection over the sensorimotor cortex during motor imagery"/>
        <s v=" Interventional BCI, EEG, Motion Classification"/>
        <s v="brain disorders ; eeg ; helmet ; chameleon-1 1"/>
        <s v="Selective Exposure, Electroencephalography, Eye Tracking, CoRegistration, News, Reading"/>
        <s v="abstract journal title quick search anywhere enter words"/>
        <s v="Electroencephalography, mental health, multisensory, olfactory, post-traumatic stress disorder, relaxation training, virtual reality"/>
        <s v="intelligent computing, prediction of stress, machine learning, algorithms, mental health, personalized interventions"/>
        <s v=": : human interaction, gated recurrent unit (gru), electroencephalogram (eeg), recurrent neural networks (rnn) , emotion identification, long short-term memory (lstm) , particle swarm optimization (pso)"/>
        <s v="eeg signals mental stress stress detection dataset artificial intelligence deep learning algorithms recommended articles data availability cognitive load assessment through eeg"/>
        <s v="Self-driving, Technology acceptance, EEG, Eye-tracking, Wearable sensors, Multiscale analysis"/>
        <s v="eeg signals ; dry electrode ; pedot: pss ; conductive fabric ; smart textiles 1"/>
        <s v=" Hardware, Emerging technologies, Biology-related information processing, Neural systems, Human-centered computing, Human-computer interaction (HCI), Empirical studies in HCI"/>
        <s v=" Wheelchairs, Sensors, Neck, Pressure sensors, Optical fibers, Optical fiber sensors, Monitoring, Electroencephalography, Sensor systems, Visualization&#10;&#10;&#10;&#10;&#10;&#10;&#10;&#10;"/>
        <s v=" Technical requirements, Brain, Autism, Statistical analysis, Software, Complexity theory, Synchronization, Frequency synchronization, Signal resolution, Systematic literature review"/>
        <s v=" Brain–machine interface, Electrical and electronic engineering"/>
        <s v=" EEG Data, Part-of-speech, Brain-computer Interface Applications, Native Speakers, Support Vector Machine, Highest Accuracy, Machine Learning Classifiers, EEG Recordings, EEG Signals, Brain Signals, Patient Datasets, External Devices, Machine Learning Cla"/>
        <s v=" Applied computing, Education, Interactive learning environments, Computing methodologies, Machine learning, Social and professional topics, Professional topics, Computing education"/>
        <s v=" Acupuncture, Electroencephalography, Transformers, Convolutional neural networks, Needles, Brain modeling, Medical diagnostic imaging, Training, Temperature measurement, Feature extraction"/>
        <s v=" Electrodes, Wireless communication, Wireless sensor networks, Accuracy, Noise, Speech recognition, Electromyography, Facial muscles, Surface treatment, Wearable sensors"/>
        <s v="motor control trajectory errors internal model error"/>
        <s v="metaverse ; virtual reality ; cloud rendering ; internet of things 1"/>
        <s v="&amp;nbsp; electroencephalogram, deep learning algorithms, lie detection, convolution neural network, long short-term memory, multilayer perceptron 1"/>
        <s v="cognition decision trees electroencephalography feature extraction feature selection independent component analysis learning"/>
        <s v="neurofeedback emotional regulation virtual reality machine learning openbci training neurofeedback regulaci"/>
        <s v="Training;Time-frequency analysis;Accuracy;Navigation;Fast Fourier transforms;Wheelchairs;Signal processing algorithms;Electroencephalography;Real-time systems;Classification algorithms;SSVEP;EEG;ROS;Autonomous Wheelchair Navigation;Brain Signal Processing"/>
        <s v="Electroencephalography, epilepsy, remote monitoring, signal analysis, wearable&#10;technology"/>
        <s v="Vibration energy recovery; Self-powered vibration-sensing; Host-friendliness; Train transportation "/>
        <s v=" Conversational agent, emotion recognition, empathy, physiological signals,&#10;Electroencephalogram, Electrodermal activity, Photoplethysmogram"/>
        <s v="Brain–computer interface, Motor imagery, Electroencephalogram signal processing, Geometric deep learning, Symmetric positive definite manifold"/>
        <s v="Mediumship; Channeling; EEG; Extrasensory perception; Mental states "/>
        <s v="Brain-computer Interface, SSVEP, Electroencephalograph, Human Visual System"/>
        <s v="neurointerface, brain-computer interface, Internet of Things, ontology engineering, high-level integration, real-time data visualization"/>
        <s v="Elderly, Cognitive training, Memory and learning tests, Neuropsychological tests, Electroencephalography"/>
        <s v="electroencephalography, functional near-infrared spectroscopy, transcranial Doppler ultrasound, multimodal, neuroimaging, cerebrovascular"/>
        <s v="Autism;Design methodology;Syntactics;Biomedical engineering;Event-Related Potential (ERP);Autism;Language;Speech;BCl;Auditory;Perception;Attention"/>
        <s v="biomaterials, conductive composites, gelatin, hydrogels, soft electronics"/>
        <s v="Image-to-Text, text Classification, Table Question Answering, Question Answering, Summarization, Feature, Extraction, Text Generation, Text2Text Generation, Time Series Forecasting, Robotics"/>
        <s v="Visualization;Shape;Color;Visual systems;Brain-computer interfaces;Steady-state;Recording;Time factors;Informatics;Monitoring;Brain-Computer Interface;SSVEP;Electroencephalograph;Human Visual System"/>
        <s v="Textile electronics, functional fiber, healthcare monitoring, integration strategies, wearable electronics"/>
        <s v="Protocols;Telemedicine;Kinematics;Motors;Electroencephalography;Medical diagnosis;Elbow;Monitoring;Diseases;Biomedical engineering;Dual-task;EEG;monitoring;neurodegenerative diseases;older adults"/>
        <s v="Drugs;Visualization;Electric potential;Ambient assisted living;Brainstem;Brain modeling;Electroencephalography;Brain-computer interfaces;Software;Steady-state;Brain Computer Interface;EEG;ERP;OpenBCI;P300;Steady State Visual Evoked Potential;Event Related"/>
        <s v="Data visualization;Electroencephalography;Real-time systems;Recording;Visual databases;Usability;Monitoring;Diseases;Testing;Biomedical engineering;electroencephalography (EEG);Wearable Technologies;OpenBCI;Acquisition Platform;Visualization and Storage o"/>
        <s v="Deep Learning, EEG, Real-time Detection, Sleep Health"/>
        <s v="Neuro-rehabilitation, BCI System, Motor Imagery,&#10;Feature Engineering, MI Limb EEG Dataset, Machine Learning"/>
        <s v="Electroencephalography, head-mounted displays, smart glasses, brain-computer interfaces, neuroergononics"/>
        <s v="Headphones;Access control;Privacy;Data privacy;Metaverse;Electroencephalography;Information filtering;Biosensors;Biomedical monitoring;Information integrity;xR;biosensors;identity;privacy;anonymization"/>
        <s v=" Electroencephalography (EEG), Emotion Recognition, Event-Related Potentials&#10;(ERPs), Multimodal Deep Learning "/>
        <s v="Performance evaluation;Neurological diseases;Electric potential;Brain;Accuracy;Muscles;Electroencephalography;Consumer electronics;brain–computer interface;signal processing;electroencephalogram;communication"/>
        <s v="Thermal perception, Discriminative component, Electroencephalography, Dipole analysis, Event-related spectral perturbation, Thermal stimulus"/>
        <s v="Accuracy;Process control;Linguistics;Boosting;Feature extraction;Electroencephalography;Robustness;Ensemble learning;Random forests;Testing;EEG;Machine learning;Neurodegenerative Disorders;Power spectral density;Classification;Vocal;Subvocal"/>
        <s v="Support vector machines;Training;Performance evaluation;Accuracy;Machine learning;Feature extraction;Electroencephalography;Brain-computer interfaces;Bayes methods;Testing;Brain-Computer Interface;Machine Learning;EEG;Signal Processing;Marathi"/>
        <s v="neurorehabilitation; electromyography (EMG); brain–computer interfaces (BCIs); functional near-infrared spectroscopy (fNIRS); motor imagery (MI); lower prosthetic limbs"/>
        <s v="Training;Analytical models;Accuracy;Transfer learning;Training data;Brain modeling;Data models;Electroencephalography;Optimization;Batch normalization;EEG;OpenBCI;CNN;personalization;visual perception"/>
        <s v="STROKE; FEATURE extraction; SIGNAL processing; STROKE patients; SIGNAL classification"/>
        <s v="stress, covid-19, EMG, EEG, ECG, Galvanic skin response"/>
        <s v="Support vector machines;Protocols;Accuracy;Robot kinematics;Stroke (medical condition);Feature extraction;Real-time systems;Electroencephalography;Brain-computer interfaces;Spinal cord injury"/>
        <s v="EEG, OpenBCI, non-invasive, prosthetic arm, deep learning, low cost."/>
        <s v="Chronic tinnitus; IoT-enabled EEG sensing (IEES); Customized Music (CM); Pitch matching (PM); EEG measurement"/>
        <s v="Biomedical engineering, Electrical and electronic engineering, Oral cancer detection"/>
        <s v="Robotics, Prosthetics, Electroencephalography, Brain machine interfaces, Review"/>
        <s v="Legged locomotion;Deep learning;Mechatronics;Kinematics;Electroencephalography;Brain-computer interfaces;Convolutional neural networks;Proposals;Usability;Robots;Brain-Computer Interfaces;Embedded Human-Machine Interfaces;Gait Assistance;Pedaling Rehabili"/>
        <s v="Independent component analysis, measurement uncertainty, EEG, BCI"/>
        <s v="BCI, IoT, EEG, machine learning, SSVEP"/>
        <s v="Training; Accuracy; transfer learning; Signal processing; Brain modeling; Electroencephalography; Brain-computer interfaces; Biological neural networks; Residual neural networks; Testing; BCI; real-time neural networks; EEG inner speech classification; tr"/>
        <s v="Wavelet transforms; Support vector machines; Fast Fourier transforms; Nearest neighbor methods; Feature extraction; Brain modeling; Brain-computer interfaces; Electroencephalography; Signal representation; Standards; Brain-Computer Interface; Self-Paced; "/>
        <s v="Arduino technology, control, disability, Mind- flex,&#10;Neurosky chip, hand prosthesis, electroencephalographic signals."/>
        <s v="shared robot control, brain–computer interface, augmented reality, motor imagery, electroencephalogram, user evaluation, eye tracking"/>
        <s v="wearables, bioelectronics, conductive putty, electrophysiology, self-healing, e-tattoos, biointerfaces"/>
        <s v="Training; Accuracy; Robot control; Stroke (medical condition); Motors; Assistive robots; Feature extraction; brain-computer interface; motor imagery; human-machine interaction; rehabilitation robot"/>
        <s v="Visualization; Three-dimensional displays; Protocols; Avatars; Refining; Virtual environments; Motors; Motor imagery; virtual reality; brain-computer interfacing; digital twin"/>
        <s v="CNN; dry electrode; deep learning networks; emotion; graph theory; EEG; recognition"/>
        <s v="Heart rate; Accuracy; Urban areas; Gaze tracking; Brain modeling; Feature extraction; Electroencephalography; driver condition monitoring; EEG; biosensing; detection; classification"/>
        <s v="Learning systems; Electrodes; Deep learning; Visualization; Image synthesis; Contrastive learning; Motors; Visual Imagery; EEG signals; Contrastive Learning"/>
        <s v="Heating systems; Surveys; Seminars; Visualization; Brain; Accuracy; Electroencephalography; Electroencephalography; Taste Perception; Sweet and Sour; Brain Signals; MAV; Variance; Brain Heatmap"/>
        <s v="EEG, VEP, Visual processing, Color Preference"/>
        <s v="Electroencephalography; Feature extraction; Gaze tracking; Brain modeling; Physiology; Avatars; Convolutional neural networks; Machine Learning; Human-centered computing; EEG; Eye-tracking"/>
        <s v="Training; Surveys; Learning  systems; Brain; Correlation; Reviews; Electroencephalography; reading; EEG; Scanning technique; SQ3R"/>
        <s v="Development, disgust, electrogastrography, gut–brain axis, interoception"/>
        <s v="conductive Velcro electrode; hook structure; biopotential detection; gesture recognition"/>
        <s v="Uterine Contraction, Electrohysterography, Tocodynamometer, Synchrony, Onset of Labor"/>
        <s v="Electromyography; adaptation models; Data models; Feature extraction; Convergence; Speech enhancement; Metalearning; electromyography (EMG); EMG-to-speech;meta-learning; personalized federated learning (PerFL); silent speech interface; transformers; voice"/>
        <s v="Visualization; Brain; Cognitive processes; Particle measurements; Electroencephalography; Task analysis; Informatics; Consumer Attention; Brain Response; Neuromarketing; EEG"/>
        <s v="earables , hearables , open-source hardware , OSHW , open wearables"/>
        <s v="Consciousness assessment, Glasgow coma scale, D-MaxApEn, electroencephalography"/>
        <s v="Brain; Decision making; Neuromarketing; Feature extraction; Electroencephalography; Entropy; Communications technology; EEG; neuromarketing; advertising video; purchase decision"/>
        <s v="Brain-computer interface; Electroencephalography; Electronic gadgets; Non-invasive; Smart home."/>
        <s v="Electroencephalogram; Low-cost; Medical device; Raspberry Pi"/>
        <s v="Fractional empirical mode decomposition, Transcutaneous electrical nerve stimulation, Electroencephalogram, Attention, Scoring the effectiveness of the TENS therapy"/>
        <s v="Architecture, Avatar, Kubernetes, Spark, TensorFlow"/>
        <s v="Brain Computer Interface, Savitzky–Golay filter, EEG signals, Head-neck brace, SVM method."/>
        <s v="BCI, SSVEP, EEG, OpenBCI, Ganglion board, Visual Stimuli"/>
        <s v="Robotic arm, Raspberry Pi, Machine learning, EEG Sensors"/>
        <s v="Hand and finger movement rehabilitation, post-stroke patients, Static Visual Stimuli, Kinesthetic Motor Imagery "/>
        <s v="Virtual environments, Nature Immersion, therepudic technology "/>
        <s v="Convolutional neural networks, Kinematic reconstruction, Long short-term memory, Lower-limb rehabilitation"/>
        <s v="Brain-Computer Interface (BCI), Cognition, Electroencephalography (EEG), Gaming, Virtual Reality (VR)"/>
        <s v="Underwater surface electromyography, rehabilitation, anti-swelling properties"/>
        <s v="Fitness traits, training, injury prevention, cognitive ability, Electroencephalography"/>
        <s v="Attention and memory, Human Attention Recognition System, identify attention levels"/>
        <s v="Exam anxiety, Mindfulness-Based Cognitive Therapy, Virtual Reality, BCI"/>
        <s v="Amyotrophic lateral sclerosis, eye-tracking, communication"/>
        <s v="Multimodal haptic perception, bimodal intelligent tactile sensor, triboelectric,  human-machine integration"/>
        <s v="Cybersickness, virtual reality, biosignals, Improve VR experience"/>
        <s v="Visual Evoked Potentials, EEG, non-verbal human-machine communication"/>
        <s v="Brain-Computer Interfaces, motor imagery, deep learning, neurofeedback, locked-in syndrome"/>
        <s v="Inter-brain synchrony, brain-to-brain system, social abilities, human connection."/>
        <s v="Contrastive Learning, EEG Signals, Mental Stress Assessment"/>
        <s v="Amyotrophic Lateral Sclerosis (ALS), electroencephalographic "/>
        <s v="infant's well-being: heart rate, ECG signals, "/>
        <s v="Immersive learning, electroencephalography, physiological patterns"/>
        <s v="Electroencephalograph (EEG), language-specific datasets, Machine Learning"/>
        <s v="Prosthetics limbs, EEG controlled, AI based EEG Haptic Feedback"/>
        <s v="Wave energy harvester; Smart fisheries; Halbach-piezoelectric-electromagnetic structure; Self-powered; Self-sensing"/>
        <s v="internet of things, brain-controlled unmanned aerial vehicle, brain-computer interface, compressed-perceptual visual evoked potentials paradigm, human-machine closed-loop controller"/>
        <s v="Cognitive load, Games, Video games, Physiology, temperature measurement, Particle measurements, Atmospheric measurements"/>
        <s v="Open-BCI, Zebra finch, ECOG, Bird electrophysiology, open source EEG"/>
        <s v="EEG, BMI, Imagination, Resting-state, Visual Stimulation, Machine Learning"/>
        <s v=" neuroeducation; neurohumanities; immersive spaces; neuroengineering; educational innovation"/>
        <s v="Wearable medical devices, Epidermal sensing, Electrophysiological signals, Liquid functional ink, Hirsute skin"/>
        <s v="Correlation coefficient; Visualization; Correlation; Animals; Semantics; Visual systems; Transformers; EEG; VEP; stimulation; brain; signal; acquisition; DC offset; filtration; correlation coefficient"/>
        <s v="Brain-Computer Interface (BCI), Electroencephalography (EEG), Exoskeleton, Knee, Lower Limb, Motor&#10;Imagery (MI), Transfer Learning. "/>
        <s v=" passive movements; spatial–spectral filter; brain–computer interfaces; upper limb; EEG"/>
        <s v="Electrodes; Electroencephalography; Motion artifacts; Gold; Motion measurement; Correlation; Scalp; Ambulatory monitoring; electrodes; electroencephalography (EEG); motion artifacts; wearable sensors"/>
        <s v="EEG, evaluation, interaction input, user input preference"/>
        <s v="Cerebral blood flow · Continuous monitoring · Electrocardiography · Electroencephalography · Quantitative&#10;electroencephalography · Stroke"/>
        <s v="Pervasive computing; Filtering; Conferences; Brain modeling; Electroencephalography; Usability; Faces; BCI; ErrP; SSVEP; Hybrid BCI; ERP"/>
        <s v="Surveys; Productivity; Employment; Fatigue; Electroencephalography; Brain-computer interfaces; Real-time systems; Brain computer interface (BCl); Event related potential (ERP) techniques; Electroencephalography (EEG); Assembly line; fatigue analysis; P300"/>
        <s v="Touch; Air; Vibration; Stimulation; Somatosensory evoked potentials; Tactile sensations "/>
        <s v="Brain, Wavelet analysis, Feature extraction, Entropy, Electroencephalography, Discrete wavelet transforms, Pattern recognition"/>
        <s v="Cognitive load; Electroencephalography; Game interaction; Older adults"/>
        <s v="Biopotentials; Electroencephalography; Brain computer interface; Event-related potentials (ERPs); Auditory brainstem response (ABR); Mismatch negativity (MMN) "/>
        <s v="Circuits, Electroencephalography, Noise, Instruments, Feature extraction, Sensors, signal to noise ratio, Brain–computer interface, electroencephalography (EEG) acquisition circuit, EEG signal, reliability, temperature stability"/>
        <s v="Time-frequency analysis; Empirical mode decomposition; Feature extraction; Motors; Brain modeling; Electroencephalography; Decision trees; Empirical mode decomposition; ensemble of estimators"/>
        <s v="MATLAB, Diseases and conditions, "/>
        <s v="Brain-computer interface (BCI), EEG, fNIRS, HybridBCI, Locked-in syndrome (LIS), Completely locked-in syndrome (CLIS)"/>
        <s v="EEG, emotion recognition, real-time, PCA, Random Forest, humanities,&#10;neurohumanities, Descartes"/>
        <s v="In-Vehicle Information Systems, Cognitive Demands, Optimization, Visual/Auditory Modalities, Tactile&#10;Screen Tapping, Voice Commands, Visual Cues, Cognitive Load."/>
        <s v="BIOENGINEERING, ENGINEERING PROFESSION, SIGNAL PROCESSING AND ANALYSIS, BRAIN COMPUTER, DATA DESCRIPTOR PAPER, DATASETS, ELECTRONICS AND COMMUNICATION, MACHINE LEARNING"/>
        <s v=" Intra-oral Sensing, Occlusal Disease Recognition"/>
        <s v="applied computing, education, interactive learning environments"/>
        <s v="Emotion recognition, Electroencephalography, Brain modeling, Real-time systems, Solid modeling, Heart rate variability, Cognitive load"/>
        <s v="EEG, electroencephalography, covert speech, imagined speech, brain-computer interface, BCI"/>
        <s v="Convolutional network; Long and short-term memory; Action recognition; Kinematic modeling; Training&#10;assistance system."/>
        <s v="aerogel antibacterial electrophysiological signal monitoring flexible electrode"/>
        <s v="Brain–computer interface&#10;EEG&#10;OpenBCI&#10;Student attention&#10;Mutual information&#10;Deep learning"/>
        <s v="Anatomy, Electrodes, Membranes, Permeability, Sensors, electronic skins, pressure sensor, track-etched membranes, breathability, health monitoring"/>
        <s v="Physiological computing; Affective computing; Sport promotion"/>
        <s v="BCI Software Platforms; Node-RED; BrainFlow; IoT; OpenBCI technology"/>
        <s v=" Emotion Recognition, Machine Learning, Stock, Valence-arousal, EEG,&#10;DWT, SGD, NB, LDA, KNN"/>
        <s v="biomedical signal processing; corneo-retinal potential; electrooculography; filtering&#10;algorithms; eye tracking; Kalman filters; saccades"/>
        <s v="deep learning; EEG; fatigue; GAN; GCN"/>
        <s v="Alpha, coping, electroencephalogram (EEG), neural circuitry, posttraumatic growth (PTG), posttraumatic stress disorder (PTSD), resilience"/>
        <s v="eye-controlled wheelchair, human computer interaction, openBCI, Arduino Uno, sensors, EEG, "/>
        <s v="binaural, externalization, EEG, ERP"/>
        <s v="Electroencephalography, Event-related potentials, Artifact Corrupted&#10;Epochs, Unsupervised Machine Learning Algorithm, EEGLab Toolkit"/>
        <s v="Performance evaluation; Visualization; Emotion recognition; Brain; Correlation; Coherence; Feature extraction; happy emotions; sad emotions; coherence analysis; visual stimulation"/>
        <s v="Arduino, Misclassification matrix, MUAP, Surface electromyography, Wheelchair propulsion."/>
        <s v="Brain waves, epilepsy, EEG, Mobile, Machine Learning"/>
        <s v="Biomedical engineering; electroencephalography;Hjorth features; machine learning; signal processing"/>
        <s v=" EEG, BCI, ICA, MNE, machine learning, neural Network"/>
        <s v="Brain Computer Interface (BCI), User interface, Electromyography (EMG), Mobile gaming"/>
        <s v="Wearable Electroencephalography; Ear-EEG; Validation; Toolkit; EEG Phantom; Event-Related&#10;Potentials"/>
        <s v="BCI, EEG, ECoG, L-SVM"/>
        <s v="Auditory system, Mathematics and computing, Neuroscience, Sensory processing"/>
        <s v="Long Short-Term Memory (LSTM), brain-computer interfaces (BCIs), Electroencephalogram (EEG)"/>
        <s v="Engineering Research, Neuroscience Applied to Learning, Neuroeducation, Brain-Computer Interface, Signal Processing, Professional Education, Educational Innovation"/>
        <s v="AI (Artificial intelligence), machine learning, brain activity, EEG&#10;(Electroencephalogram)"/>
        <s v="Personal recognition; electromyogram; siamese network; auxiliary classifier"/>
        <s v="Doped nanoparticles, Titanium dioxide, Rat brain, Electroencephalogram, Oxidative stress"/>
        <s v="Driving simulator, attention, mental workload, sound, physiologic sensors, electroencephalogram,&#10;virtual reality"/>
        <s v="SqueezeNet · Deep learning · Electroencephalography · Wavelet&#10;transform · Transfer learning · Brain-computer interface · Sleep detection"/>
        <s v="electrical signal from the urinary bladder, flexible electronics, noninvasive multichannel urodynamic study, voluntary voiding"/>
        <s v=" ADHD, neurofeedback, executive functions, gender"/>
        <s v="Affective Computing, Arousal, BCI, Data Analysis, Data Integrity, Emotion Classification, Machine Learning,&#10;User Study, Valence"/>
        <s v=" PEDOT:PSS, electrophysiology, printable electronics, stretchable bioelectronics, polyurethane"/>
        <s v="Cognitive Tasks, Controlled Breathing, Transfer Entropy"/>
        <s v="tracheal sounds, respiratory rate, smartphone"/>
        <s v="Virtual reality, Smell, Haptics, Haptic glove, Force feedback, Quality of experience, Immersive media experience"/>
        <s v="Brain-Computer Interfaces (BCIs), Motor Imagery (MI), EEG Signal Processing, Geometric Deep Learning,&#10;Symmetric Positive Definite (SPD) Manifold"/>
        <s v="Brain-computer interface, deep learning,&#10;electroencephalogram, motor imagery."/>
        <s v="Brain computer interface, Common spatial pattern, Electroencephalography, Motor imagery, Session to session learning"/>
        <s v="Brainwave images, Long short-term memory (LSTM), Convolutional neural networks (CNN), Electroencephalogram (EEG), Exam performance, Power spectral density (PSD), Stress"/>
        <s v="Human-centered computing, Human computer interaction (HCI), Interaction paradigms, Virtual reality"/>
        <s v="Electromyography, Machine learning, Armband, Stroke rehabilitation"/>
        <s v="external urethral sphincter; striated muscle; optogenetics; micturition; continence"/>
        <s v="Electroencephalography (EEG), Brain Signal, Neuromarketing, Packaging, Power Spectral Density (PSD)"/>
        <s v="Cognitive Process, EEG, Emotion Recognition, Fisher Ratio, Gamma Subband, Gender-based, Hjorth Parameter"/>
        <s v="Brain–computer interface, Electroencephalography, Motor task, Motor imagery task, OpenBCI, Experimental methodology"/>
        <s v=" brain activity; EEG; e-textile; hook fabric; dry electrode; textrode"/>
        <s v="Motor imagery, brain-computer interface, neurofeedback, event-related desynchronization, event-related synchronization, electroencephalography"/>
        <s v="Brain computer ınterfaces (BCIs), Electroencephalography (EEG), Video games, Motor ımagery, Machine learning (ML)"/>
        <s v="working memory load; electroencephalogram; time frequency analysis; ensemble empirical mode decomposition; deep neural network"/>
        <s v="Brain-Computer Interfaces, Motor Tasks Decoding, Extreme Learning Machine (ELM), Control of rehabilitation devices, Lower-limb rehabilitation"/>
        <s v="anti-freezing, high conductivity, long-water retention, organohydrogels,&#10;PEDOT:PSS"/>
        <s v="safety, productivity, cognitive performance, data analysis, EEG, electroencephalogram, mining industry"/>
        <s v="EEG, lie detector, familiar unfamiliar, machine learning, Power Spectral Density"/>
        <s v="Microelectrode array, Implantable device, Local field potentials, Silicon-based probe, Epileptiform discharges"/>
        <s v="EMG, ECG, EEG, emotion Detection, Machine learning, Signal processing"/>
        <s v="Human Computer Interaction (HCI), Tongue-Teeth Typing, Wearable Devices, Brain-Muscles Sensing, Skin Deformation Sensing"/>
        <s v="Brain-Computer Interface; Computer-Aided Design; Visual Programming;&#10;Computational Design; EEG"/>
        <s v="Neuromarketing  Emotions  Advertisement  TV commercials  Electroencephalograph (EEG)"/>
        <s v="Thought-to-Text Converter, Convolutional Neural Networks, Recurrent Neural Networks, Electroencephalography Signals, BCI"/>
        <s v="Intelligent Wheelchair, Brain-Computer Interface, NeuroSky Mindwave Mobile 2"/>
        <s v="Assistive technology, eye tracking, facial expression, brain-Computer Interfaces, EEG speller, P300, SSVEP, Human-Computer Interaction, amyotrophic lateral sclerosis "/>
        <s v="Electroencephalogram, Brain waves, Sound pitch, Electrical activity"/>
        <s v="bimodal sensing, breathability, electronic skin, self-adhesion, self-protection"/>
        <s v="Adaptive Filter, Eye Blink Extraction, EMD, Energy Thresholding,&#10;Univariate Processing"/>
        <s v="Brain–Computer Interface (BCI); Brain–Machine Interface (BMI); unmanned vehicle; unmanned aerial vehicle (UAV); smart city"/>
        <s v="synchronization, crossplot, ordinal pattern transition network, transition entropy"/>
        <s v="body ownership; rubber hand illusion (RHI); event-related desynchronization (ERD); mu-rhythm; electroencephalography (EEG); hand movement; embodiment"/>
        <s v="Design cognition, Design methods, Neurocognition, Prototyping, Human behaviour in design "/>
        <s v=" paraplegia; electrical stimulation; brain–computer interface"/>
        <s v="Computing methodologies, Machine learning, Cross-validation, Human-centered computing, Human computer interaction (HCI), HCI design and evaluation methods, User models, User studies"/>
        <s v="Electroencephalography, EEG, EEG sensors, brain-computer interfaces, BCIs, 3D printing, data analysis, machine learning, deep learning, transfer learning, robotics"/>
        <s v="EMG, silent speech, variational mode decomposition, deep learning, body movement"/>
        <s v="EEG, Spatial Cognition TrainingandEvaluation System, Virtual Reality Head-mounted Display"/>
        <s v="Brain-computer interface; Hybrid BCI; Electroencephalogram; Event-related potentials;&#10;Auditory stimulation; Speech Imagination; Assistive technology."/>
        <s v="EEG time-frequency domain, electroencephalogram, home plasticity training, MAV, PSD, STD, Stroke rehabilitation monitoring"/>
        <s v="flexible microelectrode array, peripheral electrical stimulation, induced epileptic activities, antiepileptic drug, electrocorticography signals"/>
        <s v="Computational Creativity · Interactive storytelling · Emotion recognition · Affective computing · Artificial Intelligence"/>
        <s v="Electroencephalography (EEG), Brain-Computer Interfaces (BCIs), Machine learning,&#10;Consumer-grade EEG devices, Mechatronic systems, Big Multimodal Social Data (BMSD)"/>
        <s v="Electroencephalogram (EEG); Power Spectrum Analysis; Alpha:Beta Power Ratio; Eyes-Closed Test"/>
        <s v="Electroencephalography (EEG), gait intention, gait prediction, Brain-Computer Interaction (BCI), Oculus VR"/>
        <s v="Electroencephalography, Wearable sensors, Signal detection, Signal processing, Machine learning"/>
        <s v=" concealed EEG; cEEGrids; Auditory ERP; timing test; Smarting Mobi; OpenBCI"/>
        <s v="EEG, neural network, machine learning, epilepsy diagnosis, EMI"/>
        <s v="Machine learning, Virtual Reality, Distraction, EEG, Eye-tracking, Education, Computing methodologies—Computer graphics—Graphics systems and interfaces—Virtual reality, Computing methodologies—Machine Learning"/>
        <s v="Machine Learning (ML), Electroenceplogram (EEG), Automation, Brain computer interface (BCI), Random Forest algorithm"/>
        <s v="Transformer encoder classification (TEC), Optical hand tracking, Surface electromyography (sEMG), 3D hand gesture prediction"/>
        <s v="brain-computer interface, motor-impaired, wheelchair, ensemble-subspace KNN"/>
        <s v="Avatar, Brain-Computer Interface, Hardware Architecture, Spark, TensorFlow"/>
        <s v="Current Impact Synchronous Modal Analysis (ISMA), Brain Computer Interface (BCI), wireless Electroencephalogram (EEG)"/>
        <s v="Heart-on-chip, Cardiac tissue engineering, In situ monitoring, Hydrogel pillar electrodes, Electrical stimulation"/>
        <s v="Human-centered computing, Collaborative and social computing, Collaborative and social computing systems and tools, Open source software, Applied computing, Computers in other domain, Personal computers and PC applications, Computer games"/>
        <s v="brain computer interfaces; OpenBCI; EEG; drivers; distributed systems; neurophysiological"/>
        <s v="Self-driving technology, Technology acceptance, Real-time electroencephalography (EEG), Eye-tracking, Unified Theory of Acceptance and Use of Technology (UTAUT)"/>
        <s v="Electrical and electronic engineering, Electronic devices, Gels and hydrogels, Materials for devices"/>
        <s v="Neutral-face stimuli; Non-face stimuli; Hybrid SSVEP+P300 BCI; Visual stimulus characteristics "/>
        <s v=" Atherosclerosis; electrocardiogram; high-fat diet; hyperlipidemia; WIM ECG; rats"/>
        <s v="cognitive training; working memory; neurofeedback training; monetary reward; alpha suppression"/>
        <s v="EEG; wearable; remote monitoring; signal quality; epilepsy"/>
        <s v="Electrodes, Deep learning, Forehead, Software algorithms, Brain modeling, Electroencephalography, Data models"/>
        <s v="EEG signal; PLC communication; disabled people"/>
        <s v="brainwaves, electroencephalogram, EEGbrain-computer interface, BCI, biometrics, authentication, machine learning, coherence, feature extraction"/>
        <s v="Brain-computer interface (BCI), Motor imagery, OpenBCI, Matlab, Real-time"/>
        <s v="EEG, cognitive-affective model, Random Forest, bandpower"/>
        <s v="Brain-computer interface (BCI)Decoding finger movementsMotor imagery (MI)Non-invasive EEGRobotics"/>
        <s v="Human-centered computing—Human computerinteraction (HCI)—Interaction paradigms—Mixed / augmented real-ity"/>
        <s v="wrist rehabilitation; smart glove; twisted and coiled artificial muscles; wearable robots; human-assistive device; bio-inspired; powered orthosis; soft exoskeleton"/>
        <s v="Cerebral blood flow Continuous monitoring Electrocardiography Electroencephalography Quantitative electroencephalography Stroke"/>
        <s v="low-cost; electronic instrumentation; biomedical engineering; electromyography; electrocardiography; electroencephalography"/>
        <s v="impedance, electrodes, signal-to-noise ratio, material science"/>
        <s v="Nasal Breathing pathway, Oral, Emotion, Music, EEG"/>
        <s v="ECG (electrocardiogram), health monitoring, knitting, textile electrodes, wearables"/>
        <s v="Based brain computer interface, Brain activity, Electroencephalogram activity, emotional state, University Students"/>
        <s v="brain–computer interface systems; electroencephalographic signals; vector of cyclic rhythmically connected random processes; compatible statistical analysis"/>
        <s v="ECG, Single-arm electrocardiography, Heart-rate variability, Graphene textile, Electrocardiogram, Wearable electronics, Biopotential monitoring, Conductive nanomaterials, EHealth, E-textiles, Internet of things (IoT), Long-term monitoring, Personalized he"/>
        <s v="Cognitive processes, Brain-computer interfaces, Biology, Recording, Noise measurement, Task analysis, Computational intelligence"/>
        <s v="tDCS (transcranial direct current stimulations), EEG, ERD (event related desynchronization), CSP (common spatial pattern), MIP (motor imagery period), RP (rest period), LDA (linear discriminant analysis)"/>
        <s v="EMG Data classification, EMG Machine learning, Anthropomoripihic robotic hand, artificial neural network"/>
        <s v="electromyography, isometric contractions, force generation, preprocessing"/>
        <s v="brain computer interface, machine learning, segmentation, signal processing"/>
        <s v="EEG,  EMG,  Brain Wave Signals,  Brain Computer Interface, Machine Learning,  PiCar"/>
        <s v="BCMI, neurofeedback, sound spatialisation"/>
        <s v="Electroencephalogram, Brain Computing Interface, relaxation detection"/>
        <s v="Hand exoskeleton; motor imagery; upper body paralysis; maestro robotic exoskeleton."/>
        <s v="Imagined speech, Electroencephalography, Artificial intelligence, Common spatial pattern, Machine learning"/>
        <s v="conferences, heuristic algorithms, collaboration, fatigue, electroencephalography, safety, quality assessment"/>
        <s v="EEG, EMG, Brain wave signals, Brain computer interface, machine learning, PiCar"/>
        <s v="Emotion recognition, Multimodality, Multithreading, Real-time implementation"/>
        <s v="electrodes, electrocardiography, biomedical monitoring, monitoring, textiles, pulse oximetry, substrates, pulse oximetry, blood pressure, stretchable electronics"/>
        <s v="smart wheelchair, autonomous wheelchair, wheelchair navigation"/>
        <s v="vizualization, protocols, imaging, resists, signal processing, fatigue, software, P300, attention, event-related potential, EEG, electronic system development"/>
        <s v="Emotion recognition, EEG, Feature selection, mutual information, random forest, electroencephalography,"/>
        <s v="brain computer interface, emotion recognition, electroencephalography, signal processing "/>
        <s v="Machine learning, Virtual Reality, Distraction, EEG, Education"/>
        <s v="Working memory, Neurofeedback, Electroencephalogram (EEG), Real-time EEG brain-computer interface, Portable device"/>
        <s v="artificial intelligence · brain computer interface · electroencephalography · motor imagery"/>
        <s v="Cognitive Workload, Aviation, Heart Rate, Pupil Dilation, Machine Learning, Deep Learning, EEG"/>
        <s v="SSVEP, Brain-computer interface, BCI, Internet of Things, IoT, CCA, MQTT"/>
        <s v="Measurement, Cloud computing, Machine-to-machine communications, Publishing, Computational modeling, Brain modeling, Electroencephalography"/>
        <s v="Flexible microelectrode array, Implantable device, Electrocorticography signal, Epileptic activities, Biopotential acquisition"/>
        <s v="brain–computer interface (BCI); steady-state visual evoked potential (SSVEP); augmented&#10;reality (AR); canonical correlation analysis (CCA); electric wheelchair; simultaneous localization and&#10;mapping (SLAM)"/>
        <s v="Headphones, Electrodes, Estimation, Brain modeling, Electroencephalography, Reliability, Task analysis"/>
        <s v="Performance evaluation, Continuous wavelet transforms, Wavelet analysis, Electroencephalography, brain-computer interfaces, Biology, Task analysis&#10;brain-computer interfaces, electroencephalography, eye, medical signal processing"/>
        <s v="OpenBCI cEEGrid Brain-computer-interface Wearables"/>
        <s v="EMG signals, Silent command recognition, Micro-interaction, Face recognition, Ear, Muscles, task analysis, Sensors, Headphones, Speech recognition"/>
        <s v="Local Strong Thermal Radiation (LSTR)Mental workloadVigilanceElectroencephalogram (EEG)Motivation"/>
        <s v="band-pass filters, brain-computer interfaces, electroencephalography, medical signal processing, neurophysiology, notch filters, occupational stress, signal classification, Band-pass filters, Performance evaluation, Heart, Open BCI, Raw data cleaning, EEG"/>
        <s v="Electroencephalography (EEG), Event-Related Potential (ERP), Machine Learning Algorithm (MLA) artifacts,&#10;unfocused epochs, detection"/>
        <s v="Electroencephalographic, Artificial neural network, Unmanned aerial systems, Drones, Facial gesture classification"/>
        <s v="ear EEG; ECG; epilepsy; HRV; machine learning; PPG; PTT; outdoors seizure prediction; wearable"/>
        <s v="motor imagery, real-time brain computer interface, convolutional neural network, common spatial patterns, continuous wavelet transform"/>
        <s v="non-contact measurement, autonomic responses, control of breathing, EEG, audio signals"/>
        <s v="collaborative robotics; brain–computer interface; hand guiding; haptic interface; multimodal communication; assembly task"/>
        <s v="wearable exoskeleton, cantilever structure, angular sensing, energy harvesting, frequency upconversion"/>
        <s v="Electrodes, Robot arm, Electromyography (EMG), MUAP, Servo motor, OpenBCI"/>
        <s v="BCI, SSVEP, dry electrodes, OpenBCI, robot navigation"/>
        <s v="OpenBCI; decision fusion; electroencephalography (EEG); emotion recognition; facial micro-expressions; neural networks; physiological signals."/>
        <s v="emotion regulation; distraction; extrinsic regulation; event-related potential"/>
        <s v="Assistive rehabilitation, EMG signals, Fuzzy control, Hand exoskeleton"/>
        <s v="Human-computer integration, whole-body interaction, exertion, bike, cycling"/>
        <s v="High-speed rail, Vigilance detection, Multiple physiological signals, Convolutional recurrent neural network"/>
        <s v="interfaces, user eXperience, interactive systems, brain computer interfaces"/>
        <s v="Brain Computer Interface, 3D Convolutional Neural Networks, electroencephalogram, Event-related potentials, Classification"/>
        <s v="Brain-computer interfacesLow-cost technologiesElectroencephalography (EEG)"/>
        <s v="HMD, working memory, gamification, cognitive training, serious game, game, cognitive activity, user performance, visual memory, cognitive, user performance, mobile phone"/>
        <s v="Robotics, Brain-computer Interface, Mixed Reality, Augmented Reality IoT, Human-Computer Interaction"/>
        <s v="Pre-movement EEG, decision classification, gait"/>
        <s v="Training ,  Artificial neural networks ,  Feature extraction ,  Electroencephalography ,  Software ,  Recording ,  Pattern recognition, Electroencephalographic ,  Artificial Neural Network ,  drone ,  UAV  "/>
        <s v="Virtual reality; gesture recognition; human-computer interaction; machine learning; triboelectric nanogenerator."/>
        <s v="subjective evaluation; electroencephalography; heart rate variability"/>
        <s v="Brain-computer interface; machine learning; internet of things; EEG; system architecture"/>
        <s v="ambulatory; artifacts; ear EEG; ECG; epilepsy; HRV; monitoring system; PPG; PTT; wearable"/>
        <s v="Virtual Reality, Brain-Computer Interface, Steady State Visually Evoked Potential, Realism"/>
        <s v="Human-Computer interaction (HCI), Multimodal Emotion Recognition, Conversational emotion recognition, Electroencephalography (EEG), Galvanic Skin Response (GSR), Photoplethysmography (PPG), Multimodal fusion"/>
        <s v="Acoustoelectric Imaging, Acquisition Hardware, Sensors, tABI, Transcranial Acoustoelectric Brain Imaging"/>
        <s v="Electrodes, wireless communication, vibrations, wireless sensor networks, vibration measurement, feature extraction, electroencephalography, brain-machine interface, prosthesis, feature extraction, motor imagery"/>
        <s v="Electrodes, time-frequency analysis, finger, artificial neural networks, muscles, feature extraction, electromyography, artificial neural network, long short-term memory, 4-channel electrodes"/>
        <s v="in-ear EEG; correlation; forehead EEG; impedance spectroscopy; biopotential electrodes; BCI"/>
        <s v="Bionic Shark gill, Graded Multichannel, Respiratory sensing"/>
        <s v="EEG signal, Feature extraction, Machine learning, Brain waves, SVM, RICA."/>
        <s v="supernumerary robotic finger, resting-state fMRI, fALFF, ReHo, DC, neuroplasticity"/>
        <s v="Brain-Computer Interface. Generative Art. Algorithmic Fairness. Art therapy. Disability Aesthetics."/>
        <s v="Emotion recognition, Multimodal physiological responses, Remote measurement, Electroencephalography"/>
        <s v="Brain-computer interface, Motor imagery, Lower-limb rehabilitation, Robotic rehabilitation"/>
        <s v="EEG, Deep Learning, Conv1D-GRU, Recogonition of idea, Robotic hand"/>
        <s v="Wireless communication, Wireless sensor network, Force measurement, Sensor systems, Electromyography,  Electroencephalography, sensors, HRI, EEG, EMG, IMU, Time Synchronization MeSH Terms, Acceleration, Humans, Motion"/>
        <s v="Sleep, Music, Medical treatment, Mobile communication, Control systems, EEG, brain wave, accelerometer, music system, smart system "/>
        <s v="Emotion Recognition, Brain-Computer Interface, Electroencephalography, On-line Processing"/>
        <s v="P300 wave, electroencephalography, convolutional neural networks, brain-computer interface"/>
        <s v="Electrodes, surface impedance, protocols, costs, prototypes, muscles, electromyography, "/>
        <s v="Electrodes, brain, wires, epilepsy, electroencephalography, synchronization, biomedical monitoring, biomedical electrodes, brain activities, epilepsy, in-ear electrodes, wearable system, wireless, long term monitoring, mobile application"/>
        <s v="Fabrication, Sociology, Hardware, Electromyography, Iterative methods, Statistics, Robots, Trans-radial, prosthesis, needs, iterative, myoelectric"/>
        <s v="Neuromuscular, Wheelchairs, Prototypes, Brain-computer interfaces, Electroencephalography, Software, Real-time systems, Brain-computer interface (BCI), steady state visually evoked potential (SSVEP), electroencephalogram (EEG) and Wheelchair"/>
        <s v="Timing; Time perception; Mindfulness; Meditation; Mantra; EEG; Focused Attention;&#10;Open Monitoring; Attentional Scope; Attention "/>
        <s v="Action potential, brain-computer interface, brain wave, central nervous system, electroencephalography data"/>
        <s v="Auditory stimulus, Evoked Potentials, EEG, Biometric System, Bone-conducting auditory stimuli, Music"/>
        <s v="Gastric pacing, Gastric pacemaker, Wireless electrical stimulation, Wireless pacing, Electrogastrogram, Electrogastrography, Gastroparesis"/>
        <s v="Underwater, Scuba diving, ECG, Heart Rate, Variability"/>
        <s v="EEG, Gamma Oscillations, OpenBCI"/>
        <s v="Human-Machine Interface, Brain, Electroencephalography, Brain-Computer Interface"/>
        <s v="Physiology, Sensors, Emotion recognition, Biomedical monitoring, Electroencephalography, Brain modeling, Feature extraction, Affective causality, daily activities, EEG, emotion recognition, lifelog, physiological signals, wearable"/>
        <s v="neonatal EEG; EEG electrode; dry electrode; MicroTIPs; microneedles; g.tec; OpenBCI"/>
        <s v="VR, EEG, HMD, Theta wave, Tetris, Cognitive training"/>
        <s v="Support vector machines, Performance evaluation, Brain, Visualization, Time series analysis, Scalp, Electroencephalography, Artificial Neural Networks, Brain-Computer Interfaces."/>
        <s v="Aeronautis, EOG, Aviation, Military, Oculometry"/>
        <s v="Brain-Computer Interfaces, Privacy, P300, Visual Stimuli"/>
        <s v="Seminars, Systematics, Clustering methods, Statistical distributions, Stroke (medical condition), Tools,  Electroencephalography"/>
        <s v="EEG; cognitive performance; education; neuroengineering; machine learning"/>
        <s v="Face Synthesis, Wearables, Face Gesture Sensing, Biosensing, Human-Computer Interaction, Interactive Virtual Reality"/>
        <s v="Drowsiness detection, Electroencephalographic (EEG), Convolution neural network (CNN)"/>
        <s v="Covert attention, Overt attention, Spatial attention, Steady-state visual evoked potential, Rapid serial visual presentation, EEG "/>
        <s v="Bionic arm, Prosthetic arm, Brain-Computer-Interface, EEG controlled arm and Electroencephalography"/>
        <s v="water temperature; bathing; ECG; heart rate variability; quantitative analysis; t-test"/>
        <s v="EEG signals User eXperience Brain-computer interfaces Ubiquitous computing "/>
        <s v="Heart rate variability, Electrocardiography, Cyton board, Open source, Validity, Reliability"/>
        <s v="EOG signals, OpenBCI, Blink detection"/>
        <s v="Electroencephalography, Wavelet transform, LSTM"/>
        <s v="Anxiety, EEG, reading, scientific article, sLORETA"/>
        <s v="Industrial human-robot collaboration, Brain-computer interface, Augmented reality, Interactive robotic path planning"/>
        <s v="brain-computing interface, SSVEP- related brain signals, electrocardigraphic signals, alpha waves, p300"/>
        <s v="Customer Behavior, Emotions, NeuroMarketing, Electroencephalogra"/>
        <s v="brain–computer interface; brain connectivity; lower limb rehabilitation; motor sensory rhythms; pedaling"/>
        <s v="brain–computer interface,ear-EEG,speech imagery,multilayer extreme learning machine"/>
        <s v="Mathematical model , Electrooculography , Computational modeling , Muscles , Biological system modeling , Biomedical measurement , Adaptation models Author Keywords Electrooculography , Adaptive filters , Biosignals , Saccades , Eye models , Human compute"/>
        <s v="Entertainment industry, Games, Tools, Electroencephalography, Real-time systems, Brain-computer interfaces, Reliability, Blink, Brain–computer interface (BCI), EEG, OpenBCI, game design, gameplay"/>
        <s v="exoskeleton, surface electromyography, hand motion recognition, bilateral training"/>
        <s v="magnetoencephalography (MEG), visually evoked brain fields (VEF), superconducting quantum interference device (SQUID), OPM "/>
        <s v="eeg, ceegrid, concealed, ear, in-ear, mobile EEG, open source"/>
        <s v="electroencephalography, mobile EEG device, speech detection, feed-forward neural network, visual stimuli"/>
        <s v="brain-computer interface, neural plasticity, neurorehabilitation, motor imagination, exoskeleton"/>
        <s v="Control, Electromyography, Interface, Monitoring, Muscle, Web service"/>
        <s v="Home automation; Software packages; Neurons; Psychology; Organizations; Electroencephalography; Engines; Digitization; computerization; brain waves; home automation; framework; IoT"/>
        <s v="BCI implementations , mixed reality environments , less-invasive holographic stimulus presentation , greatly enhanced portability , 3D-printable electroencephalography attachment , Microsoft HoloLens , low-energy communication , hobbyists , prototype BCIs"/>
        <s v="Electrodes , Electric potential , Visualization , Area measurement , Electric variables measurement , Electrophysiology , Brain-computer interfaces"/>
        <s v="VR-EEG, HMD, Cognitive training, E-learning"/>
        <s v="Signal Processing (eess.SP); Human-Computer Interaction (cs.HC)"/>
        <s v="Brain-computer interface, Motor imagery, Functional electrical stimulation, Central pattern generator, Gait detection, Rehabilitation training"/>
        <s v="EEG signals, OpenBCI, Thoughts detection"/>
        <s v="Visualization, Service robots, Collaboration, Tools, Brain-computer interfaces, Workstations, Steady-state"/>
        <s v="Legged locomotion, Support vector machines, Matched filters, Electric potential, Sociology, Brain modeling, Electromyography"/>
        <s v="Computers, Three-dimensional displays, Manipulators, Brain-computer interfaces, Electroencephalography, Real-time systems, Servomotors"/>
        <s v="Support vector machines, Mechatronics, Sleep, Vehicle driving, Electroencephalography, Brain-computer interfaces, Task analysis"/>
        <s v="Emotion-recognition, BCI, EEG, Machine Learning, Feature extraction"/>
        <s v="Brain–Computer Interfaces  Cybersecurity  Noise-based cyberattacks  Data Integrity &#10;Electroencephalographic signal  P300"/>
        <s v="Acoustic noise, Harmonic music intervals, Heart rate variability, Machine learning, Music"/>
        <s v="Wireless communication, Electric potential, Tools, Electroencephalography, Biosensors, Monitoring, Information systems"/>
        <s v="Mental stress Autism EEG Deep learning Breathing entrainment"/>
        <s v="Air traffic conflict Conflict resolution Geometry Gender Brain activity"/>
        <s v="Kinematics, Manipulators, Brain modeling, Electroencephalography, Convolutional neural networks, Task analysis, Intelligent systems"/>
        <s v="EEG+fNIRS in situ experiments Human behaviour in design User centred design Research methodologies and methods"/>
        <s v="Seminars, Systematics, Clustering methods, Statistical distributions, Stroke (medical condition), Tools, Electroencephalography"/>
        <s v="Electrodes, Training, Three-dimensional displays, Toy manufacturing industry, Scalp, Entertainment industry, Muscles"/>
        <s v="P300 wave, event-related potential, brain-computer interface, EEG signal processing, convolutional neural networks"/>
        <s v="Event Related Potential (ERP); classification; P300; machine-learning; oddball-paradigm"/>
        <s v="Abstract: EEG signals are an important tool for monitoring the brain &#10;activity of a person, but equipment, expertise and infrastructure are &#10;required. EEG technologies are generally expensive, thus few people are &#10;normally able to use them. However, some "/>
        <s v="mental fatigue, P300 speller, ANOVA analysis, xDAWN"/>
        <s v="Abstract: Pain is a complex subjective unpleasant experience that can &#10;potentially cause tissue damage. In clinical practice, the main method &#10;used for assessing pain is self-report; however, it is not possibly &#10;adopted in a huge number of vulnerable popu"/>
        <s v="Games, Signal processing, Brain-computer interfaces, Software, Hardware, Intelligent systems, Neurofeedback, neurofeedback, cog-car, brain computer interface, bci, eeg, attention, focus, signal processing"/>
        <s v="Humans, Graphite, Graphene, Tattooing, Eye Movements, Silver, Platinum, Gold, Electric Impedance, Temperature, Vital Signs, Electrodes, Electronics, Brain Monitoring, Ambulatory, Wearable Electronic Devices, Muscle Contraction, Tattoo"/>
        <s v="Deep learning ,  Performance evaluation ,  Tag clouds ,  Market research ,  Stability analysis ,  Classification algorithms ,  Microelectronics, Brain ,  Classification ,  CNN ,  Deep Learning ,  Electroencephalogram ,  Motor Imagery ,  Web of Science  "/>
        <s v="Electroencephalography ,  Brain modeling ,  Electrodes ,  Fingers ,  Feature extraction ,  Deep learning ,  Tongue, Brain Computer Interface ,  Motor Imagery ,  Neurorehabilitation ,  Orthotic Device ,  Recursive Feature Elimination ,  Long Short Term Mem"/>
        <s v="Electrodes, Design, Fabrication, Microneedle, Biosignal monitoring"/>
        <s v="EEG monitoring, Elderly people, Emotion detection, Textile EEG cap, Wearing-comfort"/>
        <s v="Morse code,  EEG, Biometric authentication, Eye blinking, Password"/>
        <s v="Fatigue; Monitoring; Instruments; Task analysis; NASA; Matlab; Airports; aviation; electroencephalography; fatigue; human factors; pilot; questionnaire; safety"/>
        <s v="Emotion recognition, BCI, EEG, Machine learning, Feature extraction, stock trading, "/>
        <s v="Electrodes; Pediatrics; Area measurement; Feature extraction; Electroencephalography; Indexes; Task analysis; motor imagery; feature selection; neuromodulation; event-related desynchronization; electroencephalography"/>
        <s v="Technological innovation; Wearable computers; Electrocardiography; Depression; Electroencephalography; Real-time systems; Stress; Argentine tango; ECG ; EEC; flow; hyperscan"/>
        <s v="Electrooculography ,  electroencephalography ,  eye movement ,  head-mounted display ,  virtual reality ,  SVM ,  MLP, saccade"/>
        <s v="Electrodes; Fingers; Machine learning; Feature extraction; User experience; Haptic interfaces; Prosthetics; augmented reality; electromyography; haptic interfaces; human computer interaction; machine learning"/>
        <s v="Pandemics; Generative adversarial networks; Robot sensing systems; Brain-computer interfaces; Haptic interfaces; History; Gallium nitride; Brain-Computer Interface; Affective Computing; Deep Learning; GAN; Wearable Computing; Human-Centered UI/UX Design; "/>
        <s v="Affective processing, Social learning, Inference, Knowledge transfer, EEG"/>
        <s v="deep learning; auditory and olfactory sensory functions; motor imagery and movement function; electroencephalogram; deep neural network; mild cognitive impairment"/>
        <s v="Iron; Calibration; Task analysis; Electrical stimulation; Control systems; Graphical user interfaces; Software packages; Functional Electrical Stimulation; EMG; Hand Movement; Control; Upper Limb; Stroke; Hemiplegia; Rehabilitation; Functional Task; Biofe"/>
        <s v="Electroencephalography ,  Feature extraction ,  Brain modeling ,  Task analysis ,  Support vector machines ,  Data models ,  Training, Motor Imagery Classification ,  EEG ,  Machine learning ,  Linear Discriminant Analysis (LDA) ,  Common Spatial Pattern "/>
        <s v="Electroencephalography, Feature extraction, Monitoring, Stroke (medical condition), Electrodes, Biomedical monitoring, Sleep, Sensor systems and applications, Brain-computer interfaces, Neuroscience"/>
        <s v="cognitive pattern disturbances, electroencephalography, wavelets and Morlet, SVM."/>
        <s v="stroke rehabilitation, electroencephalograph, statistical parameters, time-domain feature extraction, EEG analysis for stroke rehabilitation"/>
        <s v="brain-computer interfaces; electroencephalography; games; open-BCI; virtual reality"/>
        <s v="Wearable Cognitive Assistants (WCA), Interaction, Feedback, Behavior"/>
        <s v="EOG, prosthetic, movement, machine learning, spinal cord injury"/>
        <s v="Affect detection, Affective computing, electrogastrography (EGG), electrodermal activity (EDA), Wearable devices"/>
        <s v="electroencephalography (EEG), drowsiness detection, low-cost, consumer EEG, fatigue detection, device portability"/>
        <s v="eye tracker, eye gaze interface, brain-computer interface, human-robot interface"/>
        <s v="brain-computer interface (BCI), electroencephalography (EEG), motor-imagery (MI)"/>
        <s v="Epidermal electronics, 2D materials, Wearable electronics, Biosensor, Lab-on-skin, Healthcare monitoring, Functional materials, Electrooculography, Human-machine interfaces"/>
        <s v="Light, Electro-Oculogram, Real-Time"/>
        <s v="Speech, EMG, Vocabulary, Voicing, Transcription"/>
        <s v="Anxiety, Autism, EEG, Deep learning, Breathing entrainment"/>
        <s v="EEG Analysis, Monitoring Stroke Rehabilitation, Time Domain Feature, Stroke, Rehabilitation"/>
        <s v="Computer architecture, Hardware, Field programmable gate arrays, Generators, Signal processing algorithms, Empirical mode decomposition, Real-time systems"/>
        <s v="EEG, fNIRS, prototyping, human centred design, experimentation"/>
        <s v="Conformable Electronics, E-textile, Wearable sensor, Biomonitoring, Electroencephalography, Epidermal electronics"/>
        <s v="brain-computer interface (BCI), real time analysis,focus monitoring, digital signal processing, industrial control"/>
        <s v="Temporal lobe epilepsy, Hsp90, EAAT2, HSP990"/>
        <s v="Vehicles, Fatigue, Sleep, Electroencephalography, Sensors, Gyroscopes, Biomedical monitoring, Deep neural networks, driver fatigue detection, electroencephalography module, gyroscope module, multimodal system, tensorflow, vision module"/>
        <s v="Augmented reality, Quality of experience, Distance measurement, Headphones, Time measurement, Virual reality, Neural engineering"/>
        <s v="Affect, Differential outcomes training, Inference, Knowledge transfer"/>
        <s v="machine learning, brain computer interface, electroencephalography, eHealth, internet of things, telemedicine"/>
        <s v="EEG, PBM, spectrum analyses, Alpha band"/>
        <s v="GIS system, Partial discharges, Model defect, Convolutional neutral network"/>
        <s v="Docosahexaenoic acid, Palmitic acid, Cardiac lipotoxicity, Mitochondrial function, Diabetic cardiomyopathy, Rats"/>
        <s v="Stroke, Brain-computer interface (BCI), Motor imagery (MI), Neurorehabilitation devices, Virtual reality, Electric stimulation, Robotic assistance"/>
        <s v="—Cognitive Biometrics, EEG, Biometrics, BrainComputer Interface, Human-Computer Interaction, Machine&#10;Learning, Authentication"/>
        <s v="Feature extraction, heart rate, pupil dilation, biometrics"/>
        <s v="Intelligent Tutoring System, Affective states, Feedbacks, EEG, Brain-computer interface, Facial expressions "/>
        <s v="Head-Mounted  Displays,  Electroencephalography,  Brain-Computer  Interfaces, Neuroadaptive Systems"/>
        <s v="autonomous vehicle, canonical correlation analysis,  electroencephalogram, low-level  navigation control system, sensornetwork,sensor fusion, steady-state visual evoked potential, SSVEP"/>
        <s v="Electroencephalography, Internet of Things, IOT, prototype, signal processing"/>
        <s v="Multivariate  signals,  multivariate  empiricalmode decomposition, FPGA, time frequency methods"/>
        <s v="In-ear EEG; echo state network (ESN); attention monitoring; vigilance task"/>
        <s v="electrooculography (EOG); Human-Computer Interface (HCI); Support Vector Machine (SVM)"/>
        <s v="sentiment detection, brain-computer-interface, bio-sensing, affective computin"/>
        <s v="Author KeywordsHuman-computer-Integration; human-system partnership; Inbodied interaction; peripheral awareness. CSS Concepts• Human-centered computing → Human computer interaction (HCI) → Interaction paradigms • Embedded and cyber-physical systems → Sens"/>
        <s v="Biomedical engineering, Brain-computer interfaces, Consumer-grade EEG, motor imagery, Open-source software"/>
        <s v="Brain-computer interface, brain-machine interface, lower-limb rehabilitation, motor imagery, pedaling, stroke&#10;"/>
        <s v="Electroencephalography, Electrodes, Ear, Tools, Brain-computer interfaces, Data acquisition, Electrolytes, Brain-Computer Interface, Ear-EEG, Concentration level"/>
        <s v="Electroencephalography, Music, Brain modeling, Brain-computer interfaces, Affective computing, Tools, affective, emotions, electroencephalography, recognition, music, EEG, BCI, brain-computer interface"/>
        <s v="H.5.2 [User Interfaces]: Evaluation/methodology;H.1.2 [User/Machine Systems]: Human factors; H.5.1 [InformationInterfaces and Presentation]: Multimedia Information Systems—Artificial, augmented, and virtual realities"/>
        <s v="Sleep, Electroencephalography, Monitoring, Feature extraction, Electromyography, Electrooculography, Biomedical monitoring, Sleep-stage classification, multi-biosignal interface, rule-based decision tree, feature extraction stage, readout integrated circu"/>
        <s v="Usability testing; SSVEP; Human computer interaction (HCI); Brain computer interface; BCI; electroencephalographic signals; SSVEP; low-cost; linear discriminant analysis; multivariate synchronization index"/>
        <s v=" conductive polymer composite; PEDOT:PSS; ﬂexible electronics; wearable application; wearables;"/>
        <s v="Brain–machine interface, EEG, OpenBCI, Cloud server, Machine learning, Support vector machine, Smart computing IoT "/>
        <s v="EEG,  blink,  authentication,  biometric"/>
        <s v="Electroencephalography, Bars, Training, Electrodes, Brain modeling, Frequency response, Biophotonics, brain computer interface, motor imagery, electroencephalography, frequency band, classification"/>
        <s v="EEG, electroencephalography, phantom heads, calibration, head phantom"/>
        <s v="Hybrid brain–computer interface, Stimulus features, Visual-evoked potential’s amplitude, Optimization, SSVEP, P300, event-related potentials&#10;"/>
        <s v="Emotion Communication; Mixed Reality; Brain-Computer&#10;Interfacing; Emotion Recognition; EEG; Machine Learning&#10;CSS Concepts&#10;• Human-centered computing • Applied computing "/>
        <s v=" biometrics; sEMG; pattern unlock; time domain feature; one-class classification"/>
        <s v="EOG activity, EEG signal, Human-machine interface, Eye blinks, Blinking patterns recognition"/>
        <s v="Brain-Computer Interfaces (BCIs); Wearable systems; InputTechniques; Eye Tracking; Interaction Design"/>
        <s v="General anesthesia; spectrum analysis; electroencephalography; OpenBCI technology; portable technologies; propofol."/>
        <s v="SSVEP, brain computer interface, canonical correlation, feedforward neural network"/>
        <s v="P300, eye-tracking"/>
        <s v="EEG, Motor Imagery, Convolutional Neural Network, Continuous Wavelet Transform, Amputee, Leave-One-Subject-Out Cross-Validation (LOSOCV)"/>
        <s v="Brain-Computer Interfaces, Software Engineering, Mindfulness, Neuroscience"/>
        <s v="Electroencephalography, Epilepsy, Smartphone Application, Usercentered Design, Wireless"/>
        <s v="Pattern Analysis; Biometric Information; BCI; Open Platform; Open Interface&#10;                                                                                "/>
        <s v="Brain computer interfaces, Electroencephalogram,Authorization, mental task, security, biometrics"/>
        <s v="EEG, EMG, HRV, stress, wavelet transform, k-NN, Baevsky stress index"/>
        <s v="Brain-Computer Interface, Electroencephalography (EEG), SSVEP, Robotic arm"/>
        <s v="Feature extraction; Games; Electroencephalography; Real-time systems; Support vector machines; Virtual reality; Classification algorithms; &#10;                                                &#10;                                        "/>
        <s v="Electroencephalography , Frequency modulation , Amplitude modulation , Visualization , Computers , brain-computer interfaces (BCIs) , steady-state visually evoked potentials (SSVEPs) , modulation of SSVEP amplitude , consumer-grade EEG , OpenBCI, signal t"/>
        <s v="Visualization; Color; Electrodes; Electroencephalography; Communication systems; Hardware; Synchronous motors"/>
        <s v="Consumer Grade EEG,                                      &#10;EEG BCI, &#10;EEG Cognitive Study, &#10;EEG Education, &#10;EEG Gaming&#10;                                                &#10;                                        "/>
        <s v="Intentional EEG, Driving Assistant, BCI"/>
        <s v="Surface electromyographic (sEMG), EMG, Electromyography, silent speech"/>
        <s v="Electrooculography, Eye Movements, Eye Blink Detection, Open Source, Blinking, Algorithms, Brain Waves, EEG, EOG&#10;"/>
        <s v="Games&#10;,&#10;Brain-computer interfaces&#10;,&#10;Visualization&#10;,&#10;Electroencephalography&#10;,&#10;Real-time systems&#10;,&#10;Electrodes&#10;,&#10;Frequency-domain analysis, EEG&#10;,&#10;brain-computer interface (BCI)&#10;,&#10;OpenBCI&#10;,&#10;concentration&#10;,&#10;Cognitive game&#10;,&#10;Cognitive Science"/>
        <s v="Electroencephalography, Autism disorder, Genetic Algorithms, Fitness Function, T-test."/>
        <s v="brain-computer interfaces;electroencephalography;medical signal &#10;processing;EEG systems;electroencephalograms;OpenBCI Ultracortex Mark IV&#10; EEG headset;medical-grade EEG;commercial-grade &#10;EEG;Headphones;Electroencephalography;Electrodes;Task &#10;analysis;Usab"/>
        <s v="Electrooculography, Eye Movements, Saccades, Sclera, Robotics, Signal Processing, Computer-Assisted, Ocular Motility Disorders&#10;"/>
        <s v="Electromyography (EMG), Gesture Recognition, Hilbert Transform, K-Nearest-Neighbors (KNN), Support Vector Machine (SVM)"/>
        <s v="HMD, wearable, EEG, prototype, EOG"/>
        <s v="Animals, Electroencephalography, Epilepsy, Kainic Acid, Mice, Mice, Inbred C57BL, Seizures"/>
        <s v="EG; FRN; N2; P3; applied neuroscience; brain computer interfaces"/>
        <s v="Electroencephalography, Emotion recognition, Biomedical monitoring, Feature extraction, Sensors, Brain, Prediction algorithms, Consumer grade EEG, Low-cost EEG, OpenBCI,Emotion recognition, Affective Computing"/>
        <s v=" BrainNet, Transcranial Magnetic Stimulation, Reproducibility of Results, Occipital Lobe, Electroencephalography, Problem Solving, Brain, Internet, Social Support, Research Subjects"/>
        <s v="Brain–Computer Interface (BCI)Electroencephalogram (EEG)Motor imagery (MI)Multi-class classificationConvolutional neural network (CNN)"/>
        <s v="VEP. Android, Smart glasses"/>
        <s v="sensorimotor, motor cortex"/>
        <s v="Brain computer interface, OpenBCI, Raspberry Pi, P300, convolutional neural networks."/>
        <s v="Algorithms, Brain, Electroencephalography, Imagery (Psychotherapy), Signal Processing, Computer-Assisted"/>
        <s v="https://www.matec-conferences.org/articles/matecconf/pdf/2018/14/matecconf_imet2018_01006.pdf"/>
        <s v="neurobionics, robotics, bionics, limb control, EEG prosthetic"/>
        <s v="EMG, Classifiers"/>
        <s v="mind controlled; robotic arms; brain alpha waves"/>
        <s v="brain-computer interfaces , computer games , electroencephalography , medical signal processing , neurophysiology , patient rehabilitation , virtual reality"/>
        <s v="EEG, low-cost comparison"/>
        <s v="ElectroencephalographyEEGEye-trackingMouse-trackingDuolingoNaturalistic language learningMultimodal human data"/>
        <s v="BCI, EEG, motor imagery, auditory feedback, congruent feedback"/>
        <s v="Event-Related Potentials, open-source, Three-dimensional displays, Electroencephalography, Prototypes, Neurofeedback, Electrodes, Feature extraction, Training, brain, brain-computer interfaces, electroencephalography, medical signal processing, neurophysi"/>
        <s v=" Human-Computer Interaction (cs.HC); Neurons and Cognition (q-bio.NC)"/>
        <s v="Electronic properties and devicesMechanical and structural properties and devices"/>
        <s v="consumer grade BCI, EEG, processing, signal"/>
        <s v="motor imagery, intent, robotics, prosthetics"/>
        <s v="emotion recognition, low-cost, opensource, EEG, mental health"/>
        <s v="ADS1299; OpenBCI Cyton V3-32; electroencephalography (EEG); movement-related cortical potential (MRCP); brain computer interface (BCI); NuAmps"/>
        <s v="pr-VEP, EEG, MATLAB, 10-20"/>
        <s v="Electroencephalography, Electrodes, Visualization, Support vector machines, Hardware, Prosthetics, Biological neural networks"/>
        <s v="SSVEP, VEP, BCI, EEG, motor imagery"/>
        <s v="Brain Computer Interface (BCI), Electroencephalography (EEG), Robotic Arm, Servos, Steady State Visual Evoked Potential (SSVEP)"/>
        <s v="P300, SSVEP, motor imagery, identification, neural network, emotion dataset, visual stimulation"/>
        <s v="BCI OpenBCI Cyton Board Brainwaves Basic Needs Daisy Board  ALS (Amyotrophic Lateral Sclerosis)."/>
        <s v="OpenBCI; cyton board; extremity movement; brain; wave differentiation"/>
        <s v="Games, Electrodes, Band-pass filters, Computer peripherals, Signal processing algorithms, Image processing, Bluetooth"/>
        <s v="AI, actuators, exoskeleton, EEG, EMG"/>
        <s v="Electrodes, Impedance, Signal to noise ratio, Frequency measurement, Skin, Impedance measurement, Frequency response, INSPEC: Controlled Indexing, biomedical electrodes, electromyography, medical signal detection, medical signal processing"/>
        <s v="Motion pictures, Electroencephalography, Sensors, Face recognition, Webcams, Ganglia, Real-time systems, Facial Recognition, Affective Computing, Wearable Computing, EEG, Sensor Fusion"/>
        <s v="Neurons, cognition, machine learning, software engineering"/>
        <s v="Electroencephalography, Data acquisition, Wireless fidelity, Hardware, Electrocardiography, Receivers, Real-time systems, EEG Acquisition System, Brain-Computer Interface, BCI, Wireless Monitoring, Steady-State Visual Evoked Potential, SSVEP, ECG"/>
        <s v="MATLAB, EEGLAB, Electroencephalography, Emotiv Epoc, Cognitive Load, Brain Computer Interface, Signal analysis, Feature Extraction, Clustering"/>
        <s v="Electroencephalography , Brain modeling , Headphones , Standards , Electrodes , Programming profession, Brain-computer interface"/>
        <s v="Brain Computer Interface (BCI), Obstacle Avoidance, Electroencephalography (EEG), Steady State Visual Evoked Potential (SSVEP), Wheelchair"/>
        <s v="Human-centered computing, human computer interaction"/>
        <s v="neonatal, EEG, seizure, GUI"/>
        <s v="reading concentration power, open brain computer interface, EEG"/>
        <s v="Visualization, Electroencephalography, Electrodes, Correlation, Finite impulse response filters, Harmonic analysis, Standards, brain signals, stimuli frequencies, SSVEP signals, steady state visually evoked potential-based BC"/>
        <s v="EEG, Stress, Power Spectral Density, Exam performance, electrodes, stress measurement"/>
        <s v="Feature extraction, Time-frequency analysis, Task analysis, Time-domain analysis, Mathematical model, Electroencephalography, INSPEC: Controlled Indexing, brain-computer interfaces, electroencephalography, feature extraction, medical signal processing, si"/>
        <s v="Augmented reality Interfaces for accessibility Multimodal user interface Brain-computer interface eHealth Machine learning Human-to-machine interactions "/>
        <s v="Brain-computer interface (BCI) Electroencephalography (EEG) JavaScript "/>
        <s v="Kinect Electromyography (EMG) Robot-arm Dynamic time warping (DTW) Singular spectrum analysis (SSA) Support vector machine (SVM) Radial basis function (RBF) Linear discriminant analysis (LDA) "/>
        <s v="Electroencephalography Home automation Electrodes Sensors Headphones Signal to noise ratio Visualization INSPEC Controlled Indexing auditory evoked potentials brain-computer interfaces Electroencephalography Headphones home automation medical signal proce"/>
        <s v="wireless EEG headset, Electroencephalography, Histograms, Brain-computer interfaces,  Brain, Electrodes,  Wireless communication, Headphones"/>
        <s v="brain-computer interfaces;cognition;control engineering computing;electroencephalography;handicapped aids;mobile robots;signal classification;signal detection;movement intention;mobile robot control;BCI system;physical movement;motor imagery;average class"/>
        <s v="Adult, Child,  Humans,  Robotics,  Disabled Children,  Robotic Surgical Procedures,  Electroencephalography,  Movement,  Hand,  Rest,  Brain,  Self-Help Devices,  Cognition"/>
        <s v="slow intelligence system, component-based software engineering, sensor networks, mobile TDR system"/>
        <s v=" Gestures,  Language,  Neural Networks (Computer),  Electroencephalography,  Algorithms,  Movement,  Dementia, "/>
        <s v="Authentication, Biometric, Thresholding, Electroencephalography (EEG) signals. "/>
        <s v="Electromyography, Language, Vibration, Electroencephalography, Emotions, Auditory Perception, Algorithms, Biosensing Techniques, Cognition, Poetry"/>
        <s v="brain-computer interfaces, electroencephalography, handicapped aids, learning (artificial intelligence), medical signal processing, neurophysiology, signal classification, wheelchairs"/>
        <s v="Brain–computer interface (BCI) Electroencephalogram (EEG) OpenBCI Ganglion Gold cup electrodes (GCE) "/>
        <s v="Electroencephalography, Electrodes, Wheelchairs, Support vector machines, Classification algorithms, Algorithm design and analysis, Physiology"/>
        <s v="eye blink, electromyogram, electromyography speller"/>
        <s v="assisted living;brain-computer &#10;interfaces;electroencephalography;handicapped aids;medical signal &#10;detection;service robots;visual evoked potentials;SSVEP based &#10;BMI;disabled individuals;steady state visually evoked potential;brain &#10;machine interface;meal"/>
        <s v="machine learning methods, classification, emg"/>
        <s v="Switches, Electroencephalography, Integrated circuits, Band-pass filters, Calibration, Protocols, alpha waves, brain-computer interface, BCI, EEG, eye closure, assistive technology"/>
        <s v="Brain-Computer Interfaces&#10;Electromyography&#10;Signal Processing&#10;Computer-Assisted&#10;Electroencephalography&#10;Algorithms&#10;Quadcopter"/>
        <s v="Electromyography, Electrocardiography, Muscles, Pain, Elecrtodes, Training, Artificial neural networks, biomechanics, biomedical electrodes, diseases, medical signal processing, neural nets, sleep, signal classification"/>
      </sharedItems>
    </cacheField>
    <cacheField name="Abstract" numFmtId="0">
      <sharedItems containsBlank="1">
        <m/>
        <s v="https://jeeemi.org/index.php/jeeemi/article/view/1531"/>
      </sharedItems>
    </cacheField>
    <cacheField name="Notes" numFmtId="0">
      <sharedItems containsBlank="1">
        <m/>
        <s v="https://www.youtube.com/watch?v=gySZVoVpiTU"/>
        <s v="Awesome appendices "/>
        <s v=" "/>
        <s v="Exertion Games Lab, Faculty of Information Technology, Monash University, AUS. ² IBM Research. ³ WellthLab, Southampton University, UK"/>
        <s v="https://www.youtube.com/watch?v=cwbw7Pt5eDs"/>
        <s v="https://github.com/meagmohit/BLINK"/>
        <s v="https://iris.polito.it/retrieve/handle/11583/2726614/234787/08642836.pdf"/>
        <s v="Demo video: https://vimeo.com/228291071"/>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Bar Graph" cacheId="0" dataCaption="" compact="0" compactData="0">
  <location ref="A1:B15" firstHeaderRow="0" firstDataRow="1" firstDataCol="0"/>
  <pivotFields>
    <pivotField name="Year" axis="axisRow" compact="0" outline="0" multipleItemSelectionAllowed="1" showAll="0" sortType="ascending">
      <items>
        <item x="12"/>
        <item x="11"/>
        <item x="10"/>
        <item x="9"/>
        <item x="8"/>
        <item x="7"/>
        <item x="6"/>
        <item x="5"/>
        <item x="4"/>
        <item x="3"/>
        <item x="2"/>
        <item x="1"/>
        <item x="0"/>
        <item t="default"/>
      </items>
    </pivotField>
    <pivotField name="OpenBCI Product Us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Electrode / Other Produc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Autho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t="default"/>
      </items>
    </pivotField>
    <pivotField name="Tit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t="default"/>
      </items>
    </pivotField>
    <pivotField name="Websi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t="default"/>
      </items>
    </pivotField>
    <pivotField name="Journal/Confere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t="default"/>
      </items>
    </pivotField>
    <pivotField name="DO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t="default"/>
      </items>
    </pivotField>
    <pivotField name="Language" compact="0" outline="0" multipleItemSelectionAllowed="1" showAll="0">
      <items>
        <item x="0"/>
        <item x="1"/>
        <item x="2"/>
        <item x="3"/>
        <item x="4"/>
        <item x="5"/>
        <item x="6"/>
        <item x="7"/>
        <item x="8"/>
        <item x="9"/>
        <item x="10"/>
        <item x="11"/>
        <item t="default"/>
      </items>
    </pivotField>
    <pivotField name="Keywor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t="default"/>
      </items>
    </pivotField>
    <pivotField name="Abstract" compact="0" outline="0" multipleItemSelectionAllowed="1" showAll="0">
      <items>
        <item x="0"/>
        <item x="1"/>
        <item t="default"/>
      </items>
    </pivotField>
    <pivotField name="Notes" compact="0" outline="0" multipleItemSelectionAllowed="1" showAll="0">
      <items>
        <item x="0"/>
        <item x="1"/>
        <item x="2"/>
        <item x="3"/>
        <item x="4"/>
        <item x="5"/>
        <item x="6"/>
        <item x="7"/>
        <item x="8"/>
        <item t="default"/>
      </items>
    </pivotField>
  </pivotFields>
  <rowFields>
    <field x="0"/>
  </rowFields>
  <dataFields>
    <dataField name="COUNTA of Title" fld="4" subtotal="count" baseField="0"/>
  </dataFields>
</pivotTableDefinition>
</file>

<file path=xl/pivotTables/pivotTable2.xml><?xml version="1.0" encoding="utf-8"?>
<pivotTableDefinition xmlns="http://schemas.openxmlformats.org/spreadsheetml/2006/main" name="Pivot Table 2" cacheId="0" dataCaption="" compact="0" compactData="0">
  <location ref="A1:B15" firstHeaderRow="0" firstDataRow="1" firstDataCol="0"/>
  <pivotFields>
    <pivotField name="Year" axis="axisRow" compact="0" outline="0" multipleItemSelectionAllowed="1" showAll="0" sortType="ascending">
      <items>
        <item x="12"/>
        <item x="11"/>
        <item x="10"/>
        <item x="9"/>
        <item x="8"/>
        <item x="7"/>
        <item x="6"/>
        <item x="5"/>
        <item x="4"/>
        <item x="3"/>
        <item x="2"/>
        <item x="1"/>
        <item x="0"/>
        <item t="default"/>
      </items>
    </pivotField>
    <pivotField name="OpenBCI Product Us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Electrode / Other Produc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Autho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t="default"/>
      </items>
    </pivotField>
    <pivotField name="Tit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t="default"/>
      </items>
    </pivotField>
    <pivotField name="Websi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t="default"/>
      </items>
    </pivotField>
    <pivotField name="Journal/Confere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t="default"/>
      </items>
    </pivotField>
    <pivotField name="DO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t="default"/>
      </items>
    </pivotField>
    <pivotField name="Language" compact="0" outline="0" multipleItemSelectionAllowed="1" showAll="0">
      <items>
        <item x="0"/>
        <item x="1"/>
        <item x="2"/>
        <item x="3"/>
        <item x="4"/>
        <item x="5"/>
        <item x="6"/>
        <item x="7"/>
        <item x="8"/>
        <item x="9"/>
        <item x="10"/>
        <item x="11"/>
        <item t="default"/>
      </items>
    </pivotField>
    <pivotField name="Keywor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t="default"/>
      </items>
    </pivotField>
    <pivotField name="Abstract" compact="0" outline="0" multipleItemSelectionAllowed="1" showAll="0">
      <items>
        <item x="0"/>
        <item x="1"/>
        <item t="default"/>
      </items>
    </pivotField>
    <pivotField name="Notes" compact="0" outline="0" multipleItemSelectionAllowed="1" showAll="0">
      <items>
        <item x="0"/>
        <item x="1"/>
        <item x="2"/>
        <item x="3"/>
        <item x="4"/>
        <item x="5"/>
        <item x="6"/>
        <item x="7"/>
        <item x="8"/>
        <item t="default"/>
      </items>
    </pivotField>
  </pivotFields>
  <rowFields>
    <field x="0"/>
  </rowFields>
  <dataFields>
    <dataField name="COUNTA of Title" fld="4" subtotal="count" baseField="0"/>
  </dataFields>
</pivotTableDefinition>
</file>

<file path=xl/worksheets/_rels/sheet1.xml.rels><?xml version="1.0" encoding="UTF-8" standalone="yes"?><Relationships xmlns="http://schemas.openxmlformats.org/package/2006/relationships"><Relationship Id="rId392" Type="http://schemas.openxmlformats.org/officeDocument/2006/relationships/hyperlink" Target="https://shop.openbci.com/products/cyton-biosensing-board-8-channel" TargetMode="External"/><Relationship Id="rId391" Type="http://schemas.openxmlformats.org/officeDocument/2006/relationships/hyperlink" Target="https://scholar.google.com/scholar_url?url=https://ieeexplore.ieee.org/abstract/document/10752169/&amp;hl=en&amp;sa=X&amp;d=15724404164648191371&amp;ei=zU9AZ7GGBJ236rQP5I_LyQE&amp;scisig=AFWwaeYtJobLtyUdMI1MZrpa6q-S&amp;oi=scholaralrt&amp;hist=8WBGhdYAAAAJ:5437843588291773220:AFWwaebmzrq9zPN1CYXQ5l-OkEG-&amp;html=&amp;pos=0&amp;folt=kw" TargetMode="External"/><Relationship Id="rId390" Type="http://schemas.openxmlformats.org/officeDocument/2006/relationships/hyperlink" Target="https://shop.openbci.com/products/cyton-biosensing-board-8-channel" TargetMode="External"/><Relationship Id="rId1" Type="http://schemas.openxmlformats.org/officeDocument/2006/relationships/hyperlink" Target="https://ieeexplore.ieee.org/document/11652984/" TargetMode="External"/><Relationship Id="rId2" Type="http://schemas.openxmlformats.org/officeDocument/2006/relationships/hyperlink" Target="https://arxiv.org/abs/2608.12000" TargetMode="External"/><Relationship Id="rId3" Type="http://schemas.openxmlformats.org/officeDocument/2006/relationships/hyperlink" Target="https://ieeexplore.ieee.org/document/11633092/" TargetMode="External"/><Relationship Id="rId4" Type="http://schemas.openxmlformats.org/officeDocument/2006/relationships/hyperlink" Target="https://iopscience.iop.org/article/10.1088/1361-6579/ae99ab" TargetMode="External"/><Relationship Id="rId9" Type="http://schemas.openxmlformats.org/officeDocument/2006/relationships/hyperlink" Target="https://www.researchsquare.com/article/rs-9336892/v1" TargetMode="External"/><Relationship Id="rId385" Type="http://schemas.openxmlformats.org/officeDocument/2006/relationships/hyperlink" Target="https://shop.openbci.com/products/cyton-biosensing-board-8-channel" TargetMode="External"/><Relationship Id="rId384" Type="http://schemas.openxmlformats.org/officeDocument/2006/relationships/hyperlink" Target="https://scholar.google.com/scholar_url?url=https://ieeexplore.ieee.org/abstract/document/10760317/&amp;hl=en&amp;sa=X&amp;d=1934303467678149086&amp;ei=U6RMZ5bhJZ7Iy9YPk5DIuQU&amp;scisig=AFWwaeZ69K_9-OJbjFtEtuIfFtMx&amp;oi=scholaralrt&amp;hist=8WBGhdYAAAAJ:5437843588291773220:AFWwaebmzrq9zPN1CYXQ5l-OkEG-&amp;html=&amp;pos=0&amp;folt=kw" TargetMode="External"/><Relationship Id="rId383" Type="http://schemas.openxmlformats.org/officeDocument/2006/relationships/hyperlink" Target="https://shop.openbci.com/products/cyton-biosensing-board-8-channel" TargetMode="External"/><Relationship Id="rId382" Type="http://schemas.openxmlformats.org/officeDocument/2006/relationships/hyperlink" Target="https://winnspace.uwinnipeg.ca/bitstream/handle/10680/2180/Dharia_Shyamal_MSc_thesis_2024.pdf?sequence=1" TargetMode="External"/><Relationship Id="rId5" Type="http://schemas.openxmlformats.org/officeDocument/2006/relationships/hyperlink" Target="https://jtie.stekom.ac.id/index.php/jtie/article/view/493" TargetMode="External"/><Relationship Id="rId389" Type="http://schemas.openxmlformats.org/officeDocument/2006/relationships/hyperlink" Target="https://scholar.google.com/scholar_url?url=https://ieeexplore.ieee.org/abstract/document/10752265/&amp;hl=en&amp;sa=X&amp;d=12044883069830944302&amp;ei=zU9AZ7GGBJ236rQP5I_LyQE&amp;scisig=AFWwaeZLkIX0di1m1cD_YrTnKBXn&amp;oi=scholaralrt&amp;hist=8WBGhdYAAAAJ:5437843588291773220:AFWwaebmzrq9zPN1CYXQ5l-OkEG-&amp;html=&amp;pos=1&amp;folt=kw" TargetMode="External"/><Relationship Id="rId6" Type="http://schemas.openxmlformats.org/officeDocument/2006/relationships/hyperlink" Target="https://advanced.onlinelibrary.wiley.com/doi/10.1002/advs.76495" TargetMode="External"/><Relationship Id="rId388" Type="http://schemas.openxmlformats.org/officeDocument/2006/relationships/hyperlink" Target="https://shop.openbci.com/products/cyton-biosensing-board-8-channel" TargetMode="External"/><Relationship Id="rId7" Type="http://schemas.openxmlformats.org/officeDocument/2006/relationships/hyperlink" Target="https://www.frontiersin.org/articles/10.3389/fnins.2026.1859327/full" TargetMode="External"/><Relationship Id="rId387" Type="http://schemas.openxmlformats.org/officeDocument/2006/relationships/hyperlink" Target="https://doi.org/10.1016/j.neuroscience.2024.11.045" TargetMode="External"/><Relationship Id="rId8" Type="http://schemas.openxmlformats.org/officeDocument/2006/relationships/hyperlink" Target="https://ieeexplore.ieee.org/document/11623827/" TargetMode="External"/><Relationship Id="rId386" Type="http://schemas.openxmlformats.org/officeDocument/2006/relationships/hyperlink" Target="https://scholar.google.com/scholar_url?url=https://www.ibroneuroscience.org/article/S0306-4522(24)00633-X/fulltext&amp;hl=en&amp;sa=X&amp;d=5270483328089068148&amp;ei=2ZtEZ7i_ENyj6rQPg__02QQ&amp;scisig=AFWwaea3eIE-m-UFCVE1H_IWsZa1&amp;oi=scholaralrt&amp;hist=8WBGhdYAAAAJ:5437843588291773220:AFWwaebmzrq9zPN1CYXQ5l-OkEG-&amp;html=&amp;pos=0&amp;folt=kw" TargetMode="External"/><Relationship Id="rId381" Type="http://schemas.openxmlformats.org/officeDocument/2006/relationships/hyperlink" Target="https://shop.openbci.com/products/cyton-biosensing-board-8-channel" TargetMode="External"/><Relationship Id="rId380" Type="http://schemas.openxmlformats.org/officeDocument/2006/relationships/hyperlink" Target="https://ieeexplore.ieee.org/abstract/document/10765181" TargetMode="External"/><Relationship Id="rId379" Type="http://schemas.openxmlformats.org/officeDocument/2006/relationships/hyperlink" Target="https://doi.org/10.1080/10447318.2024.2388368" TargetMode="External"/><Relationship Id="rId374" Type="http://schemas.openxmlformats.org/officeDocument/2006/relationships/hyperlink" Target="https://scholar.google.com/scholar_url?url=https://ieeexplore.ieee.org/iel8/6287639/6514899/10788712.pdf&amp;hl=en&amp;sa=X&amp;d=338561209553599573&amp;ei=xvpeZ6ziK57Iy9YP6KKEiAM&amp;scisig=AFWwaeb1m_k7UHh0irVasnk8yQot&amp;oi=scholaralrt&amp;hist=8WBGhdYAAAAJ:5437843588291773220:AFWwaebmzrq9zPN1CYXQ5l-OkEG-&amp;html=&amp;pos=0&amp;folt=kw" TargetMode="External"/><Relationship Id="rId373" Type="http://schemas.openxmlformats.org/officeDocument/2006/relationships/hyperlink" Target="https://shop.openbci.com/products/cyton-biosensing-board-8-channel" TargetMode="External"/><Relationship Id="rId372" Type="http://schemas.openxmlformats.org/officeDocument/2006/relationships/hyperlink" Target="https://scholar.google.com/scholar_url?url=https://ieeexplore.ieee.org/abstract/document/10784751/&amp;hl=en&amp;sa=X&amp;d=18349905168998312162&amp;ei=HuVfZ_OHBvuh6rQP5JSQeA&amp;scisig=AFWwaeaRfrhTth35RJ7WIDPFv034&amp;oi=scholaralrt&amp;hist=8WBGhdYAAAAJ:5437843588291773220:AFWwaebmzrq9zPN1CYXQ5l-OkEG-&amp;html=&amp;pos=0&amp;folt=kw" TargetMode="External"/><Relationship Id="rId371" Type="http://schemas.openxmlformats.org/officeDocument/2006/relationships/hyperlink" Target="https://shop.openbci.com/products/cyton-biosensing-board-8-channel" TargetMode="External"/><Relationship Id="rId378" Type="http://schemas.openxmlformats.org/officeDocument/2006/relationships/hyperlink" Target="https://www.tandfonline.com/doi/full/10.1080/10447318.2024.2388368" TargetMode="External"/><Relationship Id="rId377" Type="http://schemas.openxmlformats.org/officeDocument/2006/relationships/hyperlink" Target="https://shop.openbci.com/products/cyton-biosensing-board-8-channel" TargetMode="External"/><Relationship Id="rId376" Type="http://schemas.openxmlformats.org/officeDocument/2006/relationships/hyperlink" Target="https://scholar.google.com/scholar_url?url=https://arxiv.org/pdf/2412.07175&amp;hl=en&amp;sa=X&amp;d=8600538035406407004&amp;ei=8O5bZ_2MBdXEy9YP1J6M0AQ&amp;scisig=AFWwaeaQJlBpZF6eC676iyuTaP-B&amp;oi=scholaralrt&amp;hist=8WBGhdYAAAAJ:5437843588291773220:AFWwaebmzrq9zPN1CYXQ5l-OkEG-&amp;html=&amp;pos=0&amp;folt=kw" TargetMode="External"/><Relationship Id="rId375" Type="http://schemas.openxmlformats.org/officeDocument/2006/relationships/hyperlink" Target="https://shop.openbci.com/products/cyton-daisy-biosensing-boards-16-channel" TargetMode="External"/><Relationship Id="rId396" Type="http://schemas.openxmlformats.org/officeDocument/2006/relationships/hyperlink" Target="https://shop.openbci.com/products/ultracortex-mark-iv" TargetMode="External"/><Relationship Id="rId395" Type="http://schemas.openxmlformats.org/officeDocument/2006/relationships/hyperlink" Target="https://shop.openbci.com/products/cyton-daisy-biosensing-boards-16-channel" TargetMode="External"/><Relationship Id="rId394" Type="http://schemas.openxmlformats.org/officeDocument/2006/relationships/hyperlink" Target="https://doi.org/10.3390/bios14110553" TargetMode="External"/><Relationship Id="rId393" Type="http://schemas.openxmlformats.org/officeDocument/2006/relationships/hyperlink" Target="https://scholar.google.com/scholar_url?url=https://www.mdpi.com/2079-6374/14/11/553&amp;hl=en&amp;sa=X&amp;d=11773865635898594621&amp;ei=yJc5Z7KUG9-uy9YP_sbV-Qs&amp;scisig=AFWwaeaCtARLseJ4h4Ikj-wpZULD&amp;oi=scholaralrt&amp;hist=8WBGhdYAAAAJ:5437843588291773220:AFWwaebmzrq9zPN1CYXQ5l-OkEG-&amp;html=&amp;pos=1&amp;folt=kw" TargetMode="External"/><Relationship Id="rId399" Type="http://schemas.openxmlformats.org/officeDocument/2006/relationships/hyperlink" Target="https://scholar.google.com/scholar_url?url=https://search.ebscohost.com/login.aspx%3Fdirect%3Dtrue%26profile%3Dehost%26scope%3Dsite%26authtype%3Dcrawler%26jrnl%3D2185310X%26AN%3D180507192%26h%3D9bYLS8S56zKCZotkYWnOXejc0jM4qy%252BT0Ag304y6NSdz%252FZfdhEIdhYFM7BQGtZIZUllK%252BZ5oQYCBP1A55%252FsYrA%253D%253D%26crl%3Dc&amp;hl=en&amp;sa=X&amp;d=16775695688880039376&amp;ei=VlspZ5WEItio6rQPisnvsQI&amp;scisig=AFWwaebCKeGMG9cXwHN0C2Z9VGWw&amp;oi=scholaralrt&amp;hist=8WBGhdYAAAAJ:5437843588291773220:AFWwaebmzrq9zPN1CYXQ5l-OkEG-&amp;html=&amp;pos=2&amp;folt=kw" TargetMode="External"/><Relationship Id="rId398" Type="http://schemas.openxmlformats.org/officeDocument/2006/relationships/hyperlink" Target="https://shop.openbci.com/products/cyton-biosensing-board-8-channel" TargetMode="External"/><Relationship Id="rId397" Type="http://schemas.openxmlformats.org/officeDocument/2006/relationships/hyperlink" Target="https://scholar.google.com/scholar_url?url=https://ieeexplore.ieee.org/abstract/document/10737575/&amp;hl=en&amp;sa=X&amp;d=13619585751740314394&amp;ei=xDYvZ7mwE7Os6rQPzZTH4AM&amp;scisig=AFWwaeZP5e3zy82FM6cSmz8BKRTK&amp;oi=scholaralrt&amp;hist=8WBGhdYAAAAJ:5437843588291773220:AFWwaebmzrq9zPN1CYXQ5l-OkEG-&amp;html=&amp;pos=0&amp;folt=kw" TargetMode="External"/><Relationship Id="rId1730" Type="http://schemas.openxmlformats.org/officeDocument/2006/relationships/hyperlink" Target="https://link.springer.com/chapter/10.1007/978-3-030-01057-7_25" TargetMode="External"/><Relationship Id="rId1731" Type="http://schemas.openxmlformats.org/officeDocument/2006/relationships/hyperlink" Target="https://ieeexplore.ieee.org/abstract/document/8409863/metrics" TargetMode="External"/><Relationship Id="rId1732" Type="http://schemas.openxmlformats.org/officeDocument/2006/relationships/hyperlink" Target="https://ieeexplore.ieee.org/abstract/document/8589911" TargetMode="External"/><Relationship Id="rId1733" Type="http://schemas.openxmlformats.org/officeDocument/2006/relationships/hyperlink" Target="https://ieeexplore.ieee.org/document/8122954" TargetMode="External"/><Relationship Id="rId1734" Type="http://schemas.openxmlformats.org/officeDocument/2006/relationships/hyperlink" Target="https://www.researchgate.net/publication/318111303_Identification_of_EEG-based_signature_produced_by_visual_exposure_to_the_primary_colours_RGB" TargetMode="External"/><Relationship Id="rId1735" Type="http://schemas.openxmlformats.org/officeDocument/2006/relationships/hyperlink" Target="https://www.researchgate.net/publication/321607480_Generating_forbidden_region_virtual_fixtures_by_classification_of_movement_intention_based_on_event-related_desynchronization" TargetMode="External"/><Relationship Id="rId1736" Type="http://schemas.openxmlformats.org/officeDocument/2006/relationships/hyperlink" Target="http://ksiresearchorg.ipage.com/tdr/references/qi03dms17dc.pdf" TargetMode="External"/><Relationship Id="rId1737" Type="http://schemas.openxmlformats.org/officeDocument/2006/relationships/hyperlink" Target="https://www.ncbi.nlm.nih.gov/pmc/articles/PMC5540472/" TargetMode="External"/><Relationship Id="rId1738" Type="http://schemas.openxmlformats.org/officeDocument/2006/relationships/hyperlink" Target="http://www.ijetcse.com/wp-content/plugins/ijetcse/file/upload/docx/75BIOMETRIC-AUTHENTICATION-OF-PC-BY-USING-EEG-SIGNALS-pdf.pdf" TargetMode="External"/><Relationship Id="rId1739" Type="http://schemas.openxmlformats.org/officeDocument/2006/relationships/hyperlink" Target="https://www.researchgate.net/publication/319602410_IBPoet_an_interactive_biosensitive_poetry_composition_device" TargetMode="External"/><Relationship Id="rId1720" Type="http://schemas.openxmlformats.org/officeDocument/2006/relationships/hyperlink" Target="https://ieeexplore.ieee.org/abstract/document/8616170" TargetMode="External"/><Relationship Id="rId1721" Type="http://schemas.openxmlformats.org/officeDocument/2006/relationships/hyperlink" Target="https://ieeexplore.ieee.org/abstract/document/8409632" TargetMode="External"/><Relationship Id="rId1722" Type="http://schemas.openxmlformats.org/officeDocument/2006/relationships/hyperlink" Target="https://dl.acm.org/citation.cfm?id=3186517" TargetMode="External"/><Relationship Id="rId1723" Type="http://schemas.openxmlformats.org/officeDocument/2006/relationships/hyperlink" Target="https://upcommons.upc.edu/handle/2117/117722" TargetMode="External"/><Relationship Id="rId1724" Type="http://schemas.openxmlformats.org/officeDocument/2006/relationships/hyperlink" Target="https://papers.ssrn.com/sol3/papers.cfm?abstract_id=3174465" TargetMode="External"/><Relationship Id="rId1725" Type="http://schemas.openxmlformats.org/officeDocument/2006/relationships/hyperlink" Target="https://ieeexplore.ieee.org/abstract/document/8421897/metrics" TargetMode="External"/><Relationship Id="rId1726" Type="http://schemas.openxmlformats.org/officeDocument/2006/relationships/hyperlink" Target="https://ieeexplore.ieee.org/abstract/document/8603652/keywords" TargetMode="External"/><Relationship Id="rId1727" Type="http://schemas.openxmlformats.org/officeDocument/2006/relationships/hyperlink" Target="https://ieeexplore.ieee.org/abstract/document/8512914" TargetMode="External"/><Relationship Id="rId1728" Type="http://schemas.openxmlformats.org/officeDocument/2006/relationships/hyperlink" Target="https://link.springer.com/chapter/10.1007/978-3-030-03402-3_43" TargetMode="External"/><Relationship Id="rId1729" Type="http://schemas.openxmlformats.org/officeDocument/2006/relationships/hyperlink" Target="https://link.springer.com/chapter/10.1007/978-3-319-91470-1_18" TargetMode="External"/><Relationship Id="rId1752" Type="http://schemas.openxmlformats.org/officeDocument/2006/relationships/hyperlink" Target="https://oaktrust.library.tamu.edu/handle/1969.1/154517" TargetMode="External"/><Relationship Id="rId1753" Type="http://schemas.openxmlformats.org/officeDocument/2006/relationships/hyperlink" Target="https://shop.openbci.com/products/cyton-daisy-biosensing-boards-16-channel" TargetMode="External"/><Relationship Id="rId1754" Type="http://schemas.openxmlformats.org/officeDocument/2006/relationships/hyperlink" Target="https://shop.tmsi.com/product/ceegrid" TargetMode="External"/><Relationship Id="rId1755" Type="http://schemas.openxmlformats.org/officeDocument/2006/relationships/hyperlink" Target="https://expeeeriments.io/pubs/Knierim2021-AHFE.pdf" TargetMode="External"/><Relationship Id="rId1756" Type="http://schemas.openxmlformats.org/officeDocument/2006/relationships/hyperlink" Target="http://dx.doi.org/10.1109/JBHI.2013.2274532" TargetMode="External"/><Relationship Id="rId1757" Type="http://schemas.openxmlformats.org/officeDocument/2006/relationships/drawing" Target="../drawings/drawing1.xml"/><Relationship Id="rId808" Type="http://schemas.openxmlformats.org/officeDocument/2006/relationships/hyperlink" Target="https://ieeexplore.ieee.org/document/10340046/" TargetMode="External"/><Relationship Id="rId807" Type="http://schemas.openxmlformats.org/officeDocument/2006/relationships/hyperlink" Target="https://shop.openbci.com/products/cyton-biosensing-board-8-channel" TargetMode="External"/><Relationship Id="rId806" Type="http://schemas.openxmlformats.org/officeDocument/2006/relationships/hyperlink" Target="https://arxiv.org/pdf/2307.14541.pdf" TargetMode="External"/><Relationship Id="rId805" Type="http://schemas.openxmlformats.org/officeDocument/2006/relationships/hyperlink" Target="https://shop.openbci.com/products/cyton-daisy-biosensing-boards-16-channel" TargetMode="External"/><Relationship Id="rId809" Type="http://schemas.openxmlformats.org/officeDocument/2006/relationships/hyperlink" Target="https://shop.openbci.com/products/cyton-biosensing-board-8-channel" TargetMode="External"/><Relationship Id="rId800" Type="http://schemas.openxmlformats.org/officeDocument/2006/relationships/hyperlink" Target="https://dl.acm.org/doi/abs/10.1145/3611659.3617436" TargetMode="External"/><Relationship Id="rId804" Type="http://schemas.openxmlformats.org/officeDocument/2006/relationships/hyperlink" Target="https://doi.org/10.1007/s40846-023-00823-x" TargetMode="External"/><Relationship Id="rId803" Type="http://schemas.openxmlformats.org/officeDocument/2006/relationships/hyperlink" Target="https://link.springer.com/article/10.1007/s40846-023-00823-x" TargetMode="External"/><Relationship Id="rId802" Type="http://schemas.openxmlformats.org/officeDocument/2006/relationships/hyperlink" Target="https://shop.openbci.com/products/cyton-biosensing-board-8-channel" TargetMode="External"/><Relationship Id="rId801" Type="http://schemas.openxmlformats.org/officeDocument/2006/relationships/hyperlink" Target="https://doi.org/10.1145/3611659.3617436" TargetMode="External"/><Relationship Id="rId1750" Type="http://schemas.openxmlformats.org/officeDocument/2006/relationships/hyperlink" Target="https://shop.openbci.com/collections/frontpage/products/openbci-gold-cup-electrodes" TargetMode="External"/><Relationship Id="rId1751" Type="http://schemas.openxmlformats.org/officeDocument/2006/relationships/hyperlink" Target="https://oaktrust.library.tamu.edu/browse?type=author&amp;value=Azocar,%20Alejandro%20Francisco" TargetMode="External"/><Relationship Id="rId1741" Type="http://schemas.openxmlformats.org/officeDocument/2006/relationships/hyperlink" Target="https://ieeexplore.ieee.org/abstract/document/8229668" TargetMode="External"/><Relationship Id="rId1742" Type="http://schemas.openxmlformats.org/officeDocument/2006/relationships/hyperlink" Target="https://shop.openbci.com/collections/frontpage/products/openbci-gold-cup-electrodes" TargetMode="External"/><Relationship Id="rId1743" Type="http://schemas.openxmlformats.org/officeDocument/2006/relationships/hyperlink" Target="https://link.springer.com/chapter/10.1007/978-981-10-4280-5_24" TargetMode="External"/><Relationship Id="rId1744" Type="http://schemas.openxmlformats.org/officeDocument/2006/relationships/hyperlink" Target="https://ieeexplore.ieee.org/abstract/document/8009392/keywords" TargetMode="External"/><Relationship Id="rId1745" Type="http://schemas.openxmlformats.org/officeDocument/2006/relationships/hyperlink" Target="https://www.researchgate.net/publication/318389411_Project_and_evaluation_EMGEOG_Human-Computer_interface" TargetMode="External"/><Relationship Id="rId1746" Type="http://schemas.openxmlformats.org/officeDocument/2006/relationships/hyperlink" Target="https://ieeexplore.ieee.org/document/7844580" TargetMode="External"/><Relationship Id="rId1747" Type="http://schemas.openxmlformats.org/officeDocument/2006/relationships/hyperlink" Target="https://www.ias.informatik.tu-darmstadt.de/uploads/Theses/Abschlussarbeiten/daniel_alte_BSc_thesisc.pdf" TargetMode="External"/><Relationship Id="rId1748" Type="http://schemas.openxmlformats.org/officeDocument/2006/relationships/hyperlink" Target="https://hal.inria.fr/hal-01278245/document" TargetMode="External"/><Relationship Id="rId1749" Type="http://schemas.openxmlformats.org/officeDocument/2006/relationships/hyperlink" Target="https://ieeexplore.ieee.org/document/7839045" TargetMode="External"/><Relationship Id="rId1740" Type="http://schemas.openxmlformats.org/officeDocument/2006/relationships/hyperlink" Target="https://www.researchgate.net/publication/321314519_Using_Brain-Computer_Interface_and_Internet_of_Things_to_Improve_Healthcare_for_Wheelchair_Users" TargetMode="External"/><Relationship Id="rId1710" Type="http://schemas.openxmlformats.org/officeDocument/2006/relationships/hyperlink" Target="https://ieeexplore.ieee.org/abstract/document/8584193" TargetMode="External"/><Relationship Id="rId1711" Type="http://schemas.openxmlformats.org/officeDocument/2006/relationships/hyperlink" Target="https://drive.google.com/open?id=1pTsqxYm7Q_gvsv7H1kxVfXdzGA7aYddp" TargetMode="External"/><Relationship Id="rId1712" Type="http://schemas.openxmlformats.org/officeDocument/2006/relationships/hyperlink" Target="https://ieeexplore.ieee.org/abstract/document/8584340" TargetMode="External"/><Relationship Id="rId1713" Type="http://schemas.openxmlformats.org/officeDocument/2006/relationships/hyperlink" Target="https://proceedings.cmbes.ca/index.php/proceedings/article/view/703/697" TargetMode="External"/><Relationship Id="rId1714" Type="http://schemas.openxmlformats.org/officeDocument/2006/relationships/hyperlink" Target="https://ieeexplore.ieee.org/abstract/document/8400758" TargetMode="External"/><Relationship Id="rId1715" Type="http://schemas.openxmlformats.org/officeDocument/2006/relationships/hyperlink" Target="https://ieeexplore.ieee.org/abstract/document/8500283" TargetMode="External"/><Relationship Id="rId1716" Type="http://schemas.openxmlformats.org/officeDocument/2006/relationships/hyperlink" Target="https://arxiv.org/pdf/1806.04037.pdf" TargetMode="External"/><Relationship Id="rId1717" Type="http://schemas.openxmlformats.org/officeDocument/2006/relationships/hyperlink" Target="https://ieeexplore.ieee.org/abstract/document/8597134" TargetMode="External"/><Relationship Id="rId1718" Type="http://schemas.openxmlformats.org/officeDocument/2006/relationships/hyperlink" Target="https://lib.dr.iastate.edu/cgi/viewcontent.cgi?article=1010&amp;context=creativecomponents" TargetMode="External"/><Relationship Id="rId1719" Type="http://schemas.openxmlformats.org/officeDocument/2006/relationships/hyperlink" Target="https://github.com/OpenBCI" TargetMode="External"/><Relationship Id="rId1700" Type="http://schemas.openxmlformats.org/officeDocument/2006/relationships/hyperlink" Target="https://arxiv.org/abs/1810.04582" TargetMode="External"/><Relationship Id="rId1701" Type="http://schemas.openxmlformats.org/officeDocument/2006/relationships/hyperlink" Target="http://eess.sp" TargetMode="External"/><Relationship Id="rId1702" Type="http://schemas.openxmlformats.org/officeDocument/2006/relationships/hyperlink" Target="https://www.mdpi.com/1424-8220/18/11/3721" TargetMode="External"/><Relationship Id="rId1703" Type="http://schemas.openxmlformats.org/officeDocument/2006/relationships/hyperlink" Target="https://webthesis.biblio.polito.it/8023/1/tesi.pdf" TargetMode="External"/><Relationship Id="rId1704" Type="http://schemas.openxmlformats.org/officeDocument/2006/relationships/hyperlink" Target="https://ieeexplore.ieee.org/abstract/document/8452823" TargetMode="External"/><Relationship Id="rId1705" Type="http://schemas.openxmlformats.org/officeDocument/2006/relationships/hyperlink" Target="https://shop.openbci.com/collections/frontpage/products/ultracortex-mark-iv?variant=23280716995" TargetMode="External"/><Relationship Id="rId1706" Type="http://schemas.openxmlformats.org/officeDocument/2006/relationships/hyperlink" Target="https://search.proquest.com/openview/58800a3a14a7aa1d52d1e59b78f0d16c/1?pq-origsite=gscholar&amp;cbl=18750&amp;diss=y" TargetMode="External"/><Relationship Id="rId1707" Type="http://schemas.openxmlformats.org/officeDocument/2006/relationships/hyperlink" Target="https://shop.openbci.com/collections/frontpage/products/ultracortex-mark-iv?variant=23280716995" TargetMode="External"/><Relationship Id="rId1708" Type="http://schemas.openxmlformats.org/officeDocument/2006/relationships/hyperlink" Target="https://ieeexplore.ieee.org/abstract/document/8419405" TargetMode="External"/><Relationship Id="rId1709" Type="http://schemas.openxmlformats.org/officeDocument/2006/relationships/hyperlink" Target="https://scholar.google.com/citations?user=U-L-iGIAAAAJ&amp;hl=en&amp;authuser=1" TargetMode="External"/><Relationship Id="rId40" Type="http://schemas.openxmlformats.org/officeDocument/2006/relationships/hyperlink" Target="https://ieeexplore.ieee.org/document/11476058/" TargetMode="External"/><Relationship Id="rId1334" Type="http://schemas.openxmlformats.org/officeDocument/2006/relationships/hyperlink" Target="https://doi.org/10.1088/1741-2552/abd10e" TargetMode="External"/><Relationship Id="rId1335" Type="http://schemas.openxmlformats.org/officeDocument/2006/relationships/hyperlink" Target="https://www.matec-conferences.org/articles/matecconf/pdf/2021/05/matecconf_cscns20_06003.pdf" TargetMode="External"/><Relationship Id="rId42" Type="http://schemas.openxmlformats.org/officeDocument/2006/relationships/hyperlink" Target="https://arxiv.org/abs/2604.09649" TargetMode="External"/><Relationship Id="rId1336" Type="http://schemas.openxmlformats.org/officeDocument/2006/relationships/hyperlink" Target="https://doi.org/10.1051/matecconf/202133606003" TargetMode="External"/><Relationship Id="rId41" Type="http://schemas.openxmlformats.org/officeDocument/2006/relationships/hyperlink" Target="https://spj.science.org/doi/10.34133/bosn.0003" TargetMode="External"/><Relationship Id="rId1337" Type="http://schemas.openxmlformats.org/officeDocument/2006/relationships/hyperlink" Target="https://www.researchgate.net/publication/349617055_A_Fusion_Algorithm_for_Saccade_Eye_Movement_Enhancement_with_EOG_and_Lumped-element_Models" TargetMode="External"/><Relationship Id="rId44" Type="http://schemas.openxmlformats.org/officeDocument/2006/relationships/hyperlink" Target="https://www.jstage.jst.go.jp/article/ijae/advpub/0/advpub_IJAE-D-25-00037/_article" TargetMode="External"/><Relationship Id="rId1338" Type="http://schemas.openxmlformats.org/officeDocument/2006/relationships/hyperlink" Target="https://shop.openbci.com/products/ultracortex-mark-iv" TargetMode="External"/><Relationship Id="rId43" Type="http://schemas.openxmlformats.org/officeDocument/2006/relationships/hyperlink" Target="https://dl.acm.org/doi/10.1145/3772318.3791781" TargetMode="External"/><Relationship Id="rId1339" Type="http://schemas.openxmlformats.org/officeDocument/2006/relationships/hyperlink" Target="https://ieeexplore.ieee.org/abstract/document/9333469" TargetMode="External"/><Relationship Id="rId46" Type="http://schemas.openxmlformats.org/officeDocument/2006/relationships/hyperlink" Target="https://www.mdpi.com/1424-8220/26/7/2265" TargetMode="External"/><Relationship Id="rId45" Type="http://schemas.openxmlformats.org/officeDocument/2006/relationships/hyperlink" Target="https://ieeexplore.ieee.org/document/10816932/" TargetMode="External"/><Relationship Id="rId745" Type="http://schemas.openxmlformats.org/officeDocument/2006/relationships/hyperlink" Target="https://shop.openbci.com/products/cyton-biosensing-board-8-channel" TargetMode="External"/><Relationship Id="rId744" Type="http://schemas.openxmlformats.org/officeDocument/2006/relationships/hyperlink" Target="https://doi.org/10.1186/s13765-023-00836-9" TargetMode="External"/><Relationship Id="rId743" Type="http://schemas.openxmlformats.org/officeDocument/2006/relationships/hyperlink" Target="https://applbiolchem.springeropen.com/articles/10.1186/s13765-023-00836-9" TargetMode="External"/><Relationship Id="rId742" Type="http://schemas.openxmlformats.org/officeDocument/2006/relationships/hyperlink" Target="http://dx.doi.org/10.32604/cmc.2023.043998" TargetMode="External"/><Relationship Id="rId749" Type="http://schemas.openxmlformats.org/officeDocument/2006/relationships/hyperlink" Target="https://link.springer.com/10.1007/978-3-031-53082-1_19" TargetMode="External"/><Relationship Id="rId748" Type="http://schemas.openxmlformats.org/officeDocument/2006/relationships/hyperlink" Target="https://shop.openbci.com/products/ultracortex-mark-iv" TargetMode="External"/><Relationship Id="rId747" Type="http://schemas.openxmlformats.org/officeDocument/2006/relationships/hyperlink" Target="https://shop.openbci.com/products/cyton-daisy-biosensing-boards-16-channel" TargetMode="External"/><Relationship Id="rId746" Type="http://schemas.openxmlformats.org/officeDocument/2006/relationships/hyperlink" Target="https://scholar.google.com/scholar_url?url=https://opus4.kobv.de/opus4-ohm/files/1202/Impact_of_Affective_UI_Sounds.pdf&amp;hl=en&amp;sa=X&amp;d=984106752588330375&amp;ei=Q09lZbf-GerBy9YPtoy_iA8&amp;scisig=AFWwaebPrpO90EhZ759A_BtMSjC7&amp;oi=scholaralrt&amp;hist=8WBGhdYAAAAJ:5437843588291773220:AFWwaebmzrq9zPN1CYXQ5l-OkEG-&amp;html=&amp;pos=1&amp;folt=kw" TargetMode="External"/><Relationship Id="rId48" Type="http://schemas.openxmlformats.org/officeDocument/2006/relationships/hyperlink" Target="https://dl.acm.org/doi/10.1145/3789682" TargetMode="External"/><Relationship Id="rId47" Type="http://schemas.openxmlformats.org/officeDocument/2006/relationships/hyperlink" Target="https://iopscience.iop.org/article/10.1088/1741-2552/ae54d0" TargetMode="External"/><Relationship Id="rId49" Type="http://schemas.openxmlformats.org/officeDocument/2006/relationships/hyperlink" Target="http://medrxiv.org/lookup/doi/10.64898/2026.03.05.26347650" TargetMode="External"/><Relationship Id="rId741" Type="http://schemas.openxmlformats.org/officeDocument/2006/relationships/hyperlink" Target="https://cdn.techscience.cn/files/cmc/2023/TSP_CMC-77-2/TSP_CMC_43998/TSP_CMC_43998.pdf" TargetMode="External"/><Relationship Id="rId1330" Type="http://schemas.openxmlformats.org/officeDocument/2006/relationships/hyperlink" Target="https://dx.doi.org/10.34785/J018.2021.932" TargetMode="External"/><Relationship Id="rId740" Type="http://schemas.openxmlformats.org/officeDocument/2006/relationships/hyperlink" Target="https://shop.openbci.com/products/cyton-biosensing-board-8-channel" TargetMode="External"/><Relationship Id="rId1331" Type="http://schemas.openxmlformats.org/officeDocument/2006/relationships/hyperlink" Target="http://scholar.google.com/scholar_url?url=https://www.mdpi.com/1424-8220/21/6/2020/pdf&amp;hl=en&amp;sa=X&amp;d=3743719481528309039&amp;ei=YYBSYOzuFeiN6rQPg5ud0Aw&amp;scisig=AAGBfm2BH34uzxiWvfRIbJ5Bzld1oFJT_g&amp;nossl=1&amp;oi=scholaralrt&amp;hist=phuwsnkAAAAJ:1324821476278215287:AAGBfm1j5tukHsbeU89cUqsrIj25mrgFmg&amp;html=&amp;folt=kw" TargetMode="External"/><Relationship Id="rId1332" Type="http://schemas.openxmlformats.org/officeDocument/2006/relationships/hyperlink" Target="https://doi.org/10.3390/s21062020" TargetMode="External"/><Relationship Id="rId1333" Type="http://schemas.openxmlformats.org/officeDocument/2006/relationships/hyperlink" Target="http://nmail.kaist.ac.kr/paper/JNE2021.pdf" TargetMode="External"/><Relationship Id="rId1323" Type="http://schemas.openxmlformats.org/officeDocument/2006/relationships/hyperlink" Target="https://www.frontiersin.org/articles/10.3389/fcomp.2021.661300/full" TargetMode="External"/><Relationship Id="rId1324" Type="http://schemas.openxmlformats.org/officeDocument/2006/relationships/hyperlink" Target="https://www.researchgate.net/publication/350473185_A_Closed-Loop_Brain-Computer_Interface_with_Augmented_Reality_Feedback_for_Industrial_Human-Robot_Collaboration" TargetMode="External"/><Relationship Id="rId31" Type="http://schemas.openxmlformats.org/officeDocument/2006/relationships/hyperlink" Target="https://ieeexplore.ieee.org/document/11489690/" TargetMode="External"/><Relationship Id="rId1325" Type="http://schemas.openxmlformats.org/officeDocument/2006/relationships/hyperlink" Target="http://dx.doi.org/10.21203/rs.3.rs-283263/v1" TargetMode="External"/><Relationship Id="rId30" Type="http://schemas.openxmlformats.org/officeDocument/2006/relationships/hyperlink" Target="https://direct.mit.edu/imag/article/doi/10.1162/IMAG.a.1258/136565/Non-specific-increase-in-alpha-power-during-a" TargetMode="External"/><Relationship Id="rId1326" Type="http://schemas.openxmlformats.org/officeDocument/2006/relationships/hyperlink" Target="http://www.e-iji.net/dosyalar/iji_2021_2_48.pdf" TargetMode="External"/><Relationship Id="rId33" Type="http://schemas.openxmlformats.org/officeDocument/2006/relationships/hyperlink" Target="https://ieeexplore.ieee.org/document/11494659/" TargetMode="External"/><Relationship Id="rId1327" Type="http://schemas.openxmlformats.org/officeDocument/2006/relationships/hyperlink" Target="https://www.tandfonline.com/doi/full/10.1080/10447318.2021.1921482" TargetMode="External"/><Relationship Id="rId32" Type="http://schemas.openxmlformats.org/officeDocument/2006/relationships/hyperlink" Target="https://onlinelibrary.wiley.com/doi/10.1155/ijbm/2255123" TargetMode="External"/><Relationship Id="rId1328" Type="http://schemas.openxmlformats.org/officeDocument/2006/relationships/hyperlink" Target="https://doi.org/10.1080/10447318.2021.1921482" TargetMode="External"/><Relationship Id="rId35" Type="http://schemas.openxmlformats.org/officeDocument/2006/relationships/hyperlink" Target="https://jeeemi.org/index.php/jeeemi/article/view/1531" TargetMode="External"/><Relationship Id="rId1329" Type="http://schemas.openxmlformats.org/officeDocument/2006/relationships/hyperlink" Target="https://cbs.uok.ac.ir/article_61752.html?lang=en" TargetMode="External"/><Relationship Id="rId34" Type="http://schemas.openxmlformats.org/officeDocument/2006/relationships/hyperlink" Target="https://doi.org/10.35882/jeeemi.v8i2.1531" TargetMode="External"/><Relationship Id="rId739" Type="http://schemas.openxmlformats.org/officeDocument/2006/relationships/hyperlink" Target="https://www.theseus.fi/bitstream/handle/10024/813308/Hakala_Lauri.pdf?sequence=2" TargetMode="External"/><Relationship Id="rId734" Type="http://schemas.openxmlformats.org/officeDocument/2006/relationships/hyperlink" Target="https://shop.openbci.com/products/cyton-biosensing-board-8-channel" TargetMode="External"/><Relationship Id="rId733" Type="http://schemas.openxmlformats.org/officeDocument/2006/relationships/hyperlink" Target="https://ieeexplore.ieee.org/abstract/document/10322025" TargetMode="External"/><Relationship Id="rId732" Type="http://schemas.openxmlformats.org/officeDocument/2006/relationships/hyperlink" Target="https://shop.openbci.com/products/cyton-biosensing-board-8-channel" TargetMode="External"/><Relationship Id="rId731" Type="http://schemas.openxmlformats.org/officeDocument/2006/relationships/hyperlink" Target="https://doi.org/10.1038/s41598-023-49990-6" TargetMode="External"/><Relationship Id="rId738" Type="http://schemas.openxmlformats.org/officeDocument/2006/relationships/hyperlink" Target="https://shop.openbci.com/products/ultracortex-mark-iv" TargetMode="External"/><Relationship Id="rId737" Type="http://schemas.openxmlformats.org/officeDocument/2006/relationships/hyperlink" Target="https://shop.openbci.com/products/cyton-daisy-biosensing-boards-16-channel" TargetMode="External"/><Relationship Id="rId736" Type="http://schemas.openxmlformats.org/officeDocument/2006/relationships/hyperlink" Target="https://ieeexplore.ieee.org/abstract/document/10344237" TargetMode="External"/><Relationship Id="rId735" Type="http://schemas.openxmlformats.org/officeDocument/2006/relationships/hyperlink" Target="https://shop.openbci.com/products/ultracortex-mark-iv" TargetMode="External"/><Relationship Id="rId37" Type="http://schemas.openxmlformats.org/officeDocument/2006/relationships/hyperlink" Target="https://publikasi.dinus.ac.id/jcta/article/view/15875" TargetMode="External"/><Relationship Id="rId36" Type="http://schemas.openxmlformats.org/officeDocument/2006/relationships/hyperlink" Target="https://link.springer.com/10.1007/978-981-95-4072-3_11" TargetMode="External"/><Relationship Id="rId39" Type="http://schemas.openxmlformats.org/officeDocument/2006/relationships/hyperlink" Target="https://www.frontiersin.org/articles/10.3389/fnhum.2026.1793705/full" TargetMode="External"/><Relationship Id="rId38" Type="http://schemas.openxmlformats.org/officeDocument/2006/relationships/hyperlink" Target="https://ieeexplore.ieee.org/document/11479272/" TargetMode="External"/><Relationship Id="rId730" Type="http://schemas.openxmlformats.org/officeDocument/2006/relationships/hyperlink" Target="https://www.nature.com/articles/s41598-023-49990-6" TargetMode="External"/><Relationship Id="rId1320" Type="http://schemas.openxmlformats.org/officeDocument/2006/relationships/hyperlink" Target="https://www.atlantis-press.com/proceedings/conaplin-20/125956006" TargetMode="External"/><Relationship Id="rId1321" Type="http://schemas.openxmlformats.org/officeDocument/2006/relationships/hyperlink" Target="https://dx.doi.org/10.2991/assehr.k.210427.042" TargetMode="External"/><Relationship Id="rId1322" Type="http://schemas.openxmlformats.org/officeDocument/2006/relationships/hyperlink" Target="https://shop.openbci.com/products/pulse-sensor" TargetMode="External"/><Relationship Id="rId1356" Type="http://schemas.openxmlformats.org/officeDocument/2006/relationships/hyperlink" Target="https://ieeexplore.ieee.org/abstract/document/9350509" TargetMode="External"/><Relationship Id="rId1357" Type="http://schemas.openxmlformats.org/officeDocument/2006/relationships/hyperlink" Target="https://ieeexplore.ieee.org/abstract/document/9441260" TargetMode="External"/><Relationship Id="rId20" Type="http://schemas.openxmlformats.org/officeDocument/2006/relationships/hyperlink" Target="https://zenodo.org/doi/10.5281/zenodo.20756330" TargetMode="External"/><Relationship Id="rId1358" Type="http://schemas.openxmlformats.org/officeDocument/2006/relationships/hyperlink" Target="https://ieeexplore.ieee.org/author/38272957300" TargetMode="External"/><Relationship Id="rId1359" Type="http://schemas.openxmlformats.org/officeDocument/2006/relationships/hyperlink" Target="https://ieeexplore.ieee.org/document/9446779/" TargetMode="External"/><Relationship Id="rId22" Type="http://schemas.openxmlformats.org/officeDocument/2006/relationships/hyperlink" Target="https://link.springer.com/10.1007/s40820-026-02252-2" TargetMode="External"/><Relationship Id="rId21" Type="http://schemas.openxmlformats.org/officeDocument/2006/relationships/hyperlink" Target="https://link.springer.com/10.1007/978-981-95-7195-6_26" TargetMode="External"/><Relationship Id="rId24" Type="http://schemas.openxmlformats.org/officeDocument/2006/relationships/hyperlink" Target="https://link.springer.com/10.1007/978-3-032-24724-7_18" TargetMode="External"/><Relationship Id="rId23" Type="http://schemas.openxmlformats.org/officeDocument/2006/relationships/hyperlink" Target="https://ieeexplore.ieee.org/document/11542044/" TargetMode="External"/><Relationship Id="rId767" Type="http://schemas.openxmlformats.org/officeDocument/2006/relationships/hyperlink" Target="https://shop.openbci.com/products/openbci-eeg-electrocap" TargetMode="External"/><Relationship Id="rId766" Type="http://schemas.openxmlformats.org/officeDocument/2006/relationships/hyperlink" Target="https://shop.openbci.com/products/cyton-daisy-biosensing-boards-16-channel" TargetMode="External"/><Relationship Id="rId765" Type="http://schemas.openxmlformats.org/officeDocument/2006/relationships/hyperlink" Target="http://doi.org/10.4018/IJSI.333161" TargetMode="External"/><Relationship Id="rId764" Type="http://schemas.openxmlformats.org/officeDocument/2006/relationships/hyperlink" Target="https://www.igi-global.com/gateway/article/full-text-pdf/333161&amp;riu=true" TargetMode="External"/><Relationship Id="rId769" Type="http://schemas.openxmlformats.org/officeDocument/2006/relationships/hyperlink" Target="https://shop.openbci.com/products/cyton-biosensing-board-8-channel" TargetMode="External"/><Relationship Id="rId768" Type="http://schemas.openxmlformats.org/officeDocument/2006/relationships/hyperlink" Target="https://onlinelibrary.wiley.com/doi/pdf/10.1002/acn3.51932" TargetMode="External"/><Relationship Id="rId26" Type="http://schemas.openxmlformats.org/officeDocument/2006/relationships/hyperlink" Target="https://ieeexplore.ieee.org/document/11518027/" TargetMode="External"/><Relationship Id="rId25" Type="http://schemas.openxmlformats.org/officeDocument/2006/relationships/hyperlink" Target="https://doi.org/10.22266/ijies2026.0630.11" TargetMode="External"/><Relationship Id="rId28" Type="http://schemas.openxmlformats.org/officeDocument/2006/relationships/hyperlink" Target="https://www.authorea.com/doi/full/10.22541/au.177260770.08096523/v1" TargetMode="External"/><Relationship Id="rId1350" Type="http://schemas.openxmlformats.org/officeDocument/2006/relationships/hyperlink" Target="https://doi.org/10.3390/app11020674" TargetMode="External"/><Relationship Id="rId27" Type="http://schemas.openxmlformats.org/officeDocument/2006/relationships/hyperlink" Target="https://doi.org/10.3390/bs16050815" TargetMode="External"/><Relationship Id="rId1351" Type="http://schemas.openxmlformats.org/officeDocument/2006/relationships/hyperlink" Target="https://www.mdpi.com/1424-8220/21/2/572" TargetMode="External"/><Relationship Id="rId763" Type="http://schemas.openxmlformats.org/officeDocument/2006/relationships/hyperlink" Target="https://shop.openbci.com/products/openbci-eeg-electrocap" TargetMode="External"/><Relationship Id="rId1352" Type="http://schemas.openxmlformats.org/officeDocument/2006/relationships/hyperlink" Target="https://doi.org/10.3390/s21020572" TargetMode="External"/><Relationship Id="rId29" Type="http://schemas.openxmlformats.org/officeDocument/2006/relationships/hyperlink" Target="https://www.nature.com/articles/s41598-026-52443-5" TargetMode="External"/><Relationship Id="rId762" Type="http://schemas.openxmlformats.org/officeDocument/2006/relationships/hyperlink" Target="https://shop.openbci.com/products/cyton-biosensing-board-8-channel" TargetMode="External"/><Relationship Id="rId1353" Type="http://schemas.openxmlformats.org/officeDocument/2006/relationships/hyperlink" Target="https://shop.openbci.com/collections/frontpage/products/myoware-muscle-sensor?variant=29472011267" TargetMode="External"/><Relationship Id="rId761" Type="http://schemas.openxmlformats.org/officeDocument/2006/relationships/hyperlink" Target="https://scholar.google.com/scholar_url?url=https://ojs.observatoriolatinoamericano.com/ojs/index.php/olel/article/download/1982/1329&amp;hl=en&amp;sa=X&amp;d=1516558612516834940&amp;ei=8X9MZe7hHuOvy9YPpqmgyAQ&amp;scisig=AFWwaeYJwVIYkaRBCR-3GUx0zb65&amp;oi=scholaralrt&amp;hist=8WBGhdYAAAAJ:5437843588291773220:AFWwaebmzrq9zPN1CYXQ5l-OkEG-&amp;html=&amp;pos=3&amp;folt=kw" TargetMode="External"/><Relationship Id="rId1354" Type="http://schemas.openxmlformats.org/officeDocument/2006/relationships/hyperlink" Target="https://www.sciencedirect.com/science/article/pii/B9780128196649000132" TargetMode="External"/><Relationship Id="rId760" Type="http://schemas.openxmlformats.org/officeDocument/2006/relationships/hyperlink" Target="https://shop.openbci.com/products/openbci-eeg-electrocap" TargetMode="External"/><Relationship Id="rId1355" Type="http://schemas.openxmlformats.org/officeDocument/2006/relationships/hyperlink" Target="https://doi.org/10.1016/B978-0-12-819664-9.00013-2" TargetMode="External"/><Relationship Id="rId1345" Type="http://schemas.openxmlformats.org/officeDocument/2006/relationships/hyperlink" Target="https://shop.tmsi.com/product/ceegrid" TargetMode="External"/><Relationship Id="rId1346" Type="http://schemas.openxmlformats.org/officeDocument/2006/relationships/hyperlink" Target="https://arxiv.org/ftp/arxiv/papers/2102/2102.00414.pdf" TargetMode="External"/><Relationship Id="rId1347" Type="http://schemas.openxmlformats.org/officeDocument/2006/relationships/hyperlink" Target="https://shop.openbci.com/products/cyton-daisy-biosensing-boards-16-channel" TargetMode="External"/><Relationship Id="rId1348" Type="http://schemas.openxmlformats.org/officeDocument/2006/relationships/hyperlink" Target="https://shop.openbci.com/products/ultracortex-mark-iv" TargetMode="External"/><Relationship Id="rId11" Type="http://schemas.openxmlformats.org/officeDocument/2006/relationships/hyperlink" Target="https://link.springer.com/10.1007/978-3-032-29593-4_14" TargetMode="External"/><Relationship Id="rId1349" Type="http://schemas.openxmlformats.org/officeDocument/2006/relationships/hyperlink" Target="http://scholar.google.com/scholar_url?url=https://www.mdpi.com/2076-3417/11/2/674/pdf&amp;hl=en&amp;sa=X&amp;d=11378052140150603235&amp;ei=llwLYLqKI8qnywS5jqaQAg&amp;scisig=AAGBfm03JBVY-T9kTT0ztI2Jzvx3_YOQUg&amp;nossl=1&amp;oi=scholaralrt&amp;hist=phuwsnkAAAAJ:1324821476278215287:AAGBfm1j5tukHsbeU89cUqsrIj25mrgFmg&amp;html=" TargetMode="External"/><Relationship Id="rId10" Type="http://schemas.openxmlformats.org/officeDocument/2006/relationships/hyperlink" Target="https://arxiv.org/abs/2607.25968" TargetMode="External"/><Relationship Id="rId13" Type="http://schemas.openxmlformats.org/officeDocument/2006/relationships/hyperlink" Target="https://ieeexplore.ieee.org/document/11575023/" TargetMode="External"/><Relationship Id="rId12" Type="http://schemas.openxmlformats.org/officeDocument/2006/relationships/hyperlink" Target="https://arxiv.org/abs/2603.10680" TargetMode="External"/><Relationship Id="rId756" Type="http://schemas.openxmlformats.org/officeDocument/2006/relationships/hyperlink" Target="https://shop.openbci.com/products/cyton-biosensing-board-8-channel" TargetMode="External"/><Relationship Id="rId755" Type="http://schemas.openxmlformats.org/officeDocument/2006/relationships/hyperlink" Target="https://doi.org/10.1002/lim2.93" TargetMode="External"/><Relationship Id="rId754" Type="http://schemas.openxmlformats.org/officeDocument/2006/relationships/hyperlink" Target="https://onlinelibrary.wiley.com/doi/pdf/10.1002/lim2.93" TargetMode="External"/><Relationship Id="rId753" Type="http://schemas.openxmlformats.org/officeDocument/2006/relationships/hyperlink" Target="https://shop.openbci.com/products/cyton-biosensing-board-8-channel" TargetMode="External"/><Relationship Id="rId759" Type="http://schemas.openxmlformats.org/officeDocument/2006/relationships/hyperlink" Target="https://shop.openbci.com/products/cyton-biosensing-board-8-channel" TargetMode="External"/><Relationship Id="rId758" Type="http://schemas.openxmlformats.org/officeDocument/2006/relationships/hyperlink" Target="https://doi.org/10.1016/j.heares.2023.108912" TargetMode="External"/><Relationship Id="rId757" Type="http://schemas.openxmlformats.org/officeDocument/2006/relationships/hyperlink" Target="https://www.sciencedirect.com/science/article/abs/pii/S0378595523002241" TargetMode="External"/><Relationship Id="rId15" Type="http://schemas.openxmlformats.org/officeDocument/2006/relationships/hyperlink" Target="https://onlinelibrary.wiley.com/doi/10.1155/js/9983391" TargetMode="External"/><Relationship Id="rId14" Type="http://schemas.openxmlformats.org/officeDocument/2006/relationships/hyperlink" Target="https://onlinelibrary.wiley.com/doi/10.1002/nap2.70194" TargetMode="External"/><Relationship Id="rId17" Type="http://schemas.openxmlformats.org/officeDocument/2006/relationships/hyperlink" Target="https://www.researchsquare.com/article/rs-9858854/v1" TargetMode="External"/><Relationship Id="rId16" Type="http://schemas.openxmlformats.org/officeDocument/2006/relationships/hyperlink" Target="https://doi.org/10.29354/diag/225253" TargetMode="External"/><Relationship Id="rId1340" Type="http://schemas.openxmlformats.org/officeDocument/2006/relationships/hyperlink" Target="http://scholar.google.com/scholar_url?url=https://www.mdpi.com/1424-8220/21/2/578/pdf&amp;hl=en&amp;sa=X&amp;d=10454797439915091092&amp;ei=llwLYLqKI8qnywS5jqaQAg&amp;scisig=AAGBfm0Ls-jO1jgC_8b9EV5_cK09JXNeXA&amp;nossl=1&amp;oi=scholaralrt&amp;hist=phuwsnkAAAAJ:1324821476278215287:AAGBfm1j5tukHsbeU89cUqsrIj25mrgFmg&amp;html=" TargetMode="External"/><Relationship Id="rId19" Type="http://schemas.openxmlformats.org/officeDocument/2006/relationships/hyperlink" Target="https://mhealth.jmir.org/2026/1/e76245" TargetMode="External"/><Relationship Id="rId752" Type="http://schemas.openxmlformats.org/officeDocument/2006/relationships/hyperlink" Target="https://doi.org/10.1016/j.bspc.2023.105698" TargetMode="External"/><Relationship Id="rId1341" Type="http://schemas.openxmlformats.org/officeDocument/2006/relationships/hyperlink" Target="https://doi.org/10.3390/s21020578" TargetMode="External"/><Relationship Id="rId18" Type="http://schemas.openxmlformats.org/officeDocument/2006/relationships/hyperlink" Target="https://arxiv.org/abs/2606.26093" TargetMode="External"/><Relationship Id="rId751" Type="http://schemas.openxmlformats.org/officeDocument/2006/relationships/hyperlink" Target="https://www.sciencedirect.com/science/article/abs/pii/S174680942301131X" TargetMode="External"/><Relationship Id="rId1342" Type="http://schemas.openxmlformats.org/officeDocument/2006/relationships/hyperlink" Target="https://shop.openbci.com/products/ultracortex-mark-iv" TargetMode="External"/><Relationship Id="rId750" Type="http://schemas.openxmlformats.org/officeDocument/2006/relationships/hyperlink" Target="https://shop.openbci.com/products/cyton-biosensing-board-8-channel" TargetMode="External"/><Relationship Id="rId1343" Type="http://schemas.openxmlformats.org/officeDocument/2006/relationships/hyperlink" Target="https://www.biorxiv.org/content/10.1101/2021.01.27.428396v1" TargetMode="External"/><Relationship Id="rId1344" Type="http://schemas.openxmlformats.org/officeDocument/2006/relationships/hyperlink" Target="https://doi.org/10.1101/2021.01.27.428396" TargetMode="External"/><Relationship Id="rId84" Type="http://schemas.openxmlformats.org/officeDocument/2006/relationships/hyperlink" Target="https://shop.openbci.com/products/cyton-daisy-biosensing-boards-16-channel" TargetMode="External"/><Relationship Id="rId83" Type="http://schemas.openxmlformats.org/officeDocument/2006/relationships/hyperlink" Target="https://ieeexplore.ieee.org/document/11316703/" TargetMode="External"/><Relationship Id="rId86" Type="http://schemas.openxmlformats.org/officeDocument/2006/relationships/hyperlink" Target="https://www.mdpi.com/2075-1729/16/1/114" TargetMode="External"/><Relationship Id="rId85" Type="http://schemas.openxmlformats.org/officeDocument/2006/relationships/hyperlink" Target="https://ieeexplore.ieee.org/document/11338702/" TargetMode="External"/><Relationship Id="rId88" Type="http://schemas.openxmlformats.org/officeDocument/2006/relationships/hyperlink" Target="https://www.tandfonline.com/doi/full/10.1080/15325024.2025.2585079" TargetMode="External"/><Relationship Id="rId87" Type="http://schemas.openxmlformats.org/officeDocument/2006/relationships/hyperlink" Target="https://shop.openbci.com/products/cyton-daisy-biosensing-boards-16-channel" TargetMode="External"/><Relationship Id="rId89" Type="http://schemas.openxmlformats.org/officeDocument/2006/relationships/hyperlink" Target="https://www.mdpi.com/1424-8220/26/2/385" TargetMode="External"/><Relationship Id="rId709" Type="http://schemas.openxmlformats.org/officeDocument/2006/relationships/hyperlink" Target="https://shop.openbci.com/products/cyton-biosensing-board-8-channel" TargetMode="External"/><Relationship Id="rId708" Type="http://schemas.openxmlformats.org/officeDocument/2006/relationships/hyperlink" Target="https://ieeexplore.ieee.org/abstract/document/10390906" TargetMode="External"/><Relationship Id="rId707" Type="http://schemas.openxmlformats.org/officeDocument/2006/relationships/hyperlink" Target="https://shop.openbci.com/products/cyton-biosensing-board-8-channel" TargetMode="External"/><Relationship Id="rId706" Type="http://schemas.openxmlformats.org/officeDocument/2006/relationships/hyperlink" Target="https://opendata.uni-halle.de/bitstream/1981185920/115333/1/Barbazzeni_Beatrice_Dissertation_2023.pdf" TargetMode="External"/><Relationship Id="rId80" Type="http://schemas.openxmlformats.org/officeDocument/2006/relationships/hyperlink" Target="https://link.springer.com/10.1007/s11042-026-21351-1" TargetMode="External"/><Relationship Id="rId82" Type="http://schemas.openxmlformats.org/officeDocument/2006/relationships/hyperlink" Target="https://pubs.acs.org/doi/10.1021/acsami.5c19985" TargetMode="External"/><Relationship Id="rId81" Type="http://schemas.openxmlformats.org/officeDocument/2006/relationships/hyperlink" Target="https://ijeeemi.org/index.php/ijeeemi/article/view/313" TargetMode="External"/><Relationship Id="rId701" Type="http://schemas.openxmlformats.org/officeDocument/2006/relationships/hyperlink" Target="https://shop.openbci.com/products/cyton-biosensing-board-8-channel" TargetMode="External"/><Relationship Id="rId700" Type="http://schemas.openxmlformats.org/officeDocument/2006/relationships/hyperlink" Target="https://ieeexplore.ieee.org/document/10410673?dld=b3BlbmJjaS5jb20%3D&amp;source=SEARCHALERT" TargetMode="External"/><Relationship Id="rId705" Type="http://schemas.openxmlformats.org/officeDocument/2006/relationships/hyperlink" Target="https://shop.openbci.com/products/cyton-biosensing-board-8-channel" TargetMode="External"/><Relationship Id="rId704" Type="http://schemas.openxmlformats.org/officeDocument/2006/relationships/hyperlink" Target="https://s3.amazonaws.com/na-st01.ext.exlibrisgroup.com/01GALI_UGA/storage/alma/62/E4/A0/63/1D/8B/A3/49/73/8B/4E/96/1C/B3/C2/AA/Dissertation_RA__Edit_811722168.pdf?response-content-type=application%2Fpdf&amp;X-Amz-Algorithm=AWS4-HMAC-SHA256&amp;X-Amz-Date=20240202T211838Z&amp;X-Amz-SignedHeaders=host&amp;X-Amz-Expires=119&amp;X-Amz-Credential=AKIAJN6NPMNGJALPPWAQ%2F20240202%2Fus-east-1%2Fs3%2Faws4_request&amp;X-Amz-Signature=1c9cc8a7d4cc28550f71caf0f973a8d88bc2ca0e1f7fd9de660bc85c34caa1e3" TargetMode="External"/><Relationship Id="rId703" Type="http://schemas.openxmlformats.org/officeDocument/2006/relationships/hyperlink" Target="https://shop.openbci.com/products/cyton-biosensing-board-8-channel" TargetMode="External"/><Relationship Id="rId702" Type="http://schemas.openxmlformats.org/officeDocument/2006/relationships/hyperlink" Target="https://dael.euracoustics.org/confs/fa2023/data/articles/000330.pdf" TargetMode="External"/><Relationship Id="rId73" Type="http://schemas.openxmlformats.org/officeDocument/2006/relationships/hyperlink" Target="https://www.mdpi.com/1424-8220/26/4/1153" TargetMode="External"/><Relationship Id="rId72" Type="http://schemas.openxmlformats.org/officeDocument/2006/relationships/hyperlink" Target="https://www.mdpi.com/1424-8220/26/4/1269" TargetMode="External"/><Relationship Id="rId75" Type="http://schemas.openxmlformats.org/officeDocument/2006/relationships/hyperlink" Target="http://biorxiv.org/lookup/doi/10.64898/2026.02.10.704620" TargetMode="External"/><Relationship Id="rId74" Type="http://schemas.openxmlformats.org/officeDocument/2006/relationships/hyperlink" Target="https://onlinelibrary.wiley.com/doi/10.1002/9781394336166.ch27" TargetMode="External"/><Relationship Id="rId77" Type="http://schemas.openxmlformats.org/officeDocument/2006/relationships/hyperlink" Target="https://iopscience.iop.org/article/10.1088/1741-2552/ae4271" TargetMode="External"/><Relationship Id="rId76" Type="http://schemas.openxmlformats.org/officeDocument/2006/relationships/hyperlink" Target="https://www.worldscientific.com/doi/10.1142/S0218001426590081" TargetMode="External"/><Relationship Id="rId79" Type="http://schemas.openxmlformats.org/officeDocument/2006/relationships/hyperlink" Target="https://shop.openbci.com/products/cyton-daisy-biosensing-boards-16-channel" TargetMode="External"/><Relationship Id="rId78" Type="http://schemas.openxmlformats.org/officeDocument/2006/relationships/hyperlink" Target="https://www.mdpi.com/2306-5354/13/2/152" TargetMode="External"/><Relationship Id="rId71" Type="http://schemas.openxmlformats.org/officeDocument/2006/relationships/hyperlink" Target="https://www.nature.com/articles/s41598-026-39904-7" TargetMode="External"/><Relationship Id="rId70" Type="http://schemas.openxmlformats.org/officeDocument/2006/relationships/hyperlink" Target="https://shop.openbci.com/products/cyton-daisy-biosensing-boards-16-channel" TargetMode="External"/><Relationship Id="rId62" Type="http://schemas.openxmlformats.org/officeDocument/2006/relationships/hyperlink" Target="https://iopscience.iop.org/article/10.1088/1361-665X/ae4aec" TargetMode="External"/><Relationship Id="rId1312" Type="http://schemas.openxmlformats.org/officeDocument/2006/relationships/hyperlink" Target="https://shop.openbci.com/products/cyton-daisy-biosensing-boards-16-channel" TargetMode="External"/><Relationship Id="rId61" Type="http://schemas.openxmlformats.org/officeDocument/2006/relationships/hyperlink" Target="https://shop.openbci.com/products/cyton-daisy-biosensing-boards-16-channel" TargetMode="External"/><Relationship Id="rId1313" Type="http://schemas.openxmlformats.org/officeDocument/2006/relationships/hyperlink" Target="https://shop.openbci.com/products/ultracortex-mark-iv" TargetMode="External"/><Relationship Id="rId64" Type="http://schemas.openxmlformats.org/officeDocument/2006/relationships/hyperlink" Target="https://www.spiedigitallibrary.org/conference-proceedings-of-spie/14114/3096307/Video-game-driven-EEG-signal-classification-for-rehabilitation-applications-using/10.1117/12.3096307.full" TargetMode="External"/><Relationship Id="rId1314" Type="http://schemas.openxmlformats.org/officeDocument/2006/relationships/hyperlink" Target="https://ieeexplore.ieee.org/abstract/document/9399605" TargetMode="External"/><Relationship Id="rId63" Type="http://schemas.openxmlformats.org/officeDocument/2006/relationships/hyperlink" Target="https://shop.openbci.com/products/cyton-daisy-biosensing-boards-16-channel" TargetMode="External"/><Relationship Id="rId1315" Type="http://schemas.openxmlformats.org/officeDocument/2006/relationships/hyperlink" Target="https://doi.org/10.1109/ICITIIT51526.2021.9399605" TargetMode="External"/><Relationship Id="rId66" Type="http://schemas.openxmlformats.org/officeDocument/2006/relationships/hyperlink" Target="https://arxiv.org/abs/2602.20041" TargetMode="External"/><Relationship Id="rId1316" Type="http://schemas.openxmlformats.org/officeDocument/2006/relationships/hyperlink" Target="https://shop.openbci.com/products/ultracortex-mark-iv" TargetMode="External"/><Relationship Id="rId65" Type="http://schemas.openxmlformats.org/officeDocument/2006/relationships/hyperlink" Target="https://shop.openbci.com/products/cyton-daisy-biosensing-boards-16-channel" TargetMode="External"/><Relationship Id="rId1317" Type="http://schemas.openxmlformats.org/officeDocument/2006/relationships/hyperlink" Target="https://link.springer.com/content/pdf/10.1007/978-981-33-4084-8.pdf" TargetMode="External"/><Relationship Id="rId68" Type="http://schemas.openxmlformats.org/officeDocument/2006/relationships/hyperlink" Target="https://shop.openbci.com/products/cyton-daisy-biosensing-boards-16-channel" TargetMode="External"/><Relationship Id="rId1318" Type="http://schemas.openxmlformats.org/officeDocument/2006/relationships/hyperlink" Target="https://shop.openbci.com/products/cyton-daisy-biosensing-boards-16-channel" TargetMode="External"/><Relationship Id="rId67" Type="http://schemas.openxmlformats.org/officeDocument/2006/relationships/hyperlink" Target="https://linkinghub.elsevier.com/retrieve/pii/S2215016126000385" TargetMode="External"/><Relationship Id="rId1319" Type="http://schemas.openxmlformats.org/officeDocument/2006/relationships/hyperlink" Target="https://shop.openbci.com/products/ultracortex-mark-iv" TargetMode="External"/><Relationship Id="rId729" Type="http://schemas.openxmlformats.org/officeDocument/2006/relationships/hyperlink" Target="https://shop.openbci.com/products/cyton-daisy-biosensing-boards-16-channel" TargetMode="External"/><Relationship Id="rId728" Type="http://schemas.openxmlformats.org/officeDocument/2006/relationships/hyperlink" Target="https://ieeexplore.ieee.org/abstract/document/10354583" TargetMode="External"/><Relationship Id="rId60" Type="http://schemas.openxmlformats.org/officeDocument/2006/relationships/hyperlink" Target="https://arxiv.org/abs/2602.23862" TargetMode="External"/><Relationship Id="rId723" Type="http://schemas.openxmlformats.org/officeDocument/2006/relationships/hyperlink" Target="https://link.springer.com/chapter/10.1007/978-3-031-49425-3_3" TargetMode="External"/><Relationship Id="rId722" Type="http://schemas.openxmlformats.org/officeDocument/2006/relationships/hyperlink" Target="https://shop.openbci.com/products/cyton-biosensing-board-8-channel" TargetMode="External"/><Relationship Id="rId721" Type="http://schemas.openxmlformats.org/officeDocument/2006/relationships/hyperlink" Target="https://www.theseus.fi/bitstream/handle/10024/816735/Muqun_Yu.pdf?sequence=2" TargetMode="External"/><Relationship Id="rId720" Type="http://schemas.openxmlformats.org/officeDocument/2006/relationships/hyperlink" Target="https://shop.openbci.com/products/cyton-biosensing-board-8-channel" TargetMode="External"/><Relationship Id="rId727" Type="http://schemas.openxmlformats.org/officeDocument/2006/relationships/hyperlink" Target="https://shop.openbci.com/products/cyton-biosensing-board-8-channel" TargetMode="External"/><Relationship Id="rId726" Type="http://schemas.openxmlformats.org/officeDocument/2006/relationships/hyperlink" Target="https://scholar.google.com/scholar_url?url=https://www.preprints.org/manuscript/202312.1529/download/final_file&amp;hl=en&amp;sa=X&amp;d=1766519112628300706&amp;ei=r--GZcC_ILCs6rQPwPCN-Ag&amp;scisig=AFWwaeZavk62smeCQ1b2pW6bnkvU&amp;oi=scholaralrt&amp;hist=8WBGhdYAAAAJ:5437843588291773220:AFWwaebmzrq9zPN1CYXQ5l-OkEG-&amp;html=&amp;pos=2&amp;folt=kw" TargetMode="External"/><Relationship Id="rId725" Type="http://schemas.openxmlformats.org/officeDocument/2006/relationships/hyperlink" Target="https://shop.openbci.com/products/cyton-biosensing-board-8-channel" TargetMode="External"/><Relationship Id="rId724" Type="http://schemas.openxmlformats.org/officeDocument/2006/relationships/hyperlink" Target="https://doi.org/10.1007/978-3-031-49425-3_3" TargetMode="External"/><Relationship Id="rId69" Type="http://schemas.openxmlformats.org/officeDocument/2006/relationships/hyperlink" Target="https://dergipark.org.tr/tr/doi/10.35414/akufemubid.1711013" TargetMode="External"/><Relationship Id="rId1310" Type="http://schemas.openxmlformats.org/officeDocument/2006/relationships/hyperlink" Target="https://www.sciencedirect.com/science/article/pii/S2405844021012512" TargetMode="External"/><Relationship Id="rId1311" Type="http://schemas.openxmlformats.org/officeDocument/2006/relationships/hyperlink" Target="https://doi.org/10.1016/j.heliyon.2021.e07148" TargetMode="External"/><Relationship Id="rId51" Type="http://schemas.openxmlformats.org/officeDocument/2006/relationships/hyperlink" Target="https://shop.openbci.com/products/cyton-daisy-biosensing-boards-16-channel" TargetMode="External"/><Relationship Id="rId1301" Type="http://schemas.openxmlformats.org/officeDocument/2006/relationships/hyperlink" Target="https://shop.openbci.com/collections/frontpage/products/openbci-eeg-electrocap?variant=16456881766472" TargetMode="External"/><Relationship Id="rId50" Type="http://schemas.openxmlformats.org/officeDocument/2006/relationships/hyperlink" Target="https://arxiv.org/abs/2603.10680" TargetMode="External"/><Relationship Id="rId1302" Type="http://schemas.openxmlformats.org/officeDocument/2006/relationships/hyperlink" Target="https://dl.acm.org/doi/abs/10.1145/3411763.3451583" TargetMode="External"/><Relationship Id="rId53" Type="http://schemas.openxmlformats.org/officeDocument/2006/relationships/hyperlink" Target="https://shop.openbci.com/products/cyton-daisy-biosensing-boards-16-channel" TargetMode="External"/><Relationship Id="rId1303" Type="http://schemas.openxmlformats.org/officeDocument/2006/relationships/hyperlink" Target="https://doi.org/10.1145/3411763.3451583" TargetMode="External"/><Relationship Id="rId52" Type="http://schemas.openxmlformats.org/officeDocument/2006/relationships/hyperlink" Target="https://www.mdpi.com/2673-4591/128/1/20" TargetMode="External"/><Relationship Id="rId1304" Type="http://schemas.openxmlformats.org/officeDocument/2006/relationships/hyperlink" Target="http://www.ieomsociety.org/imeom/167.pdf" TargetMode="External"/><Relationship Id="rId55" Type="http://schemas.openxmlformats.org/officeDocument/2006/relationships/hyperlink" Target="https://zenodo.org/doi/10.5281/zenodo.18081032" TargetMode="External"/><Relationship Id="rId1305" Type="http://schemas.openxmlformats.org/officeDocument/2006/relationships/hyperlink" Target="https://www.mdpi.com/2075-1729/11/5/378" TargetMode="External"/><Relationship Id="rId54" Type="http://schemas.openxmlformats.org/officeDocument/2006/relationships/hyperlink" Target="https://dl.acm.org/doi/10.1145/3731459.3773332" TargetMode="External"/><Relationship Id="rId1306" Type="http://schemas.openxmlformats.org/officeDocument/2006/relationships/hyperlink" Target="https://doi.org/10.3390/life11050378" TargetMode="External"/><Relationship Id="rId57" Type="http://schemas.openxmlformats.org/officeDocument/2006/relationships/hyperlink" Target="https://link.springer.com/10.1007/s10916-026-02357-6" TargetMode="External"/><Relationship Id="rId1307" Type="http://schemas.openxmlformats.org/officeDocument/2006/relationships/hyperlink" Target="https://link.springer.com/chapter/10.1007/978-3-030-72657-7_42" TargetMode="External"/><Relationship Id="rId56" Type="http://schemas.openxmlformats.org/officeDocument/2006/relationships/hyperlink" Target="https://arxiv.org/abs/2603.02847" TargetMode="External"/><Relationship Id="rId1308" Type="http://schemas.openxmlformats.org/officeDocument/2006/relationships/hyperlink" Target="https://doi.org/10.1007/978-3-030-72657-7_42" TargetMode="External"/><Relationship Id="rId1309" Type="http://schemas.openxmlformats.org/officeDocument/2006/relationships/hyperlink" Target="https://www.davismedical.com/Products/Kendall-Medi-Trace-Mini-130-Foam-ECG-Electrode-CASE600__KDS-STR-31112496.aspx" TargetMode="External"/><Relationship Id="rId719" Type="http://schemas.openxmlformats.org/officeDocument/2006/relationships/hyperlink" Target="https://doi.org/10.2478/joeb-2023-0009" TargetMode="External"/><Relationship Id="rId718" Type="http://schemas.openxmlformats.org/officeDocument/2006/relationships/hyperlink" Target="https://sciendo.com/article/10.2478/joeb-2023-0009" TargetMode="External"/><Relationship Id="rId717" Type="http://schemas.openxmlformats.org/officeDocument/2006/relationships/hyperlink" Target="https://shop.openbci.com/products/cyton-daisy-biosensing-boards-16-channel" TargetMode="External"/><Relationship Id="rId712" Type="http://schemas.openxmlformats.org/officeDocument/2006/relationships/hyperlink" Target="https://shop.openbci.com/products/cyton-biosensing-board-8-channel" TargetMode="External"/><Relationship Id="rId711" Type="http://schemas.openxmlformats.org/officeDocument/2006/relationships/hyperlink" Target="https://cepdnaclk.github.io/e17-4yp-Human-Emotion-Detection-with-Electrocardiographic--Electroencephelographic-and-Other-Signals/public/Pera___emotion_data_collection.pdf" TargetMode="External"/><Relationship Id="rId710" Type="http://schemas.openxmlformats.org/officeDocument/2006/relationships/hyperlink" Target="https://shop.openbci.com/products/ultracortex-mark-iv" TargetMode="External"/><Relationship Id="rId716" Type="http://schemas.openxmlformats.org/officeDocument/2006/relationships/hyperlink" Target="https://ieeexplore.ieee.org/abstract/document/10364501" TargetMode="External"/><Relationship Id="rId715" Type="http://schemas.openxmlformats.org/officeDocument/2006/relationships/hyperlink" Target="https://shop.openbci.com/products/cyton-biosensing-board-8-channel" TargetMode="External"/><Relationship Id="rId714" Type="http://schemas.openxmlformats.org/officeDocument/2006/relationships/hyperlink" Target="https://doi.org/10.14445/22315381/IJETT-V70I12P225" TargetMode="External"/><Relationship Id="rId713" Type="http://schemas.openxmlformats.org/officeDocument/2006/relationships/hyperlink" Target="https://www.researchgate.net/profile/Muhammad-Nur-Farhan-Saniman/publication/366629678_Evaluation_of_Misclassification_Matrix_Method_in_Validation_of_an_Assistive_Device_for_Manual_Wheelchair_Propulsion/links/63d7868a62d2a24f92dd3fe9/Evaluation-of-Misclassification-Matrix-Method-in-Validation-of-an-Assistive-Device-for-Manual-Wheelchair-Propulsion.pdf" TargetMode="External"/><Relationship Id="rId59" Type="http://schemas.openxmlformats.org/officeDocument/2006/relationships/hyperlink" Target="https://shop.openbci.com/products/cyton-daisy-biosensing-boards-16-channel" TargetMode="External"/><Relationship Id="rId58" Type="http://schemas.openxmlformats.org/officeDocument/2006/relationships/hyperlink" Target="https://ieeexplore.ieee.org/document/11420897/" TargetMode="External"/><Relationship Id="rId1300" Type="http://schemas.openxmlformats.org/officeDocument/2006/relationships/hyperlink" Target="https://shop.openbci.com/products/cyton-daisy-biosensing-boards-16-channel" TargetMode="External"/><Relationship Id="rId349" Type="http://schemas.openxmlformats.org/officeDocument/2006/relationships/hyperlink" Target="https://scholar.google.com/scholar_url?url=https://advanced.onlinelibrary.wiley.com/doi/pdf/10.1002/admt.202401193&amp;hl=en&amp;sa=X&amp;d=16228187293792314233&amp;ei=_hBsZ_yDAsKM6rQP6_3j2Ao&amp;scisig=AFWwaeaQ4UlHNq6HsUt_2ev8J3TE&amp;oi=scholaralrt&amp;hist=8WBGhdYAAAAJ:5437843588291773220:AFWwaebmzrq9zPN1CYXQ5l-OkEG-&amp;html=&amp;pos=0&amp;folt=kw" TargetMode="External"/><Relationship Id="rId348" Type="http://schemas.openxmlformats.org/officeDocument/2006/relationships/hyperlink" Target="https://shop.openbci.com/products/cyton-biosensing-board-8-channel" TargetMode="External"/><Relationship Id="rId347" Type="http://schemas.openxmlformats.org/officeDocument/2006/relationships/hyperlink" Target="https://scholar.google.com/scholar_url?url=https://ieeexplore.ieee.org/abstract/document/10805747/&amp;hl=en&amp;sa=X&amp;d=4645206465876728450&amp;ei=Tj9xZ4uhF4qay9YP7vuXyQg&amp;scisig=AFWwaeb1_f_MHmVHvYyCDx3IhZGh&amp;oi=scholaralrt&amp;hist=8WBGhdYAAAAJ:5437843588291773220:AFWwaebmzrq9zPN1CYXQ5l-OkEG-&amp;html=&amp;pos=0&amp;folt=kw" TargetMode="External"/><Relationship Id="rId346" Type="http://schemas.openxmlformats.org/officeDocument/2006/relationships/hyperlink" Target="https://shop.openbci.com/products/cyton-biosensing-board-8-channel" TargetMode="External"/><Relationship Id="rId341" Type="http://schemas.openxmlformats.org/officeDocument/2006/relationships/hyperlink" Target="https://scholar.google.com/scholar_url?url=https://iopscience.iop.org/article/10.1088/1741-2552/ada4de/pdf&amp;hl=en&amp;sa=X&amp;d=1143076876349024365&amp;ei=ZVp6Z4a7H5OW6rQP3-rzuQM&amp;scisig=AFWwaeaNbeC4RyZKFdd1Iz4AWooq&amp;oi=scholaralrt&amp;hist=8WBGhdYAAAAJ:5437843588291773220:AFWwaebmzrq9zPN1CYXQ5l-OkEG-&amp;html=&amp;pos=0&amp;folt=kw" TargetMode="External"/><Relationship Id="rId340" Type="http://schemas.openxmlformats.org/officeDocument/2006/relationships/hyperlink" Target="https://shop.openbci.com/products/cyton-biosensing-board-8-channel" TargetMode="External"/><Relationship Id="rId345" Type="http://schemas.openxmlformats.org/officeDocument/2006/relationships/hyperlink" Target="https://doi.org/10.1038/s41539-024-00294-y" TargetMode="External"/><Relationship Id="rId344" Type="http://schemas.openxmlformats.org/officeDocument/2006/relationships/hyperlink" Target="https://scholar.google.com/scholar_url?url=https://www.nature.com/articles/s41539-024-00294-y&amp;hl=en&amp;sa=X&amp;d=13030632392103648732&amp;ei=ih91Z8_yKZOW6rQP3-rzuQM&amp;scisig=AFWwaeZnaks68xwREhdPvkLTQO6k&amp;oi=scholaralrt&amp;hist=8WBGhdYAAAAJ:5437843588291773220:AFWwaebmzrq9zPN1CYXQ5l-OkEG-&amp;html=&amp;pos=0&amp;folt=kw" TargetMode="External"/><Relationship Id="rId343" Type="http://schemas.openxmlformats.org/officeDocument/2006/relationships/hyperlink" Target="https://shop.openbci.com/products/cyton-biosensing-board-8-channel" TargetMode="External"/><Relationship Id="rId342" Type="http://schemas.openxmlformats.org/officeDocument/2006/relationships/hyperlink" Target="https://doi.org/10.1088/1741-2552/ada4de" TargetMode="External"/><Relationship Id="rId338" Type="http://schemas.openxmlformats.org/officeDocument/2006/relationships/hyperlink" Target="https://bmcgeriatr.biomedcentral.com/articles/10.1186/s12877-024-05421-3" TargetMode="External"/><Relationship Id="rId337" Type="http://schemas.openxmlformats.org/officeDocument/2006/relationships/hyperlink" Target="https://shop.openbci.com/products/cyton-biosensing-board-8-channel" TargetMode="External"/><Relationship Id="rId336" Type="http://schemas.openxmlformats.org/officeDocument/2006/relationships/hyperlink" Target="https://doi.org/10.26583/sv.16.4.02" TargetMode="External"/><Relationship Id="rId335" Type="http://schemas.openxmlformats.org/officeDocument/2006/relationships/hyperlink" Target="https://scholar.google.com/scholar_url?url=https://sv-journal.org/2024-4/02/en.pdf&amp;hl=en&amp;sa=X&amp;d=9301085894881901819&amp;ei=-LV7Z8zaF4qay9YP7vuXyQg&amp;scisig=AFWwaeYabZlRfggAZxeoilgEn1gr&amp;oi=scholaralrt&amp;hist=8WBGhdYAAAAJ:5437843588291773220:AFWwaebmzrq9zPN1CYXQ5l-OkEG-&amp;html=&amp;pos=0&amp;folt=kw" TargetMode="External"/><Relationship Id="rId339" Type="http://schemas.openxmlformats.org/officeDocument/2006/relationships/hyperlink" Target="https://doi.org/10.1186/s12877-024-05421-3" TargetMode="External"/><Relationship Id="rId330" Type="http://schemas.openxmlformats.org/officeDocument/2006/relationships/hyperlink" Target="https://scholar.google.com/scholar_url?url=https://www.sciencedirect.com/science/article/pii/S1550830725000059&amp;hl=en&amp;sa=X&amp;d=5013894352339868070&amp;ei=pOyEZ_O_OLO5y9YPw734iAo&amp;scisig=AFWwaebyI-8nUdrfVV-FJ0ib7ISq&amp;oi=scholaralrt&amp;hist=8WBGhdYAAAAJ:5437843588291773220:AFWwaebmzrq9zPN1CYXQ5l-OkEG-&amp;html=&amp;pos=0&amp;folt=kw" TargetMode="External"/><Relationship Id="rId334" Type="http://schemas.openxmlformats.org/officeDocument/2006/relationships/hyperlink" Target="https://shop.openbci.com/products/cyton-biosensing-board-8-channel" TargetMode="External"/><Relationship Id="rId333" Type="http://schemas.openxmlformats.org/officeDocument/2006/relationships/hyperlink" Target="https://scholar.google.com/scholar_url?url=https://www.ascspublications.org/wp-content/uploads/woocommerce_uploads/2024/12/Jbins3Vol.Issue1_12_30_2024.pdf&amp;hl=en&amp;sa=X&amp;d=16576539562819622197&amp;ei=dpaDZ77zD8qP6rQP6LbOiQ4&amp;scisig=AFWwaeZwUFy-cLfcxEuehYvt068p&amp;oi=scholaralrt&amp;hist=8WBGhdYAAAAJ:5437843588291773220:AFWwaebmzrq9zPN1CYXQ5l-OkEG-&amp;html=&amp;pos=0&amp;folt=kw" TargetMode="External"/><Relationship Id="rId332" Type="http://schemas.openxmlformats.org/officeDocument/2006/relationships/hyperlink" Target="https://shop.openbci.com/products/cyton-biosensing-board-8-channel" TargetMode="External"/><Relationship Id="rId331" Type="http://schemas.openxmlformats.org/officeDocument/2006/relationships/hyperlink" Target="https://doi.org/10.1016/j.explore.2025.103114." TargetMode="External"/><Relationship Id="rId370" Type="http://schemas.openxmlformats.org/officeDocument/2006/relationships/hyperlink" Target="https://www.researchgate.net/publication/385389496_Brain-Computer_Interfaces_for_Mobility_Assistance_A_Comparative_Analysis_of_EEG-Based_Classification_Models_for_Brain-Controlled_Wheelchairs" TargetMode="External"/><Relationship Id="rId369" Type="http://schemas.openxmlformats.org/officeDocument/2006/relationships/hyperlink" Target="https://shop.openbci.com/products/cyton-biosensing-board-8-channel" TargetMode="External"/><Relationship Id="rId368" Type="http://schemas.openxmlformats.org/officeDocument/2006/relationships/hyperlink" Target="https://scholar.google.com/scholar_url?url=https://ieeexplore.ieee.org/abstract/document/10780287/&amp;hl=en&amp;sa=X&amp;d=5764204531683563830&amp;ei=HuVfZ_OHBvuh6rQP5JSQeA&amp;scisig=AFWwaeZ7QWtdU9_QWDawckU2LaBb&amp;oi=scholaralrt&amp;hist=8WBGhdYAAAAJ:5437843588291773220:AFWwaebmzrq9zPN1CYXQ5l-OkEG-&amp;html=&amp;pos=1&amp;folt=kw" TargetMode="External"/><Relationship Id="rId363" Type="http://schemas.openxmlformats.org/officeDocument/2006/relationships/hyperlink" Target="https://scholar.google.com/scholar_url?url=https://www.oaepublish.com/articles/ss.2024.37&amp;hl=en&amp;sa=X&amp;d=79722595285441925&amp;ei=mMtiZ6z5HKaay9YPqpXKyAo&amp;scisig=AFWwaeYMhHIfbuw3lwesinzJFAEO&amp;oi=scholaralrt&amp;hist=8WBGhdYAAAAJ:5437843588291773220:AFWwaebmzrq9zPN1CYXQ5l-OkEG-&amp;html=&amp;pos=0&amp;folt=kw" TargetMode="External"/><Relationship Id="rId362" Type="http://schemas.openxmlformats.org/officeDocument/2006/relationships/hyperlink" Target="https://shop.openbci.com/products/cyton-biosensing-board-8-channel" TargetMode="External"/><Relationship Id="rId361" Type="http://schemas.openxmlformats.org/officeDocument/2006/relationships/hyperlink" Target="https://scholar.google.com/scholar_url?url=https://ieeexplore.ieee.org/abstract/document/10792829/&amp;hl=en&amp;sa=X&amp;d=10483412049418670335&amp;ei=3pVlZ5WcMYCX6rQPjNn28Q0&amp;scisig=AFWwaebH4nK-Dz8WgR-nuIzUN8Uu&amp;oi=scholaralrt&amp;hist=8WBGhdYAAAAJ:5437843588291773220:AFWwaebmzrq9zPN1CYXQ5l-OkEG-&amp;html=&amp;pos=0&amp;folt=kw" TargetMode="External"/><Relationship Id="rId360" Type="http://schemas.openxmlformats.org/officeDocument/2006/relationships/hyperlink" Target="https://shop.openbci.com/products/cyton-biosensing-board-8-channel" TargetMode="External"/><Relationship Id="rId367" Type="http://schemas.openxmlformats.org/officeDocument/2006/relationships/hyperlink" Target="https://shop.openbci.com/products/cyton-biosensing-board-8-channel" TargetMode="External"/><Relationship Id="rId366" Type="http://schemas.openxmlformats.org/officeDocument/2006/relationships/hyperlink" Target="https://scholar.google.com/scholar_url?url=https://ieeexplore.ieee.org/abstract/document/10784772/&amp;hl=en&amp;sa=X&amp;d=9670495188076322322&amp;ei=HuVfZ_OHBvuh6rQP5JSQeA&amp;scisig=AFWwaeaACSUd5Wesu1G5aIr2-QK0&amp;oi=scholaralrt&amp;hist=8WBGhdYAAAAJ:5437843588291773220:AFWwaebmzrq9zPN1CYXQ5l-OkEG-&amp;html=&amp;pos=3&amp;folt=kw" TargetMode="External"/><Relationship Id="rId365" Type="http://schemas.openxmlformats.org/officeDocument/2006/relationships/hyperlink" Target="https://shop.openbci.com/products/cyton-biosensing-board-8-channel" TargetMode="External"/><Relationship Id="rId364" Type="http://schemas.openxmlformats.org/officeDocument/2006/relationships/hyperlink" Target="http://dx.doi.org/10.20517/ss.2024.37" TargetMode="External"/><Relationship Id="rId95" Type="http://schemas.openxmlformats.org/officeDocument/2006/relationships/hyperlink" Target="https://ieeexplore.ieee.org/document/11284651/" TargetMode="External"/><Relationship Id="rId94" Type="http://schemas.openxmlformats.org/officeDocument/2006/relationships/hyperlink" Target="https://alz-journals.onlinelibrary.wiley.com/doi/10.1002/alz70863_110642" TargetMode="External"/><Relationship Id="rId97" Type="http://schemas.openxmlformats.org/officeDocument/2006/relationships/hyperlink" Target="https://linkinghub.elsevier.com/retrieve/pii/S2590291125010575" TargetMode="External"/><Relationship Id="rId96" Type="http://schemas.openxmlformats.org/officeDocument/2006/relationships/hyperlink" Target="https://shop.openbci.com/products/cyton-daisy-biosensing-boards-16-channel" TargetMode="External"/><Relationship Id="rId99" Type="http://schemas.openxmlformats.org/officeDocument/2006/relationships/hyperlink" Target="https://onlinelibrary.wiley.com/doi/10.1002/app.70163" TargetMode="External"/><Relationship Id="rId98" Type="http://schemas.openxmlformats.org/officeDocument/2006/relationships/hyperlink" Target="https://dl.acm.org/doi/10.1145/3770501.3770523" TargetMode="External"/><Relationship Id="rId91" Type="http://schemas.openxmlformats.org/officeDocument/2006/relationships/hyperlink" Target="https://cst.kipmi.or.id/journal/article/view/1737" TargetMode="External"/><Relationship Id="rId90" Type="http://schemas.openxmlformats.org/officeDocument/2006/relationships/hyperlink" Target="https://cst.kipmi.or.id/journal/article/view/1758" TargetMode="External"/><Relationship Id="rId93" Type="http://schemas.openxmlformats.org/officeDocument/2006/relationships/hyperlink" Target="https://linkinghub.elsevier.com/retrieve/pii/S092442472501252X" TargetMode="External"/><Relationship Id="rId92" Type="http://schemas.openxmlformats.org/officeDocument/2006/relationships/hyperlink" Target="https://shop.openbci.com/products/cyton-daisy-biosensing-boards-16-channel" TargetMode="External"/><Relationship Id="rId359" Type="http://schemas.openxmlformats.org/officeDocument/2006/relationships/hyperlink" Target="https://doi.org/10.32397/tesea.vol5.n2.579" TargetMode="External"/><Relationship Id="rId358" Type="http://schemas.openxmlformats.org/officeDocument/2006/relationships/hyperlink" Target="https://scholar.google.com/scholar_url?url=https://revistas.utb.edu.co/tesea/article/download/579/433&amp;hl=en&amp;sa=X&amp;d=10056253333484240099&amp;ei=3pVlZ5WcMYCX6rQPjNn28Q0&amp;scisig=AFWwaeZNKhLuJfhv2-n7unnOKoJE&amp;oi=scholaralrt&amp;hist=8WBGhdYAAAAJ:5437843588291773220:AFWwaebmzrq9zPN1CYXQ5l-OkEG-&amp;html=&amp;pos=1&amp;folt=kw" TargetMode="External"/><Relationship Id="rId357" Type="http://schemas.openxmlformats.org/officeDocument/2006/relationships/hyperlink" Target="https://shop.openbci.com/products/cyton-biosensing-board-8-channel" TargetMode="External"/><Relationship Id="rId352" Type="http://schemas.openxmlformats.org/officeDocument/2006/relationships/hyperlink" Target="https://shop.openbci.com/products/cyton-biosensing-board-8-channel" TargetMode="External"/><Relationship Id="rId351" Type="http://schemas.openxmlformats.org/officeDocument/2006/relationships/hyperlink" Target="https://scholar.google.com/scholar_url?url=https://books.google.com/books%3Fhl%3Den%26lr%3Dlang_en%26id%3DHFE5EQAAQBAJ%26oi%3Dfnd%26pg%3DPA311%26dq%3Dopenbci%26ots%3Do7oYcEpyHj%26sig%3DE6_NFfL8JPFm_93RIq945OSr1NY&amp;hl=en&amp;sa=X&amp;d=15063764172652316495&amp;ei=TF5oZ4eMGcKM6rQP6_3j2Ao&amp;scisig=AFWwaeYC7o_Y9BWv9Zqh8B8g8vc2&amp;oi=scholaralrt&amp;hist=8WBGhdYAAAAJ:5437843588291773220:AFWwaebmzrq9zPN1CYXQ5l-OkEG-&amp;html=&amp;pos=3&amp;folt=kw" TargetMode="External"/><Relationship Id="rId350" Type="http://schemas.openxmlformats.org/officeDocument/2006/relationships/hyperlink" Target="https://shop.openbci.com/products/cyton-biosensing-board-8-channel" TargetMode="External"/><Relationship Id="rId356" Type="http://schemas.openxmlformats.org/officeDocument/2006/relationships/hyperlink" Target="https://doi.org/10.21203/rs.3.rs-5655250/v1" TargetMode="External"/><Relationship Id="rId355" Type="http://schemas.openxmlformats.org/officeDocument/2006/relationships/hyperlink" Target="https://scholar.google.com/scholar_url?url=https://www.researchsquare.com/article/rs-5655250/latest.pdf&amp;hl=en&amp;sa=X&amp;d=4145350129779656241&amp;ei=TF5oZ8y1HYCX6rQPjNn28Q0&amp;scisig=AFWwaeYHkoOvC8JOmE5FR83RA2m5&amp;oi=scholaralrt&amp;hist=8WBGhdYAAAAJ:15302681845162797931:AFWwaeb_A56JmNpp1X3JC5DUfQEA&amp;html=&amp;pos=0&amp;folt=kw" TargetMode="External"/><Relationship Id="rId354" Type="http://schemas.openxmlformats.org/officeDocument/2006/relationships/hyperlink" Target="https://shop.openbci.com/products/cyton-daisy-biosensing-boards-16-channel" TargetMode="External"/><Relationship Id="rId353" Type="http://schemas.openxmlformats.org/officeDocument/2006/relationships/hyperlink" Target="https://arxiv.org/pdf/2412.14185" TargetMode="External"/><Relationship Id="rId1378" Type="http://schemas.openxmlformats.org/officeDocument/2006/relationships/hyperlink" Target="https://doi.org/10.1109/ICCSS51193.2021.9464220" TargetMode="External"/><Relationship Id="rId1379" Type="http://schemas.openxmlformats.org/officeDocument/2006/relationships/hyperlink" Target="https://ieeexplore.ieee.org/author/37086826056" TargetMode="External"/><Relationship Id="rId305" Type="http://schemas.openxmlformats.org/officeDocument/2006/relationships/hyperlink" Target="https://doi.org/10.48550/arXiv.2501.19217" TargetMode="External"/><Relationship Id="rId789" Type="http://schemas.openxmlformats.org/officeDocument/2006/relationships/hyperlink" Target="https://shop.openbci.com/products/ultracortex-mark-iv" TargetMode="External"/><Relationship Id="rId304" Type="http://schemas.openxmlformats.org/officeDocument/2006/relationships/hyperlink" Target="https://arxiv.org/abs/2501.19217" TargetMode="External"/><Relationship Id="rId788" Type="http://schemas.openxmlformats.org/officeDocument/2006/relationships/hyperlink" Target="https://shop.openbci.com/products/cyton-daisy-biosensing-boards-16-channel" TargetMode="External"/><Relationship Id="rId303" Type="http://schemas.openxmlformats.org/officeDocument/2006/relationships/hyperlink" Target="https://shop.openbci.com/products/cyton-biosensing-board-8-channel" TargetMode="External"/><Relationship Id="rId787" Type="http://schemas.openxmlformats.org/officeDocument/2006/relationships/hyperlink" Target="https://doi.org/10.1007/s41233-023-00062-7" TargetMode="External"/><Relationship Id="rId302" Type="http://schemas.openxmlformats.org/officeDocument/2006/relationships/hyperlink" Target="https://iieta.org/journals/isi/paper/10.18280/isi.300113" TargetMode="External"/><Relationship Id="rId786" Type="http://schemas.openxmlformats.org/officeDocument/2006/relationships/hyperlink" Target="https://link.springer.com/article/10.1007/s41233-023-00062-7" TargetMode="External"/><Relationship Id="rId309" Type="http://schemas.openxmlformats.org/officeDocument/2006/relationships/hyperlink" Target="https://shop.openbci.com/products/cyton-daisy-biosensing-boards-16-channel" TargetMode="External"/><Relationship Id="rId308" Type="http://schemas.openxmlformats.org/officeDocument/2006/relationships/hyperlink" Target="https://doi.org/10.1109/ICAIC63015.2025.10849081" TargetMode="External"/><Relationship Id="rId307" Type="http://schemas.openxmlformats.org/officeDocument/2006/relationships/hyperlink" Target="https://ieeexplore.ieee.org/document/10849081/" TargetMode="External"/><Relationship Id="rId306" Type="http://schemas.openxmlformats.org/officeDocument/2006/relationships/hyperlink" Target="https://shop.openbci.com/products/cyton-biosensing-board-8-channel" TargetMode="External"/><Relationship Id="rId781" Type="http://schemas.openxmlformats.org/officeDocument/2006/relationships/hyperlink" Target="https://www.proquest.com/openview/7b451655dc56a17a5bbd653e585397d3/1?pq-origsite=gscholar&amp;cbl=18750&amp;diss=y" TargetMode="External"/><Relationship Id="rId1370" Type="http://schemas.openxmlformats.org/officeDocument/2006/relationships/hyperlink" Target="https://ieeexplore.ieee.org/author/37088840428" TargetMode="External"/><Relationship Id="rId780" Type="http://schemas.openxmlformats.org/officeDocument/2006/relationships/hyperlink" Target="https://shop.openbci.com/products/cyton-biosensing-board-8-channel" TargetMode="External"/><Relationship Id="rId1371" Type="http://schemas.openxmlformats.org/officeDocument/2006/relationships/hyperlink" Target="https://ieeexplore.ieee.org/abstract/document/9456194" TargetMode="External"/><Relationship Id="rId1372" Type="http://schemas.openxmlformats.org/officeDocument/2006/relationships/hyperlink" Target="https://shop.openbci.com/products/cyton-daisy-biosensing-boards-16-channel" TargetMode="External"/><Relationship Id="rId1373" Type="http://schemas.openxmlformats.org/officeDocument/2006/relationships/hyperlink" Target="https://ieeexplore.ieee.org/author/37088898666" TargetMode="External"/><Relationship Id="rId301" Type="http://schemas.openxmlformats.org/officeDocument/2006/relationships/hyperlink" Target="https://doi.org/10.3390/s25041066" TargetMode="External"/><Relationship Id="rId785" Type="http://schemas.openxmlformats.org/officeDocument/2006/relationships/hyperlink" Target="https://shop.openbci.com/products/cyton-daisy-biosensing-boards-16-channel" TargetMode="External"/><Relationship Id="rId1374" Type="http://schemas.openxmlformats.org/officeDocument/2006/relationships/hyperlink" Target="https://ieeexplore.ieee.org/abstract/document/9461383" TargetMode="External"/><Relationship Id="rId300" Type="http://schemas.openxmlformats.org/officeDocument/2006/relationships/hyperlink" Target="https://www.mdpi.com/1424-8220/25/4/1066" TargetMode="External"/><Relationship Id="rId784" Type="http://schemas.openxmlformats.org/officeDocument/2006/relationships/hyperlink" Target="https://doi.org/10.1117/12.3009526" TargetMode="External"/><Relationship Id="rId1375" Type="http://schemas.openxmlformats.org/officeDocument/2006/relationships/hyperlink" Target="https://ieeexplore.ieee.org/author/37088900532" TargetMode="External"/><Relationship Id="rId783" Type="http://schemas.openxmlformats.org/officeDocument/2006/relationships/hyperlink" Target="https://www.spiedigitallibrary.org/conference-proceedings-of-spie/12803/128031G/An-integrated-BCI-VR-system-design-with-game-for-motor/10.1117/12.3009526.short" TargetMode="External"/><Relationship Id="rId1376" Type="http://schemas.openxmlformats.org/officeDocument/2006/relationships/hyperlink" Target="https://ieeexplore.ieee.org/abstract/document/9464220" TargetMode="External"/><Relationship Id="rId782" Type="http://schemas.openxmlformats.org/officeDocument/2006/relationships/hyperlink" Target="https://shop.openbci.com/products/cyton-biosensing-board-8-channel" TargetMode="External"/><Relationship Id="rId1377" Type="http://schemas.openxmlformats.org/officeDocument/2006/relationships/hyperlink" Target="https://ieeexplore.ieee.org/xpl/conhome/9464166/proceeding" TargetMode="External"/><Relationship Id="rId1367" Type="http://schemas.openxmlformats.org/officeDocument/2006/relationships/hyperlink" Target="https://www.hindawi.com/journals/jhe/2021/5535810/" TargetMode="External"/><Relationship Id="rId1368" Type="http://schemas.openxmlformats.org/officeDocument/2006/relationships/hyperlink" Target="https://doi.org/10.1155/2021/5535810" TargetMode="External"/><Relationship Id="rId1369" Type="http://schemas.openxmlformats.org/officeDocument/2006/relationships/hyperlink" Target="https://shop.openbci.com/products/cyton-daisy-biosensing-boards-16-channel" TargetMode="External"/><Relationship Id="rId778" Type="http://schemas.openxmlformats.org/officeDocument/2006/relationships/hyperlink" Target="https://assets.researchsquare.com/files/rs-3462278/v1/0a254e4f-ca75-43dc-948a-4a452cf7a4ee.pdf?c=1698171781" TargetMode="External"/><Relationship Id="rId777" Type="http://schemas.openxmlformats.org/officeDocument/2006/relationships/hyperlink" Target="https://doi.org/10.1007/978-3-031-46933-6_30" TargetMode="External"/><Relationship Id="rId776" Type="http://schemas.openxmlformats.org/officeDocument/2006/relationships/hyperlink" Target="https://books.google.com/books?hl=en&amp;lr=lang_en&amp;id=aFDfEAAAQBAJ&amp;oi=fnd&amp;pg=PA283&amp;dq=openbci&amp;ots=RMzrkJjnHs&amp;sig=KJ_4qM6DLvEuOnn87yyGcmac-0E" TargetMode="External"/><Relationship Id="rId775" Type="http://schemas.openxmlformats.org/officeDocument/2006/relationships/hyperlink" Target="https://shop.openbci.com/products/cyton-biosensing-board-8-channel" TargetMode="External"/><Relationship Id="rId779" Type="http://schemas.openxmlformats.org/officeDocument/2006/relationships/hyperlink" Target="https://doi.org/10.21203/rs.3.rs-3462278/v1" TargetMode="External"/><Relationship Id="rId770" Type="http://schemas.openxmlformats.org/officeDocument/2006/relationships/hyperlink" Target="https://iopscience.iop.org/article/10.1088/2058-8585/ad05d6/pdf" TargetMode="External"/><Relationship Id="rId1360" Type="http://schemas.openxmlformats.org/officeDocument/2006/relationships/hyperlink" Target="https://doi.org/10.23919/Measurement52780.2021.9446779" TargetMode="External"/><Relationship Id="rId1361" Type="http://schemas.openxmlformats.org/officeDocument/2006/relationships/hyperlink" Target="https://www.sciencedirect.com/science/article/pii/S0167876021001835" TargetMode="External"/><Relationship Id="rId1362" Type="http://schemas.openxmlformats.org/officeDocument/2006/relationships/hyperlink" Target="https://doi.org/10.1016/j.ijpsycho.2021.06.003" TargetMode="External"/><Relationship Id="rId774" Type="http://schemas.openxmlformats.org/officeDocument/2006/relationships/hyperlink" Target="https://doi.org/10.1007/978-3-031-46933-6_31" TargetMode="External"/><Relationship Id="rId1363" Type="http://schemas.openxmlformats.org/officeDocument/2006/relationships/hyperlink" Target="https://shop.openbci.com/products/cyton-daisy-biosensing-boards-16-channel" TargetMode="External"/><Relationship Id="rId773" Type="http://schemas.openxmlformats.org/officeDocument/2006/relationships/hyperlink" Target="https://link.springer.com/chapter/10.1007/978-3-031-46933-6_31" TargetMode="External"/><Relationship Id="rId1364" Type="http://schemas.openxmlformats.org/officeDocument/2006/relationships/hyperlink" Target="https://dl.acm.org/doi/10.1145/3513023" TargetMode="External"/><Relationship Id="rId772" Type="http://schemas.openxmlformats.org/officeDocument/2006/relationships/hyperlink" Target="https://shop.openbci.com/products/cyton-biosensing-board-8-channel" TargetMode="External"/><Relationship Id="rId1365" Type="http://schemas.openxmlformats.org/officeDocument/2006/relationships/hyperlink" Target="https://www.sciencedirect.com/science/article/pii/S1746809421004006" TargetMode="External"/><Relationship Id="rId771" Type="http://schemas.openxmlformats.org/officeDocument/2006/relationships/hyperlink" Target="https://doi.org/10.1088/2058-8585/ad05d6" TargetMode="External"/><Relationship Id="rId1366" Type="http://schemas.openxmlformats.org/officeDocument/2006/relationships/hyperlink" Target="https://doi.org/10.1016/j.bspc.2021.102803" TargetMode="External"/><Relationship Id="rId327" Type="http://schemas.openxmlformats.org/officeDocument/2006/relationships/hyperlink" Target="https://shop.openbci.com/products/ultracortex-mark-iv" TargetMode="External"/><Relationship Id="rId326" Type="http://schemas.openxmlformats.org/officeDocument/2006/relationships/hyperlink" Target="https://shop.openbci.com/products/cyton-daisy-biosensing-boards-16-channel" TargetMode="External"/><Relationship Id="rId325" Type="http://schemas.openxmlformats.org/officeDocument/2006/relationships/hyperlink" Target="https://scholar.google.com/scholar_url?url=https://arxiv.org/pdf/2501.08393&amp;hl=en&amp;sa=X&amp;d=4019097504527394886&amp;ei=nH6LZ7maN8-Z6rQPtZnLgAg&amp;scisig=AFWwaeY3S4dinGP_g3vPCZNAt0A_&amp;oi=scholaralrt&amp;hist=8WBGhdYAAAAJ:5437843588291773220:AFWwaebmzrq9zPN1CYXQ5l-OkEG-&amp;html=&amp;pos=0&amp;folt=kw" TargetMode="External"/><Relationship Id="rId324" Type="http://schemas.openxmlformats.org/officeDocument/2006/relationships/hyperlink" Target="https://shop.openbci.com/products/cyton-biosensing-board-8-channel" TargetMode="External"/><Relationship Id="rId329" Type="http://schemas.openxmlformats.org/officeDocument/2006/relationships/hyperlink" Target="https://shop.openbci.com/products/cyton-biosensing-board-8-channel" TargetMode="External"/><Relationship Id="rId1390" Type="http://schemas.openxmlformats.org/officeDocument/2006/relationships/hyperlink" Target="https://shop.openbci.com/products/ultracortex-mark-iv" TargetMode="External"/><Relationship Id="rId328" Type="http://schemas.openxmlformats.org/officeDocument/2006/relationships/hyperlink" Target="https://scholar.google.com/scholar_url?url=https://arxiv.org/pdf/2501.05589&amp;hl=en&amp;sa=X&amp;d=3703460010045057963&amp;ei=b8aHZ8WjBKHfy9YPq-HH2AY&amp;scisig=AFWwaebPXQCk2sImtTgOT6gPzs2m&amp;oi=scholaralrt&amp;hist=8WBGhdYAAAAJ:5437843588291773220:AFWwaebmzrq9zPN1CYXQ5l-OkEG-&amp;html=&amp;pos=0&amp;folt=kw" TargetMode="External"/><Relationship Id="rId1391" Type="http://schemas.openxmlformats.org/officeDocument/2006/relationships/hyperlink" Target="https://link.springer.com/article/10.1007/s10586-021-03326-z" TargetMode="External"/><Relationship Id="rId1392" Type="http://schemas.openxmlformats.org/officeDocument/2006/relationships/hyperlink" Target="https://doi.org/10.1007/s10586-021-03326-z" TargetMode="External"/><Relationship Id="rId1393" Type="http://schemas.openxmlformats.org/officeDocument/2006/relationships/hyperlink" Target="https://www.sciencedirect.com/science/article/pii/S2405844021016686" TargetMode="External"/><Relationship Id="rId1394" Type="http://schemas.openxmlformats.org/officeDocument/2006/relationships/hyperlink" Target="https://doi.org/10.1016/j.heliyon.2021.e07565" TargetMode="External"/><Relationship Id="rId1395" Type="http://schemas.openxmlformats.org/officeDocument/2006/relationships/hyperlink" Target="https://ieeexplore.ieee.org/document/9476316" TargetMode="External"/><Relationship Id="rId323" Type="http://schemas.openxmlformats.org/officeDocument/2006/relationships/hyperlink" Target="https://doi.org/10.1016/j.ymssp.2025.112347." TargetMode="External"/><Relationship Id="rId1396" Type="http://schemas.openxmlformats.org/officeDocument/2006/relationships/hyperlink" Target="https://shop.openbci.com/products/cyton-daisy-biosensing-boards-16-channel" TargetMode="External"/><Relationship Id="rId322" Type="http://schemas.openxmlformats.org/officeDocument/2006/relationships/hyperlink" Target="https://scholar.google.com/scholar_url?url=https://www.sciencedirect.com/science/article/pii/S0888327025000482&amp;hl=en&amp;sa=X&amp;d=13744526941664129611&amp;ei=qd-MZ8HTNKHfy9YPq-HH2AY&amp;scisig=AFWwaeYxkkdItlMzKO9MitGinngO&amp;oi=scholaralrt&amp;hist=8WBGhdYAAAAJ:5437843588291773220:AFWwaebmzrq9zPN1CYXQ5l-OkEG-&amp;html=&amp;pos=0&amp;folt=kw" TargetMode="External"/><Relationship Id="rId1397" Type="http://schemas.openxmlformats.org/officeDocument/2006/relationships/hyperlink" Target="https://braininformatics.springeropen.com/articles/10.1186/s40708-021-00133-5" TargetMode="External"/><Relationship Id="rId321" Type="http://schemas.openxmlformats.org/officeDocument/2006/relationships/hyperlink" Target="https://shop.openbci.com/products/cyton-biosensing-board-8-channel" TargetMode="External"/><Relationship Id="rId1398" Type="http://schemas.openxmlformats.org/officeDocument/2006/relationships/hyperlink" Target="https://braininformatics.springeropen.com/" TargetMode="External"/><Relationship Id="rId320" Type="http://schemas.openxmlformats.org/officeDocument/2006/relationships/hyperlink" Target="https://scholar.google.com/scholar_url?url=https://ieeexplore.ieee.org/iel8/6287639/6514899/10844263.pdf&amp;hl=en&amp;sa=X&amp;d=6550892119441711207&amp;ei=aGGOZ5-UEemmy9YPy-7GuAE&amp;scisig=AFWwaeYWiRiddSJsqekFhuzSJoWA&amp;oi=scholaralrt&amp;hist=8WBGhdYAAAAJ:5437843588291773220:AFWwaebmzrq9zPN1CYXQ5l-OkEG-&amp;html=&amp;pos=0&amp;folt=kw" TargetMode="External"/><Relationship Id="rId1399" Type="http://schemas.openxmlformats.org/officeDocument/2006/relationships/hyperlink" Target="https://doi.org/10.1186/s40708-021-00133-5" TargetMode="External"/><Relationship Id="rId1389" Type="http://schemas.openxmlformats.org/officeDocument/2006/relationships/hyperlink" Target="http://dx.doi.org/10.1007/978-3-030-63665-4_18" TargetMode="External"/><Relationship Id="rId316" Type="http://schemas.openxmlformats.org/officeDocument/2006/relationships/hyperlink" Target="https://revistas.usb.edu.co/index.php/IJPR/article/view/7467" TargetMode="External"/><Relationship Id="rId315" Type="http://schemas.openxmlformats.org/officeDocument/2006/relationships/hyperlink" Target="https://shop.openbci.com/products/cyton-daisy-biosensing-boards-16-channel" TargetMode="External"/><Relationship Id="rId799" Type="http://schemas.openxmlformats.org/officeDocument/2006/relationships/hyperlink" Target="https://shop.openbci.com/products/openbci-eeg-electrocap" TargetMode="External"/><Relationship Id="rId314" Type="http://schemas.openxmlformats.org/officeDocument/2006/relationships/hyperlink" Target="http://biorxiv.org/lookup/doi/10.1101/2025.01.27.634699" TargetMode="External"/><Relationship Id="rId798" Type="http://schemas.openxmlformats.org/officeDocument/2006/relationships/hyperlink" Target="https://shop.openbci.com/products/cyton-biosensing-board-8-channel" TargetMode="External"/><Relationship Id="rId313" Type="http://schemas.openxmlformats.org/officeDocument/2006/relationships/hyperlink" Target="https://shop.openbci.com/products/cyton-daisy-biosensing-boards-16-channel" TargetMode="External"/><Relationship Id="rId797" Type="http://schemas.openxmlformats.org/officeDocument/2006/relationships/hyperlink" Target="https://doi.org/10.1007/s11042-023-17111-0" TargetMode="External"/><Relationship Id="rId319" Type="http://schemas.openxmlformats.org/officeDocument/2006/relationships/hyperlink" Target="https://shop.openbci.com/products/ultracortex-mark-iv" TargetMode="External"/><Relationship Id="rId318" Type="http://schemas.openxmlformats.org/officeDocument/2006/relationships/hyperlink" Target="https://shop.openbci.com/products/cyton-biosensing-board-8-channel" TargetMode="External"/><Relationship Id="rId317" Type="http://schemas.openxmlformats.org/officeDocument/2006/relationships/hyperlink" Target="https://shop.openbci.com/products/cyton-biosensing-board-8-channel" TargetMode="External"/><Relationship Id="rId1380" Type="http://schemas.openxmlformats.org/officeDocument/2006/relationships/hyperlink" Target="https://ieeexplore.ieee.org/abstract/document/9464359" TargetMode="External"/><Relationship Id="rId792" Type="http://schemas.openxmlformats.org/officeDocument/2006/relationships/hyperlink" Target="https://ieeexplore.ieee.org/stamp/stamp.jsp?arnumber=10275048" TargetMode="External"/><Relationship Id="rId1381" Type="http://schemas.openxmlformats.org/officeDocument/2006/relationships/hyperlink" Target="https://ieeexplore.ieee.org/xpl/conhome/9464271/proceeding" TargetMode="External"/><Relationship Id="rId791" Type="http://schemas.openxmlformats.org/officeDocument/2006/relationships/hyperlink" Target="https://shop.openbci.com/products/cyton-daisy-biosensing-boards-16-channel" TargetMode="External"/><Relationship Id="rId1382" Type="http://schemas.openxmlformats.org/officeDocument/2006/relationships/hyperlink" Target="https://doi.org/10.1109/MI-STA52233.2021.9464359" TargetMode="External"/><Relationship Id="rId790" Type="http://schemas.openxmlformats.org/officeDocument/2006/relationships/hyperlink" Target="https://arxiv.org/pdf/2310.08051.pdf" TargetMode="External"/><Relationship Id="rId1383" Type="http://schemas.openxmlformats.org/officeDocument/2006/relationships/hyperlink" Target="https://shop.openbci.com/products/cyton-daisy-biosensing-boards-16-channel" TargetMode="External"/><Relationship Id="rId1384" Type="http://schemas.openxmlformats.org/officeDocument/2006/relationships/hyperlink" Target="https://ieeexplore.ieee.org/author/37085806669" TargetMode="External"/><Relationship Id="rId312" Type="http://schemas.openxmlformats.org/officeDocument/2006/relationships/hyperlink" Target="https://doi.org/10.1049/icp.2024.4404" TargetMode="External"/><Relationship Id="rId796" Type="http://schemas.openxmlformats.org/officeDocument/2006/relationships/hyperlink" Target="https://link.springer.com/article/10.1007/s11042-023-17111-0" TargetMode="External"/><Relationship Id="rId1385" Type="http://schemas.openxmlformats.org/officeDocument/2006/relationships/hyperlink" Target="https://ieeexplore.ieee.org/abstract/document/9466007" TargetMode="External"/><Relationship Id="rId311" Type="http://schemas.openxmlformats.org/officeDocument/2006/relationships/hyperlink" Target="http://digital-library.theiet.org/doi/10.1049/icp.2024.4404" TargetMode="External"/><Relationship Id="rId795" Type="http://schemas.openxmlformats.org/officeDocument/2006/relationships/hyperlink" Target="https://shop.openbci.com/products/cyton-biosensing-board-8-channel" TargetMode="External"/><Relationship Id="rId1386" Type="http://schemas.openxmlformats.org/officeDocument/2006/relationships/hyperlink" Target="https://ieeexplore.ieee.org/xpl/conhome/9465795/proceeding" TargetMode="External"/><Relationship Id="rId310" Type="http://schemas.openxmlformats.org/officeDocument/2006/relationships/hyperlink" Target="https://shop.openbci.com/products/ultracortex-mark-iv" TargetMode="External"/><Relationship Id="rId794" Type="http://schemas.openxmlformats.org/officeDocument/2006/relationships/hyperlink" Target="https://scholar.google.com/scholar_url?url=https://www.beei.org/index.php/EEI/article/download/6079/3474&amp;hl=en&amp;sa=X&amp;d=7710416709534295915&amp;ei=FYgqZdPpNfOpy9YP8_S82Aw&amp;scisig=AFWwaeYMh7i90Bz1Ro8F_C43OwjZ&amp;oi=scholaralrt&amp;hist=8WBGhdYAAAAJ:5437843588291773220:AFWwaebmzrq9zPN1CYXQ5l-OkEG-&amp;html=&amp;pos=4&amp;folt=kw" TargetMode="External"/><Relationship Id="rId1387" Type="http://schemas.openxmlformats.org/officeDocument/2006/relationships/hyperlink" Target="https://doi.org/10.1109/AIMS52415.2021.9466007" TargetMode="External"/><Relationship Id="rId793" Type="http://schemas.openxmlformats.org/officeDocument/2006/relationships/hyperlink" Target="https://shop.openbci.com/products/cyton-daisy-biosensing-boards-16-channel" TargetMode="External"/><Relationship Id="rId1388" Type="http://schemas.openxmlformats.org/officeDocument/2006/relationships/hyperlink" Target="https://www.researchgate.net/publication/347747774_EEG-Based_BCI_Emotion_Recognition_Using_the_Stock-Emotion_Dataset" TargetMode="External"/><Relationship Id="rId297" Type="http://schemas.openxmlformats.org/officeDocument/2006/relationships/hyperlink" Target="https://ieeexplore.ieee.org/document/10870878/" TargetMode="External"/><Relationship Id="rId296" Type="http://schemas.openxmlformats.org/officeDocument/2006/relationships/hyperlink" Target="https://shop.openbci.com/products/cyton-biosensing-board-8-channel" TargetMode="External"/><Relationship Id="rId295" Type="http://schemas.openxmlformats.org/officeDocument/2006/relationships/hyperlink" Target="https://ieeexplore.ieee.org/document/10882902/" TargetMode="External"/><Relationship Id="rId294" Type="http://schemas.openxmlformats.org/officeDocument/2006/relationships/hyperlink" Target="https://shop.openbci.com/products/gelfree-bci-cap-kit" TargetMode="External"/><Relationship Id="rId299" Type="http://schemas.openxmlformats.org/officeDocument/2006/relationships/hyperlink" Target="https://linkinghub.elsevier.com/retrieve/pii/S2665917424006822" TargetMode="External"/><Relationship Id="rId298" Type="http://schemas.openxmlformats.org/officeDocument/2006/relationships/hyperlink" Target="https://shop.openbci.com/products/cyton-biosensing-board-8-channel" TargetMode="External"/><Relationship Id="rId271" Type="http://schemas.openxmlformats.org/officeDocument/2006/relationships/hyperlink" Target="https://pubs.acs.org/doi/10.1021/acsami.5c01936" TargetMode="External"/><Relationship Id="rId270" Type="http://schemas.openxmlformats.org/officeDocument/2006/relationships/hyperlink" Target="https://shop.openbci.com/products/cyton-biosensing-board-8-channel" TargetMode="External"/><Relationship Id="rId269" Type="http://schemas.openxmlformats.org/officeDocument/2006/relationships/hyperlink" Target="http://medrxiv.org/lookup/doi/10.1101/2025.03.07.25323496" TargetMode="External"/><Relationship Id="rId264" Type="http://schemas.openxmlformats.org/officeDocument/2006/relationships/hyperlink" Target="https://shop.openbci.com/products/cyton-biosensing-board-8-channel" TargetMode="External"/><Relationship Id="rId263" Type="http://schemas.openxmlformats.org/officeDocument/2006/relationships/hyperlink" Target="https://linkinghub.elsevier.com/retrieve/pii/S2352340925002094" TargetMode="External"/><Relationship Id="rId262" Type="http://schemas.openxmlformats.org/officeDocument/2006/relationships/hyperlink" Target="https://ijci.uoitc.edu.iq/index.php/ijci/article/view/545" TargetMode="External"/><Relationship Id="rId261" Type="http://schemas.openxmlformats.org/officeDocument/2006/relationships/hyperlink" Target="https://shop.openbci.com/products/cyton-daisy-biosensing-boards-16-channel" TargetMode="External"/><Relationship Id="rId268" Type="http://schemas.openxmlformats.org/officeDocument/2006/relationships/hyperlink" Target="https://shop.openbci.com/products/cyton-biosensing-board-8-channel" TargetMode="External"/><Relationship Id="rId267" Type="http://schemas.openxmlformats.org/officeDocument/2006/relationships/hyperlink" Target="https://linkinghub.elsevier.com/retrieve/pii/S1388245725000045" TargetMode="External"/><Relationship Id="rId266" Type="http://schemas.openxmlformats.org/officeDocument/2006/relationships/hyperlink" Target="https://shop.openbci.com/products/cyton-daisy-biosensing-boards-16-channel" TargetMode="External"/><Relationship Id="rId265" Type="http://schemas.openxmlformats.org/officeDocument/2006/relationships/hyperlink" Target="https://link.springer.com/10.1007/s10209-025-01207-5" TargetMode="External"/><Relationship Id="rId260" Type="http://schemas.openxmlformats.org/officeDocument/2006/relationships/hyperlink" Target="https://pubs.asha.org/doi/10.1044/2025_JSLHR-24-00595" TargetMode="External"/><Relationship Id="rId259" Type="http://schemas.openxmlformats.org/officeDocument/2006/relationships/hyperlink" Target="https://link.springer.com/10.1007/978-981-97-9262-7_17" TargetMode="External"/><Relationship Id="rId258" Type="http://schemas.openxmlformats.org/officeDocument/2006/relationships/hyperlink" Target="https://ieeexplore.ieee.org/document/10938306/" TargetMode="External"/><Relationship Id="rId253" Type="http://schemas.openxmlformats.org/officeDocument/2006/relationships/hyperlink" Target="https://ieeexplore.ieee.org/document/10931531/" TargetMode="External"/><Relationship Id="rId252" Type="http://schemas.openxmlformats.org/officeDocument/2006/relationships/hyperlink" Target="https://shop.openbci.com/products/cyton-biosensing-board-8-channel" TargetMode="External"/><Relationship Id="rId251" Type="http://schemas.openxmlformats.org/officeDocument/2006/relationships/hyperlink" Target="https://arxiv.org/abs/2503.22018" TargetMode="External"/><Relationship Id="rId250" Type="http://schemas.openxmlformats.org/officeDocument/2006/relationships/hyperlink" Target="https://shop.openbci.com/products/cyton-daisy-biosensing-boards-16-channel" TargetMode="External"/><Relationship Id="rId257" Type="http://schemas.openxmlformats.org/officeDocument/2006/relationships/hyperlink" Target="https://shop.openbci.com/products/cyton-daisy-biosensing-boards-16-channel" TargetMode="External"/><Relationship Id="rId256" Type="http://schemas.openxmlformats.org/officeDocument/2006/relationships/hyperlink" Target="http://www.inderscience.com/link.php?id=145218" TargetMode="External"/><Relationship Id="rId255" Type="http://schemas.openxmlformats.org/officeDocument/2006/relationships/hyperlink" Target="https://shop.openbci.com/products/cyton-biosensing-board-8-channel" TargetMode="External"/><Relationship Id="rId254" Type="http://schemas.openxmlformats.org/officeDocument/2006/relationships/hyperlink" Target="https://doi.org/10.1109/BCI65088.2025.10931531" TargetMode="External"/><Relationship Id="rId293" Type="http://schemas.openxmlformats.org/officeDocument/2006/relationships/hyperlink" Target="https://shop.openbci.com/products/cyton-daisy-biosensing-boards-16-channel" TargetMode="External"/><Relationship Id="rId292" Type="http://schemas.openxmlformats.org/officeDocument/2006/relationships/hyperlink" Target="https://dl.acm.org/doi/10.1145/3641554.3701815" TargetMode="External"/><Relationship Id="rId291" Type="http://schemas.openxmlformats.org/officeDocument/2006/relationships/hyperlink" Target="https://ieeexplore.ieee.org/document/10882414/" TargetMode="External"/><Relationship Id="rId290" Type="http://schemas.openxmlformats.org/officeDocument/2006/relationships/hyperlink" Target="https://shop.openbci.com/products/cyton-biosensing-board-8-channel" TargetMode="External"/><Relationship Id="rId286" Type="http://schemas.openxmlformats.org/officeDocument/2006/relationships/hyperlink" Target="https://ieeexplore.ieee.org/document/10891090/" TargetMode="External"/><Relationship Id="rId285" Type="http://schemas.openxmlformats.org/officeDocument/2006/relationships/hyperlink" Target="https://vbn.aau.dk/da/publications/hybrid-fes-robotic-rehabilitation-system-for-lower-limb-neuroreha" TargetMode="External"/><Relationship Id="rId284" Type="http://schemas.openxmlformats.org/officeDocument/2006/relationships/hyperlink" Target="https://shop.openbci.com/products/cyton-biosensing-board-8-channel" TargetMode="External"/><Relationship Id="rId283" Type="http://schemas.openxmlformats.org/officeDocument/2006/relationships/hyperlink" Target="https://ieeexplore.ieee.org/document/10906643/" TargetMode="External"/><Relationship Id="rId289" Type="http://schemas.openxmlformats.org/officeDocument/2006/relationships/hyperlink" Target="https://www.nature.com/articles/s41598-025-87414-9" TargetMode="External"/><Relationship Id="rId288" Type="http://schemas.openxmlformats.org/officeDocument/2006/relationships/hyperlink" Target="https://shop.openbci.com/products/cyton-biosensing-board-8-channel" TargetMode="External"/><Relationship Id="rId287" Type="http://schemas.openxmlformats.org/officeDocument/2006/relationships/hyperlink" Target="https://www.taylorfrancis.com/books/9781003606208/chapters/10.1201/9781003606208-25" TargetMode="External"/><Relationship Id="rId282" Type="http://schemas.openxmlformats.org/officeDocument/2006/relationships/hyperlink" Target="https://shop.openbci.com/products/cyton-biosensing-board-8-channel" TargetMode="External"/><Relationship Id="rId281" Type="http://schemas.openxmlformats.org/officeDocument/2006/relationships/hyperlink" Target="https://ieeexplore.ieee.org/document/10566461/" TargetMode="External"/><Relationship Id="rId280" Type="http://schemas.openxmlformats.org/officeDocument/2006/relationships/hyperlink" Target="https://shop.openbci.com/products/cyton-biosensing-board-8-channel" TargetMode="External"/><Relationship Id="rId275" Type="http://schemas.openxmlformats.org/officeDocument/2006/relationships/hyperlink" Target="https://pubs.aip.org/aip/acp/article-lookup/doi/10.1063/5.0259169" TargetMode="External"/><Relationship Id="rId274" Type="http://schemas.openxmlformats.org/officeDocument/2006/relationships/hyperlink" Target="https://shop.openbci.com/products/cyton-daisy-biosensing-boards-16-channel" TargetMode="External"/><Relationship Id="rId273" Type="http://schemas.openxmlformats.org/officeDocument/2006/relationships/hyperlink" Target="https://linkinghub.elsevier.com/retrieve/pii/S2468519425001120" TargetMode="External"/><Relationship Id="rId272" Type="http://schemas.openxmlformats.org/officeDocument/2006/relationships/hyperlink" Target="https://www.nature.com/articles/s41598-024-81960-4" TargetMode="External"/><Relationship Id="rId279" Type="http://schemas.openxmlformats.org/officeDocument/2006/relationships/hyperlink" Target="https://dl.acm.org/doi/10.1145/3712283" TargetMode="External"/><Relationship Id="rId278" Type="http://schemas.openxmlformats.org/officeDocument/2006/relationships/hyperlink" Target="https://shop.openbci.com/products/cyton-biosensing-board-8-channel" TargetMode="External"/><Relationship Id="rId277" Type="http://schemas.openxmlformats.org/officeDocument/2006/relationships/hyperlink" Target="https://www.mdpi.com/2073-4360/17/5/683" TargetMode="External"/><Relationship Id="rId276" Type="http://schemas.openxmlformats.org/officeDocument/2006/relationships/hyperlink" Target="https://shop.openbci.com/products/cyton-biosensing-board-8-channel" TargetMode="External"/><Relationship Id="rId1455" Type="http://schemas.openxmlformats.org/officeDocument/2006/relationships/hyperlink" Target="https://shop.openbci.com/products/cyton-biosensing-board-8-channel" TargetMode="External"/><Relationship Id="rId1456" Type="http://schemas.openxmlformats.org/officeDocument/2006/relationships/hyperlink" Target="https://ieeexplore.ieee.org/document/9283019" TargetMode="External"/><Relationship Id="rId1457" Type="http://schemas.openxmlformats.org/officeDocument/2006/relationships/hyperlink" Target="https://shop.openbci.com/products/cyton-biosensing-board-8-channel" TargetMode="External"/><Relationship Id="rId1458" Type="http://schemas.openxmlformats.org/officeDocument/2006/relationships/hyperlink" Target="https://ieeexplore.ieee.org/abstract/document/9283117" TargetMode="External"/><Relationship Id="rId1459" Type="http://schemas.openxmlformats.org/officeDocument/2006/relationships/hyperlink" Target="https://doi.org/10.1109/SMC42975.2020.9283117" TargetMode="External"/><Relationship Id="rId629" Type="http://schemas.openxmlformats.org/officeDocument/2006/relationships/hyperlink" Target="https://shop.openbci.com/products/cyton-daisy-biosensing-boards-16-channel" TargetMode="External"/><Relationship Id="rId624" Type="http://schemas.openxmlformats.org/officeDocument/2006/relationships/hyperlink" Target="https://www.sciencedirect.com/science/article/pii/S2468067224000233" TargetMode="External"/><Relationship Id="rId623" Type="http://schemas.openxmlformats.org/officeDocument/2006/relationships/hyperlink" Target="https://shop.openbci.com/products/cyton-biosensing-board-8-channel" TargetMode="External"/><Relationship Id="rId622" Type="http://schemas.openxmlformats.org/officeDocument/2006/relationships/hyperlink" Target="https://www.techrxiv.org/users/712048/articles/696682-iist-bci-dataset-1-for-selected-common-malayalam-words" TargetMode="External"/><Relationship Id="rId621" Type="http://schemas.openxmlformats.org/officeDocument/2006/relationships/hyperlink" Target="https://shop.openbci.com/products/cyton-biosensing-board-8-channel" TargetMode="External"/><Relationship Id="rId628" Type="http://schemas.openxmlformats.org/officeDocument/2006/relationships/hyperlink" Target="https://ieeexplore.ieee.org/abstract/document/10499671" TargetMode="External"/><Relationship Id="rId627" Type="http://schemas.openxmlformats.org/officeDocument/2006/relationships/hyperlink" Target="https://shop.openbci.com/products/ultracortex-mark-iv" TargetMode="External"/><Relationship Id="rId626" Type="http://schemas.openxmlformats.org/officeDocument/2006/relationships/hyperlink" Target="https://shop.openbci.com/products/cyton-biosensing-board-8-channel" TargetMode="External"/><Relationship Id="rId625" Type="http://schemas.openxmlformats.org/officeDocument/2006/relationships/hyperlink" Target="https://doi.org/10.1016/j.ohx.2024.e00529." TargetMode="External"/><Relationship Id="rId1450" Type="http://schemas.openxmlformats.org/officeDocument/2006/relationships/hyperlink" Target="https://shop.openbci.com/products/cyton-biosensing-board-8-channel" TargetMode="External"/><Relationship Id="rId620" Type="http://schemas.openxmlformats.org/officeDocument/2006/relationships/hyperlink" Target="https://ieeexplore.ieee.org/abstract/document/10500236" TargetMode="External"/><Relationship Id="rId1451" Type="http://schemas.openxmlformats.org/officeDocument/2006/relationships/hyperlink" Target="https://ieeexplore.ieee.org/abstract/document/9288078" TargetMode="External"/><Relationship Id="rId1452" Type="http://schemas.openxmlformats.org/officeDocument/2006/relationships/hyperlink" Target="https://doi.org/10.1109/BIBE50027.2020.00101" TargetMode="External"/><Relationship Id="rId1453" Type="http://schemas.openxmlformats.org/officeDocument/2006/relationships/hyperlink" Target="https://shop.openbci.com/products/cyton-biosensing-board-8-channel" TargetMode="External"/><Relationship Id="rId1454" Type="http://schemas.openxmlformats.org/officeDocument/2006/relationships/hyperlink" Target="https://ieeexplore.ieee.org/abstract/document/9282835" TargetMode="External"/><Relationship Id="rId1444" Type="http://schemas.openxmlformats.org/officeDocument/2006/relationships/hyperlink" Target="https://ieeexplore.ieee.org/abstract/document/9291239/" TargetMode="External"/><Relationship Id="rId1445" Type="http://schemas.openxmlformats.org/officeDocument/2006/relationships/hyperlink" Target="https://doi.org/10.23919/NTCA50409.2020.9291239" TargetMode="External"/><Relationship Id="rId1446" Type="http://schemas.openxmlformats.org/officeDocument/2006/relationships/hyperlink" Target="https://shop.openbci.com/products/cyton-biosensing-board-8-channel" TargetMode="External"/><Relationship Id="rId1447" Type="http://schemas.openxmlformats.org/officeDocument/2006/relationships/hyperlink" Target="https://shop.openbci.com/products/ultracortex-mark-iv" TargetMode="External"/><Relationship Id="rId1448" Type="http://schemas.openxmlformats.org/officeDocument/2006/relationships/hyperlink" Target="https://link.springer.com/chapter/10.1007/978-3-030-63665-4_18" TargetMode="External"/><Relationship Id="rId1449" Type="http://schemas.openxmlformats.org/officeDocument/2006/relationships/hyperlink" Target="https://doi.org/10.1007/978-3-030-63665-4_18" TargetMode="External"/><Relationship Id="rId619" Type="http://schemas.openxmlformats.org/officeDocument/2006/relationships/hyperlink" Target="https://shop.openbci.com/products/ultracortex-mark-iv" TargetMode="External"/><Relationship Id="rId618" Type="http://schemas.openxmlformats.org/officeDocument/2006/relationships/hyperlink" Target="https://shop.openbci.com/products/cyton-biosensing-board-8-channel" TargetMode="External"/><Relationship Id="rId613" Type="http://schemas.openxmlformats.org/officeDocument/2006/relationships/hyperlink" Target="https://doi.org/10.1145/3652920.3653028" TargetMode="External"/><Relationship Id="rId612" Type="http://schemas.openxmlformats.org/officeDocument/2006/relationships/hyperlink" Target="https://dl.acm.org/doi/abs/10.1145/3652920.3653028" TargetMode="External"/><Relationship Id="rId611" Type="http://schemas.openxmlformats.org/officeDocument/2006/relationships/hyperlink" Target="https://shop.openbci.com/products/gelfree-bci-cap-kit" TargetMode="External"/><Relationship Id="rId610" Type="http://schemas.openxmlformats.org/officeDocument/2006/relationships/hyperlink" Target="https://shop.openbci.com/products/cyton-daisy-biosensing-boards-16-channel" TargetMode="External"/><Relationship Id="rId617" Type="http://schemas.openxmlformats.org/officeDocument/2006/relationships/hyperlink" Target="https://ieeexplore.ieee.org/abstract/document/10502941" TargetMode="External"/><Relationship Id="rId616" Type="http://schemas.openxmlformats.org/officeDocument/2006/relationships/hyperlink" Target="https://shop.openbci.com/products/cyton-biosensing-board-8-channel" TargetMode="External"/><Relationship Id="rId615" Type="http://schemas.openxmlformats.org/officeDocument/2006/relationships/hyperlink" Target="https://scholar.google.com/scholar_url?url=https://ses.library.usyd.edu.au/bitstream/handle/2123/32487/vanbohemen_sj_thesis.pdf%3Fsequence%3D1%26isAllowed%3Dy&amp;hl=en&amp;sa=X&amp;d=18013699322914481207&amp;ei=QRQvZszFJZjJy9YP2cuf6AE&amp;scisig=AFWwaebi7HNIZctAUYdGTYUXQvn3&amp;oi=scholaralrt&amp;hist=8WBGhdYAAAAJ:5437843588291773220:AFWwaebmzrq9zPN1CYXQ5l-OkEG-&amp;html=&amp;pos=0&amp;folt=kw" TargetMode="External"/><Relationship Id="rId614" Type="http://schemas.openxmlformats.org/officeDocument/2006/relationships/hyperlink" Target="https://shop.openbci.com/products/cyton-biosensing-board-8-channel" TargetMode="External"/><Relationship Id="rId1440" Type="http://schemas.openxmlformats.org/officeDocument/2006/relationships/hyperlink" Target="https://shop.openbci.com/collections/frontpage/products/openbci-eeg-headband-kit?variant=8120393760782" TargetMode="External"/><Relationship Id="rId1441" Type="http://schemas.openxmlformats.org/officeDocument/2006/relationships/hyperlink" Target="https://scholarworks.boisestate.edu/cgi/viewcontent.cgi?article=1007&amp;context=mss_2020" TargetMode="External"/><Relationship Id="rId1442" Type="http://schemas.openxmlformats.org/officeDocument/2006/relationships/hyperlink" Target="https://shop.openbci.com/products/cyton-daisy-biosensing-boards-16-channel" TargetMode="External"/><Relationship Id="rId1443" Type="http://schemas.openxmlformats.org/officeDocument/2006/relationships/hyperlink" Target="https://shop.openbci.com/products/ultracortex-mark-iv" TargetMode="External"/><Relationship Id="rId1477" Type="http://schemas.openxmlformats.org/officeDocument/2006/relationships/hyperlink" Target="https://ieeexplore.ieee.org/stamp/stamp.jsp?tp=&amp;arnumber=9269978" TargetMode="External"/><Relationship Id="rId1478" Type="http://schemas.openxmlformats.org/officeDocument/2006/relationships/hyperlink" Target="https://doi.org/10.1109/ACCESS.2020.3040437" TargetMode="External"/><Relationship Id="rId1479" Type="http://schemas.openxmlformats.org/officeDocument/2006/relationships/hyperlink" Target="https://shop.openbci.com/products/cyton-daisy-biosensing-boards-16-channel" TargetMode="External"/><Relationship Id="rId646" Type="http://schemas.openxmlformats.org/officeDocument/2006/relationships/hyperlink" Target="https://link.springer.com/chapter/10.1007/978-3-031-51982-6_27" TargetMode="External"/><Relationship Id="rId645" Type="http://schemas.openxmlformats.org/officeDocument/2006/relationships/hyperlink" Target="https://shop.openbci.com/products/cyton-biosensing-board-8-channel" TargetMode="External"/><Relationship Id="rId644" Type="http://schemas.openxmlformats.org/officeDocument/2006/relationships/hyperlink" Target="https://scholar.google.com/scholar_url?url=https://tobias-lib.ub.uni-tuebingen.de/xmlui/bitstream/handle/10900/152143/Dissertation_Andres_Jaramillo.pdf%3Fsequence%3D2%26isAllowed%3Dy&amp;hl=en&amp;sa=X&amp;d=14505797620042768767&amp;ei=dAYFZsXEI7bBy9YPgLuguAg&amp;scisig=AFWwaebTjssJiSrELS73K5xUwlFA&amp;oi=scholaralrt&amp;hist=8WBGhdYAAAAJ:5437843588291773220:AFWwaebmzrq9zPN1CYXQ5l-OkEG-&amp;html=&amp;pos=0&amp;folt=kw" TargetMode="External"/><Relationship Id="rId643" Type="http://schemas.openxmlformats.org/officeDocument/2006/relationships/hyperlink" Target="https://shop.openbci.com/products/cyton-biosensing-board-8-channel" TargetMode="External"/><Relationship Id="rId649" Type="http://schemas.openxmlformats.org/officeDocument/2006/relationships/hyperlink" Target="https://www.researchgate.net/profile/Mauricio-Adolfo-Ramirez-Moreno-2/publication/378930843_Real-time_EEG-based_emotion_recognition_for_neurohumanities_perspectives_from_principal_component_analysis_and_tree-based_algorithms/links/65f1c159286738732d3e158c/Real-time-EEG-based-emotion-recognition-for-neurohumanities-perspectives-from-principal-component-analysis-and-tree-based-algorithms.pdf" TargetMode="External"/><Relationship Id="rId648" Type="http://schemas.openxmlformats.org/officeDocument/2006/relationships/hyperlink" Target="https://shop.openbci.com/products/cyton-biosensing-board-8-channel" TargetMode="External"/><Relationship Id="rId647" Type="http://schemas.openxmlformats.org/officeDocument/2006/relationships/hyperlink" Target="https://doi.org/10.1007/978-3-031-51982-6_27" TargetMode="External"/><Relationship Id="rId1470" Type="http://schemas.openxmlformats.org/officeDocument/2006/relationships/hyperlink" Target="https://www.mdpi.com/2073-431X/9/4/104" TargetMode="External"/><Relationship Id="rId1471" Type="http://schemas.openxmlformats.org/officeDocument/2006/relationships/hyperlink" Target="https://doi.org/10.3390/computers9040104" TargetMode="External"/><Relationship Id="rId1472" Type="http://schemas.openxmlformats.org/officeDocument/2006/relationships/hyperlink" Target="https://shop.openbci.com/products/cyton-biosensing-board-8-channel" TargetMode="External"/><Relationship Id="rId642" Type="http://schemas.openxmlformats.org/officeDocument/2006/relationships/hyperlink" Target="https://doi.org/10.1063/5.0190792" TargetMode="External"/><Relationship Id="rId1473" Type="http://schemas.openxmlformats.org/officeDocument/2006/relationships/hyperlink" Target="https://ieeexplore.ieee.org/abstract/document/9299199" TargetMode="External"/><Relationship Id="rId641" Type="http://schemas.openxmlformats.org/officeDocument/2006/relationships/hyperlink" Target="https://pubs.aip.org/aip/acp/article-abstract/2919/1/110003/3278987/Using-EEG-features-of-eye-blinking-for-the?redirectedFrom=fulltext" TargetMode="External"/><Relationship Id="rId1474" Type="http://schemas.openxmlformats.org/officeDocument/2006/relationships/hyperlink" Target="https://doi.org/10.1109/CCE50788.2020.9299199" TargetMode="External"/><Relationship Id="rId640" Type="http://schemas.openxmlformats.org/officeDocument/2006/relationships/hyperlink" Target="https://shop.openbci.com/products/cyton-biosensing-board-8-channel" TargetMode="External"/><Relationship Id="rId1475" Type="http://schemas.openxmlformats.org/officeDocument/2006/relationships/hyperlink" Target="https://ieeexplore.ieee.org/abstract/document/9265364" TargetMode="External"/><Relationship Id="rId1476" Type="http://schemas.openxmlformats.org/officeDocument/2006/relationships/hyperlink" Target="https://shop.openbci.com/products/cyton-biosensing-board-8-channel" TargetMode="External"/><Relationship Id="rId1466" Type="http://schemas.openxmlformats.org/officeDocument/2006/relationships/hyperlink" Target="https://www.sciencedirect.com/science/article/pii/S2352340920314712" TargetMode="External"/><Relationship Id="rId1467" Type="http://schemas.openxmlformats.org/officeDocument/2006/relationships/hyperlink" Target="https://doi.org/10.1016/j.dib.2020.106590." TargetMode="External"/><Relationship Id="rId1468" Type="http://schemas.openxmlformats.org/officeDocument/2006/relationships/hyperlink" Target="https://shop.openbci.com/products/cyton-daisy-biosensing-boards-16-channel" TargetMode="External"/><Relationship Id="rId1469" Type="http://schemas.openxmlformats.org/officeDocument/2006/relationships/hyperlink" Target="https://shop.openbci.com/products/ultracortex-mark-iv" TargetMode="External"/><Relationship Id="rId635" Type="http://schemas.openxmlformats.org/officeDocument/2006/relationships/hyperlink" Target="https://shop.openbci.com/products/cyton-biosensing-board-8-channel" TargetMode="External"/><Relationship Id="rId634" Type="http://schemas.openxmlformats.org/officeDocument/2006/relationships/hyperlink" Target="https://doi.org/10.1016/j.bspc.2024.106264" TargetMode="External"/><Relationship Id="rId633" Type="http://schemas.openxmlformats.org/officeDocument/2006/relationships/hyperlink" Target="https://www.sciencedirect.com/science/article/abs/pii/S1746809424003227" TargetMode="External"/><Relationship Id="rId632" Type="http://schemas.openxmlformats.org/officeDocument/2006/relationships/hyperlink" Target="https://shop.openbci.com/products/cyton-biosensing-board-8-channel" TargetMode="External"/><Relationship Id="rId639" Type="http://schemas.openxmlformats.org/officeDocument/2006/relationships/hyperlink" Target="https://ieeexplore.ieee.org/abstract/document/10463300" TargetMode="External"/><Relationship Id="rId638" Type="http://schemas.openxmlformats.org/officeDocument/2006/relationships/hyperlink" Target="https://shop.openbci.com/products/ultracortex-mark-iv" TargetMode="External"/><Relationship Id="rId637" Type="http://schemas.openxmlformats.org/officeDocument/2006/relationships/hyperlink" Target="https://shop.openbci.com/products/cyton-biosensing-board-8-channel" TargetMode="External"/><Relationship Id="rId636" Type="http://schemas.openxmlformats.org/officeDocument/2006/relationships/hyperlink" Target="https://ieeexplore.ieee.org/abstract/document/10487645" TargetMode="External"/><Relationship Id="rId1460" Type="http://schemas.openxmlformats.org/officeDocument/2006/relationships/hyperlink" Target="https://shop.openbci.com/products/cyton-daisy-biosensing-boards-16-channel" TargetMode="External"/><Relationship Id="rId1461" Type="http://schemas.openxmlformats.org/officeDocument/2006/relationships/hyperlink" Target="https://shop.openbci.com/products/ultracortex-mark-iv" TargetMode="External"/><Relationship Id="rId631" Type="http://schemas.openxmlformats.org/officeDocument/2006/relationships/hyperlink" Target="https://doi.org/10.1016/j.archger.2024.105442" TargetMode="External"/><Relationship Id="rId1462" Type="http://schemas.openxmlformats.org/officeDocument/2006/relationships/hyperlink" Target="https://ieeexplore.ieee.org/abstract/document/9283049/" TargetMode="External"/><Relationship Id="rId630" Type="http://schemas.openxmlformats.org/officeDocument/2006/relationships/hyperlink" Target="https://www.sciencedirect.com/science/article/abs/pii/S0167494324001183" TargetMode="External"/><Relationship Id="rId1463" Type="http://schemas.openxmlformats.org/officeDocument/2006/relationships/hyperlink" Target="https://doi.org/10.1109/SMC42975.2020.9283049" TargetMode="External"/><Relationship Id="rId1464" Type="http://schemas.openxmlformats.org/officeDocument/2006/relationships/hyperlink" Target="https://shop.openbci.com/products/cyton-biosensing-board-8-channel" TargetMode="External"/><Relationship Id="rId1465" Type="http://schemas.openxmlformats.org/officeDocument/2006/relationships/hyperlink" Target="https://shop.openbci.com/products/ultracortex-mark-iv" TargetMode="External"/><Relationship Id="rId1411" Type="http://schemas.openxmlformats.org/officeDocument/2006/relationships/hyperlink" Target="https://shop.openbci.com/products/cyton-daisy-biosensing-boards-16-channel" TargetMode="External"/><Relationship Id="rId1412" Type="http://schemas.openxmlformats.org/officeDocument/2006/relationships/hyperlink" Target="https://ieeexplore.ieee.org/author/37088928253" TargetMode="External"/><Relationship Id="rId1413" Type="http://schemas.openxmlformats.org/officeDocument/2006/relationships/hyperlink" Target="https://ieeexplore.ieee.org/abstract/document/9502229" TargetMode="External"/><Relationship Id="rId1414" Type="http://schemas.openxmlformats.org/officeDocument/2006/relationships/hyperlink" Target="https://doi.org/10.1109/ISITIA52817.2021.9502229" TargetMode="External"/><Relationship Id="rId1415" Type="http://schemas.openxmlformats.org/officeDocument/2006/relationships/hyperlink" Target="https://www.hindawi.com/journals/ahci/2021/5515759/" TargetMode="External"/><Relationship Id="rId1416" Type="http://schemas.openxmlformats.org/officeDocument/2006/relationships/hyperlink" Target="https://doi.org/10.1155/2021/5515759" TargetMode="External"/><Relationship Id="rId1417" Type="http://schemas.openxmlformats.org/officeDocument/2006/relationships/hyperlink" Target="https://shop.openbci.com/products/cyton-biosensing-board-8-channel" TargetMode="External"/><Relationship Id="rId1418" Type="http://schemas.openxmlformats.org/officeDocument/2006/relationships/hyperlink" Target="https://shop.openbci.com/products/ultracortex-mark-iv" TargetMode="External"/><Relationship Id="rId1419" Type="http://schemas.openxmlformats.org/officeDocument/2006/relationships/hyperlink" Target="https://link.springer.com/article/10.1007/s12559-020-09744-2" TargetMode="External"/><Relationship Id="rId1410" Type="http://schemas.openxmlformats.org/officeDocument/2006/relationships/hyperlink" Target="https://ieeexplore.ieee.org/abstract/document/9502250" TargetMode="External"/><Relationship Id="rId1400" Type="http://schemas.openxmlformats.org/officeDocument/2006/relationships/hyperlink" Target="https://www.resna.org/sites/default/files/conference/2021/NewEmergingTechnology/75_Mussi.html" TargetMode="External"/><Relationship Id="rId1401" Type="http://schemas.openxmlformats.org/officeDocument/2006/relationships/hyperlink" Target="https://www.resna.org/sites/default/files/conference/2021/index.html" TargetMode="External"/><Relationship Id="rId1402" Type="http://schemas.openxmlformats.org/officeDocument/2006/relationships/hyperlink" Target="https://www.sciencedirect.com/science/article/pii/S2046043021000617" TargetMode="External"/><Relationship Id="rId1403" Type="http://schemas.openxmlformats.org/officeDocument/2006/relationships/hyperlink" Target="https://www.sciencedirect.com/science/journal/20460430" TargetMode="External"/><Relationship Id="rId1404" Type="http://schemas.openxmlformats.org/officeDocument/2006/relationships/hyperlink" Target="https://doi.org/10.1016/j.ijtst.2021.07.006" TargetMode="External"/><Relationship Id="rId1405" Type="http://schemas.openxmlformats.org/officeDocument/2006/relationships/hyperlink" Target="https://ieeexplore.ieee.org/abstract/document/9495879" TargetMode="External"/><Relationship Id="rId1406" Type="http://schemas.openxmlformats.org/officeDocument/2006/relationships/hyperlink" Target="https://ieeexplore.ieee.org/xpl/conhome/9495828/proceeding" TargetMode="External"/><Relationship Id="rId1407" Type="http://schemas.openxmlformats.org/officeDocument/2006/relationships/hyperlink" Target="https://doi.org/10.1109/I2CACIS52118.2021.9495879" TargetMode="External"/><Relationship Id="rId1408" Type="http://schemas.openxmlformats.org/officeDocument/2006/relationships/hyperlink" Target="https://www.cambridge.org/core/services/aop-cambridge-core/content/view/A36F36047D5F10A739B2D350E347C9C1/S2732527X21000900a.pdf/demonstrating_the_feasibility_of_multimodal_neuroimaging_data_capture_with_a_wearable_electoencephalography_functional_nearinfrared_spectroscopy_eegfnirs_in_situ.pdf" TargetMode="External"/><Relationship Id="rId1409" Type="http://schemas.openxmlformats.org/officeDocument/2006/relationships/hyperlink" Target="https://doi.org/10.1017/pds.2021.90" TargetMode="External"/><Relationship Id="rId1433" Type="http://schemas.openxmlformats.org/officeDocument/2006/relationships/hyperlink" Target="https://ieeexplore.ieee.org/abstract/document/9310801/" TargetMode="External"/><Relationship Id="rId1434" Type="http://schemas.openxmlformats.org/officeDocument/2006/relationships/hyperlink" Target="http://aihc.amexihc.org/index.php/aihc/article/view/59" TargetMode="External"/><Relationship Id="rId1435" Type="http://schemas.openxmlformats.org/officeDocument/2006/relationships/hyperlink" Target="http://dx.doi.org/10.47756/aihc.y5i1.59" TargetMode="External"/><Relationship Id="rId1436" Type="http://schemas.openxmlformats.org/officeDocument/2006/relationships/hyperlink" Target="https://open.library.ubc.ca/cIRcle/collections/ubctheses/24/items/1.0395339" TargetMode="External"/><Relationship Id="rId1437" Type="http://schemas.openxmlformats.org/officeDocument/2006/relationships/hyperlink" Target="https://shop.openbci.com/products/5-mm-spike-electrode-pack-of-30?variant=8120433606670&amp;currency=USD&amp;utm_medium=product_sync&amp;utm_source=google&amp;utm_content=sag_organic&amp;utm_campaign=sag_organic&amp;utm_source=google&amp;utm_medium=cpc&amp;utm_campaign=9567225767&amp;utm_content=&amp;gclid=Cj0KCQiAlsv_BRDtARIsAHMGVSZOSdjjFnYPfckjhM0kYMqium7g2IyUwoFWCGWtSosIznyG4OLjdJQaAhWwEALw_wcB" TargetMode="External"/><Relationship Id="rId1438" Type="http://schemas.openxmlformats.org/officeDocument/2006/relationships/hyperlink" Target="https://pdfs.semanticscholar.org/4f78/fe53072f42837e4c969d670c6e2c7e2dcbe7.pdf" TargetMode="External"/><Relationship Id="rId1439" Type="http://schemas.openxmlformats.org/officeDocument/2006/relationships/hyperlink" Target="https://dx.doi.org/10.14569/IJACSA.2020.0110409" TargetMode="External"/><Relationship Id="rId609" Type="http://schemas.openxmlformats.org/officeDocument/2006/relationships/hyperlink" Target="https://iopscience.iop.org/article/10.1088/1741-2552/ad4743/meta" TargetMode="External"/><Relationship Id="rId608" Type="http://schemas.openxmlformats.org/officeDocument/2006/relationships/hyperlink" Target="https://shop.openbci.com/products/cyton-biosensing-board-8-channel" TargetMode="External"/><Relationship Id="rId607" Type="http://schemas.openxmlformats.org/officeDocument/2006/relationships/hyperlink" Target="https://ieeexplore.ieee.org/abstract/document/10522982" TargetMode="External"/><Relationship Id="rId602" Type="http://schemas.openxmlformats.org/officeDocument/2006/relationships/hyperlink" Target="https://www.scitepress.org/Papers/2024/126888/126888.pdf" TargetMode="External"/><Relationship Id="rId601" Type="http://schemas.openxmlformats.org/officeDocument/2006/relationships/hyperlink" Target="https://shop.openbci.com/products/cyton-biosensing-board-8-channel" TargetMode="External"/><Relationship Id="rId600" Type="http://schemas.openxmlformats.org/officeDocument/2006/relationships/hyperlink" Target="https://d197for5662m48.cloudfront.net/documents/publicationstatus/207322/preprint_pdf/81a07fc1ff8a09cc28e8e30eac9cf7fb.pdf" TargetMode="External"/><Relationship Id="rId606" Type="http://schemas.openxmlformats.org/officeDocument/2006/relationships/hyperlink" Target="https://shop.openbci.com/products/cyton-biosensing-board-8-channel" TargetMode="External"/><Relationship Id="rId605" Type="http://schemas.openxmlformats.org/officeDocument/2006/relationships/hyperlink" Target="https://doi.org/10.3390/neurosci5020012" TargetMode="External"/><Relationship Id="rId604" Type="http://schemas.openxmlformats.org/officeDocument/2006/relationships/hyperlink" Target="https://www.mdpi.com/2673-4087/5/2/12" TargetMode="External"/><Relationship Id="rId603" Type="http://schemas.openxmlformats.org/officeDocument/2006/relationships/hyperlink" Target="https://shop.openbci.com/products/cyton-daisy-biosensing-boards-16-channel" TargetMode="External"/><Relationship Id="rId1430" Type="http://schemas.openxmlformats.org/officeDocument/2006/relationships/hyperlink" Target="https://ieeexplore.ieee.org/abstract/document/9349612" TargetMode="External"/><Relationship Id="rId1431" Type="http://schemas.openxmlformats.org/officeDocument/2006/relationships/hyperlink" Target="https://arxiv.org/abs/2010.07534" TargetMode="External"/><Relationship Id="rId1432" Type="http://schemas.openxmlformats.org/officeDocument/2006/relationships/hyperlink" Target="https://ieeexplore.ieee.org/abstract/document/9331503" TargetMode="External"/><Relationship Id="rId1422" Type="http://schemas.openxmlformats.org/officeDocument/2006/relationships/hyperlink" Target="https://thesai.org/Publications/ViewPaper?Volume=11&amp;Issue=10&amp;Code=IJACSA&amp;SerialNo=80" TargetMode="External"/><Relationship Id="rId1423" Type="http://schemas.openxmlformats.org/officeDocument/2006/relationships/hyperlink" Target="https://ieeexplore.ieee.org/document/9170488" TargetMode="External"/><Relationship Id="rId1424" Type="http://schemas.openxmlformats.org/officeDocument/2006/relationships/hyperlink" Target="https://shop.openbci.com/collections/frontpage/products/openbci-eeg-electrocap?variant=16456881766472" TargetMode="External"/><Relationship Id="rId1425" Type="http://schemas.openxmlformats.org/officeDocument/2006/relationships/hyperlink" Target="https://www.scitepress.org/Papers/2020/88709/88709.pdf" TargetMode="External"/><Relationship Id="rId1426" Type="http://schemas.openxmlformats.org/officeDocument/2006/relationships/hyperlink" Target="http://dx.doi.org/10.5220/0008870901560163" TargetMode="External"/><Relationship Id="rId1427" Type="http://schemas.openxmlformats.org/officeDocument/2006/relationships/hyperlink" Target="https://shop.openbci.com/products/ultracortex-mark-iv" TargetMode="External"/><Relationship Id="rId1428" Type="http://schemas.openxmlformats.org/officeDocument/2006/relationships/hyperlink" Target="https://ieeexplore.ieee.org/document/9229386/" TargetMode="External"/><Relationship Id="rId1429" Type="http://schemas.openxmlformats.org/officeDocument/2006/relationships/hyperlink" Target="https://shop.openbci.com/products/ultracortex-mark-iv" TargetMode="External"/><Relationship Id="rId1420" Type="http://schemas.openxmlformats.org/officeDocument/2006/relationships/hyperlink" Target="https://doi.org/10.1007/s12559-020-09744-2" TargetMode="External"/><Relationship Id="rId1421" Type="http://schemas.openxmlformats.org/officeDocument/2006/relationships/hyperlink" Target="https://shop.openbci.com/products/ultracortex-mark-iv" TargetMode="External"/><Relationship Id="rId1059" Type="http://schemas.openxmlformats.org/officeDocument/2006/relationships/hyperlink" Target="https://scholar.google.com/scholar_url?url=https://books.google.com/books%3Fhl%3Den%26lr%3Dlang_en%26id%3DkwqXEAAAQBAJ%26oi%3Dfnd%26pg%3DPA293%26dq%3Dopenbci%26ots%3DLM_vUjqxL0%26sig%3DeBCarD3V55oNOQtblCTzhTaroLA&amp;hl=en&amp;sa=X&amp;d=2652626597243026658&amp;ei=5jxcY4bOL4OE6rQPw6-usA8&amp;scisig=AAGBfm0Ya69nJ9WVJvTfzOWaV2jeOSV_qg&amp;oi=scholaralrt&amp;hist=8WBGhdYAAAAJ:5437843588291773220:AAGBfm0AXzDYRW-VCMYvA48Xe9D-p48E1g&amp;html=&amp;pos=0&amp;folt=kw" TargetMode="External"/><Relationship Id="rId228" Type="http://schemas.openxmlformats.org/officeDocument/2006/relationships/hyperlink" Target="https://ieeexplore.ieee.org/document/11004003/" TargetMode="External"/><Relationship Id="rId227" Type="http://schemas.openxmlformats.org/officeDocument/2006/relationships/hyperlink" Target="https://shop.openbci.com/products/cyton-biosensing-board-8-channel" TargetMode="External"/><Relationship Id="rId226" Type="http://schemas.openxmlformats.org/officeDocument/2006/relationships/hyperlink" Target="https://link.springer.com/10.1007/978-3-031-89510-4_4" TargetMode="External"/><Relationship Id="rId225" Type="http://schemas.openxmlformats.org/officeDocument/2006/relationships/hyperlink" Target="https://shop.openbci.com/products/cyton-daisy-biosensing-boards-16-channel" TargetMode="External"/><Relationship Id="rId229" Type="http://schemas.openxmlformats.org/officeDocument/2006/relationships/hyperlink" Target="https://shop.openbci.com/products/cyton-biosensing-board-8-channel" TargetMode="External"/><Relationship Id="rId1050" Type="http://schemas.openxmlformats.org/officeDocument/2006/relationships/hyperlink" Target="https://shop.openbci.com/products/cyton-biosensing-board-8-channel" TargetMode="External"/><Relationship Id="rId220" Type="http://schemas.openxmlformats.org/officeDocument/2006/relationships/hyperlink" Target="https://shop.openbci.com/products/cyton-biosensing-board-8-channel" TargetMode="External"/><Relationship Id="rId1051" Type="http://schemas.openxmlformats.org/officeDocument/2006/relationships/hyperlink" Target="https://aip.scitation.org/doi/full/10.1063/5.0123238" TargetMode="External"/><Relationship Id="rId1052" Type="http://schemas.openxmlformats.org/officeDocument/2006/relationships/hyperlink" Target="https://doi.org/10.1063/5.0123238" TargetMode="External"/><Relationship Id="rId1053" Type="http://schemas.openxmlformats.org/officeDocument/2006/relationships/hyperlink" Target="http://sciencerepository.uk/id/eprint/560/1/4879-Article%20Text-9260-1-10-20221201.pdf" TargetMode="External"/><Relationship Id="rId1054" Type="http://schemas.openxmlformats.org/officeDocument/2006/relationships/hyperlink" Target="https://shop.openbci.com/products/cyton-daisy-biosensing-boards-16-channel" TargetMode="External"/><Relationship Id="rId224" Type="http://schemas.openxmlformats.org/officeDocument/2006/relationships/hyperlink" Target="https://iieta.org/journals/jesa/paper/10.18280/jesa.580203" TargetMode="External"/><Relationship Id="rId1055" Type="http://schemas.openxmlformats.org/officeDocument/2006/relationships/hyperlink" Target="https://www.sciencedirect.com/science/article/abs/pii/S0957417422024484" TargetMode="External"/><Relationship Id="rId223" Type="http://schemas.openxmlformats.org/officeDocument/2006/relationships/hyperlink" Target="https://www.spiedigitallibrary.org/conference-proceedings-of-spie/13637/3056815/FreeBCI-Android-application-for-portable-EEG-signal-acquisition-system/10.1117/12.3056815.full" TargetMode="External"/><Relationship Id="rId1056" Type="http://schemas.openxmlformats.org/officeDocument/2006/relationships/hyperlink" Target="https://doi.org/10.1016/j.eswa.2022.119429" TargetMode="External"/><Relationship Id="rId222" Type="http://schemas.openxmlformats.org/officeDocument/2006/relationships/hyperlink" Target="https://linkinghub.elsevier.com/retrieve/pii/S1474034625003544" TargetMode="External"/><Relationship Id="rId1057" Type="http://schemas.openxmlformats.org/officeDocument/2006/relationships/hyperlink" Target="https://shop.openbci.com/products/cyton-daisy-biosensing-boards-16-channel" TargetMode="External"/><Relationship Id="rId221" Type="http://schemas.openxmlformats.org/officeDocument/2006/relationships/hyperlink" Target="https://link.springer.com/10.1007/978-981-96-0994-9_18" TargetMode="External"/><Relationship Id="rId1058" Type="http://schemas.openxmlformats.org/officeDocument/2006/relationships/hyperlink" Target="https://shop.openbci.com/products/ultracortex-mark-iv" TargetMode="External"/><Relationship Id="rId1048" Type="http://schemas.openxmlformats.org/officeDocument/2006/relationships/hyperlink" Target="https://shop.openbci.com/collections/frontpage/products/openbci-eeg-headband-kit?variant=8120393760782" TargetMode="External"/><Relationship Id="rId1049" Type="http://schemas.openxmlformats.org/officeDocument/2006/relationships/hyperlink" Target="https://ieeexplore.ieee.org/abstract/document/9972981/authors" TargetMode="External"/><Relationship Id="rId217" Type="http://schemas.openxmlformats.org/officeDocument/2006/relationships/hyperlink" Target="https://link.springer.com/10.1007/978-3-031-93838-2_14" TargetMode="External"/><Relationship Id="rId216" Type="http://schemas.openxmlformats.org/officeDocument/2006/relationships/hyperlink" Target="https://ieeexplore.ieee.org/document/11016540/" TargetMode="External"/><Relationship Id="rId215" Type="http://schemas.openxmlformats.org/officeDocument/2006/relationships/hyperlink" Target="https://link.springer.com/10.1007/s11517-025-03386-y" TargetMode="External"/><Relationship Id="rId699" Type="http://schemas.openxmlformats.org/officeDocument/2006/relationships/hyperlink" Target="https://shop.openbci.com/products/cyton-daisy-biosensing-boards-16-channel" TargetMode="External"/><Relationship Id="rId214" Type="http://schemas.openxmlformats.org/officeDocument/2006/relationships/hyperlink" Target="https://shop.openbci.com/products/cyton-daisy-biosensing-boards-16-channel" TargetMode="External"/><Relationship Id="rId698" Type="http://schemas.openxmlformats.org/officeDocument/2006/relationships/hyperlink" Target="https://doi.org/10.1080/20008066.2023.2272477" TargetMode="External"/><Relationship Id="rId219" Type="http://schemas.openxmlformats.org/officeDocument/2006/relationships/hyperlink" Target="https://www.techrxiv.org/users/916094/articles/1296844-iist-bci-dataset-11-male-and-female-eeg-dataset-for-malayalam-vowels-and-consonants?commit=af296277931ef2186a95f7847bcb3c0671217514" TargetMode="External"/><Relationship Id="rId218" Type="http://schemas.openxmlformats.org/officeDocument/2006/relationships/hyperlink" Target="https://link.springer.com/10.1007/s00221-025-07097-6" TargetMode="External"/><Relationship Id="rId693" Type="http://schemas.openxmlformats.org/officeDocument/2006/relationships/hyperlink" Target="https://www.mdpi.com/1424-8220/24/2/364" TargetMode="External"/><Relationship Id="rId1040" Type="http://schemas.openxmlformats.org/officeDocument/2006/relationships/hyperlink" Target="https://shop.openbci.com/products/cyton-biosensing-board-8-channel" TargetMode="External"/><Relationship Id="rId692" Type="http://schemas.openxmlformats.org/officeDocument/2006/relationships/hyperlink" Target="https://shop.openbci.com/products/cyton-biosensing-board-8-channel" TargetMode="External"/><Relationship Id="rId1041" Type="http://schemas.openxmlformats.org/officeDocument/2006/relationships/hyperlink" Target="https://ietresearch.onlinelibrary.wiley.com/doi/pdf/10.1049/ccs2.12077" TargetMode="External"/><Relationship Id="rId691" Type="http://schemas.openxmlformats.org/officeDocument/2006/relationships/hyperlink" Target="https://scholar.google.com/scholar_url?url=https://www.mdpi.com/1424-8220/24/2/540/pdf&amp;hl=en&amp;sa=X&amp;d=6233231181156253458&amp;ei=36SnZYvBDoCNy9YPueucmAQ&amp;scisig=AFWwaebwCBHJGAuJkob7faNXm07G&amp;oi=scholaralrt&amp;hist=8WBGhdYAAAAJ:5437843588291773220:AFWwaebmzrq9zPN1CYXQ5l-OkEG-&amp;html=&amp;pos=2&amp;folt=kw" TargetMode="External"/><Relationship Id="rId1042" Type="http://schemas.openxmlformats.org/officeDocument/2006/relationships/hyperlink" Target="https://shop.openbci.com/products/cyton-daisy-biosensing-boards-16-channel" TargetMode="External"/><Relationship Id="rId690" Type="http://schemas.openxmlformats.org/officeDocument/2006/relationships/hyperlink" Target="https://shop.openbci.com/products/cyton-biosensing-board-8-channel" TargetMode="External"/><Relationship Id="rId1043" Type="http://schemas.openxmlformats.org/officeDocument/2006/relationships/hyperlink" Target="https://ieeexplore.ieee.org/document/9919502" TargetMode="External"/><Relationship Id="rId213" Type="http://schemas.openxmlformats.org/officeDocument/2006/relationships/hyperlink" Target="https://arxiv.org/abs/2506.07193" TargetMode="External"/><Relationship Id="rId697" Type="http://schemas.openxmlformats.org/officeDocument/2006/relationships/hyperlink" Target="https://www.tandfonline.com/doi/full/10.1080/20008066.2023.2272477" TargetMode="External"/><Relationship Id="rId1044" Type="http://schemas.openxmlformats.org/officeDocument/2006/relationships/hyperlink" Target="https://shop.openbci.com/products/cyton-biosensing-board-8-channel" TargetMode="External"/><Relationship Id="rId212" Type="http://schemas.openxmlformats.org/officeDocument/2006/relationships/hyperlink" Target="https://shop.openbci.com/products/cyton-daisy-biosensing-boards-16-channel" TargetMode="External"/><Relationship Id="rId696" Type="http://schemas.openxmlformats.org/officeDocument/2006/relationships/hyperlink" Target="https://shop.openbci.com/products/ultracortex-mark-iv" TargetMode="External"/><Relationship Id="rId1045" Type="http://schemas.openxmlformats.org/officeDocument/2006/relationships/hyperlink" Target="https://ethos.bl.uk/OrderDetails.do?uin=uk.bl.ethos.871172" TargetMode="External"/><Relationship Id="rId211" Type="http://schemas.openxmlformats.org/officeDocument/2006/relationships/hyperlink" Target="https://www.techrxiv.org/users/931774/articles/1302738-iist-bci-dataset-12-a-bci-dataset-for-telugu-vocal-and-subvocal-commands-with-dialect-variation-for-wheelchair-control?commit=6c69035d34e3b4bfefe627f0c5761afcfbf6f11c" TargetMode="External"/><Relationship Id="rId695" Type="http://schemas.openxmlformats.org/officeDocument/2006/relationships/hyperlink" Target="https://shop.openbci.com/products/cyton-daisy-biosensing-boards-16-channel" TargetMode="External"/><Relationship Id="rId1046" Type="http://schemas.openxmlformats.org/officeDocument/2006/relationships/hyperlink" Target="https://shop.openbci.com/products/cyton-daisy-biosensing-boards-16-channel" TargetMode="External"/><Relationship Id="rId210" Type="http://schemas.openxmlformats.org/officeDocument/2006/relationships/hyperlink" Target="https://pubs.acs.org/doi/10.1021/acsaelm.5c00310" TargetMode="External"/><Relationship Id="rId694" Type="http://schemas.openxmlformats.org/officeDocument/2006/relationships/hyperlink" Target="https://doi.org/10.3390/s24020364" TargetMode="External"/><Relationship Id="rId1047" Type="http://schemas.openxmlformats.org/officeDocument/2006/relationships/hyperlink" Target="https://shop.openbci.com/products/openbci-eeg-electrocap" TargetMode="External"/><Relationship Id="rId249" Type="http://schemas.openxmlformats.org/officeDocument/2006/relationships/hyperlink" Target="https://www.mdpi.com/2571-5577/8/2/56" TargetMode="External"/><Relationship Id="rId248" Type="http://schemas.openxmlformats.org/officeDocument/2006/relationships/hyperlink" Target="https://shop.openbci.com/products/cyton-daisy-biosensing-boards-16-channel" TargetMode="External"/><Relationship Id="rId247" Type="http://schemas.openxmlformats.org/officeDocument/2006/relationships/hyperlink" Target="https://ieeexplore.ieee.org/document/10972026/" TargetMode="External"/><Relationship Id="rId1070" Type="http://schemas.openxmlformats.org/officeDocument/2006/relationships/hyperlink" Target="https://ieeexplore.ieee.org/abstract/document/9940285/authors" TargetMode="External"/><Relationship Id="rId1071" Type="http://schemas.openxmlformats.org/officeDocument/2006/relationships/hyperlink" Target="https://shop.openbci.com/products/cyton-biosensing-board-8-channel" TargetMode="External"/><Relationship Id="rId1072" Type="http://schemas.openxmlformats.org/officeDocument/2006/relationships/hyperlink" Target="https://ieeexplore.ieee.org/stamp/stamp.jsp?arnumber=9936836" TargetMode="External"/><Relationship Id="rId242" Type="http://schemas.openxmlformats.org/officeDocument/2006/relationships/hyperlink" Target="https://shop.openbci.com/products/cyton-biosensing-board-8-channel" TargetMode="External"/><Relationship Id="rId1073" Type="http://schemas.openxmlformats.org/officeDocument/2006/relationships/hyperlink" Target="https://shop.openbci.com/products/cyton-biosensing-board-8-channel" TargetMode="External"/><Relationship Id="rId241" Type="http://schemas.openxmlformats.org/officeDocument/2006/relationships/hyperlink" Target="https://www.techrxiv.org/users/914536/articles/1287616-wrist-motion-regression-using-emg-attention-feature-fusion-algorithm?commit=d43654d376c0b8fff40576d2106bcd26326bdd50" TargetMode="External"/><Relationship Id="rId1074" Type="http://schemas.openxmlformats.org/officeDocument/2006/relationships/hyperlink" Target="https://ieeexplore.ieee.org/abstract/document/9948657" TargetMode="External"/><Relationship Id="rId240" Type="http://schemas.openxmlformats.org/officeDocument/2006/relationships/hyperlink" Target="http://medrxiv.org/lookup/doi/10.1101/2025.03.07.25323496" TargetMode="External"/><Relationship Id="rId1075" Type="http://schemas.openxmlformats.org/officeDocument/2006/relationships/hyperlink" Target="https://shop.openbci.com/products/cyton-biosensing-board-8-channel" TargetMode="External"/><Relationship Id="rId1076" Type="http://schemas.openxmlformats.org/officeDocument/2006/relationships/hyperlink" Target="https://shop.openbci.com/products/ultracortex-mark-iv" TargetMode="External"/><Relationship Id="rId246" Type="http://schemas.openxmlformats.org/officeDocument/2006/relationships/hyperlink" Target="https://shop.openbci.com/products/cyton-biosensing-board-8-channel" TargetMode="External"/><Relationship Id="rId1077" Type="http://schemas.openxmlformats.org/officeDocument/2006/relationships/hyperlink" Target="https://ieeexplore.ieee.org/abstract/document/9946522" TargetMode="External"/><Relationship Id="rId245" Type="http://schemas.openxmlformats.org/officeDocument/2006/relationships/hyperlink" Target="https://www.techrxiv.org/users/916082/articles/1288937-iist-bci-dataset-9-eeg-dataset-for-malayalam-vocal-and-subvocal-commands-with-dialect-variation-for-wheelchair-control?commit=df5d65312bcbd1f300d25acf679cb35d35ff29c8" TargetMode="External"/><Relationship Id="rId1078" Type="http://schemas.openxmlformats.org/officeDocument/2006/relationships/hyperlink" Target="https://shop.openbci.com/products/cyton-daisy-biosensing-boards-16-channel" TargetMode="External"/><Relationship Id="rId244" Type="http://schemas.openxmlformats.org/officeDocument/2006/relationships/hyperlink" Target="https://shop.openbci.com/products/cyton-biosensing-board-8-channel" TargetMode="External"/><Relationship Id="rId1079" Type="http://schemas.openxmlformats.org/officeDocument/2006/relationships/hyperlink" Target="https://journal-home.s3.ap-northeast-2.amazonaws.com/site/2022f/abs/UMHNF-0186.pdf" TargetMode="External"/><Relationship Id="rId243" Type="http://schemas.openxmlformats.org/officeDocument/2006/relationships/hyperlink" Target="https://engrxiv.org/preprint/view/4555/version/6202" TargetMode="External"/><Relationship Id="rId239" Type="http://schemas.openxmlformats.org/officeDocument/2006/relationships/hyperlink" Target="https://shop.openbci.com/products/cyton-biosensing-board-8-channel" TargetMode="External"/><Relationship Id="rId238" Type="http://schemas.openxmlformats.org/officeDocument/2006/relationships/hyperlink" Target="https://www.techrxiv.org/users/814488/articles/1289920-iist-bci-dataset-10-for-telugu-vowels-and-consonants?commit=ee45063fd8e9ece1121bb713db6669cc8b41aab4" TargetMode="External"/><Relationship Id="rId237" Type="http://schemas.openxmlformats.org/officeDocument/2006/relationships/hyperlink" Target="https://shop.openbci.com/products/cyton-biosensing-board-8-channel" TargetMode="External"/><Relationship Id="rId236" Type="http://schemas.openxmlformats.org/officeDocument/2006/relationships/hyperlink" Target="https://linkinghub.elsevier.com/retrieve/pii/S0360544225020766" TargetMode="External"/><Relationship Id="rId1060" Type="http://schemas.openxmlformats.org/officeDocument/2006/relationships/hyperlink" Target="https://shop.openbci.com/products/cyton-biosensing-board-8-channel" TargetMode="External"/><Relationship Id="rId1061" Type="http://schemas.openxmlformats.org/officeDocument/2006/relationships/hyperlink" Target="https://ieeexplore.ieee.org/abstract/document/9926591" TargetMode="External"/><Relationship Id="rId231" Type="http://schemas.openxmlformats.org/officeDocument/2006/relationships/hyperlink" Target="https://shop.openbci.com/products/cyton-biosensing-board-8-channel" TargetMode="External"/><Relationship Id="rId1062" Type="http://schemas.openxmlformats.org/officeDocument/2006/relationships/hyperlink" Target="https://shop.openbci.com/products/cyton-biosensing-board-8-channel" TargetMode="External"/><Relationship Id="rId230" Type="http://schemas.openxmlformats.org/officeDocument/2006/relationships/hyperlink" Target="https://ieeexplore.ieee.org/document/9855407/" TargetMode="External"/><Relationship Id="rId1063" Type="http://schemas.openxmlformats.org/officeDocument/2006/relationships/hyperlink" Target="https://shop.openbci.com/products/ultracortex-mark-iv" TargetMode="External"/><Relationship Id="rId1064" Type="http://schemas.openxmlformats.org/officeDocument/2006/relationships/hyperlink" Target="https://ieeexplore.ieee.org/abstract/document/9919502" TargetMode="External"/><Relationship Id="rId1065" Type="http://schemas.openxmlformats.org/officeDocument/2006/relationships/hyperlink" Target="https://shop.openbci.com/products/cyton-biosensing-board-8-channel" TargetMode="External"/><Relationship Id="rId235" Type="http://schemas.openxmlformats.org/officeDocument/2006/relationships/hyperlink" Target="https://shop.openbci.com/products/cyton-biosensing-board-8-channel" TargetMode="External"/><Relationship Id="rId1066" Type="http://schemas.openxmlformats.org/officeDocument/2006/relationships/hyperlink" Target="https://aisel.aisnet.org/icis2022/hci_robot/hci_robot/9/" TargetMode="External"/><Relationship Id="rId234" Type="http://schemas.openxmlformats.org/officeDocument/2006/relationships/hyperlink" Target="https://www.cambridge.org/core/product/identifier/S2631717625000118/type/journal_article" TargetMode="External"/><Relationship Id="rId1067" Type="http://schemas.openxmlformats.org/officeDocument/2006/relationships/hyperlink" Target="https://shop.openbci.com/products/cyton-biosensing-board-8-channel" TargetMode="External"/><Relationship Id="rId233" Type="http://schemas.openxmlformats.org/officeDocument/2006/relationships/hyperlink" Target="https://shop.openbci.com/products/cyton-biosensing-board-8-channel" TargetMode="External"/><Relationship Id="rId1068" Type="http://schemas.openxmlformats.org/officeDocument/2006/relationships/hyperlink" Target="https://www.dbpia.co.kr/Journal/articleDetail?nodeId=NODE11138652" TargetMode="External"/><Relationship Id="rId232" Type="http://schemas.openxmlformats.org/officeDocument/2006/relationships/hyperlink" Target="https://advanced.onlinelibrary.wiley.com/doi/10.1002/admt.202402032" TargetMode="External"/><Relationship Id="rId1069" Type="http://schemas.openxmlformats.org/officeDocument/2006/relationships/hyperlink" Target="https://shop.openbci.com/products/cyton-biosensing-board-8-channel" TargetMode="External"/><Relationship Id="rId1015" Type="http://schemas.openxmlformats.org/officeDocument/2006/relationships/hyperlink" Target="https://iopscience.iop.org/article/10.1088/1757-899X/1266/1/012019/pdf" TargetMode="External"/><Relationship Id="rId1499" Type="http://schemas.openxmlformats.org/officeDocument/2006/relationships/hyperlink" Target="https://www.frontiersin.org/articles/10.3389/fninf.2020.553352/full" TargetMode="External"/><Relationship Id="rId1016" Type="http://schemas.openxmlformats.org/officeDocument/2006/relationships/hyperlink" Target="https://shop.openbci.com/products/cyton-biosensing-board-8-channel" TargetMode="External"/><Relationship Id="rId1017" Type="http://schemas.openxmlformats.org/officeDocument/2006/relationships/hyperlink" Target="https://www.sciencedirect.com/science/article/pii/S277252862300002X" TargetMode="External"/><Relationship Id="rId1018" Type="http://schemas.openxmlformats.org/officeDocument/2006/relationships/hyperlink" Target="https://doi.org/10.1016/j.neuri.2023.100117" TargetMode="External"/><Relationship Id="rId1019" Type="http://schemas.openxmlformats.org/officeDocument/2006/relationships/hyperlink" Target="https://shop.openbci.com/products/cyton-biosensing-board-8-channel" TargetMode="External"/><Relationship Id="rId668" Type="http://schemas.openxmlformats.org/officeDocument/2006/relationships/hyperlink" Target="https://shop.openbci.com/products/cyton-biosensing-board-8-channel" TargetMode="External"/><Relationship Id="rId667" Type="http://schemas.openxmlformats.org/officeDocument/2006/relationships/hyperlink" Target="https://doi.org/10.3389/fninf.2023.1306277" TargetMode="External"/><Relationship Id="rId666" Type="http://schemas.openxmlformats.org/officeDocument/2006/relationships/hyperlink" Target="https://www.frontiersin.org/articles/10.3389/fninf.2023.1306277/full" TargetMode="External"/><Relationship Id="rId665" Type="http://schemas.openxmlformats.org/officeDocument/2006/relationships/hyperlink" Target="https://shop.openbci.com/products/ultracortex-mark-iv" TargetMode="External"/><Relationship Id="rId669" Type="http://schemas.openxmlformats.org/officeDocument/2006/relationships/hyperlink" Target="https://intapi.sciendo.com/pdf/10.2478/amns-2024-0299" TargetMode="External"/><Relationship Id="rId1490" Type="http://schemas.openxmlformats.org/officeDocument/2006/relationships/hyperlink" Target="https://shop.openbci.com/collections/frontpage/products/openbci-eeg-headband-kit?variant=8120393760782" TargetMode="External"/><Relationship Id="rId660" Type="http://schemas.openxmlformats.org/officeDocument/2006/relationships/hyperlink" Target="https://ieeexplore.ieee.org/abstract/document/10458349" TargetMode="External"/><Relationship Id="rId1491" Type="http://schemas.openxmlformats.org/officeDocument/2006/relationships/hyperlink" Target="https://www.researchgate.net/profile/Manuel_Olguin_Munoz/publication/345065642_Impact_of_delayed_response_on_Wearable_Cognitive_Assistance/links/5f9d453b299bf1b53e547b53/Impact-of-delayed-response-on-Wearable-Cognitive-Assistance.pdf" TargetMode="External"/><Relationship Id="rId1492" Type="http://schemas.openxmlformats.org/officeDocument/2006/relationships/hyperlink" Target="https://shop.openbci.com/products/cyton-biosensing-board-8-channel" TargetMode="External"/><Relationship Id="rId1493" Type="http://schemas.openxmlformats.org/officeDocument/2006/relationships/hyperlink" Target="https://www.futurescienceleaders.com/blog/2020/06/development-of-an-eog-classification-system-for-sci-prosthetic-hand-movement/" TargetMode="External"/><Relationship Id="rId1010" Type="http://schemas.openxmlformats.org/officeDocument/2006/relationships/hyperlink" Target="https://doi.org/10.1007/s13534-023-00265-z" TargetMode="External"/><Relationship Id="rId1494" Type="http://schemas.openxmlformats.org/officeDocument/2006/relationships/hyperlink" Target="https://shop.openbci.com/products/cyton-biosensing-board-8-channel" TargetMode="External"/><Relationship Id="rId664" Type="http://schemas.openxmlformats.org/officeDocument/2006/relationships/hyperlink" Target="https://shop.openbci.com/products/cyton-biosensing-board-8-channel" TargetMode="External"/><Relationship Id="rId1011" Type="http://schemas.openxmlformats.org/officeDocument/2006/relationships/hyperlink" Target="https://shop.openbci.com/products/ultracortex-mark-iv" TargetMode="External"/><Relationship Id="rId1495" Type="http://schemas.openxmlformats.org/officeDocument/2006/relationships/hyperlink" Target="https://dl.acm.org/doi/abs/10.1145/3382507.3418882" TargetMode="External"/><Relationship Id="rId663" Type="http://schemas.openxmlformats.org/officeDocument/2006/relationships/hyperlink" Target="https://sappg.ufes.br/tese_drupal/tese_17478_Disserta%E7%E3o%20de%20Mestrado%20-%20Cristian%20Felipe%20Blanco%20D%EDaz.pdf" TargetMode="External"/><Relationship Id="rId1012" Type="http://schemas.openxmlformats.org/officeDocument/2006/relationships/hyperlink" Target="https://www.mdpi.com/2079-9292/12/4/833" TargetMode="External"/><Relationship Id="rId1496" Type="http://schemas.openxmlformats.org/officeDocument/2006/relationships/hyperlink" Target="https://doi.org/10.1145/3382507.3418882" TargetMode="External"/><Relationship Id="rId662" Type="http://schemas.openxmlformats.org/officeDocument/2006/relationships/hyperlink" Target="https://shop.openbci.com/products/openbci-eeg-electrocap" TargetMode="External"/><Relationship Id="rId1013" Type="http://schemas.openxmlformats.org/officeDocument/2006/relationships/hyperlink" Target="https://doi.org/10.3390/electronics12040833" TargetMode="External"/><Relationship Id="rId1497" Type="http://schemas.openxmlformats.org/officeDocument/2006/relationships/hyperlink" Target="https://shop.openbci.com/products/cyton-biosensing-board-8-channel" TargetMode="External"/><Relationship Id="rId661" Type="http://schemas.openxmlformats.org/officeDocument/2006/relationships/hyperlink" Target="https://shop.openbci.com/products/cyton-biosensing-board-8-channel" TargetMode="External"/><Relationship Id="rId1014" Type="http://schemas.openxmlformats.org/officeDocument/2006/relationships/hyperlink" Target="https://shop.openbci.com/products/cyton-biosensing-board-8-channel" TargetMode="External"/><Relationship Id="rId1498" Type="http://schemas.openxmlformats.org/officeDocument/2006/relationships/hyperlink" Target="https://shop.openbci.com/products/ultracortex-mark-iv" TargetMode="External"/><Relationship Id="rId1004" Type="http://schemas.openxmlformats.org/officeDocument/2006/relationships/hyperlink" Target="https://www.researchgate.net/publication/368636685_Investigation_of_Thermal_Perception_and_Emotional_Response_in_Augmented_Reality_using_Digital_Biomarkers_A_Pilot_Study" TargetMode="External"/><Relationship Id="rId1488" Type="http://schemas.openxmlformats.org/officeDocument/2006/relationships/hyperlink" Target="https://www.degruyter.com/view/journals/bams/ahead-of-print/article-10.1515-bams-2020-0050/article-10.1515-bams-2020-0050.xml" TargetMode="External"/><Relationship Id="rId1005" Type="http://schemas.openxmlformats.org/officeDocument/2006/relationships/hyperlink" Target="https://shop.openbci.com/products/cyton-biosensing-board-8-channel" TargetMode="External"/><Relationship Id="rId1489" Type="http://schemas.openxmlformats.org/officeDocument/2006/relationships/hyperlink" Target="https://doi.org/10.1515/bams-2020-0050" TargetMode="External"/><Relationship Id="rId1006" Type="http://schemas.openxmlformats.org/officeDocument/2006/relationships/hyperlink" Target="https://www.mdpi.com/2218-6581/12/1/27" TargetMode="External"/><Relationship Id="rId1007" Type="http://schemas.openxmlformats.org/officeDocument/2006/relationships/hyperlink" Target="https://doi.org/10.3390/robotics12010027" TargetMode="External"/><Relationship Id="rId1008" Type="http://schemas.openxmlformats.org/officeDocument/2006/relationships/hyperlink" Target="https://shop.openbci.com/products/cyton-biosensing-board-8-channel" TargetMode="External"/><Relationship Id="rId1009" Type="http://schemas.openxmlformats.org/officeDocument/2006/relationships/hyperlink" Target="https://link.springer.com/article/10.1007/s13534-023-00265-z" TargetMode="External"/><Relationship Id="rId657" Type="http://schemas.openxmlformats.org/officeDocument/2006/relationships/hyperlink" Target="https://dl.acm.org/doi/abs/10.1145/3626252.3630900" TargetMode="External"/><Relationship Id="rId656" Type="http://schemas.openxmlformats.org/officeDocument/2006/relationships/hyperlink" Target="https://doi.org/10.1145/3643516" TargetMode="External"/><Relationship Id="rId655" Type="http://schemas.openxmlformats.org/officeDocument/2006/relationships/hyperlink" Target="https://dl.acm.org/doi/pdf/10.1145/3643516" TargetMode="External"/><Relationship Id="rId654" Type="http://schemas.openxmlformats.org/officeDocument/2006/relationships/hyperlink" Target="https://shop.openbci.com/products/cyton-biosensing-board-8-channel" TargetMode="External"/><Relationship Id="rId659" Type="http://schemas.openxmlformats.org/officeDocument/2006/relationships/hyperlink" Target="https://shop.openbci.com/products/cyton-daisy-biosensing-boards-16-channel" TargetMode="External"/><Relationship Id="rId658" Type="http://schemas.openxmlformats.org/officeDocument/2006/relationships/hyperlink" Target="https://doi.org/10.1145/3626252.3630900" TargetMode="External"/><Relationship Id="rId1480" Type="http://schemas.openxmlformats.org/officeDocument/2006/relationships/hyperlink" Target="https://shop.openbci.com/collections/frontpage/products/openbci-eeg-electrocap?variant=16456881766472" TargetMode="External"/><Relationship Id="rId1481" Type="http://schemas.openxmlformats.org/officeDocument/2006/relationships/hyperlink" Target="https://dl.acm.org/doi/abs/10.1145/3385956.3422122" TargetMode="External"/><Relationship Id="rId1482" Type="http://schemas.openxmlformats.org/officeDocument/2006/relationships/hyperlink" Target="https://doi.org/10.1145/3385956.3422122" TargetMode="External"/><Relationship Id="rId1483" Type="http://schemas.openxmlformats.org/officeDocument/2006/relationships/hyperlink" Target="https://shop.openbci.com/products/cyton-biosensing-board-8-channel" TargetMode="External"/><Relationship Id="rId653" Type="http://schemas.openxmlformats.org/officeDocument/2006/relationships/hyperlink" Target="https://www.techrxiv.org/doi/full/10.36227/techrxiv.171043118.80448751/v1" TargetMode="External"/><Relationship Id="rId1000" Type="http://schemas.openxmlformats.org/officeDocument/2006/relationships/hyperlink" Target="https://www.sciencedirect.com/science/article/pii/S2666307423000098" TargetMode="External"/><Relationship Id="rId1484" Type="http://schemas.openxmlformats.org/officeDocument/2006/relationships/hyperlink" Target="https://shop.openbci.com/collections/frontpage/products/openbci-eeg-electrocap?variant=16456881766472" TargetMode="External"/><Relationship Id="rId652" Type="http://schemas.openxmlformats.org/officeDocument/2006/relationships/hyperlink" Target="https://shop.openbci.com/products/cyton-biosensing-board-8-channel" TargetMode="External"/><Relationship Id="rId1001" Type="http://schemas.openxmlformats.org/officeDocument/2006/relationships/hyperlink" Target="https://doi.org/10.1016/j.ijcce.2023.02.006" TargetMode="External"/><Relationship Id="rId1485" Type="http://schemas.openxmlformats.org/officeDocument/2006/relationships/hyperlink" Target="http://scholar.google.com/scholar_url?url=http://revistasabi.fi.mdp.edu.ar/index.php/revista/article/download/356/344&amp;hl=en&amp;sa=X&amp;d=9980152827287068544&amp;ei=AOuuX5n9JdKimAGFhLnYDg&amp;scisig=AAGBfm0YGDF7e0znbVnljeUIGvZT_0J5PQ&amp;nossl=1&amp;oi=scholaralrt&amp;hist=phuwsnkAAAAJ:1324821476278215287:AAGBfm1j5tukHsbeU89cUqsrIj25mrgFmg&amp;html=" TargetMode="External"/><Relationship Id="rId651" Type="http://schemas.openxmlformats.org/officeDocument/2006/relationships/hyperlink" Target="https://www.scitepress.org/Papers/2024/122493/122493.pdf" TargetMode="External"/><Relationship Id="rId1002" Type="http://schemas.openxmlformats.org/officeDocument/2006/relationships/hyperlink" Target="https://shop.openbci.com/products/cyton-biosensing-board-8-channel" TargetMode="External"/><Relationship Id="rId1486" Type="http://schemas.openxmlformats.org/officeDocument/2006/relationships/hyperlink" Target="https://shop.openbci.com/products/cyton-biosensing-board-8-channel" TargetMode="External"/><Relationship Id="rId650" Type="http://schemas.openxmlformats.org/officeDocument/2006/relationships/hyperlink" Target="https://shop.openbci.com/products/cyton-biosensing-board-8-channel" TargetMode="External"/><Relationship Id="rId1003" Type="http://schemas.openxmlformats.org/officeDocument/2006/relationships/hyperlink" Target="https://openbci.com/community/openbci-ceegrids/" TargetMode="External"/><Relationship Id="rId1487" Type="http://schemas.openxmlformats.org/officeDocument/2006/relationships/hyperlink" Target="https://ieeexplore.ieee.org/document/9234239/authors" TargetMode="External"/><Relationship Id="rId1037" Type="http://schemas.openxmlformats.org/officeDocument/2006/relationships/hyperlink" Target="https://ieeexplore.ieee.org/abstract/document/9989874" TargetMode="External"/><Relationship Id="rId1038" Type="http://schemas.openxmlformats.org/officeDocument/2006/relationships/hyperlink" Target="https://shop.openbci.com/products/cyton-biosensing-board-8-channel" TargetMode="External"/><Relationship Id="rId1039" Type="http://schemas.openxmlformats.org/officeDocument/2006/relationships/hyperlink" Target="https://ieeexplore.ieee.org/abstract/document/9988114" TargetMode="External"/><Relationship Id="rId206" Type="http://schemas.openxmlformats.org/officeDocument/2006/relationships/hyperlink" Target="https://jcoms.fesb.unist.hr/10.24138/jcomss-2025-0012/" TargetMode="External"/><Relationship Id="rId205" Type="http://schemas.openxmlformats.org/officeDocument/2006/relationships/hyperlink" Target="https://xlink.rsc.org/?DOI=D5SE00510H" TargetMode="External"/><Relationship Id="rId689" Type="http://schemas.openxmlformats.org/officeDocument/2006/relationships/hyperlink" Target="https://eudl.eu/pdf/10.4108/eai.27-10-2023.2342016" TargetMode="External"/><Relationship Id="rId204" Type="http://schemas.openxmlformats.org/officeDocument/2006/relationships/hyperlink" Target="https://ieeexplore.ieee.org/document/11050769/" TargetMode="External"/><Relationship Id="rId688" Type="http://schemas.openxmlformats.org/officeDocument/2006/relationships/hyperlink" Target="https://shop.openbci.com/products/cyton-biosensing-board-8-channel" TargetMode="External"/><Relationship Id="rId203" Type="http://schemas.openxmlformats.org/officeDocument/2006/relationships/hyperlink" Target="https://shop.openbci.com/products/cyton-daisy-biosensing-boards-16-channel" TargetMode="External"/><Relationship Id="rId687" Type="http://schemas.openxmlformats.org/officeDocument/2006/relationships/hyperlink" Target="https://scholar.google.com/scholar_url?url=https://www.preprints.org/manuscript/202401.1608/download/final_file&amp;hl=en&amp;sa=X&amp;d=4781543196447158273&amp;ei=zdi0ZeaWB_W56rQPi4yb-Ak&amp;scisig=AFWwaebSiMQSaw3pTzKsdpxS01oN&amp;oi=scholaralrt&amp;hist=8WBGhdYAAAAJ:5437843588291773220:AFWwaebmzrq9zPN1CYXQ5l-OkEG-&amp;html=&amp;pos=0&amp;folt=kw" TargetMode="External"/><Relationship Id="rId209" Type="http://schemas.openxmlformats.org/officeDocument/2006/relationships/hyperlink" Target="https://ojs.studiespublicacoes.com.br/ojs/index.php/cadped/article/view/17138" TargetMode="External"/><Relationship Id="rId208" Type="http://schemas.openxmlformats.org/officeDocument/2006/relationships/hyperlink" Target="https://linkinghub.elsevier.com/retrieve/pii/S0306452225007183" TargetMode="External"/><Relationship Id="rId207" Type="http://schemas.openxmlformats.org/officeDocument/2006/relationships/hyperlink" Target="https://docs.lib.purdue.edu/cib-conferences/vol1/iss1/381" TargetMode="External"/><Relationship Id="rId682" Type="http://schemas.openxmlformats.org/officeDocument/2006/relationships/hyperlink" Target="https://pubs.acs.org/doi/abs/10.1021/acsaelm.3c01414" TargetMode="External"/><Relationship Id="rId681" Type="http://schemas.openxmlformats.org/officeDocument/2006/relationships/hyperlink" Target="https://shop.openbci.com/products/cyton-biosensing-board-8-channel" TargetMode="External"/><Relationship Id="rId1030" Type="http://schemas.openxmlformats.org/officeDocument/2006/relationships/hyperlink" Target="https://shop.openbci.com/products/ultracortex-mark-iv" TargetMode="External"/><Relationship Id="rId680" Type="http://schemas.openxmlformats.org/officeDocument/2006/relationships/hyperlink" Target="https://doi.org/10.48550/arXiv.2401.15743" TargetMode="External"/><Relationship Id="rId1031" Type="http://schemas.openxmlformats.org/officeDocument/2006/relationships/hyperlink" Target="https://ieeexplore.ieee.org/document/10022137/authors" TargetMode="External"/><Relationship Id="rId1032" Type="http://schemas.openxmlformats.org/officeDocument/2006/relationships/hyperlink" Target="https://shop.openbci.com/products/cyton-biosensing-board-8-channel" TargetMode="External"/><Relationship Id="rId202" Type="http://schemas.openxmlformats.org/officeDocument/2006/relationships/hyperlink" Target="https://ieeexplore.ieee.org/document/11058796/" TargetMode="External"/><Relationship Id="rId686" Type="http://schemas.openxmlformats.org/officeDocument/2006/relationships/hyperlink" Target="https://shop.openbci.com/products/cyton-daisy-biosensing-boards-16-channel" TargetMode="External"/><Relationship Id="rId1033" Type="http://schemas.openxmlformats.org/officeDocument/2006/relationships/hyperlink" Target="https://ieeexplore.ieee.org/abstract/document/10007202" TargetMode="External"/><Relationship Id="rId201" Type="http://schemas.openxmlformats.org/officeDocument/2006/relationships/hyperlink" Target="https://bmcmusculoskeletdisord.biomedcentral.com/articles/10.1186/s12891-025-08939-8" TargetMode="External"/><Relationship Id="rId685" Type="http://schemas.openxmlformats.org/officeDocument/2006/relationships/hyperlink" Target="https://scholar.google.com/scholar_url?url=https://www.preprints.org/manuscript/202401.1607/download/final_file&amp;hl=en&amp;sa=X&amp;d=7558598752193376698&amp;ei=zdi0ZeaWB_W56rQPi4yb-Ak&amp;scisig=AFWwaeYZPS5Fx5tStXqEyQZrPyQW&amp;oi=scholaralrt&amp;hist=8WBGhdYAAAAJ:5437843588291773220:AFWwaebmzrq9zPN1CYXQ5l-OkEG-&amp;html=&amp;pos=4&amp;folt=kw" TargetMode="External"/><Relationship Id="rId1034" Type="http://schemas.openxmlformats.org/officeDocument/2006/relationships/hyperlink" Target="https://shop.openbci.com/products/cyton-biosensing-board-8-channel" TargetMode="External"/><Relationship Id="rId200" Type="http://schemas.openxmlformats.org/officeDocument/2006/relationships/hyperlink" Target="https://arxiv.org/abs/2507.05635" TargetMode="External"/><Relationship Id="rId684" Type="http://schemas.openxmlformats.org/officeDocument/2006/relationships/hyperlink" Target="https://shop.openbci.com/products/cyton-daisy-biosensing-boards-16-channel" TargetMode="External"/><Relationship Id="rId1035" Type="http://schemas.openxmlformats.org/officeDocument/2006/relationships/hyperlink" Target="https://etda.libraries.psu.edu/files/final_submissions/27036" TargetMode="External"/><Relationship Id="rId683" Type="http://schemas.openxmlformats.org/officeDocument/2006/relationships/hyperlink" Target="https://doi.org/10.1021/acsaelm.3c01414" TargetMode="External"/><Relationship Id="rId1036" Type="http://schemas.openxmlformats.org/officeDocument/2006/relationships/hyperlink" Target="https://shop.openbci.com/products/cyton-biosensing-board-8-channel" TargetMode="External"/><Relationship Id="rId1026" Type="http://schemas.openxmlformats.org/officeDocument/2006/relationships/hyperlink" Target="https://doi.org/10.3390/s23020760" TargetMode="External"/><Relationship Id="rId1027" Type="http://schemas.openxmlformats.org/officeDocument/2006/relationships/hyperlink" Target="https://shop.openbci.com/products/cyton-biosensing-board-8-channel" TargetMode="External"/><Relationship Id="rId1028" Type="http://schemas.openxmlformats.org/officeDocument/2006/relationships/hyperlink" Target="https://www.sciencedirect.com/science/article/pii/S0924424722006938" TargetMode="External"/><Relationship Id="rId1029" Type="http://schemas.openxmlformats.org/officeDocument/2006/relationships/hyperlink" Target="https://doi.org/10.1016/j.sna.2022.114058" TargetMode="External"/><Relationship Id="rId679" Type="http://schemas.openxmlformats.org/officeDocument/2006/relationships/hyperlink" Target="https://scholar.google.com/scholar_url?url=https://arxiv.org/pdf/2401.15743&amp;hl=en&amp;sa=X&amp;d=16370505158041638748&amp;ei=ttK6ZdaFO4rLy9YPmdyDiA4&amp;scisig=AFWwaeZv4F4m6DjDdksTBtQDMEkI&amp;oi=scholaralrt&amp;hist=8WBGhdYAAAAJ:5437843588291773220:AFWwaebmzrq9zPN1CYXQ5l-OkEG-&amp;html=&amp;pos=0&amp;folt=kw" TargetMode="External"/><Relationship Id="rId678" Type="http://schemas.openxmlformats.org/officeDocument/2006/relationships/hyperlink" Target="https://shop.openbci.com/products/cyton-biosensing-board-8-channel" TargetMode="External"/><Relationship Id="rId677" Type="http://schemas.openxmlformats.org/officeDocument/2006/relationships/hyperlink" Target="https://doi.org/10.1007/s00521-024-09628-8" TargetMode="External"/><Relationship Id="rId676" Type="http://schemas.openxmlformats.org/officeDocument/2006/relationships/hyperlink" Target="https://doi.org/10.1007/s00521-024-09628-8" TargetMode="External"/><Relationship Id="rId671" Type="http://schemas.openxmlformats.org/officeDocument/2006/relationships/hyperlink" Target="https://shop.openbci.com/products/cyton-biosensing-board-8-channel" TargetMode="External"/><Relationship Id="rId670" Type="http://schemas.openxmlformats.org/officeDocument/2006/relationships/hyperlink" Target="https://doi.org/10.2478/amns.2023.2.00338" TargetMode="External"/><Relationship Id="rId1020" Type="http://schemas.openxmlformats.org/officeDocument/2006/relationships/hyperlink" Target="https://ieeexplore.ieee.org/abstract/document/10022004" TargetMode="External"/><Relationship Id="rId1021" Type="http://schemas.openxmlformats.org/officeDocument/2006/relationships/hyperlink" Target="https://shop.openbci.com/products/cyton-biosensing-board-8-channel" TargetMode="External"/><Relationship Id="rId675" Type="http://schemas.openxmlformats.org/officeDocument/2006/relationships/hyperlink" Target="https://shop.openbci.com/products/ultracortex-mark-iv" TargetMode="External"/><Relationship Id="rId1022" Type="http://schemas.openxmlformats.org/officeDocument/2006/relationships/hyperlink" Target="https://scholar.google.com/scholar_url?url=https://www.mdpi.com/1660-4601/20/2/1184/pdf&amp;hl=en&amp;sa=X&amp;d=11632950960153380633&amp;ei=zFzCY_GFCo2Sy9YP7pSx8AU&amp;scisig=AAGBfm16yJYb-ykhA9ZreJx19TXAp3GEfw&amp;oi=scholaralrt&amp;hist=8WBGhdYAAAAJ:5437843588291773220:AAGBfm0AXzDYRW-VCMYvA48Xe9D-p48E1g&amp;html=&amp;pos=1&amp;folt=kw" TargetMode="External"/><Relationship Id="rId674" Type="http://schemas.openxmlformats.org/officeDocument/2006/relationships/hyperlink" Target="https://shop.openbci.com/products/cyton-biosensing-board-8-channel" TargetMode="External"/><Relationship Id="rId1023" Type="http://schemas.openxmlformats.org/officeDocument/2006/relationships/hyperlink" Target="https://shop.openbci.com/products/cyton-biosensing-board-8-channel" TargetMode="External"/><Relationship Id="rId673" Type="http://schemas.openxmlformats.org/officeDocument/2006/relationships/hyperlink" Target="https://doi.org/10.1002/adfm.202309704" TargetMode="External"/><Relationship Id="rId1024" Type="http://schemas.openxmlformats.org/officeDocument/2006/relationships/hyperlink" Target="https://shop.openbci.com/products/ultracortex-mark-iv" TargetMode="External"/><Relationship Id="rId672" Type="http://schemas.openxmlformats.org/officeDocument/2006/relationships/hyperlink" Target="https://onlinelibrary.wiley.com/doi/abs/10.1002/adfm.202309704" TargetMode="External"/><Relationship Id="rId1025" Type="http://schemas.openxmlformats.org/officeDocument/2006/relationships/hyperlink" Target="https://www.mdpi.com/1424-8220/23/2/760" TargetMode="External"/><Relationship Id="rId190" Type="http://schemas.openxmlformats.org/officeDocument/2006/relationships/hyperlink" Target="https://shop.openbci.com/products/cyton-daisy-biosensing-boards-16-channel" TargetMode="External"/><Relationship Id="rId194" Type="http://schemas.openxmlformats.org/officeDocument/2006/relationships/hyperlink" Target="https://shop.openbci.com/products/cyton-daisy-biosensing-boards-16-channel" TargetMode="External"/><Relationship Id="rId193" Type="http://schemas.openxmlformats.org/officeDocument/2006/relationships/hyperlink" Target="https://linkinghub.elsevier.com/retrieve/pii/S1110866525001343" TargetMode="External"/><Relationship Id="rId192" Type="http://schemas.openxmlformats.org/officeDocument/2006/relationships/hyperlink" Target="https://shop.openbci.com/products/cyton-daisy-biosensing-boards-16-channel" TargetMode="External"/><Relationship Id="rId191" Type="http://schemas.openxmlformats.org/officeDocument/2006/relationships/hyperlink" Target="https://www.tandfonline.com/doi/full/10.1080/10255842.2025.2527385" TargetMode="External"/><Relationship Id="rId187" Type="http://schemas.openxmlformats.org/officeDocument/2006/relationships/hyperlink" Target="https://dl.acm.org/doi/10.1145/3733155.3733220" TargetMode="External"/><Relationship Id="rId186" Type="http://schemas.openxmlformats.org/officeDocument/2006/relationships/hyperlink" Target="https://shop.openbci.com/products/cyton-daisy-biosensing-boards-16-channel" TargetMode="External"/><Relationship Id="rId185" Type="http://schemas.openxmlformats.org/officeDocument/2006/relationships/hyperlink" Target="https://arc.aiaa.org/doi/10.2514/6.2025-4112" TargetMode="External"/><Relationship Id="rId184" Type="http://schemas.openxmlformats.org/officeDocument/2006/relationships/hyperlink" Target="http://jaree.its.ac.id/index.php/jaree/article/view/437" TargetMode="External"/><Relationship Id="rId189" Type="http://schemas.openxmlformats.org/officeDocument/2006/relationships/hyperlink" Target="https://ieeexplore.ieee.org/document/11009041/" TargetMode="External"/><Relationship Id="rId188" Type="http://schemas.openxmlformats.org/officeDocument/2006/relationships/hyperlink" Target="https://dl.acm.org/doi/10.1145/3706599.3719836" TargetMode="External"/><Relationship Id="rId183" Type="http://schemas.openxmlformats.org/officeDocument/2006/relationships/hyperlink" Target="https://www.mdpi.com/2313-7673/10/8/506" TargetMode="External"/><Relationship Id="rId182" Type="http://schemas.openxmlformats.org/officeDocument/2006/relationships/hyperlink" Target="https://shop.openbci.com/products/cyton-daisy-biosensing-boards-16-channel" TargetMode="External"/><Relationship Id="rId181" Type="http://schemas.openxmlformats.org/officeDocument/2006/relationships/hyperlink" Target="https://www.techrxiv.org/users/933156/articles/1303897-iist-bci-dataset-13-a-bci-dataset-for-emotion-detection-for-human-space-missions?commit=bbf50015c0a62690936cdd596a80ed9e260df49b" TargetMode="External"/><Relationship Id="rId180" Type="http://schemas.openxmlformats.org/officeDocument/2006/relationships/hyperlink" Target="https://avestia.com/CDSR2025_Proceedings/files/paper/CDSR_135.pdf" TargetMode="External"/><Relationship Id="rId176" Type="http://schemas.openxmlformats.org/officeDocument/2006/relationships/hyperlink" Target="https://www.techrxiv.org/users/951601/articles/1320935-real-time-mobile-eeg-hyperscanning-a-precise-and-accessible-platform-for-social-brain-computer-interfaces?commit=86389fb8b88f9869138971a263f45d8c4cc69a03" TargetMode="External"/><Relationship Id="rId175" Type="http://schemas.openxmlformats.org/officeDocument/2006/relationships/hyperlink" Target="https://shop.openbci.com/products/cyton-daisy-biosensing-boards-16-channel" TargetMode="External"/><Relationship Id="rId174" Type="http://schemas.openxmlformats.org/officeDocument/2006/relationships/hyperlink" Target="https://advanced.onlinelibrary.wiley.com/doi/10.1002/adsu.202500727" TargetMode="External"/><Relationship Id="rId173" Type="http://schemas.openxmlformats.org/officeDocument/2006/relationships/hyperlink" Target="https://journal.binus.ac.id/index.php/commit/article/view/12500" TargetMode="External"/><Relationship Id="rId179" Type="http://schemas.openxmlformats.org/officeDocument/2006/relationships/hyperlink" Target="https://arxiv.org/abs/2508.07731" TargetMode="External"/><Relationship Id="rId178" Type="http://schemas.openxmlformats.org/officeDocument/2006/relationships/hyperlink" Target="https://ieeexplore.ieee.org/document/11113736/" TargetMode="External"/><Relationship Id="rId177" Type="http://schemas.openxmlformats.org/officeDocument/2006/relationships/hyperlink" Target="https://ieeexplore.ieee.org/document/11113810/" TargetMode="External"/><Relationship Id="rId198" Type="http://schemas.openxmlformats.org/officeDocument/2006/relationships/hyperlink" Target="https://shop.openbci.com/products/cyton-daisy-biosensing-boards-16-channel" TargetMode="External"/><Relationship Id="rId197" Type="http://schemas.openxmlformats.org/officeDocument/2006/relationships/hyperlink" Target="https://ieeexplore.ieee.org/document/11063010/" TargetMode="External"/><Relationship Id="rId196" Type="http://schemas.openxmlformats.org/officeDocument/2006/relationships/hyperlink" Target="https://shop.openbci.com/products/cyton-daisy-biosensing-boards-16-channel" TargetMode="External"/><Relationship Id="rId195" Type="http://schemas.openxmlformats.org/officeDocument/2006/relationships/hyperlink" Target="https://ieeexplore.ieee.org/document/11068079/" TargetMode="External"/><Relationship Id="rId199" Type="http://schemas.openxmlformats.org/officeDocument/2006/relationships/hyperlink" Target="https://ieeexplore.ieee.org/document/11063073/" TargetMode="External"/><Relationship Id="rId150" Type="http://schemas.openxmlformats.org/officeDocument/2006/relationships/hyperlink" Target="https://www.lidsen.com/journals/neurobiology/neurobiology-09-03-302" TargetMode="External"/><Relationship Id="rId149" Type="http://schemas.openxmlformats.org/officeDocument/2006/relationships/hyperlink" Target="https://ieeexplore.ieee.org/document/11182424/" TargetMode="External"/><Relationship Id="rId148" Type="http://schemas.openxmlformats.org/officeDocument/2006/relationships/hyperlink" Target="https://dx.plos.org/10.1371/journal.pone.0332310" TargetMode="External"/><Relationship Id="rId1090" Type="http://schemas.openxmlformats.org/officeDocument/2006/relationships/hyperlink" Target="https://shop.openbci.com/products/cyton-biosensing-board-8-channel" TargetMode="External"/><Relationship Id="rId1091" Type="http://schemas.openxmlformats.org/officeDocument/2006/relationships/hyperlink" Target="https://link.springer.com/chapter/10.1007/978-3-031-18272-3_1" TargetMode="External"/><Relationship Id="rId1092" Type="http://schemas.openxmlformats.org/officeDocument/2006/relationships/hyperlink" Target="https://shop.openbci.com/products/cyton-daisy-biosensing-boards-16-channel" TargetMode="External"/><Relationship Id="rId1093" Type="http://schemas.openxmlformats.org/officeDocument/2006/relationships/hyperlink" Target="https://ieeexplore.ieee.org/abstract/document/9897097" TargetMode="External"/><Relationship Id="rId1094" Type="http://schemas.openxmlformats.org/officeDocument/2006/relationships/hyperlink" Target="https://shop.openbci.com/products/cyton-daisy-biosensing-boards-16-channel" TargetMode="External"/><Relationship Id="rId143" Type="http://schemas.openxmlformats.org/officeDocument/2006/relationships/hyperlink" Target="https://journals.sagepub.com/doi/10.1177/10711813251358251" TargetMode="External"/><Relationship Id="rId1095" Type="http://schemas.openxmlformats.org/officeDocument/2006/relationships/hyperlink" Target="https://link.springer.com/article/10.1007/s10544-022-00632-0" TargetMode="External"/><Relationship Id="rId142" Type="http://schemas.openxmlformats.org/officeDocument/2006/relationships/hyperlink" Target="https://semarakilmu.com.my/journals/index.php/applied_sciences_eng_tech/article/view/13544" TargetMode="External"/><Relationship Id="rId1096" Type="http://schemas.openxmlformats.org/officeDocument/2006/relationships/hyperlink" Target="https://doi.org/10.1007/s10544-022-00632-0" TargetMode="External"/><Relationship Id="rId141" Type="http://schemas.openxmlformats.org/officeDocument/2006/relationships/hyperlink" Target="https://link.springer.com/10.1007/s11571-025-10360-9" TargetMode="External"/><Relationship Id="rId1097" Type="http://schemas.openxmlformats.org/officeDocument/2006/relationships/hyperlink" Target="https://shop.openbci.com/products/cyton-biosensing-board-8-channel" TargetMode="External"/><Relationship Id="rId140" Type="http://schemas.openxmlformats.org/officeDocument/2006/relationships/hyperlink" Target="https://mededu.jmir.org/2025/1/e69725" TargetMode="External"/><Relationship Id="rId1098" Type="http://schemas.openxmlformats.org/officeDocument/2006/relationships/hyperlink" Target="https://scholar.google.com/scholar_url?url=https://www.mdpi.com/2079-6374/12/10/772/pdf%3Fversion%3D1663666937&amp;hl=en&amp;sa=X&amp;d=2122762824865877888&amp;ei=2G0uY4WcMbLGsQLB-a_YCQ&amp;scisig=AAGBfm0FGqTPd9xvnxDm2UVS8i-xv41gkw&amp;oi=scholaralrt&amp;hist=8WBGhdYAAAAJ:5437843588291773220:AAGBfm0AXzDYRW-VCMYvA48Xe9D-p48E1g&amp;html=&amp;pos=0&amp;folt=kw" TargetMode="External"/><Relationship Id="rId147" Type="http://schemas.openxmlformats.org/officeDocument/2006/relationships/hyperlink" Target="https://advanced.onlinelibrary.wiley.com/doi/10.1002/adfm.202505419" TargetMode="External"/><Relationship Id="rId1099" Type="http://schemas.openxmlformats.org/officeDocument/2006/relationships/hyperlink" Target="https://doi.org/10.3390/bios12100772" TargetMode="External"/><Relationship Id="rId146" Type="http://schemas.openxmlformats.org/officeDocument/2006/relationships/hyperlink" Target="https://www.mdpi.com/2079-6374/15/10/692" TargetMode="External"/><Relationship Id="rId145" Type="http://schemas.openxmlformats.org/officeDocument/2006/relationships/hyperlink" Target="https://shop.openbci.com/products/openbci-eeg-electrocap" TargetMode="External"/><Relationship Id="rId144" Type="http://schemas.openxmlformats.org/officeDocument/2006/relationships/hyperlink" Target="https://shop.openbci.com/products/cyton-daisy-biosensing-boards-16-channel" TargetMode="External"/><Relationship Id="rId139" Type="http://schemas.openxmlformats.org/officeDocument/2006/relationships/hyperlink" Target="https://ieeexplore.ieee.org/document/9756768/" TargetMode="External"/><Relationship Id="rId138" Type="http://schemas.openxmlformats.org/officeDocument/2006/relationships/hyperlink" Target="https://ieeexplore.ieee.org/document/10108725/" TargetMode="External"/><Relationship Id="rId137" Type="http://schemas.openxmlformats.org/officeDocument/2006/relationships/hyperlink" Target="https://doi.org/10.1145/3610549.3614596" TargetMode="External"/><Relationship Id="rId1080" Type="http://schemas.openxmlformats.org/officeDocument/2006/relationships/hyperlink" Target="https://shop.openbci.com/products/cyton-biosensing-board-8-channel" TargetMode="External"/><Relationship Id="rId1081" Type="http://schemas.openxmlformats.org/officeDocument/2006/relationships/hyperlink" Target="https://shop.openbci.com/products/openbci-eeg-electrocap" TargetMode="External"/><Relationship Id="rId1082" Type="http://schemas.openxmlformats.org/officeDocument/2006/relationships/hyperlink" Target="https://www.researchgate.net/profile/Sarker-Asish/publication/365012453_Detecting_Internal_Distraction_in_an_Educational_VR_Environment_Using_EEG_Data/links/63630809431b1f5300665719/Detecting-Internal-Distraction-in-an-Educational-VR-Environment-Using-EEG-Data.pdf" TargetMode="External"/><Relationship Id="rId1083" Type="http://schemas.openxmlformats.org/officeDocument/2006/relationships/hyperlink" Target="https://www.sciencedirect.com/science/article/abs/pii/S1746809422007625" TargetMode="External"/><Relationship Id="rId132" Type="http://schemas.openxmlformats.org/officeDocument/2006/relationships/hyperlink" Target="https://www.mdpi.com/2073-431X/13/10/246" TargetMode="External"/><Relationship Id="rId1084" Type="http://schemas.openxmlformats.org/officeDocument/2006/relationships/hyperlink" Target="https://doi.org/10.1016/j.bspc.2022.104308" TargetMode="External"/><Relationship Id="rId131" Type="http://schemas.openxmlformats.org/officeDocument/2006/relationships/hyperlink" Target="https://doi.org/10.1109/COMST.2024.3387124" TargetMode="External"/><Relationship Id="rId1085" Type="http://schemas.openxmlformats.org/officeDocument/2006/relationships/hyperlink" Target="https://shop.openbci.com/products/cyton-biosensing-board-8-channel" TargetMode="External"/><Relationship Id="rId130" Type="http://schemas.openxmlformats.org/officeDocument/2006/relationships/hyperlink" Target="https://ieeexplore.ieee.org/document/10496440/" TargetMode="External"/><Relationship Id="rId1086" Type="http://schemas.openxmlformats.org/officeDocument/2006/relationships/hyperlink" Target="https://arxiv.org/pdf/2210.06290.pdf" TargetMode="External"/><Relationship Id="rId1087" Type="http://schemas.openxmlformats.org/officeDocument/2006/relationships/hyperlink" Target="https://shop.openbci.com/products/cyton-biosensing-board-8-channel" TargetMode="External"/><Relationship Id="rId136" Type="http://schemas.openxmlformats.org/officeDocument/2006/relationships/hyperlink" Target="https://dl.acm.org/doi/10.1145/3610549.3614596" TargetMode="External"/><Relationship Id="rId1088" Type="http://schemas.openxmlformats.org/officeDocument/2006/relationships/hyperlink" Target="https://www.scirp.org/journal/paperinformation.aspx?paperid=120327" TargetMode="External"/><Relationship Id="rId135" Type="http://schemas.openxmlformats.org/officeDocument/2006/relationships/hyperlink" Target="https://doi.org/10.1145/3610549.3614600" TargetMode="External"/><Relationship Id="rId1089" Type="http://schemas.openxmlformats.org/officeDocument/2006/relationships/hyperlink" Target="https://doi.org/10.4236/jbbs.2022.1210027" TargetMode="External"/><Relationship Id="rId134" Type="http://schemas.openxmlformats.org/officeDocument/2006/relationships/hyperlink" Target="https://dl.acm.org/doi/10.1145/3610549.3614600" TargetMode="External"/><Relationship Id="rId133" Type="http://schemas.openxmlformats.org/officeDocument/2006/relationships/hyperlink" Target="https://doi.org/10.3390/computers13100246" TargetMode="External"/><Relationship Id="rId172" Type="http://schemas.openxmlformats.org/officeDocument/2006/relationships/hyperlink" Target="https://www.preprints.org/manuscript/202508.0873/v1" TargetMode="External"/><Relationship Id="rId171" Type="http://schemas.openxmlformats.org/officeDocument/2006/relationships/hyperlink" Target="https://shop.openbci.com/products/openbci-eeg-electrocap" TargetMode="External"/><Relationship Id="rId170" Type="http://schemas.openxmlformats.org/officeDocument/2006/relationships/hyperlink" Target="https://ieeexplore.ieee.org/document/11120699/" TargetMode="External"/><Relationship Id="rId165" Type="http://schemas.openxmlformats.org/officeDocument/2006/relationships/hyperlink" Target="https://dl.acm.org/doi/10.1145/3749550" TargetMode="External"/><Relationship Id="rId164" Type="http://schemas.openxmlformats.org/officeDocument/2006/relationships/hyperlink" Target="https://www.techrxiv.org/users/785192/articles/1326344-iist-bci-dataset-14-male-and-female-eeg-dataset-for-odia-vowels-and-consonants?commit=54933b9addbc8c9b008b54a467aafe1f50102385" TargetMode="External"/><Relationship Id="rId163" Type="http://schemas.openxmlformats.org/officeDocument/2006/relationships/hyperlink" Target="https://www.tandfonline.com/doi/full/10.1080/13467581.2025.2557018" TargetMode="External"/><Relationship Id="rId162" Type="http://schemas.openxmlformats.org/officeDocument/2006/relationships/hyperlink" Target="https://www.preprints.org/manuscript/202509.0429/v1" TargetMode="External"/><Relationship Id="rId169" Type="http://schemas.openxmlformats.org/officeDocument/2006/relationships/hyperlink" Target="https://www.mdpi.com/2571-5577/8/5/126" TargetMode="External"/><Relationship Id="rId168" Type="http://schemas.openxmlformats.org/officeDocument/2006/relationships/hyperlink" Target="https://www.protocols.io/view/an-affordable-solution-for-investigating-zebra-fin-dkiq4udw" TargetMode="External"/><Relationship Id="rId167" Type="http://schemas.openxmlformats.org/officeDocument/2006/relationships/hyperlink" Target="https://iopscience.iop.org/article/10.1088/1741-2552/addb7a" TargetMode="External"/><Relationship Id="rId166" Type="http://schemas.openxmlformats.org/officeDocument/2006/relationships/hyperlink" Target="https://www.nature.com/articles/s41565-025-01990-5" TargetMode="External"/><Relationship Id="rId161" Type="http://schemas.openxmlformats.org/officeDocument/2006/relationships/hyperlink" Target="https://www.techrxiv.org/users/785192/articles/1326344-iist-bci-dataset-14-male-and-female-eeg-dataset-for-odia-vowels-and-consonants?commit=54933b9addbc8c9b008b54a467aafe1f50102385" TargetMode="External"/><Relationship Id="rId160" Type="http://schemas.openxmlformats.org/officeDocument/2006/relationships/hyperlink" Target="https://ieeexplore.ieee.org/document/11164920/" TargetMode="External"/><Relationship Id="rId159" Type="http://schemas.openxmlformats.org/officeDocument/2006/relationships/hyperlink" Target="https://www.mdpi.com/2227-7080/13/9/426" TargetMode="External"/><Relationship Id="rId154" Type="http://schemas.openxmlformats.org/officeDocument/2006/relationships/hyperlink" Target="https://ijarcce.com/wp-content/uploads/2024/05/IJARCCE.2024.13525.pdf" TargetMode="External"/><Relationship Id="rId153" Type="http://schemas.openxmlformats.org/officeDocument/2006/relationships/hyperlink" Target="https://shop.openbci.com/products/cyton-daisy-biosensing-boards-16-channel" TargetMode="External"/><Relationship Id="rId152" Type="http://schemas.openxmlformats.org/officeDocument/2006/relationships/hyperlink" Target="https://braininformatics.springeropen.com/articles/10.1186/s40708-025-00274-x" TargetMode="External"/><Relationship Id="rId151" Type="http://schemas.openxmlformats.org/officeDocument/2006/relationships/hyperlink" Target="https://shop.openbci.com/products/cyton-daisy-biosensing-boards-16-channel" TargetMode="External"/><Relationship Id="rId158" Type="http://schemas.openxmlformats.org/officeDocument/2006/relationships/hyperlink" Target="https://shop.openbci.com/products/cyton-daisy-biosensing-boards-16-channel" TargetMode="External"/><Relationship Id="rId157" Type="http://schemas.openxmlformats.org/officeDocument/2006/relationships/hyperlink" Target="https://arxiv.org/abs/2509.17260" TargetMode="External"/><Relationship Id="rId156" Type="http://schemas.openxmlformats.org/officeDocument/2006/relationships/hyperlink" Target="https://link.springer.com/10.1007/s13369-025-10616-w" TargetMode="External"/><Relationship Id="rId155" Type="http://schemas.openxmlformats.org/officeDocument/2006/relationships/hyperlink" Target="https://shop.openbci.com/products/cyton-daisy-biosensing-boards-16-channel" TargetMode="External"/><Relationship Id="rId1510" Type="http://schemas.openxmlformats.org/officeDocument/2006/relationships/hyperlink" Target="https://shop.openbci.com/products/cyton-biosensing-board-8-channel" TargetMode="External"/><Relationship Id="rId1511" Type="http://schemas.openxmlformats.org/officeDocument/2006/relationships/hyperlink" Target="https://shop.openbci.com/collections/frontpage/products/openbci-gold-cup-electrodes" TargetMode="External"/><Relationship Id="rId1512" Type="http://schemas.openxmlformats.org/officeDocument/2006/relationships/hyperlink" Target="https://arxiv.org/pdf/2010.02960.pdf" TargetMode="External"/><Relationship Id="rId1513" Type="http://schemas.openxmlformats.org/officeDocument/2006/relationships/hyperlink" Target="https://shop.openbci.com/products/cyton-biosensing-board-8-channel" TargetMode="External"/><Relationship Id="rId1514" Type="http://schemas.openxmlformats.org/officeDocument/2006/relationships/hyperlink" Target="https://link.springer.com/chapter/10.1007/978-3-030-59277-6_21" TargetMode="External"/><Relationship Id="rId1515" Type="http://schemas.openxmlformats.org/officeDocument/2006/relationships/hyperlink" Target="https://shop.openbci.com/products/cyton-biosensing-board-8-channel" TargetMode="External"/><Relationship Id="rId1516" Type="http://schemas.openxmlformats.org/officeDocument/2006/relationships/hyperlink" Target="https://shop.openbci.com/products/ultracortex-mark-iv" TargetMode="External"/><Relationship Id="rId1517" Type="http://schemas.openxmlformats.org/officeDocument/2006/relationships/hyperlink" Target="https://ieeexplore.ieee.org/abstract/document/9163680" TargetMode="External"/><Relationship Id="rId1518" Type="http://schemas.openxmlformats.org/officeDocument/2006/relationships/hyperlink" Target="https://shop.openbci.com/products/cyton-biosensing-board-8-channel" TargetMode="External"/><Relationship Id="rId1519" Type="http://schemas.openxmlformats.org/officeDocument/2006/relationships/hyperlink" Target="https://ieeexplore.ieee.org/abstract/document/9159690" TargetMode="External"/><Relationship Id="rId1500" Type="http://schemas.openxmlformats.org/officeDocument/2006/relationships/hyperlink" Target="https://doi.org/10.3389/fninf.2020.553352" TargetMode="External"/><Relationship Id="rId1501" Type="http://schemas.openxmlformats.org/officeDocument/2006/relationships/hyperlink" Target="https://shop.openbci.com/products/cyton-biosensing-board-8-channel" TargetMode="External"/><Relationship Id="rId1502" Type="http://schemas.openxmlformats.org/officeDocument/2006/relationships/hyperlink" Target="https://shop.openbci.com/collections/frontpage/products/openbci-eeg-electrocap?variant=16456881766472" TargetMode="External"/><Relationship Id="rId1503" Type="http://schemas.openxmlformats.org/officeDocument/2006/relationships/hyperlink" Target="https://era.library.ualberta.ca/items/c00514a1-e810-4ddf-9e1b-af3a3d90c65a/view/a3552101-cd62-4d2a-991c-337d6b0e68af/Cyber%20Colloquim%20Sakamaki.pdf" TargetMode="External"/><Relationship Id="rId1504" Type="http://schemas.openxmlformats.org/officeDocument/2006/relationships/hyperlink" Target="https://www.researchgate.net/deref/http%3A%2F%2Fdx.doi.org%2F10.7939%2Fr3-n8hm-0p20" TargetMode="External"/><Relationship Id="rId1505" Type="http://schemas.openxmlformats.org/officeDocument/2006/relationships/hyperlink" Target="https://arxiv.org/ftp/arxiv/papers/2010/2010.10359.pdf" TargetMode="External"/><Relationship Id="rId1506" Type="http://schemas.openxmlformats.org/officeDocument/2006/relationships/hyperlink" Target="https://shop.openbci.com/collections/frontpage/products/openbci-gold-cup-electrodes" TargetMode="External"/><Relationship Id="rId1507" Type="http://schemas.openxmlformats.org/officeDocument/2006/relationships/hyperlink" Target="https://arxiv.org/ftp/arxiv/papers/2010/2010.07534.pdf" TargetMode="External"/><Relationship Id="rId1508" Type="http://schemas.openxmlformats.org/officeDocument/2006/relationships/hyperlink" Target="https://shop.openbci.com/products/cyton-biosensing-board-8-channel" TargetMode="External"/><Relationship Id="rId1509" Type="http://schemas.openxmlformats.org/officeDocument/2006/relationships/hyperlink" Target="http://www.proteusresearch.org/gallery/pj-2487-47-f.pdf" TargetMode="External"/><Relationship Id="rId1576" Type="http://schemas.openxmlformats.org/officeDocument/2006/relationships/hyperlink" Target="https://arxiv.org/abs/2005.11413" TargetMode="External"/><Relationship Id="rId1577" Type="http://schemas.openxmlformats.org/officeDocument/2006/relationships/hyperlink" Target="https://arxiv.org/pdf/2005.11413.pdf" TargetMode="External"/><Relationship Id="rId1578" Type="http://schemas.openxmlformats.org/officeDocument/2006/relationships/hyperlink" Target="https://www.mdpi.com/2076-3425/10/6/321" TargetMode="External"/><Relationship Id="rId1579" Type="http://schemas.openxmlformats.org/officeDocument/2006/relationships/hyperlink" Target="https://doi.org/10.3390/brainsci10060321" TargetMode="External"/><Relationship Id="rId509" Type="http://schemas.openxmlformats.org/officeDocument/2006/relationships/hyperlink" Target="https://peerj.com/articles/cs-2174/" TargetMode="External"/><Relationship Id="rId508" Type="http://schemas.openxmlformats.org/officeDocument/2006/relationships/hyperlink" Target="https://shop.openbci.com/products/cyton-daisy-biosensing-boards-16-channel" TargetMode="External"/><Relationship Id="rId503" Type="http://schemas.openxmlformats.org/officeDocument/2006/relationships/hyperlink" Target="https://www.researchgate.net/profile/Muhammed-Sattar/publication/382538060_Develop_Robotic_Head-Neck_Brace_Control_through_EEG_Signals_and_BCI_Sensors_Application_of_the_Savitzky-Golay_Filter/links/66a25bf6de060e4c7e5a72d2/Develop-Robotic-Head-Neck-Brace-Control-through-EEG-Signals-and-BCI-Sensors-Application-of-the-Savitzky-Golay-Filter?__cf_chl_tk=AvatdgxANpHpxo9lv6yUUVJ_YLrswlcU5o6QM2VD5Lc-1734720780-1.0.1.1-IqcX1d4_ljuraipTalXYtbG8YNu75C9EEmEclrJFaeo" TargetMode="External"/><Relationship Id="rId987" Type="http://schemas.openxmlformats.org/officeDocument/2006/relationships/hyperlink" Target="https://shop.openbci.com/products/cyton-biosensing-board-8-channel" TargetMode="External"/><Relationship Id="rId502" Type="http://schemas.openxmlformats.org/officeDocument/2006/relationships/hyperlink" Target="https://shop.openbci.com/products/cyton-daisy-biosensing-boards-16-channel" TargetMode="External"/><Relationship Id="rId986" Type="http://schemas.openxmlformats.org/officeDocument/2006/relationships/hyperlink" Target="https://ieeexplore.ieee.org/abstract/document/10078480" TargetMode="External"/><Relationship Id="rId501" Type="http://schemas.openxmlformats.org/officeDocument/2006/relationships/hyperlink" Target="https://ieeexplore.ieee.org/abstract/document/10609879" TargetMode="External"/><Relationship Id="rId985" Type="http://schemas.openxmlformats.org/officeDocument/2006/relationships/hyperlink" Target="https://shop.openbci.com/products/cyton-biosensing-board-8-channel" TargetMode="External"/><Relationship Id="rId500" Type="http://schemas.openxmlformats.org/officeDocument/2006/relationships/hyperlink" Target="https://shop.openbci.com/products/cyton-biosensing-board-8-channel" TargetMode="External"/><Relationship Id="rId984" Type="http://schemas.openxmlformats.org/officeDocument/2006/relationships/hyperlink" Target="https://doi.org/10.3390/s23073654" TargetMode="External"/><Relationship Id="rId507" Type="http://schemas.openxmlformats.org/officeDocument/2006/relationships/hyperlink" Target="https://ijisd.journals.ekb.eg/article_371115_edbb7baadcaf5d35de8515f542e69491.pdf" TargetMode="External"/><Relationship Id="rId506" Type="http://schemas.openxmlformats.org/officeDocument/2006/relationships/hyperlink" Target="https://shop.openbci.com/products/ultracortex-mark-iv" TargetMode="External"/><Relationship Id="rId505" Type="http://schemas.openxmlformats.org/officeDocument/2006/relationships/hyperlink" Target="https://shop.openbci.com/products/cyton-biosensing-board-8-channel" TargetMode="External"/><Relationship Id="rId989" Type="http://schemas.openxmlformats.org/officeDocument/2006/relationships/hyperlink" Target="https://www.mdpi.com/1424-8220/23/7/3546" TargetMode="External"/><Relationship Id="rId504" Type="http://schemas.openxmlformats.org/officeDocument/2006/relationships/hyperlink" Target="https://ieeexplore.ieee.org/abstract/document/10609935" TargetMode="External"/><Relationship Id="rId988" Type="http://schemas.openxmlformats.org/officeDocument/2006/relationships/hyperlink" Target="https://shop.openbci.com/products/ultracortex-mark-iv" TargetMode="External"/><Relationship Id="rId1570" Type="http://schemas.openxmlformats.org/officeDocument/2006/relationships/hyperlink" Target="http://ceur-ws.org/Vol-2610/paper10.pdf" TargetMode="External"/><Relationship Id="rId1571" Type="http://schemas.openxmlformats.org/officeDocument/2006/relationships/hyperlink" Target="https://shop.openbci.com/collections/frontpage/products/openbci-eeg-electrocap?variant=16456881766472" TargetMode="External"/><Relationship Id="rId983" Type="http://schemas.openxmlformats.org/officeDocument/2006/relationships/hyperlink" Target="https://www.mdpi.com/1424-8220/23/7/3654" TargetMode="External"/><Relationship Id="rId1572" Type="http://schemas.openxmlformats.org/officeDocument/2006/relationships/hyperlink" Target="https://ieeexplore.ieee.org/abstract/document/9086518" TargetMode="External"/><Relationship Id="rId982" Type="http://schemas.openxmlformats.org/officeDocument/2006/relationships/hyperlink" Target="https://shop.openbci.com/products/ultracortex-mark-iv" TargetMode="External"/><Relationship Id="rId1573" Type="http://schemas.openxmlformats.org/officeDocument/2006/relationships/hyperlink" Target="https://shop.openbci.com/collections/frontpage/products/openbci-gold-cup-electrodes" TargetMode="External"/><Relationship Id="rId981" Type="http://schemas.openxmlformats.org/officeDocument/2006/relationships/hyperlink" Target="https://shop.openbci.com/products/cyton-daisy-biosensing-boards-16-channel" TargetMode="External"/><Relationship Id="rId1574" Type="http://schemas.openxmlformats.org/officeDocument/2006/relationships/hyperlink" Target="https://www.worldscientific.com/doi/abs/10.1142/S0129065720500185" TargetMode="External"/><Relationship Id="rId980" Type="http://schemas.openxmlformats.org/officeDocument/2006/relationships/hyperlink" Target="https://doi.org/10.1093/braincomms/fcad101" TargetMode="External"/><Relationship Id="rId1575" Type="http://schemas.openxmlformats.org/officeDocument/2006/relationships/hyperlink" Target="https://doi.org/10.1142/S0129065720500185" TargetMode="External"/><Relationship Id="rId1565" Type="http://schemas.openxmlformats.org/officeDocument/2006/relationships/hyperlink" Target="https://shop.openbci.com/products/cyton-daisy-biosensing-boards-16-channel" TargetMode="External"/><Relationship Id="rId1566" Type="http://schemas.openxmlformats.org/officeDocument/2006/relationships/hyperlink" Target="https://shop.openbci.com/products/ultracortex-mark-iv" TargetMode="External"/><Relationship Id="rId1567" Type="http://schemas.openxmlformats.org/officeDocument/2006/relationships/hyperlink" Target="https://link.springer.com/chapter/10.1007/978-3-030-49663-0_8" TargetMode="External"/><Relationship Id="rId1568" Type="http://schemas.openxmlformats.org/officeDocument/2006/relationships/hyperlink" Target="https://doi.org/10.1007/978-3-030-49663-0_8" TargetMode="External"/><Relationship Id="rId1569" Type="http://schemas.openxmlformats.org/officeDocument/2006/relationships/hyperlink" Target="https://shop.openbci.com/products/ultracortex-mark-iv" TargetMode="External"/><Relationship Id="rId976" Type="http://schemas.openxmlformats.org/officeDocument/2006/relationships/hyperlink" Target="https://doi.org/10.30574/wjaets.2023.8.1.0046" TargetMode="External"/><Relationship Id="rId975" Type="http://schemas.openxmlformats.org/officeDocument/2006/relationships/hyperlink" Target="https://wjaets.com/sites/default/files/WJAETS-2023-0046.pdf" TargetMode="External"/><Relationship Id="rId974" Type="http://schemas.openxmlformats.org/officeDocument/2006/relationships/hyperlink" Target="https://shop.openbci.com/products/cyton-daisy-biosensing-boards-16-channel" TargetMode="External"/><Relationship Id="rId973" Type="http://schemas.openxmlformats.org/officeDocument/2006/relationships/hyperlink" Target="https://doi.org/10.1038/s41928-023-00932-0" TargetMode="External"/><Relationship Id="rId979" Type="http://schemas.openxmlformats.org/officeDocument/2006/relationships/hyperlink" Target="https://shop.openbci.com/products/cyton-biosensing-board-8-channel" TargetMode="External"/><Relationship Id="rId978" Type="http://schemas.openxmlformats.org/officeDocument/2006/relationships/hyperlink" Target="http://doi.org/10.17576/jsm-2023-5202-20" TargetMode="External"/><Relationship Id="rId977" Type="http://schemas.openxmlformats.org/officeDocument/2006/relationships/hyperlink" Target="http://www.ukm.my/jsm/pdf_files/SM-PDF-51-2-2023/20.pdf" TargetMode="External"/><Relationship Id="rId1560" Type="http://schemas.openxmlformats.org/officeDocument/2006/relationships/hyperlink" Target="https://shop.openbci.com/products/ultracortex-mark-iv" TargetMode="External"/><Relationship Id="rId972" Type="http://schemas.openxmlformats.org/officeDocument/2006/relationships/hyperlink" Target="https://www.nature.com/articles/s41928-023-00932-0" TargetMode="External"/><Relationship Id="rId1561" Type="http://schemas.openxmlformats.org/officeDocument/2006/relationships/hyperlink" Target="https://openaccess.thecvf.com/content_CVPRW_2020/papers/w19/Masui_Continuous_Estimation_of_Emotional_Change_Using_Multimodal_Affective_Responses_CVPRW_2020_paper.pdf" TargetMode="External"/><Relationship Id="rId971" Type="http://schemas.openxmlformats.org/officeDocument/2006/relationships/hyperlink" Target="https://shop.openbci.com/products/cyton-biosensing-board-8-channel" TargetMode="External"/><Relationship Id="rId1562" Type="http://schemas.openxmlformats.org/officeDocument/2006/relationships/hyperlink" Target="https://shop.openbci.com/products/ultracortex-mark-iv" TargetMode="External"/><Relationship Id="rId970" Type="http://schemas.openxmlformats.org/officeDocument/2006/relationships/hyperlink" Target="https://doi.org/10.1016/j.trf.2023.03.016" TargetMode="External"/><Relationship Id="rId1563" Type="http://schemas.openxmlformats.org/officeDocument/2006/relationships/hyperlink" Target="https://link.springer.com/article/10.1007/s12559-020-09744-2" TargetMode="External"/><Relationship Id="rId1564" Type="http://schemas.openxmlformats.org/officeDocument/2006/relationships/hyperlink" Target="https://doi.org/10.1007/s12559-020-09744-2" TargetMode="External"/><Relationship Id="rId1114" Type="http://schemas.openxmlformats.org/officeDocument/2006/relationships/hyperlink" Target="https://shop.openbci.com/products/cyton-biosensing-board-8-channel" TargetMode="External"/><Relationship Id="rId1598" Type="http://schemas.openxmlformats.org/officeDocument/2006/relationships/hyperlink" Target="https://www.youtube.com/watch?v=cwbw7Pt5eDs" TargetMode="External"/><Relationship Id="rId1115" Type="http://schemas.openxmlformats.org/officeDocument/2006/relationships/hyperlink" Target="https://shop.openbci.com/products/ultracortex-mark-iv" TargetMode="External"/><Relationship Id="rId1599" Type="http://schemas.openxmlformats.org/officeDocument/2006/relationships/hyperlink" Target="https://ieeexplore.ieee.org/document/9025032?dld=b3BlbmJjaS5jb20%3D" TargetMode="External"/><Relationship Id="rId1116" Type="http://schemas.openxmlformats.org/officeDocument/2006/relationships/hyperlink" Target="https://shop.openbci.com/products/cyton-biosensing-board-8-channel" TargetMode="External"/><Relationship Id="rId1117" Type="http://schemas.openxmlformats.org/officeDocument/2006/relationships/hyperlink" Target="https://link.springer.com/chapter/10.1007/978-3-031-16075-2_34" TargetMode="External"/><Relationship Id="rId1118" Type="http://schemas.openxmlformats.org/officeDocument/2006/relationships/hyperlink" Target="https://doi.org/10.1007/978-3-031-16075-2_34" TargetMode="External"/><Relationship Id="rId1119" Type="http://schemas.openxmlformats.org/officeDocument/2006/relationships/hyperlink" Target="https://shop.openbci.com/products/cyton-biosensing-board-8-channel" TargetMode="External"/><Relationship Id="rId525" Type="http://schemas.openxmlformats.org/officeDocument/2006/relationships/hyperlink" Target="https://doi.org/10.1016/j.cej.2024.153882" TargetMode="External"/><Relationship Id="rId524" Type="http://schemas.openxmlformats.org/officeDocument/2006/relationships/hyperlink" Target="https://www.sciencedirect.com/science/article/abs/pii/S1385894724053713" TargetMode="External"/><Relationship Id="rId523" Type="http://schemas.openxmlformats.org/officeDocument/2006/relationships/hyperlink" Target="https://shop.openbci.com/products/cyton-biosensing-board-8-channel" TargetMode="External"/><Relationship Id="rId522" Type="http://schemas.openxmlformats.org/officeDocument/2006/relationships/hyperlink" Target="https://ieeexplore.ieee.org/stamp/stamp.jsp?arnumber=10595042" TargetMode="External"/><Relationship Id="rId529" Type="http://schemas.openxmlformats.org/officeDocument/2006/relationships/hyperlink" Target="https://shop.openbci.com/products/cyton-biosensing-board-8-channel" TargetMode="External"/><Relationship Id="rId528" Type="http://schemas.openxmlformats.org/officeDocument/2006/relationships/hyperlink" Target="https://doi.org/10.1016/j.heliyon.2024.e34342" TargetMode="External"/><Relationship Id="rId527" Type="http://schemas.openxmlformats.org/officeDocument/2006/relationships/hyperlink" Target="https://www.cell.com/heliyon/fulltext/S2405-8440(24)10373-8" TargetMode="External"/><Relationship Id="rId526" Type="http://schemas.openxmlformats.org/officeDocument/2006/relationships/hyperlink" Target="https://shop.openbci.com/products/cyton-daisy-biosensing-boards-16-channel" TargetMode="External"/><Relationship Id="rId1590" Type="http://schemas.openxmlformats.org/officeDocument/2006/relationships/hyperlink" Target="https://ieeexplore.ieee.org/document/8999731" TargetMode="External"/><Relationship Id="rId1591" Type="http://schemas.openxmlformats.org/officeDocument/2006/relationships/hyperlink" Target="https://doi.org/10.1109/TNSRE.2020.2974056" TargetMode="External"/><Relationship Id="rId1592" Type="http://schemas.openxmlformats.org/officeDocument/2006/relationships/hyperlink" Target="https://ieeexplore.ieee.org/abstract/document/9061652" TargetMode="External"/><Relationship Id="rId1593" Type="http://schemas.openxmlformats.org/officeDocument/2006/relationships/hyperlink" Target="https://doi.org/10.1109/BCI48061.2020.9061652" TargetMode="External"/><Relationship Id="rId521" Type="http://schemas.openxmlformats.org/officeDocument/2006/relationships/hyperlink" Target="https://shop.openbci.com/products/cyton-biosensing-board-8-channel" TargetMode="External"/><Relationship Id="rId1110" Type="http://schemas.openxmlformats.org/officeDocument/2006/relationships/hyperlink" Target="https://www.sciencedirect.com/science/article/abs/pii/S0360132322007971" TargetMode="External"/><Relationship Id="rId1594" Type="http://schemas.openxmlformats.org/officeDocument/2006/relationships/hyperlink" Target="https://ieeexplore.ieee.org/abstract/document/9061664" TargetMode="External"/><Relationship Id="rId520" Type="http://schemas.openxmlformats.org/officeDocument/2006/relationships/hyperlink" Target="https://doi.org/10.1007/s11517-024-03147-3" TargetMode="External"/><Relationship Id="rId1111" Type="http://schemas.openxmlformats.org/officeDocument/2006/relationships/hyperlink" Target="https://doi.org/10.1016/j.buildenv.2022.109567" TargetMode="External"/><Relationship Id="rId1595" Type="http://schemas.openxmlformats.org/officeDocument/2006/relationships/hyperlink" Target="https://doi.org/10.1109/BCI48061.2020.9061664" TargetMode="External"/><Relationship Id="rId1112" Type="http://schemas.openxmlformats.org/officeDocument/2006/relationships/hyperlink" Target="https://shop.openbci.com/products/cyton-biosensing-board-8-channel" TargetMode="External"/><Relationship Id="rId1596" Type="http://schemas.openxmlformats.org/officeDocument/2006/relationships/hyperlink" Target="https://shop.openbci.com/collections/frontpage/products/openbci-eeg-electrocap?variant=16456881766472" TargetMode="External"/><Relationship Id="rId1113" Type="http://schemas.openxmlformats.org/officeDocument/2006/relationships/hyperlink" Target="https://ieeexplore.ieee.org/abstract/document/9862906" TargetMode="External"/><Relationship Id="rId1597" Type="http://schemas.openxmlformats.org/officeDocument/2006/relationships/hyperlink" Target="https://conferences.computer.org/vr-tvcg/2020/pdfs/VR2020-2f8MzUJjtCXG6Ue9RYFSN2/560800a756/560800a756.pdf" TargetMode="External"/><Relationship Id="rId1103" Type="http://schemas.openxmlformats.org/officeDocument/2006/relationships/hyperlink" Target="https://shop.openbci.com/products/cyton-daisy-biosensing-boards-16-channel" TargetMode="External"/><Relationship Id="rId1587" Type="http://schemas.openxmlformats.org/officeDocument/2006/relationships/hyperlink" Target="https://doi.org/10.1016/j.heliyon.2020.e03425" TargetMode="External"/><Relationship Id="rId1104" Type="http://schemas.openxmlformats.org/officeDocument/2006/relationships/hyperlink" Target="https://www.sciencedirect.com/science/article/pii/S246806722200102X" TargetMode="External"/><Relationship Id="rId1588" Type="http://schemas.openxmlformats.org/officeDocument/2006/relationships/hyperlink" Target="https://iopscience.iop.org/article/10.1088/2057-1976/ab872c/meta" TargetMode="External"/><Relationship Id="rId1105" Type="http://schemas.openxmlformats.org/officeDocument/2006/relationships/hyperlink" Target="https://doi.org/10.1016/j.ohx.2022.e00357" TargetMode="External"/><Relationship Id="rId1589" Type="http://schemas.openxmlformats.org/officeDocument/2006/relationships/hyperlink" Target="https://doi.org/10.1088/2057-1976/ab872c" TargetMode="External"/><Relationship Id="rId1106" Type="http://schemas.openxmlformats.org/officeDocument/2006/relationships/hyperlink" Target="https://ieeexplore.ieee.org/abstract/document/9878163" TargetMode="External"/><Relationship Id="rId1107" Type="http://schemas.openxmlformats.org/officeDocument/2006/relationships/hyperlink" Target="https://shop.openbci.com/products/cyton-biosensing-board-8-channel" TargetMode="External"/><Relationship Id="rId1108" Type="http://schemas.openxmlformats.org/officeDocument/2006/relationships/hyperlink" Target="http://www.ijaconline.com/wp-content/uploads/2022/08/5a.pdf" TargetMode="External"/><Relationship Id="rId1109" Type="http://schemas.openxmlformats.org/officeDocument/2006/relationships/hyperlink" Target="https://shop.openbci.com/products/cyton-daisy-biosensing-boards-16-channel" TargetMode="External"/><Relationship Id="rId519" Type="http://schemas.openxmlformats.org/officeDocument/2006/relationships/hyperlink" Target="https://link.springer.com/article/10.1007/s11517-024-03147-3" TargetMode="External"/><Relationship Id="rId514" Type="http://schemas.openxmlformats.org/officeDocument/2006/relationships/hyperlink" Target="https://doi.org/10.1007/s42600-024-00372-5" TargetMode="External"/><Relationship Id="rId998" Type="http://schemas.openxmlformats.org/officeDocument/2006/relationships/hyperlink" Target="https://iopscience.iop.org/article/10.1088/1741-2552/acbfe0/meta" TargetMode="External"/><Relationship Id="rId513" Type="http://schemas.openxmlformats.org/officeDocument/2006/relationships/hyperlink" Target="https://link.springer.com/article/10.1007/s42600-024-00372-5" TargetMode="External"/><Relationship Id="rId997" Type="http://schemas.openxmlformats.org/officeDocument/2006/relationships/hyperlink" Target="https://shop.openbci.com/products/cyton-biosensing-board-8-channel" TargetMode="External"/><Relationship Id="rId512" Type="http://schemas.openxmlformats.org/officeDocument/2006/relationships/hyperlink" Target="https://shop.openbci.com/products/openbci-eeg-electrocap" TargetMode="External"/><Relationship Id="rId996" Type="http://schemas.openxmlformats.org/officeDocument/2006/relationships/hyperlink" Target="https://doi.org/10.1016/j.softx.2023.101371" TargetMode="External"/><Relationship Id="rId511" Type="http://schemas.openxmlformats.org/officeDocument/2006/relationships/hyperlink" Target="https://shop.openbci.com/products/cyton-biosensing-board-8-channel" TargetMode="External"/><Relationship Id="rId995" Type="http://schemas.openxmlformats.org/officeDocument/2006/relationships/hyperlink" Target="https://www.sciencedirect.com/science/article/pii/S2352711023000675" TargetMode="External"/><Relationship Id="rId518" Type="http://schemas.openxmlformats.org/officeDocument/2006/relationships/hyperlink" Target="https://shop.openbci.com/products/cyton-biosensing-board-8-channel" TargetMode="External"/><Relationship Id="rId517" Type="http://schemas.openxmlformats.org/officeDocument/2006/relationships/hyperlink" Target="https://www.proquest.com/openview/2107d89dd0f1668a883e720fdbd26126/1?pq-origsite=gscholar&amp;cbl=5529415" TargetMode="External"/><Relationship Id="rId516" Type="http://schemas.openxmlformats.org/officeDocument/2006/relationships/hyperlink" Target="https://shop.openbci.com/products/openbci-eeg-electrocap" TargetMode="External"/><Relationship Id="rId515" Type="http://schemas.openxmlformats.org/officeDocument/2006/relationships/hyperlink" Target="https://shop.openbci.com/products/cyton-biosensing-board-8-channel" TargetMode="External"/><Relationship Id="rId999" Type="http://schemas.openxmlformats.org/officeDocument/2006/relationships/hyperlink" Target="https://shop.openbci.com/products/cyton-biosensing-board-8-channel" TargetMode="External"/><Relationship Id="rId990" Type="http://schemas.openxmlformats.org/officeDocument/2006/relationships/hyperlink" Target="https://doi.org/10.3390/s23073546" TargetMode="External"/><Relationship Id="rId1580" Type="http://schemas.openxmlformats.org/officeDocument/2006/relationships/hyperlink" Target="https://www.mdpi.com/1424-8220/20/9/2443/htm" TargetMode="External"/><Relationship Id="rId1581" Type="http://schemas.openxmlformats.org/officeDocument/2006/relationships/hyperlink" Target="https://doi.org/10.3390/s20092443" TargetMode="External"/><Relationship Id="rId1582" Type="http://schemas.openxmlformats.org/officeDocument/2006/relationships/hyperlink" Target="https://shop.openbci.com/collections/frontpage/products/openbci-eeg-headband-kit?variant=8120393760782" TargetMode="External"/><Relationship Id="rId510" Type="http://schemas.openxmlformats.org/officeDocument/2006/relationships/hyperlink" Target="https://doi.org/10.7717/peerj-cs.2174" TargetMode="External"/><Relationship Id="rId994" Type="http://schemas.openxmlformats.org/officeDocument/2006/relationships/hyperlink" Target="https://shop.openbci.com/products/cyton-biosensing-board-8-channel" TargetMode="External"/><Relationship Id="rId1583" Type="http://schemas.openxmlformats.org/officeDocument/2006/relationships/hyperlink" Target="https://www.aclweb.org/anthology/2020.onion-1.5/" TargetMode="External"/><Relationship Id="rId993" Type="http://schemas.openxmlformats.org/officeDocument/2006/relationships/hyperlink" Target="https://doi.org/10.1016/j.cose.2023.103198" TargetMode="External"/><Relationship Id="rId1100" Type="http://schemas.openxmlformats.org/officeDocument/2006/relationships/hyperlink" Target="https://ieeexplore.ieee.org/abstract/document/9871594" TargetMode="External"/><Relationship Id="rId1584" Type="http://schemas.openxmlformats.org/officeDocument/2006/relationships/hyperlink" Target="https://arxiv.org/pdf/2005.11413.pdf" TargetMode="External"/><Relationship Id="rId992" Type="http://schemas.openxmlformats.org/officeDocument/2006/relationships/hyperlink" Target="https://www.sciencedirect.com/science/article/pii/S0167404823001086" TargetMode="External"/><Relationship Id="rId1101" Type="http://schemas.openxmlformats.org/officeDocument/2006/relationships/hyperlink" Target="https://shop.openbci.com/products/cyton-biosensing-board-8-channel" TargetMode="External"/><Relationship Id="rId1585" Type="http://schemas.openxmlformats.org/officeDocument/2006/relationships/hyperlink" Target="https://dl.acm.org/doi/pdf/10.1145/3313831.3376128" TargetMode="External"/><Relationship Id="rId991" Type="http://schemas.openxmlformats.org/officeDocument/2006/relationships/hyperlink" Target="https://shop.openbci.com/products/cyton-daisy-biosensing-boards-16-channel" TargetMode="External"/><Relationship Id="rId1102" Type="http://schemas.openxmlformats.org/officeDocument/2006/relationships/hyperlink" Target="https://ieeexplore.ieee.org/abstract/document/9871044" TargetMode="External"/><Relationship Id="rId1586" Type="http://schemas.openxmlformats.org/officeDocument/2006/relationships/hyperlink" Target="https://www.sciencedirect.com/science/article/pii/S240584402030270X" TargetMode="External"/><Relationship Id="rId1532" Type="http://schemas.openxmlformats.org/officeDocument/2006/relationships/hyperlink" Target="https://shop.openbci.com/products/cyton-biosensing-board-8-channel" TargetMode="External"/><Relationship Id="rId1533" Type="http://schemas.openxmlformats.org/officeDocument/2006/relationships/hyperlink" Target="https://www.ncbi.nlm.nih.gov/pmc/articles/PMC7381737/" TargetMode="External"/><Relationship Id="rId1534" Type="http://schemas.openxmlformats.org/officeDocument/2006/relationships/hyperlink" Target="https://dx.doi.org/10.7150%2Fthno.44721" TargetMode="External"/><Relationship Id="rId1535" Type="http://schemas.openxmlformats.org/officeDocument/2006/relationships/hyperlink" Target="https://shop.openbci.com/products/cyton-biosensing-board-8-channel" TargetMode="External"/><Relationship Id="rId1536" Type="http://schemas.openxmlformats.org/officeDocument/2006/relationships/hyperlink" Target="https://shop.openbci.com/products/ultracortex-mark-iv" TargetMode="External"/><Relationship Id="rId1537" Type="http://schemas.openxmlformats.org/officeDocument/2006/relationships/hyperlink" Target="https://ieeexplore.ieee.org/document/9139955" TargetMode="External"/><Relationship Id="rId1538" Type="http://schemas.openxmlformats.org/officeDocument/2006/relationships/hyperlink" Target="https://shop.openbci.com/products/cyton-daisy-biosensing-boards-16-channel" TargetMode="External"/><Relationship Id="rId1539" Type="http://schemas.openxmlformats.org/officeDocument/2006/relationships/hyperlink" Target="https://ieeexplore.ieee.org/abstract/document/9142156" TargetMode="External"/><Relationship Id="rId949" Type="http://schemas.openxmlformats.org/officeDocument/2006/relationships/hyperlink" Target="https://www.sciencedirect.com/science/article/pii/S240595952300053X" TargetMode="External"/><Relationship Id="rId948" Type="http://schemas.openxmlformats.org/officeDocument/2006/relationships/hyperlink" Target="https://shop.openbci.com/products/cyton-biosensing-board-8-channel" TargetMode="External"/><Relationship Id="rId943" Type="http://schemas.openxmlformats.org/officeDocument/2006/relationships/hyperlink" Target="https://ieeexplore.ieee.org/abstract/document/10108695" TargetMode="External"/><Relationship Id="rId942" Type="http://schemas.openxmlformats.org/officeDocument/2006/relationships/hyperlink" Target="https://shop.openbci.com/products/openbci-eeg-electrocap" TargetMode="External"/><Relationship Id="rId941" Type="http://schemas.openxmlformats.org/officeDocument/2006/relationships/hyperlink" Target="https://shop.openbci.com/products/cyton-biosensing-board-8-channel" TargetMode="External"/><Relationship Id="rId940" Type="http://schemas.openxmlformats.org/officeDocument/2006/relationships/hyperlink" Target="https://doi.org/10.1145/3591197.3591304" TargetMode="External"/><Relationship Id="rId947" Type="http://schemas.openxmlformats.org/officeDocument/2006/relationships/hyperlink" Target="https://etd.iisc.ac.in/handle/2005/6068" TargetMode="External"/><Relationship Id="rId946" Type="http://schemas.openxmlformats.org/officeDocument/2006/relationships/hyperlink" Target="https://shop.openbci.com/products/cyton-daisy-biosensing-boards-16-channel" TargetMode="External"/><Relationship Id="rId945" Type="http://schemas.openxmlformats.org/officeDocument/2006/relationships/hyperlink" Target="https://ieeexplore.ieee.org/abstract/document/10104682" TargetMode="External"/><Relationship Id="rId944" Type="http://schemas.openxmlformats.org/officeDocument/2006/relationships/hyperlink" Target="https://shop.openbci.com/products/cyton-daisy-biosensing-boards-16-channel" TargetMode="External"/><Relationship Id="rId1530" Type="http://schemas.openxmlformats.org/officeDocument/2006/relationships/hyperlink" Target="https://ieeexplore.ieee.org/abstract/document/9152264" TargetMode="External"/><Relationship Id="rId1531" Type="http://schemas.openxmlformats.org/officeDocument/2006/relationships/hyperlink" Target="https://doi.org/10.1109/ISIE45063.2020.9152264" TargetMode="External"/><Relationship Id="rId1521" Type="http://schemas.openxmlformats.org/officeDocument/2006/relationships/hyperlink" Target="https://shop.openbci.com/products/cyton-biosensing-board-8-channel" TargetMode="External"/><Relationship Id="rId1522" Type="http://schemas.openxmlformats.org/officeDocument/2006/relationships/hyperlink" Target="https://shop.openbci.com/products/ultracortex-mark-iv" TargetMode="External"/><Relationship Id="rId1523" Type="http://schemas.openxmlformats.org/officeDocument/2006/relationships/hyperlink" Target="https://www.designsociety.org/publication/42519/Integration+of+low-cost%2C+dry-comb+EEG-electrodes+with+a+standard+electrode+cap+for+multimodal+signal+acquisition+during+human+experiments" TargetMode="External"/><Relationship Id="rId1524" Type="http://schemas.openxmlformats.org/officeDocument/2006/relationships/hyperlink" Target="https://doi.org/10.35199/NORDDESIGN2020.19" TargetMode="External"/><Relationship Id="rId1525" Type="http://schemas.openxmlformats.org/officeDocument/2006/relationships/hyperlink" Target="https://shop.openbci.com/products/cyton-biosensing-board-8-channel" TargetMode="External"/><Relationship Id="rId1526" Type="http://schemas.openxmlformats.org/officeDocument/2006/relationships/hyperlink" Target="https://shop.openbci.com/collections/frontpage/products/openbci-gold-cup-electrodes" TargetMode="External"/><Relationship Id="rId1527" Type="http://schemas.openxmlformats.org/officeDocument/2006/relationships/hyperlink" Target="https://ieeexplore.ieee.org/abstract/document/9142320" TargetMode="External"/><Relationship Id="rId1528" Type="http://schemas.openxmlformats.org/officeDocument/2006/relationships/hyperlink" Target="https://doi.org/10.1109/JSEN.2020.3009629" TargetMode="External"/><Relationship Id="rId1529" Type="http://schemas.openxmlformats.org/officeDocument/2006/relationships/hyperlink" Target="https://shop.openbci.com/products/ultracortex-mark-iv" TargetMode="External"/><Relationship Id="rId939" Type="http://schemas.openxmlformats.org/officeDocument/2006/relationships/hyperlink" Target="https://www.xialihei.com/wp-content/uploads/2023/02/sectl23-2.pdf" TargetMode="External"/><Relationship Id="rId938" Type="http://schemas.openxmlformats.org/officeDocument/2006/relationships/hyperlink" Target="https://shop.openbci.com/products/openbci-eeg-electrocap" TargetMode="External"/><Relationship Id="rId937" Type="http://schemas.openxmlformats.org/officeDocument/2006/relationships/hyperlink" Target="https://shop.openbci.com/products/cyton-biosensing-board-8-channel" TargetMode="External"/><Relationship Id="rId932" Type="http://schemas.openxmlformats.org/officeDocument/2006/relationships/hyperlink" Target="https://ieeexplore.ieee.org/abstract/document/10115079" TargetMode="External"/><Relationship Id="rId931" Type="http://schemas.openxmlformats.org/officeDocument/2006/relationships/hyperlink" Target="https://shop.openbci.com/products/openbci-eeg-electrocap" TargetMode="External"/><Relationship Id="rId930" Type="http://schemas.openxmlformats.org/officeDocument/2006/relationships/hyperlink" Target="https://shop.openbci.com/products/cyton-biosensing-board-8-channel" TargetMode="External"/><Relationship Id="rId936" Type="http://schemas.openxmlformats.org/officeDocument/2006/relationships/hyperlink" Target="https://doi.org/10.3390/s23094559" TargetMode="External"/><Relationship Id="rId935" Type="http://schemas.openxmlformats.org/officeDocument/2006/relationships/hyperlink" Target="https://www.mdpi.com/1424-8220/23/9/4559" TargetMode="External"/><Relationship Id="rId934" Type="http://schemas.openxmlformats.org/officeDocument/2006/relationships/hyperlink" Target="https://shop.openbci.com/products/cyton-daisy-biosensing-boards-16-channel" TargetMode="External"/><Relationship Id="rId933" Type="http://schemas.openxmlformats.org/officeDocument/2006/relationships/hyperlink" Target="https://ieeexplore.ieee.org/document/10090032" TargetMode="External"/><Relationship Id="rId1520" Type="http://schemas.openxmlformats.org/officeDocument/2006/relationships/hyperlink" Target="https://doi.org/10.1109/TCSI.2020.3012351" TargetMode="External"/><Relationship Id="rId1554" Type="http://schemas.openxmlformats.org/officeDocument/2006/relationships/hyperlink" Target="https://doi.org/10.1016/j.biopha.2020.110306" TargetMode="External"/><Relationship Id="rId1555" Type="http://schemas.openxmlformats.org/officeDocument/2006/relationships/hyperlink" Target="https://shop.openbci.com/products/cyton-daisy-biosensing-boards-16-channel" TargetMode="External"/><Relationship Id="rId1556" Type="http://schemas.openxmlformats.org/officeDocument/2006/relationships/hyperlink" Target="https://www.sciencedirect.com/science/article/abs/pii/S0010482520302031" TargetMode="External"/><Relationship Id="rId1557" Type="http://schemas.openxmlformats.org/officeDocument/2006/relationships/hyperlink" Target="https://doi.org/10.1016/j.compbiomed.2020.103843" TargetMode="External"/><Relationship Id="rId1558" Type="http://schemas.openxmlformats.org/officeDocument/2006/relationships/hyperlink" Target="https://shop.openbci.com/products/ultracortex-mark-iv" TargetMode="External"/><Relationship Id="rId1559" Type="http://schemas.openxmlformats.org/officeDocument/2006/relationships/hyperlink" Target="http://www.csis.pace.edu/~ctappert/srd/b6.pdf" TargetMode="External"/><Relationship Id="rId965" Type="http://schemas.openxmlformats.org/officeDocument/2006/relationships/hyperlink" Target="https://shop.openbci.com/products/cyton-daisy-biosensing-boards-16-channel" TargetMode="External"/><Relationship Id="rId964" Type="http://schemas.openxmlformats.org/officeDocument/2006/relationships/hyperlink" Target="https://arxiv.org/pdf/2304.02861.pdf" TargetMode="External"/><Relationship Id="rId963" Type="http://schemas.openxmlformats.org/officeDocument/2006/relationships/hyperlink" Target="https://shop.openbci.com/products/cyton-daisy-biosensing-boards-16-channel" TargetMode="External"/><Relationship Id="rId962" Type="http://schemas.openxmlformats.org/officeDocument/2006/relationships/hyperlink" Target="https://doi.org/10.1016/j.mtbio.2023.100626" TargetMode="External"/><Relationship Id="rId969" Type="http://schemas.openxmlformats.org/officeDocument/2006/relationships/hyperlink" Target="https://www.sciencedirect.com/science/article/pii/S1369847823000657" TargetMode="External"/><Relationship Id="rId968" Type="http://schemas.openxmlformats.org/officeDocument/2006/relationships/hyperlink" Target="https://doi.org/10.3390/s23073763" TargetMode="External"/><Relationship Id="rId967" Type="http://schemas.openxmlformats.org/officeDocument/2006/relationships/hyperlink" Target="https://www.mdpi.com/1424-8220/23/7/3763" TargetMode="External"/><Relationship Id="rId966" Type="http://schemas.openxmlformats.org/officeDocument/2006/relationships/hyperlink" Target="https://shop.openbci.com/products/openbci-eeg-electrocap" TargetMode="External"/><Relationship Id="rId961" Type="http://schemas.openxmlformats.org/officeDocument/2006/relationships/hyperlink" Target="https://www.sciencedirect.com/science/article/pii/S2590006423000868" TargetMode="External"/><Relationship Id="rId1550" Type="http://schemas.openxmlformats.org/officeDocument/2006/relationships/hyperlink" Target="https://shop.openbci.com/products/ultracortex-mark-iv" TargetMode="External"/><Relationship Id="rId960" Type="http://schemas.openxmlformats.org/officeDocument/2006/relationships/hyperlink" Target="https://shop.openbci.com/products/cyton-biosensing-board-8-channel" TargetMode="External"/><Relationship Id="rId1551" Type="http://schemas.openxmlformats.org/officeDocument/2006/relationships/hyperlink" Target="https://link.springer.com/chapter/10.1007/978-3-030-51328-3_9" TargetMode="External"/><Relationship Id="rId1552" Type="http://schemas.openxmlformats.org/officeDocument/2006/relationships/hyperlink" Target="https://doi.org/10.1007/978-3-030-51328-3_9" TargetMode="External"/><Relationship Id="rId1553" Type="http://schemas.openxmlformats.org/officeDocument/2006/relationships/hyperlink" Target="https://www.sciencedirect.com/science/article/pii/S0753332220304984" TargetMode="External"/><Relationship Id="rId1543" Type="http://schemas.openxmlformats.org/officeDocument/2006/relationships/hyperlink" Target="https://shop.openbci.com/collections/frontpage/products/openbci-eeg-headband-kit?variant=8120393760782" TargetMode="External"/><Relationship Id="rId1544" Type="http://schemas.openxmlformats.org/officeDocument/2006/relationships/hyperlink" Target="https://ieeexplore.ieee.org/document/9129966" TargetMode="External"/><Relationship Id="rId1545" Type="http://schemas.openxmlformats.org/officeDocument/2006/relationships/hyperlink" Target="https://shop.openbci.com/collections/frontpage/products/openbci-eeg-electrocap?variant=16456881766472" TargetMode="External"/><Relationship Id="rId1546" Type="http://schemas.openxmlformats.org/officeDocument/2006/relationships/hyperlink" Target="https://arxiv.org/abs/2006.16498" TargetMode="External"/><Relationship Id="rId1547" Type="http://schemas.openxmlformats.org/officeDocument/2006/relationships/hyperlink" Target="https://shop.openbci.com/products/ultracortex-mark-iv" TargetMode="External"/><Relationship Id="rId1548" Type="http://schemas.openxmlformats.org/officeDocument/2006/relationships/hyperlink" Target="https://ieeexplore.ieee.org/abstract/document/9128824" TargetMode="External"/><Relationship Id="rId1549" Type="http://schemas.openxmlformats.org/officeDocument/2006/relationships/hyperlink" Target="https://doi.org/10.1109/I2MTC43012.2020.9128824" TargetMode="External"/><Relationship Id="rId959" Type="http://schemas.openxmlformats.org/officeDocument/2006/relationships/hyperlink" Target="https://doi.org/10.1016/j.measurement.2023.112454" TargetMode="External"/><Relationship Id="rId954" Type="http://schemas.openxmlformats.org/officeDocument/2006/relationships/hyperlink" Target="https://shop.openbci.com/products/cyton-daisy-biosensing-boards-16-channel" TargetMode="External"/><Relationship Id="rId953" Type="http://schemas.openxmlformats.org/officeDocument/2006/relationships/hyperlink" Target="https://www.intechopen.com/online-first/86899" TargetMode="External"/><Relationship Id="rId952" Type="http://schemas.openxmlformats.org/officeDocument/2006/relationships/hyperlink" Target="https://shop.openbci.com/products/ultracortex-mark-iv" TargetMode="External"/><Relationship Id="rId951" Type="http://schemas.openxmlformats.org/officeDocument/2006/relationships/hyperlink" Target="https://shop.openbci.com/products/cyton-daisy-biosensing-boards-16-channel" TargetMode="External"/><Relationship Id="rId958" Type="http://schemas.openxmlformats.org/officeDocument/2006/relationships/hyperlink" Target="https://www.sciencedirect.com/science/article/abs/pii/S0263224123000180" TargetMode="External"/><Relationship Id="rId957" Type="http://schemas.openxmlformats.org/officeDocument/2006/relationships/hyperlink" Target="https://shop.openbci.com/products/cyton-biosensing-board-8-channel" TargetMode="External"/><Relationship Id="rId956" Type="http://schemas.openxmlformats.org/officeDocument/2006/relationships/hyperlink" Target="https://micsymposium.org/mics2023/wp-content/uploads/2023/03/MICS-2023-Cavalcanti_full-paper-official.pdf" TargetMode="External"/><Relationship Id="rId955" Type="http://schemas.openxmlformats.org/officeDocument/2006/relationships/hyperlink" Target="https://shop.openbci.com/products/ultracortex-mark-iv" TargetMode="External"/><Relationship Id="rId950" Type="http://schemas.openxmlformats.org/officeDocument/2006/relationships/hyperlink" Target="https://doi.org/10.1016/j.icte.2023.04.005" TargetMode="External"/><Relationship Id="rId1540" Type="http://schemas.openxmlformats.org/officeDocument/2006/relationships/hyperlink" Target="https://shop.openbci.com/products/ultracortex-mark-iv" TargetMode="External"/><Relationship Id="rId1541" Type="http://schemas.openxmlformats.org/officeDocument/2006/relationships/hyperlink" Target="https://www.sciencedirect.com/science/article/abs/pii/S0001691820300901" TargetMode="External"/><Relationship Id="rId1542" Type="http://schemas.openxmlformats.org/officeDocument/2006/relationships/hyperlink" Target="https://doi.org/10.1016/j.actpsy.2020.103134" TargetMode="External"/><Relationship Id="rId590" Type="http://schemas.openxmlformats.org/officeDocument/2006/relationships/hyperlink" Target="https://doi.org/10.1016/j.nanoen.2024.109748." TargetMode="External"/><Relationship Id="rId107" Type="http://schemas.openxmlformats.org/officeDocument/2006/relationships/hyperlink" Target="https://onlinelibrary.wiley.com/doi/10.1002/app.70099" TargetMode="External"/><Relationship Id="rId106" Type="http://schemas.openxmlformats.org/officeDocument/2006/relationships/hyperlink" Target="https://shop.openbci.com/products/cyton-daisy-biosensing-boards-16-channel" TargetMode="External"/><Relationship Id="rId105" Type="http://schemas.openxmlformats.org/officeDocument/2006/relationships/hyperlink" Target="https://linkinghub.elsevier.com/retrieve/pii/S105120042500822X" TargetMode="External"/><Relationship Id="rId589" Type="http://schemas.openxmlformats.org/officeDocument/2006/relationships/hyperlink" Target="https://www.sciencedirect.com/science/article/pii/S2211285524004968" TargetMode="External"/><Relationship Id="rId104" Type="http://schemas.openxmlformats.org/officeDocument/2006/relationships/hyperlink" Target="https://arxiv.org/abs/2512.04313" TargetMode="External"/><Relationship Id="rId588" Type="http://schemas.openxmlformats.org/officeDocument/2006/relationships/hyperlink" Target="https://shop.openbci.com/products/cyton-biosensing-board-8-channel" TargetMode="External"/><Relationship Id="rId109" Type="http://schemas.openxmlformats.org/officeDocument/2006/relationships/hyperlink" Target="http://jre.cplire.ru/jre/nov25/33/abstract_e.html" TargetMode="External"/><Relationship Id="rId1170" Type="http://schemas.openxmlformats.org/officeDocument/2006/relationships/hyperlink" Target="https://shop.openbci.com/products/cyton-daisy-biosensing-boards-16-channel" TargetMode="External"/><Relationship Id="rId108" Type="http://schemas.openxmlformats.org/officeDocument/2006/relationships/hyperlink" Target="https://link.springer.com/10.1007/s11517-025-03489-6" TargetMode="External"/><Relationship Id="rId1171" Type="http://schemas.openxmlformats.org/officeDocument/2006/relationships/hyperlink" Target="https://www.sciencedirect.com/science/article/pii/S1568494622003143" TargetMode="External"/><Relationship Id="rId583" Type="http://schemas.openxmlformats.org/officeDocument/2006/relationships/hyperlink" Target="https://shop.openbci.com/products/ultracortex-mark-iv" TargetMode="External"/><Relationship Id="rId1172" Type="http://schemas.openxmlformats.org/officeDocument/2006/relationships/hyperlink" Target="https://doi.org/10.1016/j.asoc.2022.108982" TargetMode="External"/><Relationship Id="rId582" Type="http://schemas.openxmlformats.org/officeDocument/2006/relationships/hyperlink" Target="https://ieeexplore.ieee.org/abstract/document/10540596" TargetMode="External"/><Relationship Id="rId1173" Type="http://schemas.openxmlformats.org/officeDocument/2006/relationships/hyperlink" Target="https://www.tandfonline.com/doi/abs/10.1080/21681163.2022.2072398" TargetMode="External"/><Relationship Id="rId581" Type="http://schemas.openxmlformats.org/officeDocument/2006/relationships/hyperlink" Target="https://shop.openbci.com/products/cyton-biosensing-board-8-channel" TargetMode="External"/><Relationship Id="rId1174" Type="http://schemas.openxmlformats.org/officeDocument/2006/relationships/hyperlink" Target="https://doi.org/10.1080/21681163.2022.2072398" TargetMode="External"/><Relationship Id="rId580" Type="http://schemas.openxmlformats.org/officeDocument/2006/relationships/hyperlink" Target="https://doi.org/10.1016/j.cej.2024.152694." TargetMode="External"/><Relationship Id="rId1175" Type="http://schemas.openxmlformats.org/officeDocument/2006/relationships/hyperlink" Target="https://ieeexplore.ieee.org/abstract/document/9764024" TargetMode="External"/><Relationship Id="rId103" Type="http://schemas.openxmlformats.org/officeDocument/2006/relationships/hyperlink" Target="https://shop.openbci.com/products/cyton-daisy-biosensing-boards-16-channel" TargetMode="External"/><Relationship Id="rId587" Type="http://schemas.openxmlformats.org/officeDocument/2006/relationships/hyperlink" Target="http://dx.doi.org/10.17504/protocols.io.q26g7y2w8gwz/v1" TargetMode="External"/><Relationship Id="rId1176" Type="http://schemas.openxmlformats.org/officeDocument/2006/relationships/hyperlink" Target="https://doi.org/10.1109/SoutheastCon48659.2022.9764024" TargetMode="External"/><Relationship Id="rId102" Type="http://schemas.openxmlformats.org/officeDocument/2006/relationships/hyperlink" Target="https://www.mdpi.com/2079-3197/13/12/287" TargetMode="External"/><Relationship Id="rId586" Type="http://schemas.openxmlformats.org/officeDocument/2006/relationships/hyperlink" Target="https://www.protocols.io/view/an-affordable-solution-for-investigating-zebra-fin-ctu3wnyn.html" TargetMode="External"/><Relationship Id="rId1177" Type="http://schemas.openxmlformats.org/officeDocument/2006/relationships/hyperlink" Target="https://shop.openbci.com/products/cyton-daisy-biosensing-boards-16-channel" TargetMode="External"/><Relationship Id="rId101" Type="http://schemas.openxmlformats.org/officeDocument/2006/relationships/hyperlink" Target="https://link.springer.com/10.1007/s42600-025-00446-y" TargetMode="External"/><Relationship Id="rId585" Type="http://schemas.openxmlformats.org/officeDocument/2006/relationships/hyperlink" Target="https://shop.openbci.com/products/cyton-biosensing-board-8-channel" TargetMode="External"/><Relationship Id="rId1178" Type="http://schemas.openxmlformats.org/officeDocument/2006/relationships/hyperlink" Target="https://www.sciencedirect.com/science/article/pii/S2352340922004280" TargetMode="External"/><Relationship Id="rId100" Type="http://schemas.openxmlformats.org/officeDocument/2006/relationships/hyperlink" Target="https://shop.openbci.com/products/cyton-daisy-biosensing-boards-16-channel" TargetMode="External"/><Relationship Id="rId584" Type="http://schemas.openxmlformats.org/officeDocument/2006/relationships/hyperlink" Target="https://ieeexplore.ieee.org/document/10541061/" TargetMode="External"/><Relationship Id="rId1179" Type="http://schemas.openxmlformats.org/officeDocument/2006/relationships/hyperlink" Target="https://doi.org/10.1016/j.dib.2022.108225" TargetMode="External"/><Relationship Id="rId1169" Type="http://schemas.openxmlformats.org/officeDocument/2006/relationships/hyperlink" Target="https://doi.org/10.1145/3528352" TargetMode="External"/><Relationship Id="rId579" Type="http://schemas.openxmlformats.org/officeDocument/2006/relationships/hyperlink" Target="https://www.sciencedirect.com/science/article/abs/pii/S1385894724041810" TargetMode="External"/><Relationship Id="rId578" Type="http://schemas.openxmlformats.org/officeDocument/2006/relationships/hyperlink" Target="https://shop.openbci.com/products/cyton-biosensing-board-8-channel" TargetMode="External"/><Relationship Id="rId577" Type="http://schemas.openxmlformats.org/officeDocument/2006/relationships/hyperlink" Target="https://doi.org/10.1007/978-3-031-61625-9_8" TargetMode="External"/><Relationship Id="rId1160" Type="http://schemas.openxmlformats.org/officeDocument/2006/relationships/hyperlink" Target="https://shop.openbci.com/collections/frontpage/products/ganglion-board" TargetMode="External"/><Relationship Id="rId572" Type="http://schemas.openxmlformats.org/officeDocument/2006/relationships/hyperlink" Target="https://www.jstage.jst.go.jp/article/ieejeiss/144/6/144_528/_article/-char/ja/" TargetMode="External"/><Relationship Id="rId1161" Type="http://schemas.openxmlformats.org/officeDocument/2006/relationships/hyperlink" Target="https://shop.openbci.com/collections/frontpage/products/openbci-eeg-headband-kit?variant=8120393760782" TargetMode="External"/><Relationship Id="rId571" Type="http://schemas.openxmlformats.org/officeDocument/2006/relationships/hyperlink" Target="https://shop.openbci.com/products/cyton-biosensing-board-8-channel" TargetMode="External"/><Relationship Id="rId1162" Type="http://schemas.openxmlformats.org/officeDocument/2006/relationships/hyperlink" Target="https://scholarworks.calstate.edu/downloads/2n49t693d" TargetMode="External"/><Relationship Id="rId570" Type="http://schemas.openxmlformats.org/officeDocument/2006/relationships/hyperlink" Target="https://doi.org/10.1109/ICAPAI61893.2024.10541248" TargetMode="External"/><Relationship Id="rId1163" Type="http://schemas.openxmlformats.org/officeDocument/2006/relationships/hyperlink" Target="https://shop.openbci.com/products/cyton-biosensing-board-8-channel" TargetMode="External"/><Relationship Id="rId1164" Type="http://schemas.openxmlformats.org/officeDocument/2006/relationships/hyperlink" Target="https://orca.cardiff.ac.uk/id/eprint/149941/13/2022baczkowskielphd.pdf" TargetMode="External"/><Relationship Id="rId576" Type="http://schemas.openxmlformats.org/officeDocument/2006/relationships/hyperlink" Target="https://link.springer.com/chapter/10.1007/978-3-031-61625-9_8" TargetMode="External"/><Relationship Id="rId1165" Type="http://schemas.openxmlformats.org/officeDocument/2006/relationships/hyperlink" Target="https://www.sciencedirect.com/science/article/pii/S020852162200033X" TargetMode="External"/><Relationship Id="rId575" Type="http://schemas.openxmlformats.org/officeDocument/2006/relationships/hyperlink" Target="https://www.cell.com/iscience/pdf/S2589-0042(24)01389-0.pdf" TargetMode="External"/><Relationship Id="rId1166" Type="http://schemas.openxmlformats.org/officeDocument/2006/relationships/hyperlink" Target="https://doi.org/10.1016/j.bbe.2022.04.001" TargetMode="External"/><Relationship Id="rId574" Type="http://schemas.openxmlformats.org/officeDocument/2006/relationships/hyperlink" Target="https://shop.openbci.com/products/cyton-biosensing-board-8-channel" TargetMode="External"/><Relationship Id="rId1167" Type="http://schemas.openxmlformats.org/officeDocument/2006/relationships/hyperlink" Target="https://shop.openbci.com/products/cyton-biosensing-board-8-channel" TargetMode="External"/><Relationship Id="rId573" Type="http://schemas.openxmlformats.org/officeDocument/2006/relationships/hyperlink" Target="https://doi.org/10.1541/ieejeiss.144.528" TargetMode="External"/><Relationship Id="rId1168" Type="http://schemas.openxmlformats.org/officeDocument/2006/relationships/hyperlink" Target="https://dl.acm.org/doi/abs/10.1145/3528352" TargetMode="External"/><Relationship Id="rId129" Type="http://schemas.openxmlformats.org/officeDocument/2006/relationships/hyperlink" Target="https://xlink.rsc.org/?DOI=D5NR03106K" TargetMode="External"/><Relationship Id="rId128" Type="http://schemas.openxmlformats.org/officeDocument/2006/relationships/hyperlink" Target="https://shop.openbci.com/products/cyton-daisy-biosensing-boards-16-channel" TargetMode="External"/><Relationship Id="rId127" Type="http://schemas.openxmlformats.org/officeDocument/2006/relationships/hyperlink" Target="https://jbeb.avestia.com/2025/002.html" TargetMode="External"/><Relationship Id="rId126" Type="http://schemas.openxmlformats.org/officeDocument/2006/relationships/hyperlink" Target="https://shop.openbci.com/products/cyton-daisy-biosensing-boards-16-channel" TargetMode="External"/><Relationship Id="rId1190" Type="http://schemas.openxmlformats.org/officeDocument/2006/relationships/hyperlink" Target="https://doi.org/10.1109/SoutheastCon48659.2022.9764002" TargetMode="External"/><Relationship Id="rId1191" Type="http://schemas.openxmlformats.org/officeDocument/2006/relationships/hyperlink" Target="https://shop.openbci.com/products/cyton-biosensing-board-8-channel" TargetMode="External"/><Relationship Id="rId1192" Type="http://schemas.openxmlformats.org/officeDocument/2006/relationships/hyperlink" Target="https://onlinelibrary.wiley.com/doi/10.1002/adma.202200793" TargetMode="External"/><Relationship Id="rId1193" Type="http://schemas.openxmlformats.org/officeDocument/2006/relationships/hyperlink" Target="https://doi.org/10.1002/adma.202200793" TargetMode="External"/><Relationship Id="rId121" Type="http://schemas.openxmlformats.org/officeDocument/2006/relationships/hyperlink" Target="https://www.dovepress.com/individual-autonomic-profiles-influence-brainheart-connectivity-in-ton-peer-reviewed-fulltext-article-JPR" TargetMode="External"/><Relationship Id="rId1194" Type="http://schemas.openxmlformats.org/officeDocument/2006/relationships/hyperlink" Target="https://shop.openbci.com/products/cyton-biosensing-board-8-channel" TargetMode="External"/><Relationship Id="rId120" Type="http://schemas.openxmlformats.org/officeDocument/2006/relationships/hyperlink" Target="https://shop.openbci.com/products/openbci-eeg-electrocap" TargetMode="External"/><Relationship Id="rId1195" Type="http://schemas.openxmlformats.org/officeDocument/2006/relationships/hyperlink" Target="https://shop.openbci.com/products/ultracortex-mark-iv" TargetMode="External"/><Relationship Id="rId1196" Type="http://schemas.openxmlformats.org/officeDocument/2006/relationships/hyperlink" Target="https://scholar.google.com/scholar_url?url=https://www.mdpi.com/2076-3417/12/7/3417/pdf&amp;hl=en&amp;sa=X&amp;d=14737034462109096518&amp;ei=yqNGYqiaI5aYmAGvjqiIDA&amp;scisig=AAGBfm30Y_kOl6jhsJYvo8m644EVMasOOg&amp;oi=scholaralrt&amp;hist=8WBGhdYAAAAJ:5437843588291773220:AAGBfm0AXzDYRW-VCMYvA48Xe9D-p48E1g&amp;html=&amp;pos=0&amp;folt=kw" TargetMode="External"/><Relationship Id="rId1197" Type="http://schemas.openxmlformats.org/officeDocument/2006/relationships/hyperlink" Target="https://doi.org/10.3390/app12073417" TargetMode="External"/><Relationship Id="rId125" Type="http://schemas.openxmlformats.org/officeDocument/2006/relationships/hyperlink" Target="https://onlinelibrary.wiley.com/doi/10.1002/brb3.70977" TargetMode="External"/><Relationship Id="rId1198" Type="http://schemas.openxmlformats.org/officeDocument/2006/relationships/hyperlink" Target="https://shop.openbci.com/products/cyton-biosensing-board-8-channel" TargetMode="External"/><Relationship Id="rId124" Type="http://schemas.openxmlformats.org/officeDocument/2006/relationships/hyperlink" Target="https://www.mdpi.com/2227-7080/13/11/501" TargetMode="External"/><Relationship Id="rId1199" Type="http://schemas.openxmlformats.org/officeDocument/2006/relationships/hyperlink" Target="https://shop.openbci.com/products/ultracortex-mark-iv" TargetMode="External"/><Relationship Id="rId123" Type="http://schemas.openxmlformats.org/officeDocument/2006/relationships/hyperlink" Target="https://www.mdpi.com/2813-2084/4/4/53" TargetMode="External"/><Relationship Id="rId122" Type="http://schemas.openxmlformats.org/officeDocument/2006/relationships/hyperlink" Target="https://linkinghub.elsevier.com/retrieve/pii/S221112472501277X" TargetMode="External"/><Relationship Id="rId118" Type="http://schemas.openxmlformats.org/officeDocument/2006/relationships/hyperlink" Target="https://www.nature.com/articles/s41598-025-23049-0" TargetMode="External"/><Relationship Id="rId117" Type="http://schemas.openxmlformats.org/officeDocument/2006/relationships/hyperlink" Target="https://shop.openbci.com/products/cyton-daisy-biosensing-boards-16-channel" TargetMode="External"/><Relationship Id="rId116" Type="http://schemas.openxmlformats.org/officeDocument/2006/relationships/hyperlink" Target="https://www.nature.com/articles/s41598-025-24831-w" TargetMode="External"/><Relationship Id="rId115" Type="http://schemas.openxmlformats.org/officeDocument/2006/relationships/hyperlink" Target="https://revistas.utb.edu.co/tesea/article/view/580" TargetMode="External"/><Relationship Id="rId599" Type="http://schemas.openxmlformats.org/officeDocument/2006/relationships/hyperlink" Target="https://shop.openbci.com/products/cyton-biosensing-board-8-channel" TargetMode="External"/><Relationship Id="rId1180" Type="http://schemas.openxmlformats.org/officeDocument/2006/relationships/hyperlink" Target="https://shop.openbci.com/products/cyton-biosensing-board-8-channel" TargetMode="External"/><Relationship Id="rId1181" Type="http://schemas.openxmlformats.org/officeDocument/2006/relationships/hyperlink" Target="https://www.ncbi.nlm.nih.gov/pmc/articles/PMC9100375/" TargetMode="External"/><Relationship Id="rId119" Type="http://schemas.openxmlformats.org/officeDocument/2006/relationships/hyperlink" Target="https://shop.openbci.com/products/cyton-daisy-biosensing-boards-16-channel" TargetMode="External"/><Relationship Id="rId1182" Type="http://schemas.openxmlformats.org/officeDocument/2006/relationships/hyperlink" Target="https://doi.org/10.2196%2F35295" TargetMode="External"/><Relationship Id="rId110" Type="http://schemas.openxmlformats.org/officeDocument/2006/relationships/hyperlink" Target="https://www.tandfonline.com/doi/full/10.1080/23311983.2025.2591387" TargetMode="External"/><Relationship Id="rId594" Type="http://schemas.openxmlformats.org/officeDocument/2006/relationships/hyperlink" Target="https://doi.org/10.3390/data9050068" TargetMode="External"/><Relationship Id="rId1183" Type="http://schemas.openxmlformats.org/officeDocument/2006/relationships/hyperlink" Target="https://www.researchgate.net/profile/Damien-Rompapas/publication/360152176_The_Mind_Commands_You_Combining_Brain-Computer_Interactions_with_Augmented_Reality_to_Control_Internet_of_Things_IoT_tools_and_Robotic_Platforms/links/6264bd3b1b747d19c2a32cd9/The-Mind-Commands-You-Combining-Brain-Computer-Interactions-with-Augmented-Reality-to-Control-Internet-of-Things-IoT-tools-and-Robotic-Platforms.pdf" TargetMode="External"/><Relationship Id="rId593" Type="http://schemas.openxmlformats.org/officeDocument/2006/relationships/hyperlink" Target="https://www.mdpi.com/2306-5729/9/5/68" TargetMode="External"/><Relationship Id="rId1184" Type="http://schemas.openxmlformats.org/officeDocument/2006/relationships/hyperlink" Target="https://shop.openbci.com/products/cyton-daisy-biosensing-boards-16-channel" TargetMode="External"/><Relationship Id="rId592" Type="http://schemas.openxmlformats.org/officeDocument/2006/relationships/hyperlink" Target="https://shop.openbci.com/products/ultracortex-mark-iv" TargetMode="External"/><Relationship Id="rId1185" Type="http://schemas.openxmlformats.org/officeDocument/2006/relationships/hyperlink" Target="https://shop.openbci.com/products/ultracortex-mark-iv" TargetMode="External"/><Relationship Id="rId591" Type="http://schemas.openxmlformats.org/officeDocument/2006/relationships/hyperlink" Target="https://shop.openbci.com/products/cyton-biosensing-board-8-channel" TargetMode="External"/><Relationship Id="rId1186" Type="http://schemas.openxmlformats.org/officeDocument/2006/relationships/hyperlink" Target="https://scholar.google.com/scholar_url?url=https://digitalcommons.kennesaw.edu/undergradsymposiumksu/spring2022/presentations/436/&amp;hl=en&amp;sa=X&amp;d=16756503522913991790&amp;ei=ypJgYsCSAcLZmQHc1ovQAg&amp;scisig=AAGBfm2GjkpOpF97-PUZqah2E5F7VjeUPA&amp;oi=scholaralrt&amp;hist=phuwsnkAAAAJ:1324821476278215287:AAGBfm1j5tukHsbeU89cUqsrIj25mrgFmg&amp;html=&amp;pos=0&amp;folt=kw" TargetMode="External"/><Relationship Id="rId114" Type="http://schemas.openxmlformats.org/officeDocument/2006/relationships/hyperlink" Target="https://linkinghub.elsevier.com/retrieve/pii/S2666053925001249" TargetMode="External"/><Relationship Id="rId598" Type="http://schemas.openxmlformats.org/officeDocument/2006/relationships/hyperlink" Target="https://ieeexplore.ieee.org/abstract/document/10524074" TargetMode="External"/><Relationship Id="rId1187" Type="http://schemas.openxmlformats.org/officeDocument/2006/relationships/hyperlink" Target="https://shop.openbci.com/products/cyton-biosensing-board-8-channel" TargetMode="External"/><Relationship Id="rId113" Type="http://schemas.openxmlformats.org/officeDocument/2006/relationships/hyperlink" Target="https://jneuroengrehab.biomedcentral.com/articles/10.1186/s12984-025-01769-8" TargetMode="External"/><Relationship Id="rId597" Type="http://schemas.openxmlformats.org/officeDocument/2006/relationships/hyperlink" Target="https://shop.openbci.com/products/cyton-biosensing-board-8-channel" TargetMode="External"/><Relationship Id="rId1188" Type="http://schemas.openxmlformats.org/officeDocument/2006/relationships/hyperlink" Target="https://shop.openbci.com/collections/frontpage/products/openbci-eeg-headband-kit?variant=8120393760782" TargetMode="External"/><Relationship Id="rId112" Type="http://schemas.openxmlformats.org/officeDocument/2006/relationships/hyperlink" Target="https://linkinghub.elsevier.com/retrieve/pii/S0960148125024735" TargetMode="External"/><Relationship Id="rId596" Type="http://schemas.openxmlformats.org/officeDocument/2006/relationships/hyperlink" Target="https://etda.libraries.psu.edu/catalog/28971svs7421" TargetMode="External"/><Relationship Id="rId1189" Type="http://schemas.openxmlformats.org/officeDocument/2006/relationships/hyperlink" Target="https://ieeexplore.ieee.org/abstract/document/9764002" TargetMode="External"/><Relationship Id="rId111" Type="http://schemas.openxmlformats.org/officeDocument/2006/relationships/hyperlink" Target="https://www.nature.com/articles/s41467-025-65464-x" TargetMode="External"/><Relationship Id="rId595" Type="http://schemas.openxmlformats.org/officeDocument/2006/relationships/hyperlink" Target="https://shop.openbci.com/products/cyton-biosensing-board-8-channel" TargetMode="External"/><Relationship Id="rId1136" Type="http://schemas.openxmlformats.org/officeDocument/2006/relationships/hyperlink" Target="https://www.mdpi.com/2075-1702/10/8/654/htm" TargetMode="External"/><Relationship Id="rId1137" Type="http://schemas.openxmlformats.org/officeDocument/2006/relationships/hyperlink" Target="https://doi.org/10.3390/machines10080654" TargetMode="External"/><Relationship Id="rId1138" Type="http://schemas.openxmlformats.org/officeDocument/2006/relationships/hyperlink" Target="https://shop.openbci.com/products/cyton-biosensing-board-8-channel" TargetMode="External"/><Relationship Id="rId1139" Type="http://schemas.openxmlformats.org/officeDocument/2006/relationships/hyperlink" Target="https://pubs.acs.org/doi/abs/10.1021/acsami.2c08757" TargetMode="External"/><Relationship Id="rId547" Type="http://schemas.openxmlformats.org/officeDocument/2006/relationships/hyperlink" Target="https://shop.openbci.com/products/cyton-biosensing-board-8-channel" TargetMode="External"/><Relationship Id="rId546" Type="http://schemas.openxmlformats.org/officeDocument/2006/relationships/hyperlink" Target="https://doi.org/10.1109/ELEKTRO60337.2024.10557010" TargetMode="External"/><Relationship Id="rId545" Type="http://schemas.openxmlformats.org/officeDocument/2006/relationships/hyperlink" Target="https://ieeexplore.ieee.org/abstract/document/10557010/authors" TargetMode="External"/><Relationship Id="rId544" Type="http://schemas.openxmlformats.org/officeDocument/2006/relationships/hyperlink" Target="https://shop.openbci.com/products/ultracortex-mark-iv" TargetMode="External"/><Relationship Id="rId549" Type="http://schemas.openxmlformats.org/officeDocument/2006/relationships/hyperlink" Target="https://shop.openbci.com/products/cyton-biosensing-board-8-channel" TargetMode="External"/><Relationship Id="rId548" Type="http://schemas.openxmlformats.org/officeDocument/2006/relationships/hyperlink" Target="https://www.jmeonline.in/admin/uploadss/jme%20(aug%202020).pdf" TargetMode="External"/><Relationship Id="rId1130" Type="http://schemas.openxmlformats.org/officeDocument/2006/relationships/hyperlink" Target="https://uknowledge.uky.edu/cgi/viewcontent.cgi?article=1079&amp;context=cbme_etds" TargetMode="External"/><Relationship Id="rId1131" Type="http://schemas.openxmlformats.org/officeDocument/2006/relationships/hyperlink" Target="https://doi.org/10.13023/etd.2022.286" TargetMode="External"/><Relationship Id="rId543" Type="http://schemas.openxmlformats.org/officeDocument/2006/relationships/hyperlink" Target="https://shop.openbci.com/products/cyton-biosensing-board-8-channel" TargetMode="External"/><Relationship Id="rId1132" Type="http://schemas.openxmlformats.org/officeDocument/2006/relationships/hyperlink" Target="https://www.science.org/doi/full/10.1126/sciadv.abq2521" TargetMode="External"/><Relationship Id="rId542" Type="http://schemas.openxmlformats.org/officeDocument/2006/relationships/hyperlink" Target="https://doi.org/10.1109/ICHMS59971.2024.10555857" TargetMode="External"/><Relationship Id="rId1133" Type="http://schemas.openxmlformats.org/officeDocument/2006/relationships/hyperlink" Target="https://doi.org/10.1126/sciadv.abq2521" TargetMode="External"/><Relationship Id="rId541" Type="http://schemas.openxmlformats.org/officeDocument/2006/relationships/hyperlink" Target="https://ieeexplore.ieee.org/document/10555857" TargetMode="External"/><Relationship Id="rId1134" Type="http://schemas.openxmlformats.org/officeDocument/2006/relationships/hyperlink" Target="https://shop.openbci.com/products/cyton-daisy-biosensing-boards-16-channel" TargetMode="External"/><Relationship Id="rId540" Type="http://schemas.openxmlformats.org/officeDocument/2006/relationships/hyperlink" Target="https://shop.openbci.com/products/cyton-biosensing-board-8-channel" TargetMode="External"/><Relationship Id="rId1135" Type="http://schemas.openxmlformats.org/officeDocument/2006/relationships/hyperlink" Target="https://shop.openbci.com/products/openbci-eeg-electrocap" TargetMode="External"/><Relationship Id="rId1125" Type="http://schemas.openxmlformats.org/officeDocument/2006/relationships/hyperlink" Target="https://doi.org/10.3390/s22239372" TargetMode="External"/><Relationship Id="rId1126" Type="http://schemas.openxmlformats.org/officeDocument/2006/relationships/hyperlink" Target="https://shop.openbci.com/products/cyton-biosensing-board-8-channel" TargetMode="External"/><Relationship Id="rId1127" Type="http://schemas.openxmlformats.org/officeDocument/2006/relationships/hyperlink" Target="https://shop.openbci.com/products/ultracortex-mark-iv" TargetMode="External"/><Relationship Id="rId1128" Type="http://schemas.openxmlformats.org/officeDocument/2006/relationships/hyperlink" Target="https://link.springer.com/article/10.1007/s00521-021-06716-x" TargetMode="External"/><Relationship Id="rId1129" Type="http://schemas.openxmlformats.org/officeDocument/2006/relationships/hyperlink" Target="https://doi.org/10.1007/s00521-021-06716-x" TargetMode="External"/><Relationship Id="rId536" Type="http://schemas.openxmlformats.org/officeDocument/2006/relationships/hyperlink" Target="https://hal.science/hal-04630176/document" TargetMode="External"/><Relationship Id="rId535" Type="http://schemas.openxmlformats.org/officeDocument/2006/relationships/hyperlink" Target="https://shop.openbci.com/products/cyton-biosensing-board-8-channel" TargetMode="External"/><Relationship Id="rId534" Type="http://schemas.openxmlformats.org/officeDocument/2006/relationships/hyperlink" Target="https://doi.org/10.1007/9" TargetMode="External"/><Relationship Id="rId533" Type="http://schemas.openxmlformats.org/officeDocument/2006/relationships/hyperlink" Target="https://link.springer.com/chapter/10.1007/978-3-031-64312-5_52" TargetMode="External"/><Relationship Id="rId539" Type="http://schemas.openxmlformats.org/officeDocument/2006/relationships/hyperlink" Target="https://doi.org/10.1126/sciadv.ado6793" TargetMode="External"/><Relationship Id="rId538" Type="http://schemas.openxmlformats.org/officeDocument/2006/relationships/hyperlink" Target="https://www.science.org/doi/full/10.1126/sciadv.ado6793" TargetMode="External"/><Relationship Id="rId537" Type="http://schemas.openxmlformats.org/officeDocument/2006/relationships/hyperlink" Target="https://shop.openbci.com/products/cyton-biosensing-board-8-channel" TargetMode="External"/><Relationship Id="rId1120" Type="http://schemas.openxmlformats.org/officeDocument/2006/relationships/hyperlink" Target="https://shop.openbci.com/products/ultracortex-mark-iv" TargetMode="External"/><Relationship Id="rId532" Type="http://schemas.openxmlformats.org/officeDocument/2006/relationships/hyperlink" Target="https://shop.openbci.com/products/cyton-biosensing-board-8-channel" TargetMode="External"/><Relationship Id="rId1121" Type="http://schemas.openxmlformats.org/officeDocument/2006/relationships/hyperlink" Target="https://aip.scitation.org/doi/abs/10.1063/5.0098178" TargetMode="External"/><Relationship Id="rId531" Type="http://schemas.openxmlformats.org/officeDocument/2006/relationships/hyperlink" Target="http://dx.doi.org/10.1007/s00521-024-09628-8" TargetMode="External"/><Relationship Id="rId1122" Type="http://schemas.openxmlformats.org/officeDocument/2006/relationships/hyperlink" Target="https://doi.org/10.1063/5.0098178" TargetMode="External"/><Relationship Id="rId530" Type="http://schemas.openxmlformats.org/officeDocument/2006/relationships/hyperlink" Target="https://www.researchgate.net/profile/Anju-Latha-Nair/publication/379372163_Human_attention_detection_system_using_deep_learning_and_brain-computer_interface/links/66303cbc08aa54017acd31f8/Human-attention-detection-system-using-deep-learning-and-brain-computer-interface.pdf" TargetMode="External"/><Relationship Id="rId1123" Type="http://schemas.openxmlformats.org/officeDocument/2006/relationships/hyperlink" Target="https://shop.openbci.com/products/cyton-biosensing-board-8-channel" TargetMode="External"/><Relationship Id="rId1124" Type="http://schemas.openxmlformats.org/officeDocument/2006/relationships/hyperlink" Target="https://www.mdpi.com/1424-8220/22/23/9372" TargetMode="External"/><Relationship Id="rId1158" Type="http://schemas.openxmlformats.org/officeDocument/2006/relationships/hyperlink" Target="https://www.mdpi.com/2624-6120/3/2/24/htm" TargetMode="External"/><Relationship Id="rId1159" Type="http://schemas.openxmlformats.org/officeDocument/2006/relationships/hyperlink" Target="https://doi.org/10.3390/signals3020024" TargetMode="External"/><Relationship Id="rId569" Type="http://schemas.openxmlformats.org/officeDocument/2006/relationships/hyperlink" Target="https://ieeexplore.ieee.org/abstract/document/10541248/authors" TargetMode="External"/><Relationship Id="rId568" Type="http://schemas.openxmlformats.org/officeDocument/2006/relationships/hyperlink" Target="https://shop.openbci.com/products/cyton-biosensing-board-8-channel" TargetMode="External"/><Relationship Id="rId567" Type="http://schemas.openxmlformats.org/officeDocument/2006/relationships/hyperlink" Target="https://d197for5662m48.cloudfront.net/documents/publicationstatus/209576/preprint_pdf/b2966d8c2c2e6ad3e8f7b7682f8fd585.pdf" TargetMode="External"/><Relationship Id="rId566" Type="http://schemas.openxmlformats.org/officeDocument/2006/relationships/hyperlink" Target="https://shop.openbci.com/products/cyton-biosensing-board-8-channel" TargetMode="External"/><Relationship Id="rId561" Type="http://schemas.openxmlformats.org/officeDocument/2006/relationships/hyperlink" Target="https://doi.org/10.1145/3643832.3661867" TargetMode="External"/><Relationship Id="rId1150" Type="http://schemas.openxmlformats.org/officeDocument/2006/relationships/hyperlink" Target="https://doi.org/10.3389/fpsyg.2022.864047" TargetMode="External"/><Relationship Id="rId560" Type="http://schemas.openxmlformats.org/officeDocument/2006/relationships/hyperlink" Target="https://dl.acm.org/doi/abs/10.1145/3643832.3661867" TargetMode="External"/><Relationship Id="rId1151" Type="http://schemas.openxmlformats.org/officeDocument/2006/relationships/hyperlink" Target="https://shop.openbci.com/products/cyton-biosensing-board-8-channel" TargetMode="External"/><Relationship Id="rId1152" Type="http://schemas.openxmlformats.org/officeDocument/2006/relationships/hyperlink" Target="https://escholarship.org/content/qt58w3j6xs/qt58w3j6xs.pdf" TargetMode="External"/><Relationship Id="rId1153" Type="http://schemas.openxmlformats.org/officeDocument/2006/relationships/hyperlink" Target="https://scholar.google.com/scholar_url?url=https://www.journalppw.com/index.php/jpsp/article/download/6975/4542&amp;hl=en&amp;sa=X&amp;d=1985725718726201779&amp;ei=hhaxYsuJJveVy9YPqL6LKA&amp;scisig=AAGBfm20WBBfQZv7lmu1M8Dj3LUNiU46lg&amp;oi=scholaralrt&amp;hist=8WBGhdYAAAAJ:5437843588291773220:AAGBfm0AXzDYRW-VCMYvA48Xe9D-p48E1g&amp;html=&amp;pos=0&amp;folt=kw" TargetMode="External"/><Relationship Id="rId565" Type="http://schemas.openxmlformats.org/officeDocument/2006/relationships/hyperlink" Target="https://openurl.ebsco.com/EPDB%3Agcd%3A5%3A29490309/detailv2?sid=ebsco%3Aplink%3Ascholar&amp;id=ebsco%3Agcd%3A177498914&amp;crl=c" TargetMode="External"/><Relationship Id="rId1154" Type="http://schemas.openxmlformats.org/officeDocument/2006/relationships/hyperlink" Target="https://shop.openbci.com/products/cyton-daisy-biosensing-boards-16-channel" TargetMode="External"/><Relationship Id="rId564" Type="http://schemas.openxmlformats.org/officeDocument/2006/relationships/hyperlink" Target="https://openurl.ebsco.com/results?sid=ebsco:ocu:record&amp;bquery=AU+Romo-De%20Le%C3%B3n,%20Rebeca" TargetMode="External"/><Relationship Id="rId1155" Type="http://schemas.openxmlformats.org/officeDocument/2006/relationships/hyperlink" Target="https://shop.openbci.com/products/ultracortex-mark-iv" TargetMode="External"/><Relationship Id="rId563" Type="http://schemas.openxmlformats.org/officeDocument/2006/relationships/hyperlink" Target="https://shop.openbci.com/products/ultracortex-mark-iv" TargetMode="External"/><Relationship Id="rId1156" Type="http://schemas.openxmlformats.org/officeDocument/2006/relationships/hyperlink" Target="https://scholar.google.com/scholar_url?url=https://psyarxiv.com/kncw7/download%3Fformat%3Dpdf&amp;hl=en&amp;sa=X&amp;d=16275490770030353809&amp;ei=lXmtYtzLDYzGsQL0uo0o&amp;scisig=AAGBfm3cgEt7UxXObNLGuXFwWYh51EZtVQ&amp;oi=scholaralrt&amp;hist=8WBGhdYAAAAJ:5437843588291773220:AAGBfm0AXzDYRW-VCMYvA48Xe9D-p48E1g&amp;html=&amp;pos=0&amp;folt=kw" TargetMode="External"/><Relationship Id="rId562" Type="http://schemas.openxmlformats.org/officeDocument/2006/relationships/hyperlink" Target="https://shop.openbci.com/products/cyton-biosensing-board-8-channel" TargetMode="External"/><Relationship Id="rId1157" Type="http://schemas.openxmlformats.org/officeDocument/2006/relationships/hyperlink" Target="https://shop.openbci.com/products/cyton-biosensing-board-8-channel" TargetMode="External"/><Relationship Id="rId1147" Type="http://schemas.openxmlformats.org/officeDocument/2006/relationships/hyperlink" Target="https://shop.openbci.com/products/cyton-daisy-biosensing-boards-16-channel" TargetMode="External"/><Relationship Id="rId1148" Type="http://schemas.openxmlformats.org/officeDocument/2006/relationships/hyperlink" Target="https://shop.openbci.com/products/openbci-eeg-electrocap" TargetMode="External"/><Relationship Id="rId1149" Type="http://schemas.openxmlformats.org/officeDocument/2006/relationships/hyperlink" Target="https://www.frontiersin.org/articles/10.3389/fpsyg.2022.864047/full" TargetMode="External"/><Relationship Id="rId558" Type="http://schemas.openxmlformats.org/officeDocument/2006/relationships/hyperlink" Target="https://shop.openbci.com/products/cyton-biosensing-board-8-channel" TargetMode="External"/><Relationship Id="rId557" Type="http://schemas.openxmlformats.org/officeDocument/2006/relationships/hyperlink" Target="https://www.fuzzy-tversu.com/Vol.07,%20Issue.%202,%20July-December%20:%20%202022/151.pdf" TargetMode="External"/><Relationship Id="rId556" Type="http://schemas.openxmlformats.org/officeDocument/2006/relationships/hyperlink" Target="https://shop.openbci.com/products/cyton-biosensing-board-8-channel" TargetMode="External"/><Relationship Id="rId555" Type="http://schemas.openxmlformats.org/officeDocument/2006/relationships/hyperlink" Target="https://digitalcommons.georgiasouthern.edu/etd/2797/" TargetMode="External"/><Relationship Id="rId559" Type="http://schemas.openxmlformats.org/officeDocument/2006/relationships/hyperlink" Target="https://dl.acm.org/doi/abs/10.1145/3643832.3661867" TargetMode="External"/><Relationship Id="rId550" Type="http://schemas.openxmlformats.org/officeDocument/2006/relationships/hyperlink" Target="https://shop.openbci.com/products/ultracortex-mark-iv" TargetMode="External"/><Relationship Id="rId1140" Type="http://schemas.openxmlformats.org/officeDocument/2006/relationships/hyperlink" Target="https://doi.org/10.1021/acsami.2c08757" TargetMode="External"/><Relationship Id="rId1141" Type="http://schemas.openxmlformats.org/officeDocument/2006/relationships/hyperlink" Target="https://ieeexplore.ieee.org/abstract/document/9837703/authors" TargetMode="External"/><Relationship Id="rId1142" Type="http://schemas.openxmlformats.org/officeDocument/2006/relationships/hyperlink" Target="https://doi.org/10.1109/MI-STA54861.2022.9837703" TargetMode="External"/><Relationship Id="rId554" Type="http://schemas.openxmlformats.org/officeDocument/2006/relationships/hyperlink" Target="https://digitalcommons.georgiasouthern.edu/cgi/viewcontent.cgi?article=4035&amp;context=etd" TargetMode="External"/><Relationship Id="rId1143" Type="http://schemas.openxmlformats.org/officeDocument/2006/relationships/hyperlink" Target="https://ieeexplore.ieee.org/abstract/document/9827672" TargetMode="External"/><Relationship Id="rId553" Type="http://schemas.openxmlformats.org/officeDocument/2006/relationships/hyperlink" Target="https://shop.openbci.com/products/cyton-biosensing-board-8-channel" TargetMode="External"/><Relationship Id="rId1144" Type="http://schemas.openxmlformats.org/officeDocument/2006/relationships/hyperlink" Target="https://doi.org/10.1109/IST55454.2022.9827672" TargetMode="External"/><Relationship Id="rId552" Type="http://schemas.openxmlformats.org/officeDocument/2006/relationships/hyperlink" Target="https://doi.org/10.1145/3613904.3641983" TargetMode="External"/><Relationship Id="rId1145" Type="http://schemas.openxmlformats.org/officeDocument/2006/relationships/hyperlink" Target="https://shop.openbci.com/products/ultracortex-mark-iv" TargetMode="External"/><Relationship Id="rId551" Type="http://schemas.openxmlformats.org/officeDocument/2006/relationships/hyperlink" Target="https://dl.acm.org/doi/10.1145/3613904.3641983" TargetMode="External"/><Relationship Id="rId1146" Type="http://schemas.openxmlformats.org/officeDocument/2006/relationships/hyperlink" Target="https://scholarcommons.scu.edu/cgi/viewcontent.cgi?article=1086&amp;context=idp_senior" TargetMode="External"/><Relationship Id="rId495" Type="http://schemas.openxmlformats.org/officeDocument/2006/relationships/hyperlink" Target="https://shop.openbci.com/products/cyton-biosensing-board-8-channel" TargetMode="External"/><Relationship Id="rId494" Type="http://schemas.openxmlformats.org/officeDocument/2006/relationships/hyperlink" Target="https://doi.org/10.1002/adfm.202407394" TargetMode="External"/><Relationship Id="rId493" Type="http://schemas.openxmlformats.org/officeDocument/2006/relationships/hyperlink" Target="https://onlinelibrary.wiley.com/doi/abs/10.1002/adfm.202407394" TargetMode="External"/><Relationship Id="rId492" Type="http://schemas.openxmlformats.org/officeDocument/2006/relationships/hyperlink" Target="https://shop.openbci.com/products/cyton-biosensing-board-8-channel" TargetMode="External"/><Relationship Id="rId499" Type="http://schemas.openxmlformats.org/officeDocument/2006/relationships/hyperlink" Target="https://doi.org/10.1038/s41528-024-00335-x" TargetMode="External"/><Relationship Id="rId498" Type="http://schemas.openxmlformats.org/officeDocument/2006/relationships/hyperlink" Target="https://www.nature.com/articles/s41528-024-00335-x" TargetMode="External"/><Relationship Id="rId497" Type="http://schemas.openxmlformats.org/officeDocument/2006/relationships/hyperlink" Target="https://shop.openbci.com/products/cyton-biosensing-board-8-channel" TargetMode="External"/><Relationship Id="rId496" Type="http://schemas.openxmlformats.org/officeDocument/2006/relationships/hyperlink" Target="https://scholar.utc.edu/cgi/viewcontent.cgi?article=2134&amp;context=theses" TargetMode="External"/><Relationship Id="rId1610" Type="http://schemas.openxmlformats.org/officeDocument/2006/relationships/hyperlink" Target="https://ieeexplore.ieee.org/document/9024354/keywords" TargetMode="External"/><Relationship Id="rId1611" Type="http://schemas.openxmlformats.org/officeDocument/2006/relationships/hyperlink" Target="https://doi.org/10.1109/CACS47674.2019.9024354" TargetMode="External"/><Relationship Id="rId1612" Type="http://schemas.openxmlformats.org/officeDocument/2006/relationships/hyperlink" Target="https://www.researchgate.net/publication/339697951_Design_and_Demonstration_of_a_Head_Phantom_for_Testing_of_Electroencephalography_EEG_Equipment" TargetMode="External"/><Relationship Id="rId1613" Type="http://schemas.openxmlformats.org/officeDocument/2006/relationships/hyperlink" Target="https://link.springer.com/chapter/10.1007/978-981-15-1286-5_42" TargetMode="External"/><Relationship Id="rId1614" Type="http://schemas.openxmlformats.org/officeDocument/2006/relationships/hyperlink" Target="https://www.duo.uio.no/bitstream/handle/10852/73309/1/Master-thesis---Magnus-Thorstensen.pdf" TargetMode="External"/><Relationship Id="rId1615" Type="http://schemas.openxmlformats.org/officeDocument/2006/relationships/hyperlink" Target="https://exertiongameslab.org/wp-content/uploads/2020/02/neo-noumena_chi2020.pdf" TargetMode="External"/><Relationship Id="rId1616" Type="http://schemas.openxmlformats.org/officeDocument/2006/relationships/hyperlink" Target="https://shop.openbci.com/collections/frontpage/products/openbci-gold-cup-electrodes" TargetMode="External"/><Relationship Id="rId907" Type="http://schemas.openxmlformats.org/officeDocument/2006/relationships/hyperlink" Target="https://www.theseus.fi/bitstream/handle/10024/803563/Gonzalez_Visiedo_Carlos.pdf?sequence=2" TargetMode="External"/><Relationship Id="rId1617" Type="http://schemas.openxmlformats.org/officeDocument/2006/relationships/hyperlink" Target="https://www.mdpi.com/2076-3417/10/2/541" TargetMode="External"/><Relationship Id="rId906" Type="http://schemas.openxmlformats.org/officeDocument/2006/relationships/hyperlink" Target="https://shop.openbci.com/products/cyton-biosensing-board-8-channel" TargetMode="External"/><Relationship Id="rId1618" Type="http://schemas.openxmlformats.org/officeDocument/2006/relationships/hyperlink" Target="https://www.sciencedirect.com/science/article/abs/pii/S174680942030032X" TargetMode="External"/><Relationship Id="rId905" Type="http://schemas.openxmlformats.org/officeDocument/2006/relationships/hyperlink" Target="https://doi.org/10.1145/3597061.3597257" TargetMode="External"/><Relationship Id="rId1619" Type="http://schemas.openxmlformats.org/officeDocument/2006/relationships/hyperlink" Target="http://gnan.ece.gatech.edu/archive/agarwal-chi20.pdf" TargetMode="External"/><Relationship Id="rId904" Type="http://schemas.openxmlformats.org/officeDocument/2006/relationships/hyperlink" Target="https://dl.acm.org/doi/abs/10.1145/3597061.3597257" TargetMode="External"/><Relationship Id="rId909" Type="http://schemas.openxmlformats.org/officeDocument/2006/relationships/hyperlink" Target="https://www.jstage.jst.go.jp/article/isase/ISASE2023/0/ISASE2023_1_3/_pdf" TargetMode="External"/><Relationship Id="rId908" Type="http://schemas.openxmlformats.org/officeDocument/2006/relationships/hyperlink" Target="https://shop.openbci.com/products/cyton-biosensing-board-8-channel" TargetMode="External"/><Relationship Id="rId903" Type="http://schemas.openxmlformats.org/officeDocument/2006/relationships/hyperlink" Target="https://shop.openbci.com/products/cyton-biosensing-board-8-channel" TargetMode="External"/><Relationship Id="rId902" Type="http://schemas.openxmlformats.org/officeDocument/2006/relationships/hyperlink" Target="https://doi.org/10.3390/eng4020097" TargetMode="External"/><Relationship Id="rId901" Type="http://schemas.openxmlformats.org/officeDocument/2006/relationships/hyperlink" Target="https://www.mdpi.com/2673-4117/4/2/97" TargetMode="External"/><Relationship Id="rId900" Type="http://schemas.openxmlformats.org/officeDocument/2006/relationships/hyperlink" Target="https://shop.openbci.com/products/cyton-biosensing-board-8-channel" TargetMode="External"/><Relationship Id="rId1600" Type="http://schemas.openxmlformats.org/officeDocument/2006/relationships/hyperlink" Target="https://doi.org/10.1109/ACCESS.2020.2978391" TargetMode="External"/><Relationship Id="rId1601" Type="http://schemas.openxmlformats.org/officeDocument/2006/relationships/hyperlink" Target="https://iopscience.iop.org/article/10.1088/2057-1976/ab872c/meta" TargetMode="External"/><Relationship Id="rId1602" Type="http://schemas.openxmlformats.org/officeDocument/2006/relationships/hyperlink" Target="https://doi.org/10.1088/2057-1976/ab872c" TargetMode="External"/><Relationship Id="rId1603" Type="http://schemas.openxmlformats.org/officeDocument/2006/relationships/hyperlink" Target="https://dl.acm.org/doi/abs/10.1145/3374587.3374636" TargetMode="External"/><Relationship Id="rId1604" Type="http://schemas.openxmlformats.org/officeDocument/2006/relationships/hyperlink" Target="https://doi.org/10.1145/3374587.3374636" TargetMode="External"/><Relationship Id="rId1605" Type="http://schemas.openxmlformats.org/officeDocument/2006/relationships/hyperlink" Target="https://www.researchgate.net/publication/340072194_Development_of_a_Flex_and_Stretchy_Conductive_Cotton_Fabric_Via_Flat_Screen_Printing_of_PEDOTPSSPDMS_Conductive_Polymer_Composite" TargetMode="External"/><Relationship Id="rId1606" Type="http://schemas.openxmlformats.org/officeDocument/2006/relationships/hyperlink" Target="https://shop.openbci.com/collections/frontpage/products/ultracortex-mark-iv?variant=23280716995" TargetMode="External"/><Relationship Id="rId1607" Type="http://schemas.openxmlformats.org/officeDocument/2006/relationships/hyperlink" Target="https://link.springer.com/chapter/10.1007/978-981-15-2449-3_5" TargetMode="External"/><Relationship Id="rId1608" Type="http://schemas.openxmlformats.org/officeDocument/2006/relationships/hyperlink" Target="https://doi.org/10.1007/978-981-15-2449-3_5" TargetMode="External"/><Relationship Id="rId1609" Type="http://schemas.openxmlformats.org/officeDocument/2006/relationships/hyperlink" Target="https://www.semanticscholar.org/paper/Blink-to-Get-In%3A-Biometric-Authentication-for-using-Gupta-Agarwal/c61ce3c1561536576569dc757fd543cc0520598b" TargetMode="External"/><Relationship Id="rId1631" Type="http://schemas.openxmlformats.org/officeDocument/2006/relationships/hyperlink" Target="https://www.researchgate.net/profile/Matheus-Mussi/publication/357780881_Classification_of_EEG_Motor_Imagery_signal_processed_in_time-frequency_with_Convolutional_Neural_Network/links/61df43395c0a257a6fe35ea2/Classification-of-EEG-Motor-Imagery-signal-processed-in-time-frequency-with-Convolutional-Neural-Network.pdf" TargetMode="External"/><Relationship Id="rId1632" Type="http://schemas.openxmlformats.org/officeDocument/2006/relationships/hyperlink" Target="https://www.researchgate.net/publication/335752987_Effect_of_mindfulness_on_improving_performance_of_software_development" TargetMode="External"/><Relationship Id="rId1633" Type="http://schemas.openxmlformats.org/officeDocument/2006/relationships/hyperlink" Target="http://dx.doi.org/10.13140/RG.2.2.22094.00324" TargetMode="External"/><Relationship Id="rId1634" Type="http://schemas.openxmlformats.org/officeDocument/2006/relationships/hyperlink" Target="https://shop.openbci.com/collections/frontpage/products/ultracortex-mark-iv?variant=23280716995" TargetMode="External"/><Relationship Id="rId1635" Type="http://schemas.openxmlformats.org/officeDocument/2006/relationships/hyperlink" Target="https://dialnet.unirioja.es/descarga/articulo/7016836.pdf" TargetMode="External"/><Relationship Id="rId1636" Type="http://schemas.openxmlformats.org/officeDocument/2006/relationships/hyperlink" Target="https://shop.openbci.com/collections/frontpage/products/ultracortex-mark-iv?variant=23280716995" TargetMode="External"/><Relationship Id="rId1637" Type="http://schemas.openxmlformats.org/officeDocument/2006/relationships/hyperlink" Target="http://www.koreascience.kr/article/JAKO201935236777417.page" TargetMode="External"/><Relationship Id="rId1638" Type="http://schemas.openxmlformats.org/officeDocument/2006/relationships/hyperlink" Target="https://doi.org/10.17703/JCCT.2019.5.4.451" TargetMode="External"/><Relationship Id="rId929" Type="http://schemas.openxmlformats.org/officeDocument/2006/relationships/hyperlink" Target="https://doi.org/10.1145/3593226" TargetMode="External"/><Relationship Id="rId1639" Type="http://schemas.openxmlformats.org/officeDocument/2006/relationships/hyperlink" Target="https://shop.openbci.com/collections/frontpage/products/openbci-gold-cup-electrodes" TargetMode="External"/><Relationship Id="rId928" Type="http://schemas.openxmlformats.org/officeDocument/2006/relationships/hyperlink" Target="https://www.researchgate.net/profile/Chukwuemeka-Nwagu/publication/370611758_EEG-Based_Brain-Computer_Interactions_in_Immersive_Virtual_and_Augmented_Reality_A_Systematic_Review/links/645a38ab39c408339b378bc2/EEG-Based-Brain-Computer-Interactions-in-Immersive-Virtual-and-Augmented-Reality-A-Systematic-Review.pdf" TargetMode="External"/><Relationship Id="rId927" Type="http://schemas.openxmlformats.org/officeDocument/2006/relationships/hyperlink" Target="https://shop.openbci.com/products/cyton-daisy-biosensing-boards-16-channel" TargetMode="External"/><Relationship Id="rId926" Type="http://schemas.openxmlformats.org/officeDocument/2006/relationships/hyperlink" Target="https://doi.org/10.5939/GEBE4090" TargetMode="External"/><Relationship Id="rId921" Type="http://schemas.openxmlformats.org/officeDocument/2006/relationships/hyperlink" Target="https://shop.openbci.com/products/cyton-biosensing-board-8-channel" TargetMode="External"/><Relationship Id="rId920" Type="http://schemas.openxmlformats.org/officeDocument/2006/relationships/hyperlink" Target="https://scholar.google.com/scholar_url?url=https://psyarxiv.com/bn79r/download%3Fformat%3Dpdf&amp;hl=en&amp;sa=X&amp;d=13272216046916353581&amp;ei=K1hlZJ_wD6nZsQLh8KKoAQ&amp;scisig=AGlGAw82VTMRQ7NgZohv_tbpT2ZU&amp;oi=scholaralrt&amp;hist=8WBGhdYAAAAJ:5437843588291773220:AGlGAw_R86kmXrnExVMPWqwzfosv&amp;html=&amp;pos=1&amp;folt=kw" TargetMode="External"/><Relationship Id="rId925" Type="http://schemas.openxmlformats.org/officeDocument/2006/relationships/hyperlink" Target="https://www.funjournal.org/wp-content/uploads/2023/05/june-21-142.pdf?x36670" TargetMode="External"/><Relationship Id="rId924" Type="http://schemas.openxmlformats.org/officeDocument/2006/relationships/hyperlink" Target="https://shop.openbci.com/products/cyton-biosensing-board-8-channel" TargetMode="External"/><Relationship Id="rId923" Type="http://schemas.openxmlformats.org/officeDocument/2006/relationships/hyperlink" Target="https://doi.org/10.1145/3597306" TargetMode="External"/><Relationship Id="rId922" Type="http://schemas.openxmlformats.org/officeDocument/2006/relationships/hyperlink" Target="https://dl.acm.org/doi/pdf/10.1145/3597306" TargetMode="External"/><Relationship Id="rId1630" Type="http://schemas.openxmlformats.org/officeDocument/2006/relationships/hyperlink" Target="https://doi.org/10.1145/3359996.3364276" TargetMode="External"/><Relationship Id="rId1620" Type="http://schemas.openxmlformats.org/officeDocument/2006/relationships/hyperlink" Target="http://gnan.ece.gatech.edu/archive/agarwal-aaairlg20.pdf" TargetMode="External"/><Relationship Id="rId1621" Type="http://schemas.openxmlformats.org/officeDocument/2006/relationships/hyperlink" Target="https://pdfs.semanticscholar.org/806e/a807e16b0424e78ee0c02a2b98b4e7a67547.pdf" TargetMode="External"/><Relationship Id="rId1622" Type="http://schemas.openxmlformats.org/officeDocument/2006/relationships/hyperlink" Target="https://doi.org/10.5554/22562087.e956" TargetMode="External"/><Relationship Id="rId1623" Type="http://schemas.openxmlformats.org/officeDocument/2006/relationships/hyperlink" Target="https://shop.openbci.com/products/cyton-biosensing-board-8-channel" TargetMode="External"/><Relationship Id="rId1624" Type="http://schemas.openxmlformats.org/officeDocument/2006/relationships/hyperlink" Target="https://link.springer.com/chapter/10.1007/978-3-030-21077-9_23" TargetMode="External"/><Relationship Id="rId1625" Type="http://schemas.openxmlformats.org/officeDocument/2006/relationships/hyperlink" Target="https://doi.org/10.1007/978-3-030-21077-9_23" TargetMode="External"/><Relationship Id="rId1626" Type="http://schemas.openxmlformats.org/officeDocument/2006/relationships/hyperlink" Target="https://shop.openbci.com/products/cyton-biosensing-board-8-channel" TargetMode="External"/><Relationship Id="rId1627" Type="http://schemas.openxmlformats.org/officeDocument/2006/relationships/hyperlink" Target="https://odr.chalmers.se/server/api/core/bitstreams/25ed8397-bf27-46b4-9330-69ac1e33da2b/content" TargetMode="External"/><Relationship Id="rId918" Type="http://schemas.openxmlformats.org/officeDocument/2006/relationships/hyperlink" Target="https://shop.openbci.com/products/cyton-biosensing-board-8-channel" TargetMode="External"/><Relationship Id="rId1628" Type="http://schemas.openxmlformats.org/officeDocument/2006/relationships/hyperlink" Target="https://shop.openbci.com/collections/frontpage/products/openbci-eeg-electrocap?variant=16456881766472" TargetMode="External"/><Relationship Id="rId917" Type="http://schemas.openxmlformats.org/officeDocument/2006/relationships/hyperlink" Target="https://ieeexplore.ieee.org/abstract/document/10123820" TargetMode="External"/><Relationship Id="rId1629" Type="http://schemas.openxmlformats.org/officeDocument/2006/relationships/hyperlink" Target="https://doi.org/10.1145/3359996.3364276" TargetMode="External"/><Relationship Id="rId916" Type="http://schemas.openxmlformats.org/officeDocument/2006/relationships/hyperlink" Target="https://shop.openbci.com/products/cyton-biosensing-board-8-channel" TargetMode="External"/><Relationship Id="rId915" Type="http://schemas.openxmlformats.org/officeDocument/2006/relationships/hyperlink" Target="https://scholar.unair.ac.id/en/publications/eeg-time-frequency-domain-analysis-for-describing-healthy-subject" TargetMode="External"/><Relationship Id="rId919" Type="http://schemas.openxmlformats.org/officeDocument/2006/relationships/hyperlink" Target="https://shop.openbci.com/products/ultracortex-mark-iv" TargetMode="External"/><Relationship Id="rId910" Type="http://schemas.openxmlformats.org/officeDocument/2006/relationships/hyperlink" Target="https://shop.openbci.com/products/cyton-biosensing-board-8-channel" TargetMode="External"/><Relationship Id="rId914" Type="http://schemas.openxmlformats.org/officeDocument/2006/relationships/hyperlink" Target="https://shop.openbci.com/products/cyton-biosensing-board-8-channel" TargetMode="External"/><Relationship Id="rId913" Type="http://schemas.openxmlformats.org/officeDocument/2006/relationships/hyperlink" Target="https://ieeexplore.ieee.org/stamp/stamp.jsp?arnumber=10138171" TargetMode="External"/><Relationship Id="rId912" Type="http://schemas.openxmlformats.org/officeDocument/2006/relationships/hyperlink" Target="https://shop.openbci.com/products/cyton-biosensing-board-8-channel" TargetMode="External"/><Relationship Id="rId911" Type="http://schemas.openxmlformats.org/officeDocument/2006/relationships/hyperlink" Target="https://ieeexplore.ieee.org/stamp/stamp.jsp?arnumber=10144784" TargetMode="External"/><Relationship Id="rId1213" Type="http://schemas.openxmlformats.org/officeDocument/2006/relationships/hyperlink" Target="https://ieeexplore.ieee.org/abstract/document/9726009" TargetMode="External"/><Relationship Id="rId1697" Type="http://schemas.openxmlformats.org/officeDocument/2006/relationships/hyperlink" Target="https://content.sciendo.com/abstract/journals/cjece/11/2/article-p29.xml" TargetMode="External"/><Relationship Id="rId1214" Type="http://schemas.openxmlformats.org/officeDocument/2006/relationships/hyperlink" Target="https://shop.openbci.com/products/cyton-biosensing-board-8-channel" TargetMode="External"/><Relationship Id="rId1698" Type="http://schemas.openxmlformats.org/officeDocument/2006/relationships/hyperlink" Target="https://www.ibm.com/blogs/research/2018/07/bionics-real-life/" TargetMode="External"/><Relationship Id="rId1215" Type="http://schemas.openxmlformats.org/officeDocument/2006/relationships/hyperlink" Target="https://scholar.google.com/scholar_url?url=https://www.mdpi.com/1424-8220/22/4/1568/pdf&amp;hl=en&amp;sa=X&amp;d=1826699962798773757&amp;ei=aYEUYubMLYmUy9YPxIaL2AQ&amp;scisig=AAGBfm0WGfCpEUVvT5l1bBo1skEo0HfAwQ&amp;oi=scholaralrt&amp;hist=phuwsnkAAAAJ:1324821476278215287:AAGBfm1j5tukHsbeU89cUqsrIj25mrgFmg&amp;html=&amp;pos=0&amp;folt=kw" TargetMode="External"/><Relationship Id="rId1699" Type="http://schemas.openxmlformats.org/officeDocument/2006/relationships/hyperlink" Target="https://www.ijcai.org/proceedings/2018/677" TargetMode="External"/><Relationship Id="rId1216" Type="http://schemas.openxmlformats.org/officeDocument/2006/relationships/hyperlink" Target="https://doi.org/10.3390/s22041568" TargetMode="External"/><Relationship Id="rId1217" Type="http://schemas.openxmlformats.org/officeDocument/2006/relationships/hyperlink" Target="https://shop.openbci.com/products/cyton-daisy-biosensing-boards-16-channel" TargetMode="External"/><Relationship Id="rId1218" Type="http://schemas.openxmlformats.org/officeDocument/2006/relationships/hyperlink" Target="https://shop.openbci.com/products/ultracortex-mark-iv" TargetMode="External"/><Relationship Id="rId1219" Type="http://schemas.openxmlformats.org/officeDocument/2006/relationships/hyperlink" Target="https://www.frontiersin.org/articles/10.3389/fnhum.2021.809714/full" TargetMode="External"/><Relationship Id="rId866" Type="http://schemas.openxmlformats.org/officeDocument/2006/relationships/hyperlink" Target="https://shop.openbci.com/products/ultracortex-mark-iv" TargetMode="External"/><Relationship Id="rId865" Type="http://schemas.openxmlformats.org/officeDocument/2006/relationships/hyperlink" Target="https://shop.openbci.com/products/cyton-daisy-biosensing-boards-16-channel" TargetMode="External"/><Relationship Id="rId864" Type="http://schemas.openxmlformats.org/officeDocument/2006/relationships/hyperlink" Target="https://arxiv.org/pdf/2307.13181.pdf" TargetMode="External"/><Relationship Id="rId863" Type="http://schemas.openxmlformats.org/officeDocument/2006/relationships/hyperlink" Target="https://shop.openbci.com/products/ultracortex-mark-iv" TargetMode="External"/><Relationship Id="rId869" Type="http://schemas.openxmlformats.org/officeDocument/2006/relationships/hyperlink" Target="https://cbs.uok.ac.ir/article_62782_en.html?lang=fa" TargetMode="External"/><Relationship Id="rId868" Type="http://schemas.openxmlformats.org/officeDocument/2006/relationships/hyperlink" Target="https://shop.openbci.com/products/cyton-biosensing-board-8-channel" TargetMode="External"/><Relationship Id="rId867" Type="http://schemas.openxmlformats.org/officeDocument/2006/relationships/hyperlink" Target="https://arxiv.org/pdf/2307.11023.pdf" TargetMode="External"/><Relationship Id="rId1690" Type="http://schemas.openxmlformats.org/officeDocument/2006/relationships/hyperlink" Target="https://arxiv.org/pdf/1806.03045.pdf" TargetMode="External"/><Relationship Id="rId1691" Type="http://schemas.openxmlformats.org/officeDocument/2006/relationships/hyperlink" Target="https://www.sciencedirect.com/science/article/pii/S2352340918314379" TargetMode="External"/><Relationship Id="rId1692" Type="http://schemas.openxmlformats.org/officeDocument/2006/relationships/hyperlink" Target="https://hal.inria.fr/hal-01794900v2/document" TargetMode="External"/><Relationship Id="rId862" Type="http://schemas.openxmlformats.org/officeDocument/2006/relationships/hyperlink" Target="https://shop.openbci.com/products/cyton-daisy-biosensing-boards-16-channel" TargetMode="External"/><Relationship Id="rId1693" Type="http://schemas.openxmlformats.org/officeDocument/2006/relationships/hyperlink" Target="https://openbci.com/community/cyton-based-eeg-headset-prototype-used-to-detect-brain-injury-in-real-time/" TargetMode="External"/><Relationship Id="rId861" Type="http://schemas.openxmlformats.org/officeDocument/2006/relationships/hyperlink" Target="https://doi.org/10.1145/3210240.3210322" TargetMode="External"/><Relationship Id="rId1210" Type="http://schemas.openxmlformats.org/officeDocument/2006/relationships/hyperlink" Target="https://repository.arizona.edu/bitstream/handle/10150/663412/azu_etd_19434_sip1_m.pdf?sequence=1&amp;isAllowed=y" TargetMode="External"/><Relationship Id="rId1694" Type="http://schemas.openxmlformats.org/officeDocument/2006/relationships/hyperlink" Target="https://ieeexplore.ieee.org/abstract/document/8585373" TargetMode="External"/><Relationship Id="rId860" Type="http://schemas.openxmlformats.org/officeDocument/2006/relationships/hyperlink" Target="http://wsslab.org/papers/TYTH_MobiSys18.pdf" TargetMode="External"/><Relationship Id="rId1211" Type="http://schemas.openxmlformats.org/officeDocument/2006/relationships/hyperlink" Target="https://shop.openbci.com/products/cyton-biosensing-board-8-channel" TargetMode="External"/><Relationship Id="rId1695" Type="http://schemas.openxmlformats.org/officeDocument/2006/relationships/hyperlink" Target="https://arxiv.org/pdf/1809.08632.pdf" TargetMode="External"/><Relationship Id="rId1212" Type="http://schemas.openxmlformats.org/officeDocument/2006/relationships/hyperlink" Target="https://ieeexplore.ieee.org/abstract/document/9734823" TargetMode="External"/><Relationship Id="rId1696" Type="http://schemas.openxmlformats.org/officeDocument/2006/relationships/hyperlink" Target="https://www.nature.com/articles/s41699-018-0064-4" TargetMode="External"/><Relationship Id="rId1202" Type="http://schemas.openxmlformats.org/officeDocument/2006/relationships/hyperlink" Target="https://www.mdpi.com/1424-8220/22/8/2900/htm" TargetMode="External"/><Relationship Id="rId1686" Type="http://schemas.openxmlformats.org/officeDocument/2006/relationships/hyperlink" Target="https://www.ibm.com/blogs/research/2018/07/bionics-real-life/" TargetMode="External"/><Relationship Id="rId1203" Type="http://schemas.openxmlformats.org/officeDocument/2006/relationships/hyperlink" Target="https://doi.org/10.3390/s22082900" TargetMode="External"/><Relationship Id="rId1687" Type="http://schemas.openxmlformats.org/officeDocument/2006/relationships/hyperlink" Target="https://onlinelibrary.wiley.com/doi/full/10.1002/jsid.749" TargetMode="External"/><Relationship Id="rId1204" Type="http://schemas.openxmlformats.org/officeDocument/2006/relationships/hyperlink" Target="https://www.researchgate.net/profile/Jonas-Auda/publication/359222066_The_Butterfly_Effect_Novel_Opportunities_for_Steady-State_Visually-Evoked_Potential_Stimuli_in_Virtual_Reality/links/622f9e67435ec5645a11f8b4/The-Butterfly-Effect-Novel-Opportunities-for-Steady-State-Visually-Evoked-Potential-Stimuli-in-Virtual-Reality.pdf" TargetMode="External"/><Relationship Id="rId1688" Type="http://schemas.openxmlformats.org/officeDocument/2006/relationships/hyperlink" Target="https://www.atlantis-press.com/proceedings/ammsa-18/25898286" TargetMode="External"/><Relationship Id="rId1205" Type="http://schemas.openxmlformats.org/officeDocument/2006/relationships/hyperlink" Target="https://shop.openbci.com/products/cyton-daisy-biosensing-boards-16-channel" TargetMode="External"/><Relationship Id="rId1689" Type="http://schemas.openxmlformats.org/officeDocument/2006/relationships/hyperlink" Target="https://ieeexplore.ieee.org/abstract/document/8516468/keywords" TargetMode="External"/><Relationship Id="rId1206" Type="http://schemas.openxmlformats.org/officeDocument/2006/relationships/hyperlink" Target="https://shop.openbci.com/products/openbci-eeg-electrocap" TargetMode="External"/><Relationship Id="rId1207" Type="http://schemas.openxmlformats.org/officeDocument/2006/relationships/hyperlink" Target="https://dl.acm.org/doi/pdf/10.1145/3490099.3511148" TargetMode="External"/><Relationship Id="rId1208" Type="http://schemas.openxmlformats.org/officeDocument/2006/relationships/hyperlink" Target="https://shop.openbci.com/products/cyton-biosensing-board-8-channel" TargetMode="External"/><Relationship Id="rId1209" Type="http://schemas.openxmlformats.org/officeDocument/2006/relationships/hyperlink" Target="https://shop.openbci.com/products/ultracortex-mark-iv" TargetMode="External"/><Relationship Id="rId855" Type="http://schemas.openxmlformats.org/officeDocument/2006/relationships/hyperlink" Target="https://shop.openbci.com/products/cyton-biosensing-board-8-channel" TargetMode="External"/><Relationship Id="rId854" Type="http://schemas.openxmlformats.org/officeDocument/2006/relationships/hyperlink" Target="https://doi.org/10.1007/s10544-023-00672-0" TargetMode="External"/><Relationship Id="rId853" Type="http://schemas.openxmlformats.org/officeDocument/2006/relationships/hyperlink" Target="https://link.springer.com/article/10.1007/s10544-023-00672-0" TargetMode="External"/><Relationship Id="rId852" Type="http://schemas.openxmlformats.org/officeDocument/2006/relationships/hyperlink" Target="https://shop.openbci.com/products/cyton-daisy-biosensing-boards-16-channel" TargetMode="External"/><Relationship Id="rId859" Type="http://schemas.openxmlformats.org/officeDocument/2006/relationships/hyperlink" Target="https://shop.openbci.com/products/cyton-biosensing-board-8-channel" TargetMode="External"/><Relationship Id="rId858" Type="http://schemas.openxmlformats.org/officeDocument/2006/relationships/hyperlink" Target="https://scholarcommons.scu.edu/cgi/viewcontent.cgi?article=1092&amp;context=idp_senior" TargetMode="External"/><Relationship Id="rId857" Type="http://schemas.openxmlformats.org/officeDocument/2006/relationships/hyperlink" Target="https://shop.openbci.com/products/cyton-biosensing-board-8-channel" TargetMode="External"/><Relationship Id="rId856" Type="http://schemas.openxmlformats.org/officeDocument/2006/relationships/hyperlink" Target="https://ieeexplore.ieee.org/abstract/document/10201674" TargetMode="External"/><Relationship Id="rId1680" Type="http://schemas.openxmlformats.org/officeDocument/2006/relationships/hyperlink" Target="https://shop.openbci.com/products/cyton-biosensing-board-8-channel" TargetMode="External"/><Relationship Id="rId1681" Type="http://schemas.openxmlformats.org/officeDocument/2006/relationships/hyperlink" Target="https://shop.openbci.com/products/ultracortex-mark-iv" TargetMode="External"/><Relationship Id="rId851" Type="http://schemas.openxmlformats.org/officeDocument/2006/relationships/hyperlink" Target="https://doi.org/10.1063/5.0164302" TargetMode="External"/><Relationship Id="rId1682" Type="http://schemas.openxmlformats.org/officeDocument/2006/relationships/hyperlink" Target="http://electro.itchihuahua.edu.mx/revista/2018/PDS-5_C.pdf" TargetMode="External"/><Relationship Id="rId850" Type="http://schemas.openxmlformats.org/officeDocument/2006/relationships/hyperlink" Target="https://pubs.aip.org/aip/acp/article-abstract/2857/1/020086/2907256/An-investigation-on-mental-stress-detection-from?redirectedFrom=fulltext" TargetMode="External"/><Relationship Id="rId1683" Type="http://schemas.openxmlformats.org/officeDocument/2006/relationships/hyperlink" Target="https://www.ncbi.nlm.nih.gov/pubmed/30441051" TargetMode="External"/><Relationship Id="rId1200" Type="http://schemas.openxmlformats.org/officeDocument/2006/relationships/hyperlink" Target="https://www.researchgate.net/profile/Shahanawaj-Ahamad/publication/359651028_System_Architecture_for_Brain-Computer_Interface_based_on_Machine_Learning_and_Internet_of_Things/links/6246e4a321077329f2e821d0/System-Architecture-for-Brain-Computer-Interface-based-on-Machine-Learning-and-Internet-of-Things.pdf" TargetMode="External"/><Relationship Id="rId1684" Type="http://schemas.openxmlformats.org/officeDocument/2006/relationships/hyperlink" Target="https://www.matec-conferences.org/articles/matecconf/abs/2018/14/matecconf_imet2018_01006/matecconf_imet2018_01006.html" TargetMode="External"/><Relationship Id="rId1201" Type="http://schemas.openxmlformats.org/officeDocument/2006/relationships/hyperlink" Target="https://shop.openbci.com/products/cyton-biosensing-board-8-channel" TargetMode="External"/><Relationship Id="rId1685" Type="http://schemas.openxmlformats.org/officeDocument/2006/relationships/hyperlink" Target="https://www.matec-conferences.org/articles/matecconf/pdf/2018/14/matecconf_imet2018_01006.pdf" TargetMode="External"/><Relationship Id="rId1235" Type="http://schemas.openxmlformats.org/officeDocument/2006/relationships/hyperlink" Target="https://link.springer.com/article/10.1007/s42600-021-00196-7" TargetMode="External"/><Relationship Id="rId1236" Type="http://schemas.openxmlformats.org/officeDocument/2006/relationships/hyperlink" Target="https://doi.org/10.1007/s42600-021-00196-7" TargetMode="External"/><Relationship Id="rId1237" Type="http://schemas.openxmlformats.org/officeDocument/2006/relationships/hyperlink" Target="https://shop.openbci.com/products/cyton-daisy-biosensing-boards-16-channel" TargetMode="External"/><Relationship Id="rId1238" Type="http://schemas.openxmlformats.org/officeDocument/2006/relationships/hyperlink" Target="https://www.hindawi.com/journals/complexity/2022/5308885/" TargetMode="External"/><Relationship Id="rId1239" Type="http://schemas.openxmlformats.org/officeDocument/2006/relationships/hyperlink" Target="https://doi.org/10.1155/2022/5308885" TargetMode="External"/><Relationship Id="rId409" Type="http://schemas.openxmlformats.org/officeDocument/2006/relationships/hyperlink" Target="https://doi.org/10.1007/978-3-031-66656-8_16" TargetMode="External"/><Relationship Id="rId404" Type="http://schemas.openxmlformats.org/officeDocument/2006/relationships/hyperlink" Target="https://shop.openbci.com/products/ultracortex-mark-iv" TargetMode="External"/><Relationship Id="rId888" Type="http://schemas.openxmlformats.org/officeDocument/2006/relationships/hyperlink" Target="https://shop.openbci.com/products/cyton-biosensing-board-8-channel" TargetMode="External"/><Relationship Id="rId403" Type="http://schemas.openxmlformats.org/officeDocument/2006/relationships/hyperlink" Target="https://shop.openbci.com/products/cyton-biosensing-board-8-channel" TargetMode="External"/><Relationship Id="rId887" Type="http://schemas.openxmlformats.org/officeDocument/2006/relationships/hyperlink" Target="https://doi.org/10.31436/iiumej.v24i2.2814" TargetMode="External"/><Relationship Id="rId402" Type="http://schemas.openxmlformats.org/officeDocument/2006/relationships/hyperlink" Target="https://doi.org/10.61467/2007.1558.2024.v15i3.358" TargetMode="External"/><Relationship Id="rId886" Type="http://schemas.openxmlformats.org/officeDocument/2006/relationships/hyperlink" Target="https://scholar.google.com/scholar_url?url=https://journals.iium.edu.my/ejournal/index.php/iiumej/article/download/2814/919&amp;hl=en&amp;sa=X&amp;d=9804616974460377915&amp;ei=gf-nZKKREraJ6rQPusK_-AE&amp;scisig=ABFrs3w7ED0Npe3_d7UeT2vPcjcm&amp;oi=scholaralrt&amp;hist=8WBGhdYAAAAJ:5437843588291773220:ABFrs3xXcjFXfhZgJDrekhf9D18-&amp;html=&amp;pos=0&amp;folt=kw" TargetMode="External"/><Relationship Id="rId401" Type="http://schemas.openxmlformats.org/officeDocument/2006/relationships/hyperlink" Target="https://www.researchgate.net/publication/384543331_The_Sensors_for_stress_detection_first_analysis" TargetMode="External"/><Relationship Id="rId885" Type="http://schemas.openxmlformats.org/officeDocument/2006/relationships/hyperlink" Target="https://shop.openbci.com/products/cyton-biosensing-board-8-channel" TargetMode="External"/><Relationship Id="rId408" Type="http://schemas.openxmlformats.org/officeDocument/2006/relationships/hyperlink" Target="https://link.springer.com/chapter/10.1007/978-3-031-66656-8_16" TargetMode="External"/><Relationship Id="rId407" Type="http://schemas.openxmlformats.org/officeDocument/2006/relationships/hyperlink" Target="https://shop.openbci.com/products/ultracortex-mark-iv" TargetMode="External"/><Relationship Id="rId406" Type="http://schemas.openxmlformats.org/officeDocument/2006/relationships/hyperlink" Target="https://shop.openbci.com/products/cyton-daisy-biosensing-boards-16-channel" TargetMode="External"/><Relationship Id="rId405" Type="http://schemas.openxmlformats.org/officeDocument/2006/relationships/hyperlink" Target="https://iopscience.iop.org/article/10.1088/1361-6501/ad8df4" TargetMode="External"/><Relationship Id="rId889" Type="http://schemas.openxmlformats.org/officeDocument/2006/relationships/hyperlink" Target="https://www.mdpi.com/2673-4591/33/1/43" TargetMode="External"/><Relationship Id="rId880" Type="http://schemas.openxmlformats.org/officeDocument/2006/relationships/hyperlink" Target="https://assets.researchsquare.com/files/rs-3140799/v1/a695d40e-c2c4-45bd-9437-33084c4d3b4d.pdf?c=1689002314" TargetMode="External"/><Relationship Id="rId1230" Type="http://schemas.openxmlformats.org/officeDocument/2006/relationships/hyperlink" Target="https://shop.openbci.com/collections/frontpage/products/openbci-eeg-headband-kit?variant=8120393760782" TargetMode="External"/><Relationship Id="rId400" Type="http://schemas.openxmlformats.org/officeDocument/2006/relationships/hyperlink" Target="https://shop.openbci.com/products/cyton-biosensing-board-8-channel" TargetMode="External"/><Relationship Id="rId884" Type="http://schemas.openxmlformats.org/officeDocument/2006/relationships/hyperlink" Target="https://doi.org/10.1002/adfm.202303881" TargetMode="External"/><Relationship Id="rId1231" Type="http://schemas.openxmlformats.org/officeDocument/2006/relationships/hyperlink" Target="https://arxiv.org/pdf/2202.03246.pdf" TargetMode="External"/><Relationship Id="rId883" Type="http://schemas.openxmlformats.org/officeDocument/2006/relationships/hyperlink" Target="https://onlinelibrary.wiley.com/doi/abs/10.1002/adfm.202303881" TargetMode="External"/><Relationship Id="rId1232" Type="http://schemas.openxmlformats.org/officeDocument/2006/relationships/hyperlink" Target="https://link.springer.com/article/10.1007/s10015-022-00734-1" TargetMode="External"/><Relationship Id="rId882" Type="http://schemas.openxmlformats.org/officeDocument/2006/relationships/hyperlink" Target="https://shop.openbci.com/products/cyton-biosensing-board-8-channel" TargetMode="External"/><Relationship Id="rId1233" Type="http://schemas.openxmlformats.org/officeDocument/2006/relationships/hyperlink" Target="https://doi.org/10.1007/s10015-022-00734-1" TargetMode="External"/><Relationship Id="rId881" Type="http://schemas.openxmlformats.org/officeDocument/2006/relationships/hyperlink" Target="https://doi.org/10.21203/rs.3.rs-3140799/v1" TargetMode="External"/><Relationship Id="rId1234" Type="http://schemas.openxmlformats.org/officeDocument/2006/relationships/hyperlink" Target="https://shop.openbci.com/products/cyton-biosensing-board-8-channel" TargetMode="External"/><Relationship Id="rId1224" Type="http://schemas.openxmlformats.org/officeDocument/2006/relationships/hyperlink" Target="https://shop.openbci.com/products/ultracortex-mark-iv" TargetMode="External"/><Relationship Id="rId1225" Type="http://schemas.openxmlformats.org/officeDocument/2006/relationships/hyperlink" Target="https://inass.org/wp-content/uploads/2022/10/2023022828-2.pdf" TargetMode="External"/><Relationship Id="rId1226" Type="http://schemas.openxmlformats.org/officeDocument/2006/relationships/hyperlink" Target="https://shop.openbci.com/products/cyton-biosensing-board-8-channel" TargetMode="External"/><Relationship Id="rId1227" Type="http://schemas.openxmlformats.org/officeDocument/2006/relationships/hyperlink" Target="https://www.researchgate.net/profile/Yuan-Liu-78/publication/358522671_Functional_Reorganization_After_Four-Week_Brain-Computer_Interface-Controlled_Supernumerary_Robotic_Finger_Training_A_Pilot_Study_of_Longitudinal_Resting-State_fMRI/links/62060fa9afa8884cabd85edd/Functional-Reorganization-After-Four-Week-Brain-Computer-Interface-Controlled-Supernumerary-Robotic-Finger-Training-A-Pilot-Study-of-Longitudinal-Resting-State-fMRI.pdf" TargetMode="External"/><Relationship Id="rId1228" Type="http://schemas.openxmlformats.org/officeDocument/2006/relationships/hyperlink" Target="https://doi.org/10.3389/fnins.2021.766648" TargetMode="External"/><Relationship Id="rId1229" Type="http://schemas.openxmlformats.org/officeDocument/2006/relationships/hyperlink" Target="https://shop.openbci.com/products/cyton-biosensing-board-8-channel" TargetMode="External"/><Relationship Id="rId877" Type="http://schemas.openxmlformats.org/officeDocument/2006/relationships/hyperlink" Target="https://shop.openbci.com/products/cyton-biosensing-board-8-channel" TargetMode="External"/><Relationship Id="rId876" Type="http://schemas.openxmlformats.org/officeDocument/2006/relationships/hyperlink" Target="https://doi.org/10.1007/978-3-031-37616-0_1" TargetMode="External"/><Relationship Id="rId875" Type="http://schemas.openxmlformats.org/officeDocument/2006/relationships/hyperlink" Target="https://link.springer.com/chapter/10.1007/978-3-031-37616-0_1" TargetMode="External"/><Relationship Id="rId874" Type="http://schemas.openxmlformats.org/officeDocument/2006/relationships/hyperlink" Target="https://shop.openbci.com/products/ultracortex-mark-iv" TargetMode="External"/><Relationship Id="rId879" Type="http://schemas.openxmlformats.org/officeDocument/2006/relationships/hyperlink" Target="https://shop.openbci.com/products/cyton-biosensing-board-8-channel" TargetMode="External"/><Relationship Id="rId878" Type="http://schemas.openxmlformats.org/officeDocument/2006/relationships/hyperlink" Target="https://apps.dtic.mil/sti/trecms/pdf/AD1204427.pdf" TargetMode="External"/><Relationship Id="rId873" Type="http://schemas.openxmlformats.org/officeDocument/2006/relationships/hyperlink" Target="https://shop.openbci.com/products/cyton-biosensing-board-8-channel" TargetMode="External"/><Relationship Id="rId1220" Type="http://schemas.openxmlformats.org/officeDocument/2006/relationships/hyperlink" Target="https://shop.openbci.com/products/cyton-biosensing-board-8-channel" TargetMode="External"/><Relationship Id="rId872" Type="http://schemas.openxmlformats.org/officeDocument/2006/relationships/hyperlink" Target="https://www.cell.com/heliyon/pdf/S2405-8440(23)05372-0.pdf" TargetMode="External"/><Relationship Id="rId1221" Type="http://schemas.openxmlformats.org/officeDocument/2006/relationships/hyperlink" Target="https://www.sciencedirect.com/science/article/pii/S2667325822000425" TargetMode="External"/><Relationship Id="rId871" Type="http://schemas.openxmlformats.org/officeDocument/2006/relationships/hyperlink" Target="https://ieeexplore.ieee.org/abstract/document/10178595" TargetMode="External"/><Relationship Id="rId1222" Type="http://schemas.openxmlformats.org/officeDocument/2006/relationships/hyperlink" Target="https://doi.org/10.1016/j.fmre.2022.01.003" TargetMode="External"/><Relationship Id="rId870" Type="http://schemas.openxmlformats.org/officeDocument/2006/relationships/hyperlink" Target="https://shop.openbci.com/products/cyton-biosensing-board-8-channel" TargetMode="External"/><Relationship Id="rId1223" Type="http://schemas.openxmlformats.org/officeDocument/2006/relationships/hyperlink" Target="https://shop.openbci.com/products/cyton-biosensing-board-8-channel" TargetMode="External"/><Relationship Id="rId1653" Type="http://schemas.openxmlformats.org/officeDocument/2006/relationships/hyperlink" Target="http://gnan.ece.gatech.edu/archive/agarwal-blink.pdf" TargetMode="External"/><Relationship Id="rId1654" Type="http://schemas.openxmlformats.org/officeDocument/2006/relationships/hyperlink" Target="https://github.com/meagmohit/BLINK" TargetMode="External"/><Relationship Id="rId1655" Type="http://schemas.openxmlformats.org/officeDocument/2006/relationships/hyperlink" Target="https://ieeexplore.ieee.org/document/8769766" TargetMode="External"/><Relationship Id="rId1656" Type="http://schemas.openxmlformats.org/officeDocument/2006/relationships/hyperlink" Target="https://ieeexplore.ieee.org/abstract/document/8914572" TargetMode="External"/><Relationship Id="rId1657" Type="http://schemas.openxmlformats.org/officeDocument/2006/relationships/hyperlink" Target="http://spre.azad.ac.ir/article_671214_cfd454802124a0cda30defd0cf5cf336.pdf" TargetMode="External"/><Relationship Id="rId1658" Type="http://schemas.openxmlformats.org/officeDocument/2006/relationships/hyperlink" Target="https://ieeexplore.ieee.org/document/8733482" TargetMode="External"/><Relationship Id="rId1659" Type="http://schemas.openxmlformats.org/officeDocument/2006/relationships/hyperlink" Target="https://www.researchgate.net/profile/Hiroshan_Gunawardane/publication/336903635_An_Oculomotor_Sensing_Technique_for_Saccade_Isolation_of_Eye_Movements_using_OpenBCI/links/5dba1d60a6fdcc2128f0c972/An-Oculomotor-Sensing-Technique-for-Saccade-Isolation-of-Eye-Movements-using-OpenBCI.pdf" TargetMode="External"/><Relationship Id="rId829" Type="http://schemas.openxmlformats.org/officeDocument/2006/relationships/hyperlink" Target="https://www.tandfonline.com/action/showCitFormats?doi=10.1080%2F2326263X.2022.2114225" TargetMode="External"/><Relationship Id="rId828" Type="http://schemas.openxmlformats.org/officeDocument/2006/relationships/hyperlink" Target="https://shop.openbci.com/products/openbci-eeg-electrocap" TargetMode="External"/><Relationship Id="rId827" Type="http://schemas.openxmlformats.org/officeDocument/2006/relationships/hyperlink" Target="https://shop.openbci.com/products/cyton-biosensing-board-8-channel" TargetMode="External"/><Relationship Id="rId822" Type="http://schemas.openxmlformats.org/officeDocument/2006/relationships/hyperlink" Target="https://shop.openbci.com/products/cyton-biosensing-board-8-channel" TargetMode="External"/><Relationship Id="rId821" Type="http://schemas.openxmlformats.org/officeDocument/2006/relationships/hyperlink" Target="https://doi.org/10.1016/j.dib.2023.109540" TargetMode="External"/><Relationship Id="rId820" Type="http://schemas.openxmlformats.org/officeDocument/2006/relationships/hyperlink" Target="https://www.sciencedirect.com/science/article/pii/S2352340923006406" TargetMode="External"/><Relationship Id="rId826" Type="http://schemas.openxmlformats.org/officeDocument/2006/relationships/hyperlink" Target="https://europepmc.org/article/med/37666761" TargetMode="External"/><Relationship Id="rId825" Type="http://schemas.openxmlformats.org/officeDocument/2006/relationships/hyperlink" Target="https://shop.openbci.com/products/cyton-biosensing-board-8-channel" TargetMode="External"/><Relationship Id="rId824" Type="http://schemas.openxmlformats.org/officeDocument/2006/relationships/hyperlink" Target="https://doi.org/10.3390/polym15183673" TargetMode="External"/><Relationship Id="rId823" Type="http://schemas.openxmlformats.org/officeDocument/2006/relationships/hyperlink" Target="https://scholar.google.com/scholar_url?url=https://biblio.ugent.be/publication/01H9NEG2QQJZJ1TJ99SPN7PJNQ/file/01H9NEYCDGG0CJS9GRXB0XFHTZ.pdf&amp;hl=en&amp;sa=X&amp;d=5947921335461932478&amp;ei=4_r7ZJq3NMKK6rQP3uq74Ak&amp;scisig=AFWwaeY5VxrmSquEH9uqcWkJ0leN&amp;oi=scholaralrt&amp;hist=8WBGhdYAAAAJ:5437843588291773220:AFWwaebmzrq9zPN1CYXQ5l-OkEG-&amp;html=&amp;pos=1&amp;folt=kw" TargetMode="External"/><Relationship Id="rId1650" Type="http://schemas.openxmlformats.org/officeDocument/2006/relationships/hyperlink" Target="https://ieeexplore.ieee.org/abstract/document/8945233" TargetMode="External"/><Relationship Id="rId1651" Type="http://schemas.openxmlformats.org/officeDocument/2006/relationships/hyperlink" Target="http://imreza.ir/downloads/ID51.pdf" TargetMode="External"/><Relationship Id="rId1652" Type="http://schemas.openxmlformats.org/officeDocument/2006/relationships/hyperlink" Target="https://doi.org/10.1002/hed.26057" TargetMode="External"/><Relationship Id="rId1642" Type="http://schemas.openxmlformats.org/officeDocument/2006/relationships/hyperlink" Target="https://doi.org/10.1109/INCISCOS49368.2019.00061" TargetMode="External"/><Relationship Id="rId1643" Type="http://schemas.openxmlformats.org/officeDocument/2006/relationships/hyperlink" Target="https://shop.openbci.com/collections/frontpage/products/ultracortex-mark-iv?variant=23280716995" TargetMode="External"/><Relationship Id="rId1644" Type="http://schemas.openxmlformats.org/officeDocument/2006/relationships/hyperlink" Target="https://ieeexplore.ieee.org/document/9071613" TargetMode="External"/><Relationship Id="rId1645" Type="http://schemas.openxmlformats.org/officeDocument/2006/relationships/hyperlink" Target="https://doi.org/10.1109/CIVEMSA45640.2019.9071613" TargetMode="External"/><Relationship Id="rId1646" Type="http://schemas.openxmlformats.org/officeDocument/2006/relationships/hyperlink" Target="https://ieeexplore.ieee.org/abstract/document/9021752/" TargetMode="External"/><Relationship Id="rId1647" Type="http://schemas.openxmlformats.org/officeDocument/2006/relationships/hyperlink" Target="https://doi.org/10.1109/ICM48031.2019.9021752" TargetMode="External"/><Relationship Id="rId1648" Type="http://schemas.openxmlformats.org/officeDocument/2006/relationships/hyperlink" Target="https://ieeexplore.ieee.org/document/8926475" TargetMode="External"/><Relationship Id="rId1649" Type="http://schemas.openxmlformats.org/officeDocument/2006/relationships/hyperlink" Target="https://ieeexplore.ieee.org/document/8992962?dld=b3BlbmJjaS5jb20%3D&amp;source=SEARCHALERT%5C" TargetMode="External"/><Relationship Id="rId819" Type="http://schemas.openxmlformats.org/officeDocument/2006/relationships/hyperlink" Target="https://shop.openbci.com/products/cyton-daisy-biosensing-boards-16-channel" TargetMode="External"/><Relationship Id="rId818" Type="http://schemas.openxmlformats.org/officeDocument/2006/relationships/hyperlink" Target="https://ieeexplore.ieee.org/abstract/document/10242538" TargetMode="External"/><Relationship Id="rId817" Type="http://schemas.openxmlformats.org/officeDocument/2006/relationships/hyperlink" Target="https://shop.openbci.com/products/cyton-biosensing-board-8-channel" TargetMode="External"/><Relationship Id="rId816" Type="http://schemas.openxmlformats.org/officeDocument/2006/relationships/hyperlink" Target="https://ieeexplore.ieee.org/abstract/document/10242535" TargetMode="External"/><Relationship Id="rId811" Type="http://schemas.openxmlformats.org/officeDocument/2006/relationships/hyperlink" Target="https://shop.openbci.com/products/cyton-biosensing-board-8-channel" TargetMode="External"/><Relationship Id="rId810" Type="http://schemas.openxmlformats.org/officeDocument/2006/relationships/hyperlink" Target="https://arinex.com.au/EMBC/pdf/full-paper_94.pdf" TargetMode="External"/><Relationship Id="rId815" Type="http://schemas.openxmlformats.org/officeDocument/2006/relationships/hyperlink" Target="https://shop.openbci.com/products/ultracortex-mark-iv" TargetMode="External"/><Relationship Id="rId814" Type="http://schemas.openxmlformats.org/officeDocument/2006/relationships/hyperlink" Target="https://shop.openbci.com/products/cyton-biosensing-board-8-channel" TargetMode="External"/><Relationship Id="rId813" Type="http://schemas.openxmlformats.org/officeDocument/2006/relationships/hyperlink" Target="https://doi.org/10.3390/life13101961" TargetMode="External"/><Relationship Id="rId812" Type="http://schemas.openxmlformats.org/officeDocument/2006/relationships/hyperlink" Target="https://www.mdpi.com/2075-1729/13/10/1961" TargetMode="External"/><Relationship Id="rId1640" Type="http://schemas.openxmlformats.org/officeDocument/2006/relationships/hyperlink" Target="https://www.researchgate.net/publication/330675051_PersonTask_discretization_in_brain_computer_interfaces_based_on_mental_task_activities" TargetMode="External"/><Relationship Id="rId1641" Type="http://schemas.openxmlformats.org/officeDocument/2006/relationships/hyperlink" Target="https://ieeexplore.ieee.org/document/9052306" TargetMode="External"/><Relationship Id="rId1675" Type="http://schemas.openxmlformats.org/officeDocument/2006/relationships/hyperlink" Target="https://doi.org/10.3389/fnins.2019.00354" TargetMode="External"/><Relationship Id="rId1676" Type="http://schemas.openxmlformats.org/officeDocument/2006/relationships/hyperlink" Target="https://www.mdpi.com/1424-8220/19/4/772" TargetMode="External"/><Relationship Id="rId1677" Type="http://schemas.openxmlformats.org/officeDocument/2006/relationships/hyperlink" Target="https://ieeexplore.ieee.org/abstract/document/8642836" TargetMode="External"/><Relationship Id="rId1678" Type="http://schemas.openxmlformats.org/officeDocument/2006/relationships/hyperlink" Target="https://www.biorxiv.org/content/10.1101/578682v1.full" TargetMode="External"/><Relationship Id="rId1679" Type="http://schemas.openxmlformats.org/officeDocument/2006/relationships/hyperlink" Target="https://ieeexplore.ieee.org/abstract/document/8492430/metrics" TargetMode="External"/><Relationship Id="rId849" Type="http://schemas.openxmlformats.org/officeDocument/2006/relationships/hyperlink" Target="https://shop.openbci.com/products/cyton-biosensing-board-8-channel" TargetMode="External"/><Relationship Id="rId844" Type="http://schemas.openxmlformats.org/officeDocument/2006/relationships/hyperlink" Target="https://shop.openbci.com/products/ultracortex-mark-iv" TargetMode="External"/><Relationship Id="rId843" Type="http://schemas.openxmlformats.org/officeDocument/2006/relationships/hyperlink" Target="https://shop.openbci.com/products/cyton-biosensing-board-8-channel" TargetMode="External"/><Relationship Id="rId842" Type="http://schemas.openxmlformats.org/officeDocument/2006/relationships/hyperlink" Target="https://winnspace.uwinnipeg.ca/xmlui/bitstream/handle/10680/2102/Mouri_Fatima_I_Final_Thesis_2023.pdf?sequence=1&amp;isAllowed=y" TargetMode="External"/><Relationship Id="rId841" Type="http://schemas.openxmlformats.org/officeDocument/2006/relationships/hyperlink" Target="https://onlinelibrary.wiley.com/doi/pdf/10.1002/adsr.202300072" TargetMode="External"/><Relationship Id="rId848" Type="http://schemas.openxmlformats.org/officeDocument/2006/relationships/hyperlink" Target="https://ieeexplore.ieee.org/abstract/document/10221052" TargetMode="External"/><Relationship Id="rId847" Type="http://schemas.openxmlformats.org/officeDocument/2006/relationships/hyperlink" Target="https://shop.openbci.com/products/cyton-biosensing-board-8-channel" TargetMode="External"/><Relationship Id="rId846" Type="http://schemas.openxmlformats.org/officeDocument/2006/relationships/hyperlink" Target="https://doi.org/10.1504/IJRS.2023.132946" TargetMode="External"/><Relationship Id="rId845" Type="http://schemas.openxmlformats.org/officeDocument/2006/relationships/hyperlink" Target="https://www.inderscienceonline.com/doi/abs/10.1504/IJRS.2023.132946" TargetMode="External"/><Relationship Id="rId1670" Type="http://schemas.openxmlformats.org/officeDocument/2006/relationships/hyperlink" Target="https://www.nature.com/articles/s41598-019-41895-7" TargetMode="External"/><Relationship Id="rId840" Type="http://schemas.openxmlformats.org/officeDocument/2006/relationships/hyperlink" Target="https://shop.openbci.com/products/cyton-biosensing-board-8-channel" TargetMode="External"/><Relationship Id="rId1671" Type="http://schemas.openxmlformats.org/officeDocument/2006/relationships/hyperlink" Target="https://shop.openbci.com/collections/frontpage/products/ultracortex-mark-iv?variant=23280716995" TargetMode="External"/><Relationship Id="rId1672" Type="http://schemas.openxmlformats.org/officeDocument/2006/relationships/hyperlink" Target="https://www.sciencedirect.com/science/article/pii/S156849461830663X" TargetMode="External"/><Relationship Id="rId1673" Type="http://schemas.openxmlformats.org/officeDocument/2006/relationships/hyperlink" Target="https://github.com/NTX-McGill/NeuroTechX-McGill-2019" TargetMode="External"/><Relationship Id="rId1674" Type="http://schemas.openxmlformats.org/officeDocument/2006/relationships/hyperlink" Target="https://www.frontiersin.org/articles/10.3389/fnins.2019.00354/full" TargetMode="External"/><Relationship Id="rId1664" Type="http://schemas.openxmlformats.org/officeDocument/2006/relationships/hyperlink" Target="https://www.ncbi.nlm.nih.gov/pubmed/30837042" TargetMode="External"/><Relationship Id="rId1665" Type="http://schemas.openxmlformats.org/officeDocument/2006/relationships/hyperlink" Target="https://www.ncbi.nlm.nih.gov/pmc/articles/PMC6669939/" TargetMode="External"/><Relationship Id="rId1666" Type="http://schemas.openxmlformats.org/officeDocument/2006/relationships/hyperlink" Target="https://ieeexplore.ieee.org/document/8762012" TargetMode="External"/><Relationship Id="rId1667" Type="http://schemas.openxmlformats.org/officeDocument/2006/relationships/hyperlink" Target="https://iris.polito.it/retrieve/handle/11583/2726614/234787/08642836.pdf" TargetMode="External"/><Relationship Id="rId1668" Type="http://schemas.openxmlformats.org/officeDocument/2006/relationships/hyperlink" Target="https://shop.openbci.com/collections/frontpage/products/ultracortex-mark-iv?variant=23280716995" TargetMode="External"/><Relationship Id="rId1669" Type="http://schemas.openxmlformats.org/officeDocument/2006/relationships/hyperlink" Target="https://drive.google.com/file/d/1DBtyleBGm7rpW2ac6IG_ToJ4OgyWq7k7/view?usp=sharing" TargetMode="External"/><Relationship Id="rId839" Type="http://schemas.openxmlformats.org/officeDocument/2006/relationships/hyperlink" Target="https://ieeexplore.ieee.org/abstract/document/10225911" TargetMode="External"/><Relationship Id="rId838" Type="http://schemas.openxmlformats.org/officeDocument/2006/relationships/hyperlink" Target="https://shop.openbci.com/products/cyton-biosensing-board-8-channel" TargetMode="External"/><Relationship Id="rId833" Type="http://schemas.openxmlformats.org/officeDocument/2006/relationships/hyperlink" Target="https://doi.org/10.1007/s41870-023-01400-w" TargetMode="External"/><Relationship Id="rId832" Type="http://schemas.openxmlformats.org/officeDocument/2006/relationships/hyperlink" Target="https://link.springer.com/article/10.1007/s41870-023-01400-w" TargetMode="External"/><Relationship Id="rId831" Type="http://schemas.openxmlformats.org/officeDocument/2006/relationships/hyperlink" Target="https://shop.openbci.com/products/openbci-eeg-electrocap" TargetMode="External"/><Relationship Id="rId830" Type="http://schemas.openxmlformats.org/officeDocument/2006/relationships/hyperlink" Target="https://shop.openbci.com/products/cyton-biosensing-board-8-channel" TargetMode="External"/><Relationship Id="rId837" Type="http://schemas.openxmlformats.org/officeDocument/2006/relationships/hyperlink" Target="https://doi.org/10.3390/info14090473" TargetMode="External"/><Relationship Id="rId836" Type="http://schemas.openxmlformats.org/officeDocument/2006/relationships/hyperlink" Target="https://www.mdpi.com/2078-2489/14/9/473" TargetMode="External"/><Relationship Id="rId835" Type="http://schemas.openxmlformats.org/officeDocument/2006/relationships/hyperlink" Target="https://shop.openbci.com/products/openbci-eeg-electrocap" TargetMode="External"/><Relationship Id="rId834" Type="http://schemas.openxmlformats.org/officeDocument/2006/relationships/hyperlink" Target="https://shop.openbci.com/products/cyton-daisy-biosensing-boards-16-channel" TargetMode="External"/><Relationship Id="rId1660" Type="http://schemas.openxmlformats.org/officeDocument/2006/relationships/hyperlink" Target="https://shop.openbci.com/collections/frontpage/products/ultracortex-mark-iv?variant=23280716995" TargetMode="External"/><Relationship Id="rId1661" Type="http://schemas.openxmlformats.org/officeDocument/2006/relationships/hyperlink" Target="https://www.tandfonline.com/doi/full/10.1080/17483107.2019.1683239" TargetMode="External"/><Relationship Id="rId1662" Type="http://schemas.openxmlformats.org/officeDocument/2006/relationships/hyperlink" Target="https://www.scirp.org/journal/paperinformation.aspx?paperid=95481" TargetMode="External"/><Relationship Id="rId1663" Type="http://schemas.openxmlformats.org/officeDocument/2006/relationships/hyperlink" Target="https://www.researchgate.net/publication/334812059_EEGlass_An_EEG-Eyeware_Prototype_for_Ubiquitous_Brain-Computer_Interaction" TargetMode="External"/><Relationship Id="rId469" Type="http://schemas.openxmlformats.org/officeDocument/2006/relationships/hyperlink" Target="https://ieeexplore.ieee.org/abstract/document/10648846" TargetMode="External"/><Relationship Id="rId468" Type="http://schemas.openxmlformats.org/officeDocument/2006/relationships/hyperlink" Target="https://shop.openbci.com/products/cyton-biosensing-board-8-channel" TargetMode="External"/><Relationship Id="rId467" Type="http://schemas.openxmlformats.org/officeDocument/2006/relationships/hyperlink" Target="https://doi.org/10.21203/rs.3.rs-4810605/v1" TargetMode="External"/><Relationship Id="rId1290" Type="http://schemas.openxmlformats.org/officeDocument/2006/relationships/hyperlink" Target="https://ieeexplore.ieee.org/document/9502250/authors" TargetMode="External"/><Relationship Id="rId1291" Type="http://schemas.openxmlformats.org/officeDocument/2006/relationships/hyperlink" Target="https://shop.openbci.com/products/ultracortex-mark-iv" TargetMode="External"/><Relationship Id="rId1292" Type="http://schemas.openxmlformats.org/officeDocument/2006/relationships/hyperlink" Target="http://scholar.google.com/scholar_url?url=https://www.mdpi.com/2076-3425/11/6/698/pdf&amp;hl=en&amp;sa=X&amp;d=17228105893307217039&amp;ei=1G-1YKn2G8mO6rQP8LClmAo&amp;scisig=AAGBfm0vpo9JJTohqqfa7b0cKg5CoyUAeQ&amp;nossl=1&amp;oi=scholaralrt&amp;hist=phuwsnkAAAAJ:1324821476278215287:AAGBfm1j5tukHsbeU89cUqsrIj25mrgFmg&amp;html=&amp;folt=kw" TargetMode="External"/><Relationship Id="rId462" Type="http://schemas.openxmlformats.org/officeDocument/2006/relationships/hyperlink" Target="https://shop.openbci.com/products/cyton-biosensing-board-8-channel" TargetMode="External"/><Relationship Id="rId1293" Type="http://schemas.openxmlformats.org/officeDocument/2006/relationships/hyperlink" Target="https://doi.org/10.3390/brainsci11060698" TargetMode="External"/><Relationship Id="rId461" Type="http://schemas.openxmlformats.org/officeDocument/2006/relationships/hyperlink" Target="https://doi.org/10.1177/23982128241279616" TargetMode="External"/><Relationship Id="rId1294" Type="http://schemas.openxmlformats.org/officeDocument/2006/relationships/hyperlink" Target="https://dl.acm.org/doi/10.1145/3412382.3458268" TargetMode="External"/><Relationship Id="rId460" Type="http://schemas.openxmlformats.org/officeDocument/2006/relationships/hyperlink" Target="https://journals.sagepub.com/doi/10.1177/23982128241279616" TargetMode="External"/><Relationship Id="rId1295" Type="http://schemas.openxmlformats.org/officeDocument/2006/relationships/hyperlink" Target="https://doi.org/10.1145/3412382.3458268" TargetMode="External"/><Relationship Id="rId1296" Type="http://schemas.openxmlformats.org/officeDocument/2006/relationships/hyperlink" Target="https://link.springer.com/article/10.1007/s00521-021-06038-y" TargetMode="External"/><Relationship Id="rId466" Type="http://schemas.openxmlformats.org/officeDocument/2006/relationships/hyperlink" Target="https://assets-eu.researchsquare.com/files/rs-4810605/v1_covered_d322b39d-5a8b-4799-aa0d-0a3dea003401.pdf?c=1725276952" TargetMode="External"/><Relationship Id="rId1297" Type="http://schemas.openxmlformats.org/officeDocument/2006/relationships/hyperlink" Target="https://doi.org/10.1007/s00521-021-06038-y" TargetMode="External"/><Relationship Id="rId465" Type="http://schemas.openxmlformats.org/officeDocument/2006/relationships/hyperlink" Target="https://shop.openbci.com/products/cyton-biosensing-board-8-channel" TargetMode="External"/><Relationship Id="rId1298" Type="http://schemas.openxmlformats.org/officeDocument/2006/relationships/hyperlink" Target="https://link.springer.com/chapter/10.1007/978-981-15-9472-4_32" TargetMode="External"/><Relationship Id="rId464" Type="http://schemas.openxmlformats.org/officeDocument/2006/relationships/hyperlink" Target="https://doi.org/10.3390/bios14090432" TargetMode="External"/><Relationship Id="rId1299" Type="http://schemas.openxmlformats.org/officeDocument/2006/relationships/hyperlink" Target="https://doi.org/10.1007/978-981-15-9472-4_32" TargetMode="External"/><Relationship Id="rId463" Type="http://schemas.openxmlformats.org/officeDocument/2006/relationships/hyperlink" Target="https://www.mdpi.com/2079-6374/14/9/432" TargetMode="External"/><Relationship Id="rId459" Type="http://schemas.openxmlformats.org/officeDocument/2006/relationships/hyperlink" Target="https://ieeexplore.ieee.org/abstract/document/10663155" TargetMode="External"/><Relationship Id="rId458" Type="http://schemas.openxmlformats.org/officeDocument/2006/relationships/hyperlink" Target="https://shop.openbci.com/products/cyton-biosensing-board-8-channel" TargetMode="External"/><Relationship Id="rId457" Type="http://schemas.openxmlformats.org/officeDocument/2006/relationships/hyperlink" Target="https://iopscience.iop.org/article/10.1088/1741-2552/ad7905/meta" TargetMode="External"/><Relationship Id="rId456" Type="http://schemas.openxmlformats.org/officeDocument/2006/relationships/hyperlink" Target="https://shop.openbci.com/products/cyton-biosensing-board-8-channel" TargetMode="External"/><Relationship Id="rId1280" Type="http://schemas.openxmlformats.org/officeDocument/2006/relationships/hyperlink" Target="https://doi.org/10.3390/s19112637" TargetMode="External"/><Relationship Id="rId1281" Type="http://schemas.openxmlformats.org/officeDocument/2006/relationships/hyperlink" Target="https://www.sciencedirect.com/science/article/pii/S2665917421000258" TargetMode="External"/><Relationship Id="rId451" Type="http://schemas.openxmlformats.org/officeDocument/2006/relationships/hyperlink" Target="https://ieeexplore.ieee.org/abstract/document/10668352" TargetMode="External"/><Relationship Id="rId1282" Type="http://schemas.openxmlformats.org/officeDocument/2006/relationships/hyperlink" Target="https://doi.org/10.1016/j.measen.2021.100062" TargetMode="External"/><Relationship Id="rId450" Type="http://schemas.openxmlformats.org/officeDocument/2006/relationships/hyperlink" Target="https://shop.openbci.com/products/cyton-biosensing-board-8-channel" TargetMode="External"/><Relationship Id="rId1283" Type="http://schemas.openxmlformats.org/officeDocument/2006/relationships/hyperlink" Target="https://shop.openbci.com/products/ultracortex-mark-iv" TargetMode="External"/><Relationship Id="rId1284" Type="http://schemas.openxmlformats.org/officeDocument/2006/relationships/hyperlink" Target="https://ieeexplore.ieee.org/abstract/document/9515106/keywords" TargetMode="External"/><Relationship Id="rId1285" Type="http://schemas.openxmlformats.org/officeDocument/2006/relationships/hyperlink" Target="https://neuroergonomicsconference.um.ifi.lmu.de/wp-content/uploads/submissions/190.pdf" TargetMode="External"/><Relationship Id="rId455" Type="http://schemas.openxmlformats.org/officeDocument/2006/relationships/hyperlink" Target="https://ieeexplore.ieee.org/abstract/document/10670586" TargetMode="External"/><Relationship Id="rId1286" Type="http://schemas.openxmlformats.org/officeDocument/2006/relationships/hyperlink" Target="https://shop.openbci.com/products/ultracortex-mark-iv" TargetMode="External"/><Relationship Id="rId454" Type="http://schemas.openxmlformats.org/officeDocument/2006/relationships/hyperlink" Target="https://shop.openbci.com/products/cyton-biosensing-board-8-channel" TargetMode="External"/><Relationship Id="rId1287" Type="http://schemas.openxmlformats.org/officeDocument/2006/relationships/hyperlink" Target="https://www.hindawi.com/journals/jhe/2021/5517637/" TargetMode="External"/><Relationship Id="rId453" Type="http://schemas.openxmlformats.org/officeDocument/2006/relationships/hyperlink" Target="https://www.tu-ilmenau.de/fileadmin/Bereiche/MB/lichttechnik/Lux_junior/2024/Fobugwe_Paper_Lux_junior_2024.pdf" TargetMode="External"/><Relationship Id="rId1288" Type="http://schemas.openxmlformats.org/officeDocument/2006/relationships/hyperlink" Target="https://doi.org/10.1155/2021/5517637" TargetMode="External"/><Relationship Id="rId452" Type="http://schemas.openxmlformats.org/officeDocument/2006/relationships/hyperlink" Target="https://shop.openbci.com/products/cyton-biosensing-board-8-channel" TargetMode="External"/><Relationship Id="rId1289" Type="http://schemas.openxmlformats.org/officeDocument/2006/relationships/hyperlink" Target="https://shop.openbci.com/products/ultracortex-mark-iv" TargetMode="External"/><Relationship Id="rId491" Type="http://schemas.openxmlformats.org/officeDocument/2006/relationships/hyperlink" Target="https://doi.org/10.1007/s11042-024-19992-1" TargetMode="External"/><Relationship Id="rId490" Type="http://schemas.openxmlformats.org/officeDocument/2006/relationships/hyperlink" Target="https://link.springer.com/article/10.1007/s11042-024-19992-1" TargetMode="External"/><Relationship Id="rId489" Type="http://schemas.openxmlformats.org/officeDocument/2006/relationships/hyperlink" Target="https://shop.openbci.com/products/cyton-biosensing-board-8-channel" TargetMode="External"/><Relationship Id="rId484" Type="http://schemas.openxmlformats.org/officeDocument/2006/relationships/hyperlink" Target="https://shop.openbci.com/products/cyton-biosensing-board-8-channel" TargetMode="External"/><Relationship Id="rId483" Type="http://schemas.openxmlformats.org/officeDocument/2006/relationships/hyperlink" Target="https://doi.org/10.11113/humentech.v3n2.77" TargetMode="External"/><Relationship Id="rId482" Type="http://schemas.openxmlformats.org/officeDocument/2006/relationships/hyperlink" Target="https://scholar.google.com/scholar_url?url=https://humentech.utm.my/index.php/humentech/article/download/77/71&amp;hl=en&amp;sa=X&amp;d=8108418357648130435&amp;ei=oqK4ZpW1B-i06rQPwLqYgQM&amp;scisig=AFWwaea7ZJFYJih3lmcole_iDEu_&amp;oi=scholaralrt&amp;hist=8WBGhdYAAAAJ:5437843588291773220:AFWwaebmzrq9zPN1CYXQ5l-OkEG-&amp;html=&amp;pos=1&amp;folt=kw" TargetMode="External"/><Relationship Id="rId481" Type="http://schemas.openxmlformats.org/officeDocument/2006/relationships/hyperlink" Target="https://shop.openbci.com/products/cyton-biosensing-board-8-channel" TargetMode="External"/><Relationship Id="rId488" Type="http://schemas.openxmlformats.org/officeDocument/2006/relationships/hyperlink" Target="https://wpd.ugr.es/~jvalderrama/wp-content/uploads/2024/06/Conf_2021_Bohemen_Abstract.pdf" TargetMode="External"/><Relationship Id="rId487" Type="http://schemas.openxmlformats.org/officeDocument/2006/relationships/hyperlink" Target="https://shop.openbci.com/products/cyton-biosensing-board-8-channel" TargetMode="External"/><Relationship Id="rId486" Type="http://schemas.openxmlformats.org/officeDocument/2006/relationships/hyperlink" Target="https://doi.org/10.11113/humentech.v3n2.78" TargetMode="External"/><Relationship Id="rId485" Type="http://schemas.openxmlformats.org/officeDocument/2006/relationships/hyperlink" Target="https://scholar.google.com/scholar_url?url=https://humentech.utm.my/index.php/humentech/article/download/78/74&amp;hl=en&amp;sa=X&amp;d=4898799593110343236&amp;ei=oqK4ZpW1B-i06rQPwLqYgQM&amp;scisig=AFWwaebwZwkUfHrkv5sUPMS2OJ0m&amp;oi=scholaralrt&amp;hist=8WBGhdYAAAAJ:5437843588291773220:AFWwaebmzrq9zPN1CYXQ5l-OkEG-&amp;html=&amp;pos=0&amp;folt=kw" TargetMode="External"/><Relationship Id="rId480" Type="http://schemas.openxmlformats.org/officeDocument/2006/relationships/hyperlink" Target="https://ieeexplore.ieee.org/abstract/document/10617623" TargetMode="External"/><Relationship Id="rId479" Type="http://schemas.openxmlformats.org/officeDocument/2006/relationships/hyperlink" Target="https://shop.openbci.com/products/ultracortex-mark-iv" TargetMode="External"/><Relationship Id="rId478" Type="http://schemas.openxmlformats.org/officeDocument/2006/relationships/hyperlink" Target="https://shop.openbci.com/products/cyton-biosensing-board-8-channel" TargetMode="External"/><Relationship Id="rId473" Type="http://schemas.openxmlformats.org/officeDocument/2006/relationships/hyperlink" Target="https://ieeexplore.ieee.org/abstract/document/10636872" TargetMode="External"/><Relationship Id="rId472" Type="http://schemas.openxmlformats.org/officeDocument/2006/relationships/hyperlink" Target="https://shop.openbci.com/products/cyton-biosensing-board-8-channel" TargetMode="External"/><Relationship Id="rId471" Type="http://schemas.openxmlformats.org/officeDocument/2006/relationships/hyperlink" Target="https://d197for5662m48.cloudfront.net/documents/publicationstatus/217875/preprint_pdf/f7eaa8b1879fb7b45dc1930aa71f2374.pdf" TargetMode="External"/><Relationship Id="rId470" Type="http://schemas.openxmlformats.org/officeDocument/2006/relationships/hyperlink" Target="https://shop.openbci.com/products/cyton-biosensing-board-8-channel" TargetMode="External"/><Relationship Id="rId477" Type="http://schemas.openxmlformats.org/officeDocument/2006/relationships/hyperlink" Target="https://ieeexplore.ieee.org/stamp/stamp.jsp?arnumber=10638658" TargetMode="External"/><Relationship Id="rId476" Type="http://schemas.openxmlformats.org/officeDocument/2006/relationships/hyperlink" Target="https://shop.openbci.com/products/cyton-biosensing-board-8-channel" TargetMode="External"/><Relationship Id="rId475" Type="http://schemas.openxmlformats.org/officeDocument/2006/relationships/hyperlink" Target="https://dl.gi.de/items/d1840fa0-7965-4cfb-b0f1-184486110cb8" TargetMode="External"/><Relationship Id="rId474" Type="http://schemas.openxmlformats.org/officeDocument/2006/relationships/hyperlink" Target="https://shop.openbci.com/products/cyton-biosensing-board-8-channel" TargetMode="External"/><Relationship Id="rId1257" Type="http://schemas.openxmlformats.org/officeDocument/2006/relationships/hyperlink" Target="https://shop.openbci.com/products/ultracortex-mark-iv" TargetMode="External"/><Relationship Id="rId1258" Type="http://schemas.openxmlformats.org/officeDocument/2006/relationships/hyperlink" Target="https://impulse.appstate.edu/sites/impulse.appstate.edu/files/Moeller,%202021.pdf" TargetMode="External"/><Relationship Id="rId1259" Type="http://schemas.openxmlformats.org/officeDocument/2006/relationships/hyperlink" Target="https://shop.openbci.com/products/cyton-biosensing-board-8-channel" TargetMode="External"/><Relationship Id="rId426" Type="http://schemas.openxmlformats.org/officeDocument/2006/relationships/hyperlink" Target="https://arxiv.org/pdf/2410.03261" TargetMode="External"/><Relationship Id="rId425" Type="http://schemas.openxmlformats.org/officeDocument/2006/relationships/hyperlink" Target="https://shop.openbci.com/products/cyton-biosensing-board-8-channel" TargetMode="External"/><Relationship Id="rId424" Type="http://schemas.openxmlformats.org/officeDocument/2006/relationships/hyperlink" Target="https://ieeexplore.ieee.org/abstract/document/10704914" TargetMode="External"/><Relationship Id="rId423" Type="http://schemas.openxmlformats.org/officeDocument/2006/relationships/hyperlink" Target="https://shop.openbci.com/products/cyton-biosensing-board-8-channel" TargetMode="External"/><Relationship Id="rId429" Type="http://schemas.openxmlformats.org/officeDocument/2006/relationships/hyperlink" Target="https://shop.openbci.com/products/cyton-biosensing-board-8-channel" TargetMode="External"/><Relationship Id="rId428" Type="http://schemas.openxmlformats.org/officeDocument/2006/relationships/hyperlink" Target="https://ieeexplore.ieee.org/stamp/stamp.jsp?arnumber=10704624" TargetMode="External"/><Relationship Id="rId427" Type="http://schemas.openxmlformats.org/officeDocument/2006/relationships/hyperlink" Target="https://shop.openbci.com/products/cyton-biosensing-board-8-channel" TargetMode="External"/><Relationship Id="rId1250" Type="http://schemas.openxmlformats.org/officeDocument/2006/relationships/hyperlink" Target="https://repositorio.uniandes.edu.co/bitstream/handle/1992/48660/u833306.pdf?sequence=1" TargetMode="External"/><Relationship Id="rId1251" Type="http://schemas.openxmlformats.org/officeDocument/2006/relationships/hyperlink" Target="https://shop.openbci.com/products/cyton-biosensing-board-8-channel" TargetMode="External"/><Relationship Id="rId1252" Type="http://schemas.openxmlformats.org/officeDocument/2006/relationships/hyperlink" Target="https://repositorio.uniandes.edu.co/bitstream/handle/1992/43980/u830592.pdf?sequence=1" TargetMode="External"/><Relationship Id="rId422" Type="http://schemas.openxmlformats.org/officeDocument/2006/relationships/hyperlink" Target="https://doi.org/10.1063/5.0236305" TargetMode="External"/><Relationship Id="rId1253" Type="http://schemas.openxmlformats.org/officeDocument/2006/relationships/hyperlink" Target="https://shop.openbci.com/products/cyton-biosensing-board-8-channel" TargetMode="External"/><Relationship Id="rId421" Type="http://schemas.openxmlformats.org/officeDocument/2006/relationships/hyperlink" Target="https://pubs.aip.org/aip/acp/article-abstract/3232/1/040033/3316695/Smart-home-based-on-BCI-for-disabled-people-A" TargetMode="External"/><Relationship Id="rId1254" Type="http://schemas.openxmlformats.org/officeDocument/2006/relationships/hyperlink" Target="https://shop.openbci.com/products/ultracortex-mark-iv" TargetMode="External"/><Relationship Id="rId420" Type="http://schemas.openxmlformats.org/officeDocument/2006/relationships/hyperlink" Target="https://shop.openbci.com/products/ultracortex-mark-iv" TargetMode="External"/><Relationship Id="rId1255" Type="http://schemas.openxmlformats.org/officeDocument/2006/relationships/hyperlink" Target="https://ieeexplore.ieee.org/document/9677782" TargetMode="External"/><Relationship Id="rId1256" Type="http://schemas.openxmlformats.org/officeDocument/2006/relationships/hyperlink" Target="https://shop.openbci.com/products/cyton-biosensing-board-8-channel" TargetMode="External"/><Relationship Id="rId1246" Type="http://schemas.openxmlformats.org/officeDocument/2006/relationships/hyperlink" Target="https://doi.org/10.32870/recibe.v9i2.153" TargetMode="External"/><Relationship Id="rId1247" Type="http://schemas.openxmlformats.org/officeDocument/2006/relationships/hyperlink" Target="https://shop.openbci.com/products/cyton-biosensing-board-8-channel" TargetMode="External"/><Relationship Id="rId1248" Type="http://schemas.openxmlformats.org/officeDocument/2006/relationships/hyperlink" Target="https://ieeexplore.ieee.org/abstract/document/9626100" TargetMode="External"/><Relationship Id="rId1249" Type="http://schemas.openxmlformats.org/officeDocument/2006/relationships/hyperlink" Target="https://shop.openbci.com/products/cyton-biosensing-board-8-channel" TargetMode="External"/><Relationship Id="rId415" Type="http://schemas.openxmlformats.org/officeDocument/2006/relationships/hyperlink" Target="https://doi.org/10.1016/j.iot.2024.101411." TargetMode="External"/><Relationship Id="rId899" Type="http://schemas.openxmlformats.org/officeDocument/2006/relationships/hyperlink" Target="https://doi.org/10.1017/pds.2023.237" TargetMode="External"/><Relationship Id="rId414" Type="http://schemas.openxmlformats.org/officeDocument/2006/relationships/hyperlink" Target="https://scholar.google.com/scholar_url?url=https://www.sciencedirect.com/science/article/pii/S2542660524003524&amp;hl=en&amp;sa=X&amp;d=9171480725589675706&amp;ei=zJIWZ6rwL4iCy9YP4oSS6As&amp;scisig=AFWwaeYaA6uu4FGOp_gH-6HIjoWb&amp;oi=scholaralrt&amp;hist=8WBGhdYAAAAJ:5437843588291773220:AFWwaebmzrq9zPN1CYXQ5l-OkEG-&amp;html=&amp;pos=0&amp;folt=kw" TargetMode="External"/><Relationship Id="rId898" Type="http://schemas.openxmlformats.org/officeDocument/2006/relationships/hyperlink" Target="https://www.cambridge.org/core/services/aop-cambridge-core/content/view/F2512E36C3B31CF20C363234BA5138E3/S2732527X23002377a.pdf/div-class-title-investigating-the-process-design-outputs-and-neurocognitive-differences-between-prototyping-activities-with-physical-and-digital-lego-div.pdf" TargetMode="External"/><Relationship Id="rId413" Type="http://schemas.openxmlformats.org/officeDocument/2006/relationships/hyperlink" Target="https://shop.openbci.com/products/cyton-biosensing-board-8-channel" TargetMode="External"/><Relationship Id="rId897" Type="http://schemas.openxmlformats.org/officeDocument/2006/relationships/hyperlink" Target="https://shop.openbci.com/products/ultracortex-mark-iv" TargetMode="External"/><Relationship Id="rId412" Type="http://schemas.openxmlformats.org/officeDocument/2006/relationships/hyperlink" Target="https://arxiv.org/html/2403.19992v2" TargetMode="External"/><Relationship Id="rId896" Type="http://schemas.openxmlformats.org/officeDocument/2006/relationships/hyperlink" Target="https://shop.openbci.com/products/cyton-daisy-biosensing-boards-16-channel" TargetMode="External"/><Relationship Id="rId419" Type="http://schemas.openxmlformats.org/officeDocument/2006/relationships/hyperlink" Target="https://shop.openbci.com/products/cyton-biosensing-board-8-channel" TargetMode="External"/><Relationship Id="rId418" Type="http://schemas.openxmlformats.org/officeDocument/2006/relationships/hyperlink" Target="https://doi.org/10.1038/s41467-024-53379-y" TargetMode="External"/><Relationship Id="rId417" Type="http://schemas.openxmlformats.org/officeDocument/2006/relationships/hyperlink" Target="https://www.nature.com/articles/s41467-024-53379-y" TargetMode="External"/><Relationship Id="rId416" Type="http://schemas.openxmlformats.org/officeDocument/2006/relationships/hyperlink" Target="https://shop.openbci.com/products/cyton-biosensing-board-8-channel" TargetMode="External"/><Relationship Id="rId891" Type="http://schemas.openxmlformats.org/officeDocument/2006/relationships/hyperlink" Target="https://royalsocietypublishing.org/doi/pdf/10.1098/rsos.221067" TargetMode="External"/><Relationship Id="rId890" Type="http://schemas.openxmlformats.org/officeDocument/2006/relationships/hyperlink" Target="https://doi.org/10.3390/engproc2023033043" TargetMode="External"/><Relationship Id="rId1240" Type="http://schemas.openxmlformats.org/officeDocument/2006/relationships/hyperlink" Target="https://shop.openbci.com/products/cyton-biosensing-board-8-channel" TargetMode="External"/><Relationship Id="rId1241" Type="http://schemas.openxmlformats.org/officeDocument/2006/relationships/hyperlink" Target="https://ieeexplore.ieee.org/abstract/document/9629500" TargetMode="External"/><Relationship Id="rId411" Type="http://schemas.openxmlformats.org/officeDocument/2006/relationships/hyperlink" Target="https://scholar.google.com/scholar_url?url=https://ieeexplore.ieee.org/abstract/document/10719823/&amp;hl=en&amp;sa=X&amp;d=4495119380336621313&amp;ei=PVcjZ-buMdaw6rQPj5OakAk&amp;scisig=AFWwaeZsApIa-sjVbhrT0mQYtJtd&amp;oi=scholaralrt&amp;hist=8WBGhdYAAAAJ:5437843588291773220:AFWwaebmzrq9zPN1CYXQ5l-OkEG-&amp;html=&amp;pos=1&amp;folt=kw" TargetMode="External"/><Relationship Id="rId895" Type="http://schemas.openxmlformats.org/officeDocument/2006/relationships/hyperlink" Target="https://doi.org/10.3390/brainsci13060969" TargetMode="External"/><Relationship Id="rId1242" Type="http://schemas.openxmlformats.org/officeDocument/2006/relationships/hyperlink" Target="https://ieeexplore.ieee.org/abstract/document/9666738" TargetMode="External"/><Relationship Id="rId410" Type="http://schemas.openxmlformats.org/officeDocument/2006/relationships/hyperlink" Target="https://shop.openbci.com/products/cyton-biosensing-board-8-channel" TargetMode="External"/><Relationship Id="rId894" Type="http://schemas.openxmlformats.org/officeDocument/2006/relationships/hyperlink" Target="https://www.mdpi.com/2076-3425/13/6/969" TargetMode="External"/><Relationship Id="rId1243" Type="http://schemas.openxmlformats.org/officeDocument/2006/relationships/hyperlink" Target="https://latamt.ieeer9.org/index.php/transactions/article/download/6063/1444" TargetMode="External"/><Relationship Id="rId893" Type="http://schemas.openxmlformats.org/officeDocument/2006/relationships/hyperlink" Target="https://shop.openbci.com/products/cyton-daisy-biosensing-boards-16-channel" TargetMode="External"/><Relationship Id="rId1244" Type="http://schemas.openxmlformats.org/officeDocument/2006/relationships/hyperlink" Target="https://shop.openbci.com/products/cyton-biosensing-board-8-channel" TargetMode="External"/><Relationship Id="rId892" Type="http://schemas.openxmlformats.org/officeDocument/2006/relationships/hyperlink" Target="https://doi.org/10.1098/rsos.221067" TargetMode="External"/><Relationship Id="rId1245" Type="http://schemas.openxmlformats.org/officeDocument/2006/relationships/hyperlink" Target="http://recibe.cucei.udg.mx/index.php/ReCIBE/article/view/153" TargetMode="External"/><Relationship Id="rId1279" Type="http://schemas.openxmlformats.org/officeDocument/2006/relationships/hyperlink" Target="https://www.mdpi.com/1424-8220/19/11/2637" TargetMode="External"/><Relationship Id="rId448" Type="http://schemas.openxmlformats.org/officeDocument/2006/relationships/hyperlink" Target="https://shop.openbci.com/products/cyton-biosensing-board-8-channel" TargetMode="External"/><Relationship Id="rId447" Type="http://schemas.openxmlformats.org/officeDocument/2006/relationships/hyperlink" Target="https://ieeexplore.ieee.org/abstract/document/10658722" TargetMode="External"/><Relationship Id="rId446" Type="http://schemas.openxmlformats.org/officeDocument/2006/relationships/hyperlink" Target="https://doi.org/10.3390/biomimetics9090562" TargetMode="External"/><Relationship Id="rId445" Type="http://schemas.openxmlformats.org/officeDocument/2006/relationships/hyperlink" Target="https://www.mdpi.com/2313-7673/9/9/562" TargetMode="External"/><Relationship Id="rId449" Type="http://schemas.openxmlformats.org/officeDocument/2006/relationships/hyperlink" Target="https://ieeexplore.ieee.org/abstract/document/10667256" TargetMode="External"/><Relationship Id="rId1270" Type="http://schemas.openxmlformats.org/officeDocument/2006/relationships/hyperlink" Target="https://doi.org/10.4414/smw.2021.w30039" TargetMode="External"/><Relationship Id="rId440" Type="http://schemas.openxmlformats.org/officeDocument/2006/relationships/hyperlink" Target="https://ieeexplore.ieee.org/abstract/document/10662738" TargetMode="External"/><Relationship Id="rId1271" Type="http://schemas.openxmlformats.org/officeDocument/2006/relationships/hyperlink" Target="https://www.biorxiv.org/content/biorxiv/early/2021/11/19/2021.11.16.468841.full.pdf" TargetMode="External"/><Relationship Id="rId1272" Type="http://schemas.openxmlformats.org/officeDocument/2006/relationships/hyperlink" Target="https://doi.org/10.1101/2021.11.16.468841" TargetMode="External"/><Relationship Id="rId1273" Type="http://schemas.openxmlformats.org/officeDocument/2006/relationships/hyperlink" Target="https://shop.openbci.com/products/cyton-daisy-biosensing-boards-16-channel" TargetMode="External"/><Relationship Id="rId1274" Type="http://schemas.openxmlformats.org/officeDocument/2006/relationships/hyperlink" Target="https://shop.openbci.com/products/ultracortex-mark-iv" TargetMode="External"/><Relationship Id="rId444" Type="http://schemas.openxmlformats.org/officeDocument/2006/relationships/hyperlink" Target="https://shop.openbci.com/products/cyton-biosensing-board-8-channel" TargetMode="External"/><Relationship Id="rId1275" Type="http://schemas.openxmlformats.org/officeDocument/2006/relationships/hyperlink" Target="https://data.mendeley.com/datasets/w9xfz56txv/2" TargetMode="External"/><Relationship Id="rId443" Type="http://schemas.openxmlformats.org/officeDocument/2006/relationships/hyperlink" Target="https://ieeexplore.ieee.org/abstract/document/10677025" TargetMode="External"/><Relationship Id="rId1276" Type="http://schemas.openxmlformats.org/officeDocument/2006/relationships/hyperlink" Target="https://www.youtube.com/watch?v=gySZVoVpiTU" TargetMode="External"/><Relationship Id="rId442" Type="http://schemas.openxmlformats.org/officeDocument/2006/relationships/hyperlink" Target="https://shop.openbci.com/products/gelfree-bci-cap-kit" TargetMode="External"/><Relationship Id="rId1277" Type="http://schemas.openxmlformats.org/officeDocument/2006/relationships/hyperlink" Target="http://nmail.kaist.ac.kr/wordpress/index.php/2018/11/14/daily-life-emotion-dynamics-tracking-through-wearable-device/" TargetMode="External"/><Relationship Id="rId441" Type="http://schemas.openxmlformats.org/officeDocument/2006/relationships/hyperlink" Target="https://shop.openbci.com/products/cyton-daisy-biosensing-boards-16-channel" TargetMode="External"/><Relationship Id="rId1278" Type="http://schemas.openxmlformats.org/officeDocument/2006/relationships/hyperlink" Target="https://doi.org/10.1109/TCYB.2021.3106638" TargetMode="External"/><Relationship Id="rId1268" Type="http://schemas.openxmlformats.org/officeDocument/2006/relationships/hyperlink" Target="https://smw.ch/article/doi/SMW.2021.w30039" TargetMode="External"/><Relationship Id="rId1269" Type="http://schemas.openxmlformats.org/officeDocument/2006/relationships/hyperlink" Target="https://smw.ch/article/doi/SMW.2021.w30039" TargetMode="External"/><Relationship Id="rId437" Type="http://schemas.openxmlformats.org/officeDocument/2006/relationships/hyperlink" Target="https://doi.org/10.1088/1741-2552/ad7f8d" TargetMode="External"/><Relationship Id="rId436" Type="http://schemas.openxmlformats.org/officeDocument/2006/relationships/hyperlink" Target="https://iopscience.iop.org/article/10.1088/1741-2552/ad7f8d/pdf" TargetMode="External"/><Relationship Id="rId435" Type="http://schemas.openxmlformats.org/officeDocument/2006/relationships/hyperlink" Target="https://shop.openbci.com/products/cyton-biosensing-board-8-channel" TargetMode="External"/><Relationship Id="rId434" Type="http://schemas.openxmlformats.org/officeDocument/2006/relationships/hyperlink" Target="https://laccei.org/LACCEI2024-CostaRica/full-papers/Contribution_1418_final_a.pdf" TargetMode="External"/><Relationship Id="rId439" Type="http://schemas.openxmlformats.org/officeDocument/2006/relationships/hyperlink" Target="https://shop.openbci.com/products/cyton-biosensing-board-8-channel" TargetMode="External"/><Relationship Id="rId438" Type="http://schemas.openxmlformats.org/officeDocument/2006/relationships/hyperlink" Target="https://www.cell.com/device/fulltext/S2666-9986(24)00475-7" TargetMode="External"/><Relationship Id="rId1260" Type="http://schemas.openxmlformats.org/officeDocument/2006/relationships/hyperlink" Target="http://shdl.mmu.edu.my/9895/" TargetMode="External"/><Relationship Id="rId1261" Type="http://schemas.openxmlformats.org/officeDocument/2006/relationships/hyperlink" Target="https://shop.openbci.com/products/cyton-biosensing-board-8-channel" TargetMode="External"/><Relationship Id="rId1262" Type="http://schemas.openxmlformats.org/officeDocument/2006/relationships/hyperlink" Target="https://www.researchgate.net/profile/Ahnaf-Shariar/publication/353954251_BRAINWAVE_ASSISTIVE_SYSTEM_FOR_PARALYZED_INDIVIDUALS/links/61cefa7ae669ee0f5c785324/BRAINWAVE-ASSISTIVE-SYSTEM-FOR-PARALYZED-INDIVIDUALS.pdf" TargetMode="External"/><Relationship Id="rId1263" Type="http://schemas.openxmlformats.org/officeDocument/2006/relationships/hyperlink" Target="https://www.physionet.org/content/auditory-eeg/1.0.0/" TargetMode="External"/><Relationship Id="rId433" Type="http://schemas.openxmlformats.org/officeDocument/2006/relationships/hyperlink" Target="https://shop.openbci.com/products/cyton-biosensing-board-8-channel" TargetMode="External"/><Relationship Id="rId1264" Type="http://schemas.openxmlformats.org/officeDocument/2006/relationships/hyperlink" Target="https://doi.org/10.13026/ps31-fc50" TargetMode="External"/><Relationship Id="rId432" Type="http://schemas.openxmlformats.org/officeDocument/2006/relationships/hyperlink" Target="https://ieeexplore.ieee.org/abstract/document/10688894" TargetMode="External"/><Relationship Id="rId1265" Type="http://schemas.openxmlformats.org/officeDocument/2006/relationships/hyperlink" Target="https://shop.openbci.com/products/cyton-biosensing-board-8-channel" TargetMode="External"/><Relationship Id="rId431" Type="http://schemas.openxmlformats.org/officeDocument/2006/relationships/hyperlink" Target="https://shop.openbci.com/products/cyton-biosensing-board-8-channel" TargetMode="External"/><Relationship Id="rId1266" Type="http://schemas.openxmlformats.org/officeDocument/2006/relationships/hyperlink" Target="https://shop.openbci.com/products/emg-ecg-snap-electrode-cables" TargetMode="External"/><Relationship Id="rId430" Type="http://schemas.openxmlformats.org/officeDocument/2006/relationships/hyperlink" Target="https://ieeexplore.ieee.org/abstract/document/10688451" TargetMode="External"/><Relationship Id="rId1267" Type="http://schemas.openxmlformats.org/officeDocument/2006/relationships/hyperlink" Target="https://www.ncbi.nlm.nih.gov/pmc/articles/PMC8383397/"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6.75"/>
    <col customWidth="1" min="2" max="2" width="20.38"/>
    <col customWidth="1" min="3" max="3" width="11.63"/>
    <col customWidth="1" min="4" max="4" width="36.5"/>
    <col customWidth="1" min="5" max="5" width="70.13"/>
    <col customWidth="1" min="6" max="6" width="18.63"/>
    <col customWidth="1" min="7" max="7" width="44.88"/>
    <col customWidth="1" min="8" max="8" width="51.5"/>
    <col customWidth="1" min="9" max="9" width="7.88"/>
    <col customWidth="1" min="10" max="10" width="81.5"/>
    <col customWidth="1" min="11" max="13" width="33.63"/>
  </cols>
  <sheetData>
    <row r="1" ht="19.5" customHeight="1">
      <c r="A1" s="1" t="s">
        <v>0</v>
      </c>
      <c r="B1" s="1" t="s">
        <v>1</v>
      </c>
      <c r="C1" s="1" t="s">
        <v>2</v>
      </c>
      <c r="D1" s="2" t="s">
        <v>3</v>
      </c>
      <c r="E1" s="1" t="s">
        <v>4</v>
      </c>
      <c r="F1" s="3" t="s">
        <v>5</v>
      </c>
      <c r="G1" s="1" t="s">
        <v>6</v>
      </c>
      <c r="H1" s="1" t="s">
        <v>7</v>
      </c>
      <c r="I1" s="1" t="s">
        <v>8</v>
      </c>
      <c r="J1" s="1" t="s">
        <v>9</v>
      </c>
      <c r="K1" s="1" t="s">
        <v>10</v>
      </c>
      <c r="L1" s="1" t="s">
        <v>11</v>
      </c>
      <c r="M1" s="4"/>
    </row>
    <row r="2" ht="15.75" customHeight="1">
      <c r="A2" s="5">
        <v>2026.0</v>
      </c>
      <c r="B2" s="6" t="s">
        <v>12</v>
      </c>
      <c r="C2" s="6" t="s">
        <v>13</v>
      </c>
      <c r="D2" s="7" t="s">
        <v>14</v>
      </c>
      <c r="E2" s="8" t="s">
        <v>15</v>
      </c>
      <c r="F2" s="9" t="s">
        <v>16</v>
      </c>
      <c r="G2" s="10" t="s">
        <v>17</v>
      </c>
      <c r="H2" s="11" t="s">
        <v>18</v>
      </c>
      <c r="I2" s="5" t="s">
        <v>13</v>
      </c>
      <c r="J2" s="10" t="s">
        <v>19</v>
      </c>
      <c r="K2" s="5"/>
      <c r="L2" s="5"/>
      <c r="M2" s="5"/>
    </row>
    <row r="3" ht="15.75" customHeight="1">
      <c r="A3" s="5">
        <v>2026.0</v>
      </c>
      <c r="B3" s="6" t="s">
        <v>12</v>
      </c>
      <c r="C3" s="6"/>
      <c r="D3" s="7" t="s">
        <v>20</v>
      </c>
      <c r="E3" s="8" t="s">
        <v>21</v>
      </c>
      <c r="F3" s="9" t="s">
        <v>22</v>
      </c>
      <c r="G3" s="10"/>
      <c r="H3" s="11" t="s">
        <v>23</v>
      </c>
      <c r="I3" s="5"/>
      <c r="K3" s="5"/>
      <c r="L3" s="5"/>
      <c r="M3" s="5"/>
    </row>
    <row r="4" ht="15.75" customHeight="1">
      <c r="A4" s="5">
        <v>2026.0</v>
      </c>
      <c r="B4" s="6" t="s">
        <v>12</v>
      </c>
      <c r="C4" s="6" t="s">
        <v>13</v>
      </c>
      <c r="D4" s="7" t="s">
        <v>24</v>
      </c>
      <c r="E4" s="8" t="s">
        <v>25</v>
      </c>
      <c r="F4" s="9" t="s">
        <v>26</v>
      </c>
      <c r="G4" s="10" t="s">
        <v>27</v>
      </c>
      <c r="H4" s="11" t="s">
        <v>28</v>
      </c>
      <c r="I4" s="5" t="s">
        <v>13</v>
      </c>
      <c r="J4" s="10" t="s">
        <v>29</v>
      </c>
      <c r="K4" s="5"/>
      <c r="L4" s="5"/>
      <c r="M4" s="5"/>
    </row>
    <row r="5" ht="15.75" customHeight="1">
      <c r="A5" s="5">
        <v>2026.0</v>
      </c>
      <c r="B5" s="6" t="s">
        <v>12</v>
      </c>
      <c r="C5" s="6" t="s">
        <v>13</v>
      </c>
      <c r="D5" s="7" t="s">
        <v>30</v>
      </c>
      <c r="E5" s="8" t="s">
        <v>31</v>
      </c>
      <c r="F5" s="9" t="s">
        <v>32</v>
      </c>
      <c r="G5" s="10" t="s">
        <v>33</v>
      </c>
      <c r="H5" s="11" t="s">
        <v>34</v>
      </c>
      <c r="I5" s="5" t="s">
        <v>13</v>
      </c>
      <c r="J5" s="10" t="s">
        <v>35</v>
      </c>
      <c r="K5" s="5"/>
      <c r="L5" s="5"/>
      <c r="M5" s="5"/>
    </row>
    <row r="6" ht="15.75" customHeight="1">
      <c r="A6" s="5">
        <v>2025.0</v>
      </c>
      <c r="B6" s="6" t="s">
        <v>12</v>
      </c>
      <c r="C6" s="6" t="s">
        <v>13</v>
      </c>
      <c r="D6" s="7" t="s">
        <v>36</v>
      </c>
      <c r="E6" s="8" t="s">
        <v>37</v>
      </c>
      <c r="F6" s="9" t="s">
        <v>38</v>
      </c>
      <c r="G6" s="10" t="s">
        <v>39</v>
      </c>
      <c r="H6" s="11" t="s">
        <v>40</v>
      </c>
      <c r="I6" s="5" t="s">
        <v>13</v>
      </c>
      <c r="J6" s="10" t="s">
        <v>41</v>
      </c>
      <c r="K6" s="5"/>
      <c r="L6" s="5"/>
      <c r="M6" s="5"/>
    </row>
    <row r="7" ht="15.75" customHeight="1">
      <c r="A7" s="5">
        <v>2026.0</v>
      </c>
      <c r="B7" s="6" t="s">
        <v>12</v>
      </c>
      <c r="C7" s="6" t="s">
        <v>13</v>
      </c>
      <c r="D7" s="7" t="s">
        <v>42</v>
      </c>
      <c r="E7" s="8" t="s">
        <v>43</v>
      </c>
      <c r="F7" s="9" t="s">
        <v>44</v>
      </c>
      <c r="G7" s="10" t="s">
        <v>45</v>
      </c>
      <c r="H7" s="11" t="s">
        <v>46</v>
      </c>
      <c r="I7" s="5" t="s">
        <v>47</v>
      </c>
      <c r="J7" s="10" t="s">
        <v>48</v>
      </c>
      <c r="K7" s="5"/>
      <c r="L7" s="5"/>
      <c r="M7" s="5"/>
    </row>
    <row r="8" ht="15.75" customHeight="1">
      <c r="A8" s="5">
        <v>2026.0</v>
      </c>
      <c r="B8" s="6" t="s">
        <v>49</v>
      </c>
      <c r="C8" s="6" t="s">
        <v>13</v>
      </c>
      <c r="D8" s="7" t="s">
        <v>50</v>
      </c>
      <c r="E8" s="8" t="s">
        <v>51</v>
      </c>
      <c r="F8" s="9" t="s">
        <v>52</v>
      </c>
      <c r="G8" s="10" t="s">
        <v>53</v>
      </c>
      <c r="H8" s="11" t="s">
        <v>54</v>
      </c>
      <c r="I8" s="5" t="s">
        <v>13</v>
      </c>
      <c r="J8" s="10" t="s">
        <v>55</v>
      </c>
      <c r="K8" s="5"/>
      <c r="L8" s="5"/>
      <c r="M8" s="5"/>
    </row>
    <row r="9" ht="15.75" customHeight="1">
      <c r="A9" s="5">
        <v>2026.0</v>
      </c>
      <c r="C9" s="6" t="s">
        <v>13</v>
      </c>
      <c r="D9" s="7" t="s">
        <v>56</v>
      </c>
      <c r="E9" s="8" t="s">
        <v>57</v>
      </c>
      <c r="F9" s="9" t="s">
        <v>58</v>
      </c>
      <c r="G9" s="10" t="s">
        <v>59</v>
      </c>
      <c r="H9" s="11" t="s">
        <v>60</v>
      </c>
      <c r="I9" s="5" t="s">
        <v>13</v>
      </c>
      <c r="J9" s="10" t="s">
        <v>61</v>
      </c>
      <c r="K9" s="5"/>
      <c r="L9" s="5"/>
      <c r="M9" s="5"/>
    </row>
    <row r="10" ht="15.75" customHeight="1">
      <c r="A10" s="5">
        <v>2026.0</v>
      </c>
      <c r="B10" s="6" t="s">
        <v>62</v>
      </c>
      <c r="C10" s="6" t="s">
        <v>13</v>
      </c>
      <c r="D10" s="7" t="s">
        <v>63</v>
      </c>
      <c r="E10" s="8" t="s">
        <v>64</v>
      </c>
      <c r="F10" s="9" t="s">
        <v>65</v>
      </c>
      <c r="G10" s="10" t="s">
        <v>13</v>
      </c>
      <c r="H10" s="11" t="s">
        <v>66</v>
      </c>
      <c r="I10" s="5" t="s">
        <v>13</v>
      </c>
      <c r="J10" s="10" t="s">
        <v>67</v>
      </c>
      <c r="K10" s="5"/>
      <c r="L10" s="5"/>
      <c r="M10" s="5"/>
    </row>
    <row r="11" ht="15.75" customHeight="1">
      <c r="A11" s="5">
        <v>2026.0</v>
      </c>
      <c r="B11" s="6" t="s">
        <v>12</v>
      </c>
      <c r="C11" s="6" t="s">
        <v>68</v>
      </c>
      <c r="D11" s="7" t="s">
        <v>69</v>
      </c>
      <c r="E11" s="8" t="s">
        <v>70</v>
      </c>
      <c r="F11" s="9" t="s">
        <v>71</v>
      </c>
      <c r="G11" s="10"/>
      <c r="H11" s="11" t="s">
        <v>72</v>
      </c>
      <c r="I11" s="5"/>
      <c r="J11" s="10"/>
      <c r="K11" s="5"/>
      <c r="L11" s="5"/>
      <c r="M11" s="5"/>
    </row>
    <row r="12" ht="15.75" customHeight="1">
      <c r="A12" s="5">
        <v>2026.0</v>
      </c>
      <c r="B12" s="6" t="s">
        <v>73</v>
      </c>
      <c r="C12" s="6" t="s">
        <v>13</v>
      </c>
      <c r="D12" s="7" t="s">
        <v>74</v>
      </c>
      <c r="E12" s="8" t="s">
        <v>75</v>
      </c>
      <c r="F12" s="9" t="s">
        <v>76</v>
      </c>
      <c r="G12" s="10" t="s">
        <v>77</v>
      </c>
      <c r="H12" s="11" t="s">
        <v>78</v>
      </c>
      <c r="I12" s="5" t="s">
        <v>47</v>
      </c>
      <c r="J12" s="10" t="s">
        <v>79</v>
      </c>
      <c r="K12" s="5"/>
      <c r="L12" s="5"/>
      <c r="M12" s="5"/>
    </row>
    <row r="13" ht="15.75" customHeight="1">
      <c r="A13" s="5">
        <v>2026.0</v>
      </c>
      <c r="B13" s="6" t="s">
        <v>80</v>
      </c>
      <c r="C13" s="6"/>
      <c r="D13" s="7" t="s">
        <v>81</v>
      </c>
      <c r="E13" s="8" t="s">
        <v>82</v>
      </c>
      <c r="F13" s="9" t="s">
        <v>83</v>
      </c>
      <c r="G13" s="10"/>
      <c r="H13" s="11" t="s">
        <v>84</v>
      </c>
      <c r="I13" s="5"/>
      <c r="J13" s="10"/>
      <c r="K13" s="5"/>
      <c r="L13" s="5"/>
      <c r="M13" s="5"/>
    </row>
    <row r="14" ht="15.75" customHeight="1">
      <c r="A14" s="5">
        <v>2026.0</v>
      </c>
      <c r="B14" s="6" t="s">
        <v>12</v>
      </c>
      <c r="C14" s="6" t="s">
        <v>13</v>
      </c>
      <c r="D14" s="7" t="s">
        <v>85</v>
      </c>
      <c r="E14" s="8" t="s">
        <v>86</v>
      </c>
      <c r="F14" s="9" t="s">
        <v>87</v>
      </c>
      <c r="G14" s="10" t="s">
        <v>88</v>
      </c>
      <c r="H14" s="11" t="s">
        <v>89</v>
      </c>
      <c r="I14" s="5" t="s">
        <v>13</v>
      </c>
      <c r="J14" s="10" t="s">
        <v>90</v>
      </c>
      <c r="K14" s="5"/>
      <c r="L14" s="5"/>
      <c r="M14" s="5"/>
    </row>
    <row r="15" ht="15.75" customHeight="1">
      <c r="A15" s="5">
        <v>2026.0</v>
      </c>
      <c r="B15" s="6" t="s">
        <v>62</v>
      </c>
      <c r="C15" s="6" t="s">
        <v>13</v>
      </c>
      <c r="D15" s="7" t="s">
        <v>91</v>
      </c>
      <c r="E15" s="8" t="s">
        <v>92</v>
      </c>
      <c r="F15" s="9" t="s">
        <v>93</v>
      </c>
      <c r="G15" s="10" t="s">
        <v>94</v>
      </c>
      <c r="H15" s="11" t="s">
        <v>95</v>
      </c>
      <c r="I15" s="5" t="s">
        <v>47</v>
      </c>
      <c r="J15" s="10" t="s">
        <v>96</v>
      </c>
      <c r="K15" s="5"/>
      <c r="L15" s="5"/>
      <c r="M15" s="5"/>
    </row>
    <row r="16" ht="15.75" customHeight="1">
      <c r="A16" s="5">
        <v>2026.0</v>
      </c>
      <c r="B16" s="6" t="s">
        <v>62</v>
      </c>
      <c r="C16" s="6" t="s">
        <v>97</v>
      </c>
      <c r="D16" s="7" t="s">
        <v>98</v>
      </c>
      <c r="E16" s="8" t="s">
        <v>99</v>
      </c>
      <c r="F16" s="9" t="s">
        <v>100</v>
      </c>
      <c r="G16" s="10" t="s">
        <v>101</v>
      </c>
      <c r="H16" s="11" t="s">
        <v>102</v>
      </c>
      <c r="I16" s="5" t="s">
        <v>47</v>
      </c>
      <c r="J16" s="10" t="s">
        <v>13</v>
      </c>
      <c r="K16" s="5"/>
      <c r="L16" s="5"/>
      <c r="M16" s="5"/>
    </row>
    <row r="17" ht="15.75" customHeight="1">
      <c r="A17" s="5">
        <v>2026.0</v>
      </c>
      <c r="B17" s="6" t="s">
        <v>12</v>
      </c>
      <c r="C17" s="6"/>
      <c r="D17" s="7" t="s">
        <v>103</v>
      </c>
      <c r="E17" s="8" t="s">
        <v>104</v>
      </c>
      <c r="F17" s="9" t="s">
        <v>105</v>
      </c>
      <c r="G17" s="10" t="s">
        <v>106</v>
      </c>
      <c r="H17" s="11" t="s">
        <v>107</v>
      </c>
      <c r="I17" s="5"/>
      <c r="J17" s="10" t="s">
        <v>108</v>
      </c>
      <c r="K17" s="5"/>
      <c r="L17" s="5"/>
      <c r="M17" s="5"/>
    </row>
    <row r="18" ht="15.75" customHeight="1">
      <c r="A18" s="5">
        <v>2026.0</v>
      </c>
      <c r="B18" s="6" t="s">
        <v>12</v>
      </c>
      <c r="C18" s="6" t="s">
        <v>13</v>
      </c>
      <c r="D18" s="7" t="s">
        <v>109</v>
      </c>
      <c r="E18" s="8" t="s">
        <v>110</v>
      </c>
      <c r="F18" s="9" t="s">
        <v>111</v>
      </c>
      <c r="G18" s="10" t="s">
        <v>13</v>
      </c>
      <c r="H18" s="11" t="s">
        <v>112</v>
      </c>
      <c r="I18" s="5" t="s">
        <v>13</v>
      </c>
      <c r="J18" s="10" t="s">
        <v>113</v>
      </c>
      <c r="K18" s="5"/>
      <c r="L18" s="5"/>
      <c r="M18" s="5"/>
    </row>
    <row r="19" ht="15.75" customHeight="1">
      <c r="A19" s="5">
        <v>2026.0</v>
      </c>
      <c r="B19" s="6" t="s">
        <v>12</v>
      </c>
      <c r="C19" s="6"/>
      <c r="D19" s="7" t="s">
        <v>114</v>
      </c>
      <c r="E19" s="8" t="s">
        <v>115</v>
      </c>
      <c r="F19" s="9" t="s">
        <v>116</v>
      </c>
      <c r="G19" s="10"/>
      <c r="H19" s="11" t="s">
        <v>117</v>
      </c>
      <c r="I19" s="5"/>
      <c r="J19" s="10"/>
      <c r="K19" s="5"/>
      <c r="L19" s="5"/>
      <c r="M19" s="5"/>
    </row>
    <row r="20" ht="15.75" customHeight="1">
      <c r="A20" s="5">
        <v>2026.0</v>
      </c>
      <c r="B20" s="6" t="s">
        <v>12</v>
      </c>
      <c r="C20" s="6" t="s">
        <v>13</v>
      </c>
      <c r="D20" s="7" t="s">
        <v>118</v>
      </c>
      <c r="E20" s="8" t="s">
        <v>119</v>
      </c>
      <c r="F20" s="9" t="s">
        <v>120</v>
      </c>
      <c r="G20" s="10" t="s">
        <v>121</v>
      </c>
      <c r="H20" s="11" t="s">
        <v>122</v>
      </c>
      <c r="I20" s="5" t="s">
        <v>47</v>
      </c>
      <c r="J20" s="10" t="s">
        <v>123</v>
      </c>
      <c r="K20" s="5"/>
      <c r="L20" s="5"/>
      <c r="M20" s="5"/>
    </row>
    <row r="21" ht="15.75" customHeight="1">
      <c r="A21" s="5">
        <v>2026.0</v>
      </c>
      <c r="B21" s="6" t="s">
        <v>124</v>
      </c>
      <c r="C21" s="6"/>
      <c r="D21" s="7" t="s">
        <v>125</v>
      </c>
      <c r="E21" s="8" t="s">
        <v>126</v>
      </c>
      <c r="F21" s="9" t="s">
        <v>127</v>
      </c>
      <c r="G21" s="10" t="s">
        <v>128</v>
      </c>
      <c r="H21" s="11" t="s">
        <v>129</v>
      </c>
      <c r="I21" s="5"/>
      <c r="J21" s="10" t="s">
        <v>130</v>
      </c>
      <c r="K21" s="5"/>
      <c r="L21" s="5"/>
      <c r="M21" s="5"/>
    </row>
    <row r="22" ht="15.75" customHeight="1">
      <c r="A22" s="5">
        <v>2026.0</v>
      </c>
      <c r="B22" s="6" t="s">
        <v>62</v>
      </c>
      <c r="C22" s="6" t="s">
        <v>13</v>
      </c>
      <c r="D22" s="7" t="s">
        <v>131</v>
      </c>
      <c r="E22" s="8" t="s">
        <v>132</v>
      </c>
      <c r="F22" s="9" t="s">
        <v>133</v>
      </c>
      <c r="G22" s="10" t="s">
        <v>77</v>
      </c>
      <c r="H22" s="11" t="s">
        <v>134</v>
      </c>
      <c r="I22" s="5" t="s">
        <v>47</v>
      </c>
      <c r="J22" s="10" t="s">
        <v>135</v>
      </c>
      <c r="K22" s="5"/>
      <c r="L22" s="5"/>
      <c r="M22" s="5"/>
    </row>
    <row r="23" ht="15.75" customHeight="1">
      <c r="A23" s="5">
        <v>2026.0</v>
      </c>
      <c r="B23" s="6" t="s">
        <v>12</v>
      </c>
      <c r="C23" s="6" t="s">
        <v>13</v>
      </c>
      <c r="D23" s="7" t="s">
        <v>136</v>
      </c>
      <c r="E23" s="8" t="s">
        <v>137</v>
      </c>
      <c r="F23" s="9" t="s">
        <v>138</v>
      </c>
      <c r="G23" s="10" t="s">
        <v>139</v>
      </c>
      <c r="H23" s="11" t="s">
        <v>140</v>
      </c>
      <c r="I23" s="5" t="s">
        <v>47</v>
      </c>
      <c r="J23" s="10" t="s">
        <v>141</v>
      </c>
      <c r="K23" s="5"/>
      <c r="L23" s="5"/>
      <c r="M23" s="5"/>
    </row>
    <row r="24" ht="15.75" customHeight="1">
      <c r="A24" s="5">
        <v>2026.0</v>
      </c>
      <c r="B24" s="6" t="s">
        <v>142</v>
      </c>
      <c r="C24" s="6" t="s">
        <v>13</v>
      </c>
      <c r="D24" s="7" t="s">
        <v>143</v>
      </c>
      <c r="E24" s="8" t="s">
        <v>144</v>
      </c>
      <c r="F24" s="9" t="s">
        <v>145</v>
      </c>
      <c r="G24" s="10" t="s">
        <v>146</v>
      </c>
      <c r="H24" s="11" t="s">
        <v>147</v>
      </c>
      <c r="I24" s="5" t="s">
        <v>13</v>
      </c>
      <c r="J24" s="10" t="s">
        <v>148</v>
      </c>
      <c r="K24" s="5"/>
      <c r="L24" s="5"/>
      <c r="M24" s="5"/>
    </row>
    <row r="25" ht="15.75" customHeight="1">
      <c r="A25" s="5">
        <v>2026.0</v>
      </c>
      <c r="B25" s="6" t="s">
        <v>149</v>
      </c>
      <c r="C25" s="6" t="s">
        <v>13</v>
      </c>
      <c r="D25" s="7" t="s">
        <v>150</v>
      </c>
      <c r="E25" s="8" t="s">
        <v>151</v>
      </c>
      <c r="F25" s="9" t="s">
        <v>152</v>
      </c>
      <c r="G25" s="10" t="s">
        <v>153</v>
      </c>
      <c r="H25" s="11" t="s">
        <v>154</v>
      </c>
      <c r="I25" s="5" t="s">
        <v>47</v>
      </c>
      <c r="J25" s="10" t="s">
        <v>155</v>
      </c>
      <c r="K25" s="5"/>
      <c r="L25" s="5"/>
      <c r="M25" s="5"/>
    </row>
    <row r="26" ht="15.75" customHeight="1">
      <c r="A26" s="5">
        <v>2026.0</v>
      </c>
      <c r="B26" s="6" t="s">
        <v>12</v>
      </c>
      <c r="C26" s="6"/>
      <c r="D26" s="7" t="s">
        <v>156</v>
      </c>
      <c r="E26" s="8" t="s">
        <v>157</v>
      </c>
      <c r="F26" s="9" t="s">
        <v>158</v>
      </c>
      <c r="G26" s="10" t="s">
        <v>159</v>
      </c>
      <c r="H26" s="11" t="s">
        <v>160</v>
      </c>
      <c r="I26" s="5"/>
      <c r="J26" s="10" t="s">
        <v>161</v>
      </c>
      <c r="K26" s="5"/>
      <c r="L26" s="5"/>
      <c r="M26" s="5"/>
    </row>
    <row r="27" ht="15.75" customHeight="1">
      <c r="A27" s="5">
        <v>2026.0</v>
      </c>
      <c r="B27" s="6" t="s">
        <v>124</v>
      </c>
      <c r="C27" s="6" t="s">
        <v>13</v>
      </c>
      <c r="D27" s="7" t="s">
        <v>162</v>
      </c>
      <c r="E27" s="8" t="s">
        <v>163</v>
      </c>
      <c r="F27" s="9" t="s">
        <v>164</v>
      </c>
      <c r="G27" s="10" t="s">
        <v>165</v>
      </c>
      <c r="H27" s="11" t="s">
        <v>166</v>
      </c>
      <c r="I27" s="5" t="s">
        <v>13</v>
      </c>
      <c r="J27" s="10" t="s">
        <v>167</v>
      </c>
      <c r="K27" s="5"/>
      <c r="L27" s="5"/>
      <c r="M27" s="5"/>
    </row>
    <row r="28" ht="15.75" customHeight="1">
      <c r="A28" s="5">
        <v>2026.0</v>
      </c>
      <c r="B28" s="6" t="s">
        <v>12</v>
      </c>
      <c r="C28" s="6"/>
      <c r="D28" s="7" t="s">
        <v>168</v>
      </c>
      <c r="E28" s="8" t="s">
        <v>169</v>
      </c>
      <c r="F28" s="9" t="s">
        <v>170</v>
      </c>
      <c r="G28" s="10" t="s">
        <v>171</v>
      </c>
      <c r="H28" s="11" t="s">
        <v>172</v>
      </c>
      <c r="I28" s="5"/>
      <c r="J28" s="10" t="s">
        <v>173</v>
      </c>
      <c r="K28" s="5"/>
      <c r="L28" s="5"/>
      <c r="M28" s="5"/>
    </row>
    <row r="29" ht="15.75" customHeight="1">
      <c r="A29" s="5">
        <v>2026.0</v>
      </c>
      <c r="B29" s="6" t="s">
        <v>12</v>
      </c>
      <c r="C29" s="6" t="s">
        <v>13</v>
      </c>
      <c r="D29" s="7" t="s">
        <v>174</v>
      </c>
      <c r="E29" s="8" t="s">
        <v>175</v>
      </c>
      <c r="F29" s="9" t="s">
        <v>176</v>
      </c>
      <c r="G29" s="10" t="s">
        <v>13</v>
      </c>
      <c r="H29" s="11" t="s">
        <v>177</v>
      </c>
      <c r="I29" s="5" t="s">
        <v>13</v>
      </c>
      <c r="J29" s="10" t="s">
        <v>178</v>
      </c>
      <c r="K29" s="5"/>
      <c r="L29" s="5"/>
      <c r="M29" s="5"/>
    </row>
    <row r="30" ht="15.75" customHeight="1">
      <c r="A30" s="5">
        <v>2026.0</v>
      </c>
      <c r="B30" s="6" t="s">
        <v>12</v>
      </c>
      <c r="C30" s="6" t="s">
        <v>13</v>
      </c>
      <c r="D30" s="7" t="s">
        <v>179</v>
      </c>
      <c r="E30" s="8" t="s">
        <v>180</v>
      </c>
      <c r="F30" s="9" t="s">
        <v>181</v>
      </c>
      <c r="G30" s="10" t="s">
        <v>182</v>
      </c>
      <c r="H30" s="11" t="s">
        <v>183</v>
      </c>
      <c r="I30" s="5" t="s">
        <v>47</v>
      </c>
      <c r="J30" s="10" t="s">
        <v>184</v>
      </c>
      <c r="K30" s="5"/>
      <c r="L30" s="5"/>
      <c r="M30" s="5"/>
    </row>
    <row r="31" ht="15.75" customHeight="1">
      <c r="A31" s="5">
        <v>2026.0</v>
      </c>
      <c r="B31" s="6" t="s">
        <v>12</v>
      </c>
      <c r="C31" s="6" t="s">
        <v>13</v>
      </c>
      <c r="D31" s="7" t="s">
        <v>185</v>
      </c>
      <c r="E31" s="8" t="s">
        <v>186</v>
      </c>
      <c r="F31" s="9" t="s">
        <v>187</v>
      </c>
      <c r="G31" s="10" t="s">
        <v>188</v>
      </c>
      <c r="H31" s="11" t="s">
        <v>189</v>
      </c>
      <c r="I31" s="5" t="s">
        <v>47</v>
      </c>
      <c r="J31" s="10" t="s">
        <v>190</v>
      </c>
      <c r="K31" s="5"/>
      <c r="L31" s="5"/>
      <c r="M31" s="5"/>
    </row>
    <row r="32" ht="15.75" customHeight="1">
      <c r="A32" s="5">
        <v>2026.0</v>
      </c>
      <c r="B32" s="6" t="s">
        <v>12</v>
      </c>
      <c r="C32" s="6" t="s">
        <v>13</v>
      </c>
      <c r="D32" s="7" t="s">
        <v>191</v>
      </c>
      <c r="E32" s="8" t="s">
        <v>192</v>
      </c>
      <c r="F32" s="9" t="s">
        <v>193</v>
      </c>
      <c r="G32" s="10" t="s">
        <v>194</v>
      </c>
      <c r="H32" s="11" t="s">
        <v>195</v>
      </c>
      <c r="I32" s="5" t="s">
        <v>13</v>
      </c>
      <c r="J32" s="10" t="s">
        <v>196</v>
      </c>
      <c r="K32" s="5"/>
      <c r="L32" s="5"/>
      <c r="M32" s="5"/>
    </row>
    <row r="33" ht="15.75" customHeight="1">
      <c r="A33" s="5">
        <v>2026.0</v>
      </c>
      <c r="B33" s="6" t="s">
        <v>197</v>
      </c>
      <c r="C33" s="6" t="s">
        <v>13</v>
      </c>
      <c r="D33" s="7" t="s">
        <v>198</v>
      </c>
      <c r="E33" s="8" t="s">
        <v>199</v>
      </c>
      <c r="F33" s="9" t="s">
        <v>200</v>
      </c>
      <c r="G33" s="10" t="s">
        <v>201</v>
      </c>
      <c r="H33" s="11" t="s">
        <v>202</v>
      </c>
      <c r="I33" s="5" t="s">
        <v>47</v>
      </c>
      <c r="J33" s="10" t="s">
        <v>203</v>
      </c>
      <c r="K33" s="5"/>
      <c r="L33" s="5"/>
      <c r="M33" s="5"/>
    </row>
    <row r="34" ht="15.75" customHeight="1">
      <c r="A34" s="5">
        <v>2026.0</v>
      </c>
      <c r="B34" s="6" t="s">
        <v>12</v>
      </c>
      <c r="C34" s="6" t="s">
        <v>204</v>
      </c>
      <c r="D34" s="7" t="s">
        <v>205</v>
      </c>
      <c r="E34" s="8" t="s">
        <v>206</v>
      </c>
      <c r="F34" s="9" t="s">
        <v>207</v>
      </c>
      <c r="G34" s="10" t="s">
        <v>17</v>
      </c>
      <c r="H34" s="11" t="s">
        <v>208</v>
      </c>
      <c r="I34" s="5" t="s">
        <v>13</v>
      </c>
      <c r="J34" s="10" t="s">
        <v>209</v>
      </c>
      <c r="K34" s="5"/>
      <c r="L34" s="5"/>
      <c r="M34" s="5"/>
    </row>
    <row r="35" ht="15.75" customHeight="1">
      <c r="A35" s="5">
        <v>2026.0</v>
      </c>
      <c r="B35" s="6" t="s">
        <v>12</v>
      </c>
      <c r="C35" s="6"/>
      <c r="D35" s="7" t="s">
        <v>210</v>
      </c>
      <c r="E35" s="8" t="s">
        <v>211</v>
      </c>
      <c r="F35" s="9" t="s">
        <v>212</v>
      </c>
      <c r="G35" s="10" t="s">
        <v>213</v>
      </c>
      <c r="H35" s="11" t="s">
        <v>214</v>
      </c>
      <c r="I35" s="5"/>
      <c r="J35" s="12" t="s">
        <v>215</v>
      </c>
      <c r="K35" s="13" t="s">
        <v>216</v>
      </c>
      <c r="L35" s="5"/>
      <c r="M35" s="5"/>
    </row>
    <row r="36" ht="15.75" customHeight="1">
      <c r="A36" s="5">
        <v>2026.0</v>
      </c>
      <c r="B36" s="6" t="s">
        <v>12</v>
      </c>
      <c r="C36" s="6" t="s">
        <v>204</v>
      </c>
      <c r="D36" s="7" t="s">
        <v>217</v>
      </c>
      <c r="E36" s="8" t="s">
        <v>218</v>
      </c>
      <c r="F36" s="9" t="s">
        <v>219</v>
      </c>
      <c r="G36" s="10" t="s">
        <v>220</v>
      </c>
      <c r="H36" s="11" t="s">
        <v>221</v>
      </c>
      <c r="I36" s="5" t="s">
        <v>47</v>
      </c>
      <c r="J36" s="12" t="s">
        <v>222</v>
      </c>
      <c r="K36" s="5"/>
      <c r="L36" s="5"/>
      <c r="M36" s="5"/>
    </row>
    <row r="37" ht="15.75" customHeight="1">
      <c r="A37" s="5">
        <v>2026.0</v>
      </c>
      <c r="B37" s="6" t="s">
        <v>12</v>
      </c>
      <c r="C37" s="6" t="s">
        <v>13</v>
      </c>
      <c r="D37" s="7" t="s">
        <v>223</v>
      </c>
      <c r="E37" s="8" t="s">
        <v>224</v>
      </c>
      <c r="F37" s="9" t="s">
        <v>225</v>
      </c>
      <c r="G37" s="10" t="s">
        <v>226</v>
      </c>
      <c r="H37" s="11" t="s">
        <v>227</v>
      </c>
      <c r="I37" s="5" t="s">
        <v>13</v>
      </c>
      <c r="J37" s="12" t="s">
        <v>228</v>
      </c>
      <c r="K37" s="5"/>
      <c r="L37" s="5"/>
      <c r="M37" s="5"/>
    </row>
    <row r="38" ht="15.75" customHeight="1">
      <c r="A38" s="5">
        <v>2026.0</v>
      </c>
      <c r="B38" s="6" t="s">
        <v>12</v>
      </c>
      <c r="C38" s="6" t="s">
        <v>204</v>
      </c>
      <c r="D38" s="7" t="s">
        <v>229</v>
      </c>
      <c r="E38" s="8" t="s">
        <v>230</v>
      </c>
      <c r="F38" s="9" t="s">
        <v>231</v>
      </c>
      <c r="G38" s="10" t="s">
        <v>232</v>
      </c>
      <c r="H38" s="11" t="s">
        <v>233</v>
      </c>
      <c r="I38" s="5" t="s">
        <v>13</v>
      </c>
      <c r="J38" s="12" t="s">
        <v>234</v>
      </c>
      <c r="K38" s="5"/>
      <c r="L38" s="5"/>
      <c r="M38" s="5"/>
    </row>
    <row r="39" ht="15.75" customHeight="1">
      <c r="A39" s="5">
        <v>2026.0</v>
      </c>
      <c r="B39" s="6" t="s">
        <v>12</v>
      </c>
      <c r="C39" s="6" t="s">
        <v>13</v>
      </c>
      <c r="D39" s="7" t="s">
        <v>235</v>
      </c>
      <c r="E39" s="8" t="s">
        <v>236</v>
      </c>
      <c r="F39" s="9" t="s">
        <v>237</v>
      </c>
      <c r="G39" s="10" t="s">
        <v>238</v>
      </c>
      <c r="H39" s="11" t="s">
        <v>239</v>
      </c>
      <c r="I39" s="5" t="s">
        <v>13</v>
      </c>
      <c r="J39" s="12" t="s">
        <v>240</v>
      </c>
      <c r="K39" s="5"/>
      <c r="L39" s="5"/>
      <c r="M39" s="5"/>
    </row>
    <row r="40" ht="15.75" customHeight="1">
      <c r="A40" s="5">
        <v>2026.0</v>
      </c>
      <c r="B40" s="6" t="s">
        <v>62</v>
      </c>
      <c r="C40" s="6" t="s">
        <v>13</v>
      </c>
      <c r="D40" s="7" t="s">
        <v>241</v>
      </c>
      <c r="E40" s="8" t="s">
        <v>242</v>
      </c>
      <c r="F40" s="9" t="s">
        <v>243</v>
      </c>
      <c r="G40" s="10" t="s">
        <v>244</v>
      </c>
      <c r="H40" s="11" t="s">
        <v>245</v>
      </c>
      <c r="I40" s="5" t="s">
        <v>13</v>
      </c>
      <c r="J40" s="12" t="s">
        <v>246</v>
      </c>
      <c r="K40" s="5"/>
      <c r="L40" s="5"/>
      <c r="M40" s="5"/>
    </row>
    <row r="41" ht="15.75" customHeight="1">
      <c r="A41" s="5">
        <v>2026.0</v>
      </c>
      <c r="B41" s="6" t="s">
        <v>142</v>
      </c>
      <c r="C41" s="6" t="s">
        <v>13</v>
      </c>
      <c r="D41" s="7" t="s">
        <v>247</v>
      </c>
      <c r="E41" s="8" t="s">
        <v>248</v>
      </c>
      <c r="F41" s="9" t="s">
        <v>249</v>
      </c>
      <c r="G41" s="10" t="s">
        <v>250</v>
      </c>
      <c r="H41" s="11" t="s">
        <v>251</v>
      </c>
      <c r="I41" s="5" t="s">
        <v>47</v>
      </c>
      <c r="J41" s="12" t="s">
        <v>252</v>
      </c>
      <c r="K41" s="5"/>
      <c r="L41" s="5"/>
      <c r="M41" s="5"/>
    </row>
    <row r="42" ht="15.75" customHeight="1">
      <c r="A42" s="5">
        <v>2026.0</v>
      </c>
      <c r="B42" s="6" t="s">
        <v>12</v>
      </c>
      <c r="C42" s="6"/>
      <c r="D42" s="7" t="s">
        <v>253</v>
      </c>
      <c r="E42" s="8" t="s">
        <v>254</v>
      </c>
      <c r="F42" s="9" t="s">
        <v>255</v>
      </c>
      <c r="G42" s="10" t="s">
        <v>256</v>
      </c>
      <c r="H42" s="11" t="s">
        <v>257</v>
      </c>
      <c r="I42" s="5"/>
      <c r="J42" s="12" t="s">
        <v>258</v>
      </c>
      <c r="K42" s="5"/>
      <c r="L42" s="5"/>
      <c r="M42" s="5"/>
    </row>
    <row r="43" ht="15.75" customHeight="1">
      <c r="A43" s="5">
        <v>2026.0</v>
      </c>
      <c r="B43" s="6" t="s">
        <v>259</v>
      </c>
      <c r="C43" s="6" t="s">
        <v>13</v>
      </c>
      <c r="D43" s="7" t="s">
        <v>260</v>
      </c>
      <c r="E43" s="8" t="s">
        <v>261</v>
      </c>
      <c r="F43" s="9" t="s">
        <v>262</v>
      </c>
      <c r="G43" s="10" t="s">
        <v>263</v>
      </c>
      <c r="H43" s="11" t="s">
        <v>264</v>
      </c>
      <c r="I43" s="5" t="s">
        <v>13</v>
      </c>
      <c r="J43" s="12" t="s">
        <v>13</v>
      </c>
      <c r="K43" s="5"/>
      <c r="L43" s="5"/>
      <c r="M43" s="5"/>
    </row>
    <row r="44" ht="15.75" customHeight="1">
      <c r="A44" s="5">
        <v>2026.0</v>
      </c>
      <c r="B44" s="6" t="s">
        <v>12</v>
      </c>
      <c r="C44" s="6" t="s">
        <v>204</v>
      </c>
      <c r="D44" s="7" t="s">
        <v>265</v>
      </c>
      <c r="E44" s="8" t="s">
        <v>266</v>
      </c>
      <c r="F44" s="9" t="s">
        <v>267</v>
      </c>
      <c r="G44" s="10" t="s">
        <v>268</v>
      </c>
      <c r="H44" s="11" t="s">
        <v>269</v>
      </c>
      <c r="I44" s="5" t="s">
        <v>47</v>
      </c>
      <c r="J44" s="12" t="s">
        <v>270</v>
      </c>
      <c r="K44" s="5"/>
      <c r="L44" s="5"/>
      <c r="M44" s="5"/>
    </row>
    <row r="45" ht="15.75" customHeight="1">
      <c r="A45" s="5">
        <v>2024.0</v>
      </c>
      <c r="B45" s="6" t="s">
        <v>12</v>
      </c>
      <c r="C45" s="6" t="s">
        <v>204</v>
      </c>
      <c r="D45" s="7" t="s">
        <v>271</v>
      </c>
      <c r="E45" s="8" t="s">
        <v>272</v>
      </c>
      <c r="F45" s="9" t="s">
        <v>273</v>
      </c>
      <c r="G45" s="10" t="s">
        <v>274</v>
      </c>
      <c r="H45" s="11" t="s">
        <v>275</v>
      </c>
      <c r="I45" s="5" t="s">
        <v>13</v>
      </c>
      <c r="J45" s="12" t="s">
        <v>276</v>
      </c>
      <c r="K45" s="5"/>
      <c r="L45" s="5"/>
      <c r="M45" s="5"/>
    </row>
    <row r="46" ht="15.75" customHeight="1">
      <c r="A46" s="5">
        <v>2026.0</v>
      </c>
      <c r="B46" s="6" t="s">
        <v>142</v>
      </c>
      <c r="C46" s="6" t="s">
        <v>13</v>
      </c>
      <c r="D46" s="7" t="s">
        <v>277</v>
      </c>
      <c r="E46" s="8" t="s">
        <v>278</v>
      </c>
      <c r="F46" s="9" t="s">
        <v>279</v>
      </c>
      <c r="G46" s="10" t="s">
        <v>280</v>
      </c>
      <c r="H46" s="11" t="s">
        <v>281</v>
      </c>
      <c r="I46" s="5" t="s">
        <v>47</v>
      </c>
      <c r="J46" s="12" t="s">
        <v>13</v>
      </c>
      <c r="K46" s="5"/>
      <c r="L46" s="5"/>
      <c r="M46" s="5"/>
    </row>
    <row r="47" ht="15.75" customHeight="1">
      <c r="A47" s="5">
        <v>2026.0</v>
      </c>
      <c r="B47" s="6" t="s">
        <v>62</v>
      </c>
      <c r="C47" s="6" t="s">
        <v>13</v>
      </c>
      <c r="D47" s="7" t="s">
        <v>282</v>
      </c>
      <c r="E47" s="8" t="s">
        <v>283</v>
      </c>
      <c r="F47" s="9" t="s">
        <v>284</v>
      </c>
      <c r="G47" s="10" t="s">
        <v>285</v>
      </c>
      <c r="H47" s="11" t="s">
        <v>286</v>
      </c>
      <c r="I47" s="5" t="s">
        <v>13</v>
      </c>
      <c r="J47" s="12" t="s">
        <v>287</v>
      </c>
      <c r="K47" s="5"/>
      <c r="L47" s="5"/>
      <c r="M47" s="5"/>
    </row>
    <row r="48" ht="15.75" customHeight="1">
      <c r="A48" s="5">
        <v>2026.0</v>
      </c>
      <c r="B48" s="6" t="s">
        <v>62</v>
      </c>
      <c r="C48" s="6" t="s">
        <v>13</v>
      </c>
      <c r="D48" s="7" t="s">
        <v>288</v>
      </c>
      <c r="E48" s="8" t="s">
        <v>289</v>
      </c>
      <c r="F48" s="9" t="s">
        <v>290</v>
      </c>
      <c r="G48" s="10" t="s">
        <v>291</v>
      </c>
      <c r="H48" s="11" t="s">
        <v>292</v>
      </c>
      <c r="I48" s="5" t="s">
        <v>47</v>
      </c>
      <c r="J48" s="12" t="s">
        <v>13</v>
      </c>
      <c r="K48" s="5"/>
      <c r="L48" s="5"/>
      <c r="M48" s="5"/>
    </row>
    <row r="49" ht="15.75" customHeight="1">
      <c r="A49" s="5">
        <v>2026.0</v>
      </c>
      <c r="B49" s="6" t="s">
        <v>13</v>
      </c>
      <c r="C49" s="6" t="s">
        <v>13</v>
      </c>
      <c r="D49" s="7" t="s">
        <v>293</v>
      </c>
      <c r="E49" s="8" t="s">
        <v>294</v>
      </c>
      <c r="F49" s="9" t="s">
        <v>295</v>
      </c>
      <c r="G49" s="10" t="s">
        <v>13</v>
      </c>
      <c r="H49" s="11" t="s">
        <v>296</v>
      </c>
      <c r="I49" s="5" t="s">
        <v>13</v>
      </c>
      <c r="J49" s="12" t="s">
        <v>13</v>
      </c>
      <c r="K49" s="5"/>
      <c r="L49" s="5"/>
      <c r="M49" s="5"/>
    </row>
    <row r="50" ht="15.75" customHeight="1">
      <c r="A50" s="5">
        <v>2026.0</v>
      </c>
      <c r="B50" s="6" t="s">
        <v>297</v>
      </c>
      <c r="C50" s="6"/>
      <c r="D50" s="7" t="s">
        <v>298</v>
      </c>
      <c r="E50" s="8" t="s">
        <v>82</v>
      </c>
      <c r="F50" s="9" t="s">
        <v>83</v>
      </c>
      <c r="G50" s="10"/>
      <c r="H50" s="11" t="s">
        <v>84</v>
      </c>
      <c r="I50" s="5"/>
      <c r="J50" s="12" t="s">
        <v>299</v>
      </c>
      <c r="K50" s="5"/>
      <c r="L50" s="5"/>
      <c r="M50" s="5"/>
    </row>
    <row r="51" ht="15.75" customHeight="1">
      <c r="A51" s="5">
        <v>2026.0</v>
      </c>
      <c r="B51" s="14" t="s">
        <v>62</v>
      </c>
      <c r="C51" s="6" t="s">
        <v>13</v>
      </c>
      <c r="D51" s="7" t="s">
        <v>300</v>
      </c>
      <c r="E51" s="8" t="s">
        <v>301</v>
      </c>
      <c r="F51" s="9" t="s">
        <v>302</v>
      </c>
      <c r="G51" s="10" t="s">
        <v>303</v>
      </c>
      <c r="H51" s="11" t="s">
        <v>304</v>
      </c>
      <c r="I51" s="5" t="s">
        <v>13</v>
      </c>
      <c r="J51" s="12" t="s">
        <v>305</v>
      </c>
      <c r="K51" s="5"/>
      <c r="L51" s="5"/>
      <c r="M51" s="5"/>
    </row>
    <row r="52" ht="15.75" customHeight="1">
      <c r="A52" s="5">
        <v>2026.0</v>
      </c>
      <c r="B52" s="14" t="s">
        <v>62</v>
      </c>
      <c r="C52" s="6" t="s">
        <v>13</v>
      </c>
      <c r="D52" s="7" t="s">
        <v>306</v>
      </c>
      <c r="E52" s="8" t="s">
        <v>307</v>
      </c>
      <c r="F52" s="9" t="s">
        <v>308</v>
      </c>
      <c r="G52" s="10" t="s">
        <v>310</v>
      </c>
      <c r="H52" s="11" t="s">
        <v>311</v>
      </c>
      <c r="I52" s="5" t="s">
        <v>13</v>
      </c>
      <c r="J52" s="12" t="s">
        <v>13</v>
      </c>
      <c r="K52" s="5"/>
      <c r="L52" s="5"/>
      <c r="M52" s="5"/>
    </row>
    <row r="53" ht="15.75" customHeight="1">
      <c r="A53" s="5">
        <v>2025.0</v>
      </c>
      <c r="B53" s="6" t="s">
        <v>12</v>
      </c>
      <c r="C53" s="6"/>
      <c r="D53" s="7" t="s">
        <v>312</v>
      </c>
      <c r="E53" s="8" t="s">
        <v>313</v>
      </c>
      <c r="F53" s="9" t="s">
        <v>314</v>
      </c>
      <c r="G53" s="10" t="s">
        <v>316</v>
      </c>
      <c r="H53" s="11" t="s">
        <v>317</v>
      </c>
      <c r="I53" s="5"/>
      <c r="J53" s="12" t="s">
        <v>318</v>
      </c>
      <c r="K53" s="5"/>
      <c r="L53" s="5"/>
      <c r="M53" s="5"/>
    </row>
    <row r="54" ht="15.75" customHeight="1">
      <c r="A54" s="5">
        <v>2026.0</v>
      </c>
      <c r="B54" s="6" t="s">
        <v>12</v>
      </c>
      <c r="C54" s="6"/>
      <c r="D54" s="7" t="s">
        <v>319</v>
      </c>
      <c r="E54" s="8" t="s">
        <v>320</v>
      </c>
      <c r="F54" s="9" t="s">
        <v>321</v>
      </c>
      <c r="G54" s="10" t="s">
        <v>322</v>
      </c>
      <c r="H54" s="11" t="s">
        <v>323</v>
      </c>
      <c r="I54" s="5"/>
      <c r="J54" s="12"/>
      <c r="K54" s="5"/>
      <c r="L54" s="5"/>
      <c r="M54" s="5"/>
    </row>
    <row r="55" ht="15.75" customHeight="1">
      <c r="A55" s="5">
        <v>2026.0</v>
      </c>
      <c r="B55" s="6" t="s">
        <v>12</v>
      </c>
      <c r="C55" s="6" t="s">
        <v>13</v>
      </c>
      <c r="D55" s="7" t="s">
        <v>324</v>
      </c>
      <c r="E55" s="8" t="s">
        <v>325</v>
      </c>
      <c r="F55" s="9" t="s">
        <v>326</v>
      </c>
      <c r="G55" s="10" t="s">
        <v>327</v>
      </c>
      <c r="H55" s="11" t="s">
        <v>328</v>
      </c>
      <c r="I55" s="5" t="s">
        <v>47</v>
      </c>
      <c r="J55" s="12" t="s">
        <v>329</v>
      </c>
      <c r="K55" s="5"/>
      <c r="L55" s="5"/>
      <c r="M55" s="5"/>
    </row>
    <row r="56" ht="15.75" customHeight="1">
      <c r="A56" s="5">
        <v>2026.0</v>
      </c>
      <c r="B56" s="6" t="s">
        <v>12</v>
      </c>
      <c r="C56" s="6" t="s">
        <v>13</v>
      </c>
      <c r="D56" s="7" t="s">
        <v>330</v>
      </c>
      <c r="E56" s="8" t="s">
        <v>331</v>
      </c>
      <c r="F56" s="9" t="s">
        <v>332</v>
      </c>
      <c r="G56" s="10" t="s">
        <v>333</v>
      </c>
      <c r="H56" s="11" t="s">
        <v>334</v>
      </c>
      <c r="I56" s="5" t="s">
        <v>13</v>
      </c>
      <c r="J56" s="12" t="s">
        <v>335</v>
      </c>
      <c r="K56" s="5"/>
      <c r="L56" s="5"/>
      <c r="M56" s="5"/>
    </row>
    <row r="57" ht="15.75" customHeight="1">
      <c r="A57" s="5">
        <v>2026.0</v>
      </c>
      <c r="B57" s="14" t="s">
        <v>62</v>
      </c>
      <c r="C57" s="6"/>
      <c r="D57" s="7" t="s">
        <v>336</v>
      </c>
      <c r="E57" s="8" t="s">
        <v>337</v>
      </c>
      <c r="F57" s="9" t="s">
        <v>338</v>
      </c>
      <c r="G57" s="10" t="s">
        <v>339</v>
      </c>
      <c r="H57" s="11" t="s">
        <v>340</v>
      </c>
      <c r="I57" s="5"/>
      <c r="J57" s="12"/>
      <c r="K57" s="5"/>
      <c r="L57" s="5"/>
      <c r="M57" s="5"/>
    </row>
    <row r="58" ht="15.75" customHeight="1">
      <c r="A58" s="5">
        <v>2026.0</v>
      </c>
      <c r="B58" s="14" t="s">
        <v>62</v>
      </c>
      <c r="C58" s="6" t="s">
        <v>13</v>
      </c>
      <c r="D58" s="7" t="s">
        <v>341</v>
      </c>
      <c r="E58" s="8" t="s">
        <v>342</v>
      </c>
      <c r="F58" s="9" t="s">
        <v>343</v>
      </c>
      <c r="G58" s="10" t="s">
        <v>344</v>
      </c>
      <c r="H58" s="11" t="s">
        <v>345</v>
      </c>
      <c r="I58" s="5" t="s">
        <v>13</v>
      </c>
      <c r="J58" s="12" t="s">
        <v>13</v>
      </c>
      <c r="K58" s="5"/>
      <c r="L58" s="5"/>
      <c r="M58" s="5"/>
    </row>
    <row r="59" ht="15.75" customHeight="1">
      <c r="A59" s="5">
        <v>2026.0</v>
      </c>
      <c r="B59" s="14" t="s">
        <v>62</v>
      </c>
      <c r="C59" s="6" t="s">
        <v>13</v>
      </c>
      <c r="D59" s="7" t="s">
        <v>346</v>
      </c>
      <c r="E59" s="8" t="s">
        <v>347</v>
      </c>
      <c r="F59" s="9" t="s">
        <v>348</v>
      </c>
      <c r="G59" s="10" t="s">
        <v>349</v>
      </c>
      <c r="H59" s="11" t="s">
        <v>350</v>
      </c>
      <c r="I59" s="5" t="s">
        <v>13</v>
      </c>
      <c r="J59" s="12" t="s">
        <v>13</v>
      </c>
      <c r="K59" s="5"/>
      <c r="L59" s="5"/>
      <c r="M59" s="5"/>
    </row>
    <row r="60" ht="15.75" customHeight="1">
      <c r="A60" s="5">
        <v>2026.0</v>
      </c>
      <c r="B60" s="14" t="s">
        <v>62</v>
      </c>
      <c r="C60" s="6"/>
      <c r="D60" s="7" t="s">
        <v>351</v>
      </c>
      <c r="E60" s="8" t="s">
        <v>352</v>
      </c>
      <c r="F60" s="9" t="s">
        <v>353</v>
      </c>
      <c r="G60" s="10"/>
      <c r="H60" s="11" t="s">
        <v>354</v>
      </c>
      <c r="I60" s="5"/>
      <c r="J60" s="12"/>
      <c r="K60" s="5"/>
      <c r="L60" s="5"/>
      <c r="M60" s="5"/>
    </row>
    <row r="61" ht="15.75" customHeight="1">
      <c r="A61" s="5">
        <v>2026.0</v>
      </c>
      <c r="B61" s="6" t="s">
        <v>12</v>
      </c>
      <c r="C61" s="6" t="s">
        <v>204</v>
      </c>
      <c r="D61" s="7" t="s">
        <v>355</v>
      </c>
      <c r="E61" s="8" t="s">
        <v>356</v>
      </c>
      <c r="F61" s="9" t="s">
        <v>357</v>
      </c>
      <c r="G61" s="10" t="s">
        <v>358</v>
      </c>
      <c r="H61" s="11" t="s">
        <v>359</v>
      </c>
      <c r="I61" s="5" t="s">
        <v>47</v>
      </c>
      <c r="J61" s="12" t="s">
        <v>360</v>
      </c>
      <c r="K61" s="5"/>
      <c r="L61" s="5"/>
      <c r="M61" s="5"/>
    </row>
    <row r="62" ht="15.75" customHeight="1">
      <c r="A62" s="5">
        <v>2026.0</v>
      </c>
      <c r="B62" s="14" t="s">
        <v>62</v>
      </c>
      <c r="C62" s="6" t="s">
        <v>13</v>
      </c>
      <c r="D62" s="7" t="s">
        <v>361</v>
      </c>
      <c r="E62" s="8" t="s">
        <v>362</v>
      </c>
      <c r="F62" s="9" t="s">
        <v>363</v>
      </c>
      <c r="G62" s="10" t="s">
        <v>364</v>
      </c>
      <c r="H62" s="11" t="s">
        <v>365</v>
      </c>
      <c r="I62" s="5" t="s">
        <v>366</v>
      </c>
      <c r="J62" s="12" t="s">
        <v>367</v>
      </c>
      <c r="K62" s="5"/>
      <c r="L62" s="5"/>
      <c r="M62" s="5"/>
    </row>
    <row r="63" ht="15.75" customHeight="1">
      <c r="A63" s="5">
        <v>2026.0</v>
      </c>
      <c r="B63" s="14" t="s">
        <v>62</v>
      </c>
      <c r="C63" s="6" t="s">
        <v>13</v>
      </c>
      <c r="D63" s="7" t="s">
        <v>368</v>
      </c>
      <c r="E63" s="8" t="s">
        <v>369</v>
      </c>
      <c r="F63" s="9" t="s">
        <v>370</v>
      </c>
      <c r="G63" s="10" t="s">
        <v>182</v>
      </c>
      <c r="H63" s="11" t="s">
        <v>371</v>
      </c>
      <c r="I63" s="5" t="s">
        <v>47</v>
      </c>
      <c r="J63" s="12" t="s">
        <v>372</v>
      </c>
      <c r="K63" s="5"/>
      <c r="L63" s="5"/>
      <c r="M63" s="5"/>
    </row>
    <row r="64" ht="15.75" customHeight="1">
      <c r="A64" s="5">
        <v>2026.0</v>
      </c>
      <c r="B64" s="6" t="s">
        <v>13</v>
      </c>
      <c r="C64" s="6" t="s">
        <v>13</v>
      </c>
      <c r="D64" s="7" t="s">
        <v>373</v>
      </c>
      <c r="E64" s="8" t="s">
        <v>374</v>
      </c>
      <c r="F64" s="9" t="s">
        <v>375</v>
      </c>
      <c r="G64" s="10" t="s">
        <v>280</v>
      </c>
      <c r="H64" s="11" t="s">
        <v>376</v>
      </c>
      <c r="I64" s="5" t="s">
        <v>47</v>
      </c>
      <c r="J64" s="12" t="s">
        <v>13</v>
      </c>
      <c r="K64" s="5"/>
      <c r="L64" s="5"/>
      <c r="M64" s="5"/>
    </row>
    <row r="65" ht="15.75" customHeight="1">
      <c r="A65" s="5">
        <v>2026.0</v>
      </c>
      <c r="B65" s="6" t="s">
        <v>12</v>
      </c>
      <c r="C65" s="6" t="s">
        <v>13</v>
      </c>
      <c r="D65" s="7" t="s">
        <v>377</v>
      </c>
      <c r="E65" s="8" t="s">
        <v>378</v>
      </c>
      <c r="F65" s="9" t="s">
        <v>379</v>
      </c>
      <c r="G65" s="10" t="s">
        <v>280</v>
      </c>
      <c r="H65" s="11" t="s">
        <v>380</v>
      </c>
      <c r="I65" s="5" t="s">
        <v>47</v>
      </c>
      <c r="J65" s="12" t="s">
        <v>13</v>
      </c>
      <c r="K65" s="5"/>
      <c r="L65" s="5"/>
      <c r="M65" s="5"/>
    </row>
    <row r="66" ht="15.75" customHeight="1">
      <c r="A66" s="5">
        <v>2026.0</v>
      </c>
      <c r="B66" s="6" t="s">
        <v>12</v>
      </c>
      <c r="C66" s="6" t="s">
        <v>13</v>
      </c>
      <c r="D66" s="7" t="s">
        <v>381</v>
      </c>
      <c r="E66" s="8" t="s">
        <v>382</v>
      </c>
      <c r="F66" s="9" t="s">
        <v>383</v>
      </c>
      <c r="G66" s="10" t="s">
        <v>384</v>
      </c>
      <c r="H66" s="11" t="s">
        <v>385</v>
      </c>
      <c r="I66" s="5" t="s">
        <v>47</v>
      </c>
      <c r="J66" s="12" t="s">
        <v>13</v>
      </c>
      <c r="K66" s="5"/>
      <c r="L66" s="5"/>
      <c r="M66" s="5"/>
    </row>
    <row r="67" ht="15.75" customHeight="1">
      <c r="A67" s="5">
        <v>2026.0</v>
      </c>
      <c r="B67" s="6" t="s">
        <v>12</v>
      </c>
      <c r="C67" s="6" t="s">
        <v>13</v>
      </c>
      <c r="D67" s="7" t="s">
        <v>386</v>
      </c>
      <c r="E67" s="8" t="s">
        <v>387</v>
      </c>
      <c r="F67" s="9" t="s">
        <v>388</v>
      </c>
      <c r="G67" s="10" t="s">
        <v>13</v>
      </c>
      <c r="H67" s="11" t="s">
        <v>389</v>
      </c>
      <c r="I67" s="5" t="s">
        <v>13</v>
      </c>
      <c r="J67" s="12" t="s">
        <v>13</v>
      </c>
      <c r="K67" s="5"/>
      <c r="L67" s="5"/>
      <c r="M67" s="5"/>
    </row>
    <row r="68" ht="15.75" customHeight="1">
      <c r="A68" s="5">
        <v>2026.0</v>
      </c>
      <c r="B68" s="6" t="s">
        <v>12</v>
      </c>
      <c r="C68" s="6" t="s">
        <v>13</v>
      </c>
      <c r="D68" s="7" t="s">
        <v>390</v>
      </c>
      <c r="E68" s="8" t="s">
        <v>391</v>
      </c>
      <c r="F68" s="9" t="s">
        <v>392</v>
      </c>
      <c r="G68" s="10" t="s">
        <v>393</v>
      </c>
      <c r="H68" s="11" t="s">
        <v>394</v>
      </c>
      <c r="I68" s="5" t="s">
        <v>47</v>
      </c>
      <c r="J68" s="12" t="s">
        <v>13</v>
      </c>
      <c r="K68" s="5"/>
      <c r="L68" s="5"/>
      <c r="M68" s="5"/>
    </row>
    <row r="69" ht="15.75" customHeight="1">
      <c r="A69" s="5">
        <v>2026.0</v>
      </c>
      <c r="B69" s="6" t="s">
        <v>12</v>
      </c>
      <c r="C69" s="6" t="s">
        <v>13</v>
      </c>
      <c r="D69" s="7" t="s">
        <v>395</v>
      </c>
      <c r="E69" s="8" t="s">
        <v>396</v>
      </c>
      <c r="F69" s="9" t="s">
        <v>397</v>
      </c>
      <c r="G69" s="10" t="s">
        <v>285</v>
      </c>
      <c r="H69" s="11" t="s">
        <v>398</v>
      </c>
      <c r="I69" s="5" t="s">
        <v>13</v>
      </c>
      <c r="J69" s="12" t="s">
        <v>399</v>
      </c>
      <c r="K69" s="5"/>
      <c r="L69" s="5"/>
      <c r="M69" s="5"/>
    </row>
    <row r="70" ht="15.75" customHeight="1">
      <c r="A70" s="5">
        <v>2026.0</v>
      </c>
      <c r="B70" s="6" t="s">
        <v>12</v>
      </c>
      <c r="C70" s="6" t="s">
        <v>204</v>
      </c>
      <c r="D70" s="7" t="s">
        <v>400</v>
      </c>
      <c r="E70" s="8" t="s">
        <v>401</v>
      </c>
      <c r="F70" s="9" t="s">
        <v>402</v>
      </c>
      <c r="G70" s="10" t="s">
        <v>403</v>
      </c>
      <c r="H70" s="11" t="s">
        <v>404</v>
      </c>
      <c r="I70" s="5" t="s">
        <v>47</v>
      </c>
      <c r="J70" s="12" t="s">
        <v>405</v>
      </c>
      <c r="K70" s="5"/>
      <c r="L70" s="5"/>
      <c r="M70" s="5"/>
    </row>
    <row r="71" ht="15.75" customHeight="1">
      <c r="A71" s="5">
        <v>2026.0</v>
      </c>
      <c r="B71" s="14" t="s">
        <v>62</v>
      </c>
      <c r="C71" s="6" t="s">
        <v>13</v>
      </c>
      <c r="D71" s="7" t="s">
        <v>406</v>
      </c>
      <c r="E71" s="8" t="s">
        <v>407</v>
      </c>
      <c r="F71" s="9" t="s">
        <v>408</v>
      </c>
      <c r="G71" s="10" t="s">
        <v>409</v>
      </c>
      <c r="H71" s="11" t="s">
        <v>410</v>
      </c>
      <c r="I71" s="5" t="s">
        <v>47</v>
      </c>
      <c r="J71" s="12" t="s">
        <v>411</v>
      </c>
      <c r="K71" s="5"/>
      <c r="L71" s="5"/>
      <c r="M71" s="5"/>
    </row>
    <row r="72" ht="15.75" customHeight="1">
      <c r="A72" s="5">
        <v>2026.0</v>
      </c>
      <c r="B72" s="6" t="s">
        <v>12</v>
      </c>
      <c r="C72" s="6" t="s">
        <v>13</v>
      </c>
      <c r="D72" s="7" t="s">
        <v>412</v>
      </c>
      <c r="E72" s="8" t="s">
        <v>413</v>
      </c>
      <c r="F72" s="9" t="s">
        <v>414</v>
      </c>
      <c r="G72" s="10" t="s">
        <v>415</v>
      </c>
      <c r="H72" s="11" t="s">
        <v>416</v>
      </c>
      <c r="I72" s="5" t="s">
        <v>13</v>
      </c>
      <c r="J72" s="12" t="s">
        <v>417</v>
      </c>
      <c r="K72" s="5"/>
      <c r="L72" s="5"/>
      <c r="M72" s="5"/>
    </row>
    <row r="73" ht="15.75" customHeight="1">
      <c r="A73" s="5">
        <v>2026.0</v>
      </c>
      <c r="B73" s="6" t="s">
        <v>12</v>
      </c>
      <c r="C73" s="6" t="s">
        <v>13</v>
      </c>
      <c r="D73" s="7" t="s">
        <v>418</v>
      </c>
      <c r="E73" s="8" t="s">
        <v>419</v>
      </c>
      <c r="F73" s="9" t="s">
        <v>420</v>
      </c>
      <c r="G73" s="10" t="s">
        <v>421</v>
      </c>
      <c r="H73" s="11" t="s">
        <v>422</v>
      </c>
      <c r="I73" s="5" t="s">
        <v>47</v>
      </c>
      <c r="J73" s="12" t="s">
        <v>423</v>
      </c>
      <c r="K73" s="5"/>
      <c r="L73" s="5"/>
      <c r="M73" s="5"/>
    </row>
    <row r="74" ht="15.75" customHeight="1">
      <c r="A74" s="5">
        <v>2025.0</v>
      </c>
      <c r="B74" s="6" t="s">
        <v>13</v>
      </c>
      <c r="C74" s="6" t="s">
        <v>13</v>
      </c>
      <c r="D74" s="7" t="s">
        <v>424</v>
      </c>
      <c r="E74" s="8" t="s">
        <v>425</v>
      </c>
      <c r="F74" s="9" t="s">
        <v>426</v>
      </c>
      <c r="G74" s="10" t="s">
        <v>427</v>
      </c>
      <c r="H74" s="11" t="s">
        <v>428</v>
      </c>
      <c r="I74" s="5" t="s">
        <v>13</v>
      </c>
      <c r="J74" s="12" t="s">
        <v>13</v>
      </c>
      <c r="K74" s="5"/>
      <c r="L74" s="5"/>
      <c r="M74" s="5"/>
    </row>
    <row r="75" ht="15.75" customHeight="1">
      <c r="A75" s="5">
        <v>2025.0</v>
      </c>
      <c r="B75" s="14" t="s">
        <v>62</v>
      </c>
      <c r="C75" s="6" t="s">
        <v>13</v>
      </c>
      <c r="D75" s="7" t="s">
        <v>429</v>
      </c>
      <c r="E75" s="8" t="s">
        <v>430</v>
      </c>
      <c r="F75" s="9" t="s">
        <v>431</v>
      </c>
      <c r="G75" s="10" t="s">
        <v>432</v>
      </c>
      <c r="H75" s="11" t="s">
        <v>433</v>
      </c>
      <c r="I75" s="5" t="s">
        <v>13</v>
      </c>
      <c r="J75" s="12" t="s">
        <v>13</v>
      </c>
      <c r="K75" s="5"/>
      <c r="L75" s="5"/>
      <c r="M75" s="5"/>
    </row>
    <row r="76" ht="15.75" customHeight="1">
      <c r="A76" s="5">
        <v>2026.0</v>
      </c>
      <c r="B76" s="6" t="s">
        <v>12</v>
      </c>
      <c r="C76" s="6" t="s">
        <v>13</v>
      </c>
      <c r="D76" s="7" t="s">
        <v>434</v>
      </c>
      <c r="E76" s="8" t="s">
        <v>435</v>
      </c>
      <c r="F76" s="9" t="s">
        <v>436</v>
      </c>
      <c r="G76" s="10" t="s">
        <v>437</v>
      </c>
      <c r="H76" s="11" t="s">
        <v>438</v>
      </c>
      <c r="I76" s="5" t="s">
        <v>47</v>
      </c>
      <c r="J76" s="12" t="s">
        <v>439</v>
      </c>
      <c r="K76" s="5"/>
      <c r="L76" s="5"/>
      <c r="M76" s="5"/>
    </row>
    <row r="77" ht="15.75" customHeight="1">
      <c r="A77" s="5">
        <v>2026.0</v>
      </c>
      <c r="B77" s="14" t="s">
        <v>62</v>
      </c>
      <c r="C77" s="6" t="s">
        <v>204</v>
      </c>
      <c r="D77" s="7" t="s">
        <v>440</v>
      </c>
      <c r="E77" s="8" t="s">
        <v>441</v>
      </c>
      <c r="F77" s="9" t="s">
        <v>442</v>
      </c>
      <c r="G77" s="10" t="s">
        <v>443</v>
      </c>
      <c r="H77" s="11" t="s">
        <v>444</v>
      </c>
      <c r="I77" s="5" t="s">
        <v>47</v>
      </c>
      <c r="J77" s="12" t="s">
        <v>445</v>
      </c>
      <c r="K77" s="5"/>
      <c r="L77" s="5"/>
      <c r="M77" s="5"/>
    </row>
    <row r="78" ht="15.75" customHeight="1">
      <c r="A78" s="5">
        <v>2026.0</v>
      </c>
      <c r="B78" s="6" t="s">
        <v>12</v>
      </c>
      <c r="C78" s="6" t="s">
        <v>13</v>
      </c>
      <c r="D78" s="7" t="s">
        <v>446</v>
      </c>
      <c r="E78" s="8" t="s">
        <v>447</v>
      </c>
      <c r="F78" s="9" t="s">
        <v>448</v>
      </c>
      <c r="G78" s="10" t="s">
        <v>280</v>
      </c>
      <c r="H78" s="11" t="s">
        <v>449</v>
      </c>
      <c r="I78" s="5" t="s">
        <v>47</v>
      </c>
      <c r="J78" s="12" t="s">
        <v>13</v>
      </c>
      <c r="K78" s="5"/>
      <c r="L78" s="5"/>
      <c r="M78" s="5"/>
    </row>
    <row r="79" ht="15.75" customHeight="1">
      <c r="A79" s="5">
        <v>2025.0</v>
      </c>
      <c r="B79" s="6" t="s">
        <v>13</v>
      </c>
      <c r="C79" s="6" t="s">
        <v>13</v>
      </c>
      <c r="D79" s="7" t="s">
        <v>450</v>
      </c>
      <c r="E79" s="8" t="s">
        <v>451</v>
      </c>
      <c r="F79" s="9" t="s">
        <v>452</v>
      </c>
      <c r="G79" s="10" t="s">
        <v>453</v>
      </c>
      <c r="H79" s="11" t="s">
        <v>454</v>
      </c>
      <c r="I79" s="5" t="s">
        <v>13</v>
      </c>
      <c r="J79" s="12" t="s">
        <v>455</v>
      </c>
      <c r="K79" s="5"/>
      <c r="L79" s="5"/>
      <c r="M79" s="5"/>
    </row>
    <row r="80" ht="15.75" customHeight="1">
      <c r="A80" s="5">
        <v>2025.0</v>
      </c>
      <c r="B80" s="6" t="s">
        <v>12</v>
      </c>
      <c r="C80" s="6" t="s">
        <v>13</v>
      </c>
      <c r="D80" s="7" t="s">
        <v>456</v>
      </c>
      <c r="E80" s="8" t="s">
        <v>457</v>
      </c>
      <c r="F80" s="9" t="s">
        <v>458</v>
      </c>
      <c r="G80" s="10" t="s">
        <v>453</v>
      </c>
      <c r="H80" s="11" t="s">
        <v>459</v>
      </c>
      <c r="I80" s="5" t="s">
        <v>13</v>
      </c>
      <c r="J80" s="12" t="s">
        <v>460</v>
      </c>
      <c r="K80" s="5"/>
      <c r="L80" s="5"/>
      <c r="M80" s="5"/>
    </row>
    <row r="81" ht="15.75" customHeight="1">
      <c r="A81" s="5">
        <v>2026.0</v>
      </c>
      <c r="B81" s="14" t="s">
        <v>62</v>
      </c>
      <c r="C81" s="6" t="s">
        <v>13</v>
      </c>
      <c r="D81" s="7" t="s">
        <v>461</v>
      </c>
      <c r="E81" s="8" t="s">
        <v>462</v>
      </c>
      <c r="F81" s="9" t="s">
        <v>463</v>
      </c>
      <c r="G81" s="10" t="s">
        <v>464</v>
      </c>
      <c r="H81" s="11" t="s">
        <v>465</v>
      </c>
      <c r="I81" s="5" t="s">
        <v>47</v>
      </c>
      <c r="J81" s="12" t="s">
        <v>466</v>
      </c>
      <c r="K81" s="5"/>
      <c r="L81" s="5"/>
      <c r="M81" s="5"/>
    </row>
    <row r="82" ht="15.75" customHeight="1">
      <c r="A82" s="5">
        <v>2025.0</v>
      </c>
      <c r="B82" s="6" t="s">
        <v>12</v>
      </c>
      <c r="C82" s="6" t="s">
        <v>13</v>
      </c>
      <c r="D82" s="7" t="s">
        <v>467</v>
      </c>
      <c r="E82" s="8" t="s">
        <v>468</v>
      </c>
      <c r="F82" s="9" t="s">
        <v>469</v>
      </c>
      <c r="G82" s="10" t="s">
        <v>470</v>
      </c>
      <c r="H82" s="11" t="s">
        <v>471</v>
      </c>
      <c r="I82" s="5" t="s">
        <v>47</v>
      </c>
      <c r="J82" s="12" t="s">
        <v>13</v>
      </c>
      <c r="K82" s="5"/>
      <c r="L82" s="5"/>
      <c r="M82" s="5"/>
    </row>
    <row r="83" ht="15.75" customHeight="1">
      <c r="A83" s="5">
        <v>2025.0</v>
      </c>
      <c r="B83" s="6" t="s">
        <v>12</v>
      </c>
      <c r="C83" s="6" t="s">
        <v>13</v>
      </c>
      <c r="D83" s="7" t="s">
        <v>472</v>
      </c>
      <c r="E83" s="8" t="s">
        <v>473</v>
      </c>
      <c r="F83" s="9" t="s">
        <v>474</v>
      </c>
      <c r="G83" s="10" t="s">
        <v>475</v>
      </c>
      <c r="H83" s="11" t="s">
        <v>476</v>
      </c>
      <c r="I83" s="5" t="s">
        <v>13</v>
      </c>
      <c r="J83" s="12" t="s">
        <v>13</v>
      </c>
      <c r="K83" s="5"/>
      <c r="L83" s="5"/>
      <c r="M83" s="5"/>
    </row>
    <row r="84" ht="15.75" customHeight="1">
      <c r="A84" s="5">
        <v>2026.0</v>
      </c>
      <c r="B84" s="14" t="s">
        <v>62</v>
      </c>
      <c r="C84" s="6" t="s">
        <v>13</v>
      </c>
      <c r="D84" s="7" t="s">
        <v>477</v>
      </c>
      <c r="E84" s="8" t="s">
        <v>478</v>
      </c>
      <c r="F84" s="9" t="s">
        <v>479</v>
      </c>
      <c r="G84" s="10" t="s">
        <v>480</v>
      </c>
      <c r="H84" s="11" t="s">
        <v>481</v>
      </c>
      <c r="I84" s="5" t="s">
        <v>47</v>
      </c>
      <c r="J84" s="12" t="s">
        <v>482</v>
      </c>
      <c r="K84" s="5"/>
      <c r="L84" s="5"/>
      <c r="M84" s="5"/>
    </row>
    <row r="85" ht="15.75" customHeight="1">
      <c r="A85" s="5">
        <v>2025.0</v>
      </c>
      <c r="B85" s="6" t="s">
        <v>12</v>
      </c>
      <c r="C85" s="6" t="s">
        <v>13</v>
      </c>
      <c r="D85" s="7" t="s">
        <v>483</v>
      </c>
      <c r="E85" s="8" t="s">
        <v>484</v>
      </c>
      <c r="F85" s="9" t="s">
        <v>485</v>
      </c>
      <c r="G85" s="10" t="s">
        <v>486</v>
      </c>
      <c r="H85" s="11" t="s">
        <v>487</v>
      </c>
      <c r="I85" s="5" t="s">
        <v>13</v>
      </c>
      <c r="J85" s="12" t="s">
        <v>13</v>
      </c>
      <c r="K85" s="5"/>
      <c r="L85" s="5"/>
      <c r="M85" s="5"/>
    </row>
    <row r="86" ht="15.75" customHeight="1">
      <c r="A86" s="5">
        <v>2025.0</v>
      </c>
      <c r="B86" s="6" t="s">
        <v>12</v>
      </c>
      <c r="C86" s="6" t="s">
        <v>13</v>
      </c>
      <c r="D86" s="7" t="s">
        <v>461</v>
      </c>
      <c r="E86" s="8" t="s">
        <v>488</v>
      </c>
      <c r="F86" s="9" t="s">
        <v>489</v>
      </c>
      <c r="G86" s="10" t="s">
        <v>490</v>
      </c>
      <c r="H86" s="11" t="s">
        <v>491</v>
      </c>
      <c r="I86" s="5" t="s">
        <v>47</v>
      </c>
      <c r="J86" s="12" t="s">
        <v>13</v>
      </c>
      <c r="K86" s="5"/>
      <c r="L86" s="5"/>
      <c r="M86" s="5"/>
    </row>
    <row r="87" ht="15.75" customHeight="1">
      <c r="A87" s="5">
        <v>2025.0</v>
      </c>
      <c r="B87" s="14" t="s">
        <v>62</v>
      </c>
      <c r="C87" s="6" t="s">
        <v>13</v>
      </c>
      <c r="D87" s="7" t="s">
        <v>492</v>
      </c>
      <c r="E87" s="8" t="s">
        <v>493</v>
      </c>
      <c r="F87" s="9" t="s">
        <v>494</v>
      </c>
      <c r="G87" s="10" t="s">
        <v>495</v>
      </c>
      <c r="H87" s="11" t="s">
        <v>496</v>
      </c>
      <c r="I87" s="5" t="s">
        <v>47</v>
      </c>
      <c r="J87" s="12" t="s">
        <v>497</v>
      </c>
      <c r="K87" s="5"/>
      <c r="L87" s="5"/>
      <c r="M87" s="5"/>
    </row>
    <row r="88" ht="15.75" customHeight="1">
      <c r="A88" s="5">
        <v>2025.0</v>
      </c>
      <c r="B88" s="6" t="s">
        <v>12</v>
      </c>
      <c r="C88" s="6" t="s">
        <v>204</v>
      </c>
      <c r="D88" s="7" t="s">
        <v>498</v>
      </c>
      <c r="E88" s="8" t="s">
        <v>499</v>
      </c>
      <c r="F88" s="9" t="s">
        <v>500</v>
      </c>
      <c r="G88" s="10" t="s">
        <v>501</v>
      </c>
      <c r="H88" s="11" t="s">
        <v>502</v>
      </c>
      <c r="I88" s="5" t="s">
        <v>47</v>
      </c>
      <c r="J88" s="12" t="s">
        <v>13</v>
      </c>
      <c r="K88" s="5"/>
      <c r="L88" s="5"/>
      <c r="M88" s="5"/>
    </row>
    <row r="89" ht="15.75" customHeight="1">
      <c r="A89" s="5">
        <v>2025.0</v>
      </c>
      <c r="B89" s="14" t="s">
        <v>62</v>
      </c>
      <c r="C89" s="6"/>
      <c r="D89" s="7" t="s">
        <v>503</v>
      </c>
      <c r="E89" s="8" t="s">
        <v>504</v>
      </c>
      <c r="F89" s="9" t="s">
        <v>505</v>
      </c>
      <c r="G89" s="10"/>
      <c r="H89" s="11" t="s">
        <v>506</v>
      </c>
      <c r="I89" s="5"/>
      <c r="J89" s="12"/>
      <c r="K89" s="5"/>
      <c r="L89" s="5"/>
      <c r="M89" s="5"/>
    </row>
    <row r="90" ht="15.75" customHeight="1">
      <c r="A90" s="5">
        <v>2025.0</v>
      </c>
      <c r="B90" s="6" t="s">
        <v>12</v>
      </c>
      <c r="C90" s="6" t="s">
        <v>13</v>
      </c>
      <c r="D90" s="7" t="s">
        <v>507</v>
      </c>
      <c r="E90" s="10" t="s">
        <v>508</v>
      </c>
      <c r="F90" s="9" t="s">
        <v>509</v>
      </c>
      <c r="G90" s="10" t="s">
        <v>510</v>
      </c>
      <c r="H90" s="11" t="s">
        <v>511</v>
      </c>
      <c r="I90" s="5" t="s">
        <v>47</v>
      </c>
      <c r="J90" s="12" t="s">
        <v>13</v>
      </c>
      <c r="K90" s="5"/>
      <c r="L90" s="5"/>
      <c r="M90" s="5"/>
    </row>
    <row r="91" ht="15.75" customHeight="1">
      <c r="A91" s="5">
        <v>2025.0</v>
      </c>
      <c r="B91" s="14" t="s">
        <v>62</v>
      </c>
      <c r="C91" s="6" t="s">
        <v>512</v>
      </c>
      <c r="D91" s="7" t="s">
        <v>513</v>
      </c>
      <c r="E91" s="10" t="s">
        <v>514</v>
      </c>
      <c r="F91" s="9" t="s">
        <v>515</v>
      </c>
      <c r="G91" s="10" t="s">
        <v>490</v>
      </c>
      <c r="H91" s="11" t="s">
        <v>516</v>
      </c>
      <c r="I91" s="5" t="s">
        <v>47</v>
      </c>
      <c r="J91" s="12" t="s">
        <v>517</v>
      </c>
      <c r="K91" s="5"/>
      <c r="L91" s="5"/>
      <c r="M91" s="5"/>
    </row>
    <row r="92" ht="15.75" customHeight="1">
      <c r="A92" s="5">
        <v>2025.0</v>
      </c>
      <c r="B92" s="6" t="s">
        <v>12</v>
      </c>
      <c r="C92" s="6" t="s">
        <v>13</v>
      </c>
      <c r="D92" s="7" t="s">
        <v>518</v>
      </c>
      <c r="E92" s="10" t="s">
        <v>519</v>
      </c>
      <c r="F92" s="9" t="s">
        <v>520</v>
      </c>
      <c r="G92" s="10" t="s">
        <v>521</v>
      </c>
      <c r="H92" s="11" t="s">
        <v>522</v>
      </c>
      <c r="I92" s="5" t="s">
        <v>47</v>
      </c>
      <c r="J92" s="12" t="s">
        <v>523</v>
      </c>
      <c r="K92" s="5"/>
      <c r="L92" s="5"/>
      <c r="M92" s="5"/>
    </row>
    <row r="93" ht="15.75" customHeight="1">
      <c r="A93" s="5">
        <v>2025.0</v>
      </c>
      <c r="B93" s="6" t="s">
        <v>524</v>
      </c>
      <c r="C93" s="6" t="s">
        <v>13</v>
      </c>
      <c r="D93" s="7" t="s">
        <v>525</v>
      </c>
      <c r="E93" s="10" t="s">
        <v>526</v>
      </c>
      <c r="F93" s="9" t="s">
        <v>527</v>
      </c>
      <c r="G93" s="10" t="s">
        <v>528</v>
      </c>
      <c r="H93" s="11" t="s">
        <v>529</v>
      </c>
      <c r="I93" s="5" t="s">
        <v>13</v>
      </c>
      <c r="J93" s="12" t="s">
        <v>13</v>
      </c>
      <c r="K93" s="5"/>
      <c r="L93" s="5"/>
      <c r="M93" s="5"/>
    </row>
    <row r="94" ht="15.75" customHeight="1">
      <c r="A94" s="5">
        <v>2025.0</v>
      </c>
      <c r="B94" s="6" t="s">
        <v>12</v>
      </c>
      <c r="C94" s="6" t="s">
        <v>204</v>
      </c>
      <c r="D94" s="7" t="s">
        <v>530</v>
      </c>
      <c r="E94" s="10" t="s">
        <v>531</v>
      </c>
      <c r="F94" s="9" t="s">
        <v>532</v>
      </c>
      <c r="G94" s="10" t="s">
        <v>533</v>
      </c>
      <c r="H94" s="11" t="s">
        <v>534</v>
      </c>
      <c r="I94" s="5" t="s">
        <v>47</v>
      </c>
      <c r="J94" s="12" t="s">
        <v>535</v>
      </c>
      <c r="K94" s="5"/>
      <c r="L94" s="5"/>
      <c r="M94" s="5"/>
    </row>
    <row r="95" ht="15.75" customHeight="1">
      <c r="A95" s="5">
        <v>2025.0</v>
      </c>
      <c r="B95" s="6" t="s">
        <v>12</v>
      </c>
      <c r="C95" s="6" t="s">
        <v>13</v>
      </c>
      <c r="D95" s="7" t="s">
        <v>536</v>
      </c>
      <c r="E95" s="10" t="s">
        <v>537</v>
      </c>
      <c r="F95" s="9" t="s">
        <v>538</v>
      </c>
      <c r="G95" s="10" t="s">
        <v>539</v>
      </c>
      <c r="H95" s="11" t="s">
        <v>540</v>
      </c>
      <c r="I95" s="5" t="s">
        <v>47</v>
      </c>
      <c r="J95" s="12" t="s">
        <v>13</v>
      </c>
      <c r="K95" s="5"/>
      <c r="L95" s="5"/>
      <c r="M95" s="5"/>
    </row>
    <row r="96" ht="15.75" customHeight="1">
      <c r="A96" s="5">
        <v>2026.0</v>
      </c>
      <c r="B96" s="6" t="s">
        <v>12</v>
      </c>
      <c r="C96" s="6" t="s">
        <v>13</v>
      </c>
      <c r="D96" s="7" t="s">
        <v>541</v>
      </c>
      <c r="E96" s="10" t="s">
        <v>542</v>
      </c>
      <c r="F96" s="9" t="s">
        <v>543</v>
      </c>
      <c r="G96" s="10" t="s">
        <v>544</v>
      </c>
      <c r="H96" s="11" t="s">
        <v>545</v>
      </c>
      <c r="I96" s="5" t="s">
        <v>47</v>
      </c>
      <c r="J96" s="12" t="s">
        <v>13</v>
      </c>
      <c r="K96" s="5"/>
      <c r="L96" s="5"/>
      <c r="M96" s="5"/>
    </row>
    <row r="97" ht="15.75" customHeight="1">
      <c r="A97" s="5">
        <v>2025.0</v>
      </c>
      <c r="B97" s="6" t="s">
        <v>12</v>
      </c>
      <c r="C97" s="6" t="s">
        <v>13</v>
      </c>
      <c r="D97" s="7" t="s">
        <v>546</v>
      </c>
      <c r="E97" s="10" t="s">
        <v>547</v>
      </c>
      <c r="F97" s="9" t="s">
        <v>548</v>
      </c>
      <c r="G97" s="10" t="s">
        <v>549</v>
      </c>
      <c r="H97" s="11" t="s">
        <v>550</v>
      </c>
      <c r="I97" s="5" t="s">
        <v>47</v>
      </c>
      <c r="J97" s="12" t="s">
        <v>13</v>
      </c>
      <c r="K97" s="5"/>
      <c r="L97" s="5"/>
      <c r="M97" s="5"/>
    </row>
    <row r="98" ht="15.75" customHeight="1">
      <c r="A98" s="5">
        <v>2025.0</v>
      </c>
      <c r="B98" s="6" t="s">
        <v>12</v>
      </c>
      <c r="C98" s="6" t="s">
        <v>13</v>
      </c>
      <c r="D98" s="7" t="s">
        <v>551</v>
      </c>
      <c r="E98" s="10" t="s">
        <v>552</v>
      </c>
      <c r="F98" s="9" t="s">
        <v>553</v>
      </c>
      <c r="G98" s="10" t="s">
        <v>554</v>
      </c>
      <c r="H98" s="11" t="s">
        <v>555</v>
      </c>
      <c r="I98" s="5" t="s">
        <v>47</v>
      </c>
      <c r="J98" s="12" t="s">
        <v>556</v>
      </c>
      <c r="K98" s="5"/>
      <c r="L98" s="5"/>
      <c r="M98" s="5"/>
    </row>
    <row r="99" ht="15.75" customHeight="1">
      <c r="A99" s="5">
        <v>2025.0</v>
      </c>
      <c r="B99" s="6" t="s">
        <v>12</v>
      </c>
      <c r="C99" s="6" t="s">
        <v>13</v>
      </c>
      <c r="D99" s="7" t="s">
        <v>557</v>
      </c>
      <c r="E99" s="10" t="s">
        <v>558</v>
      </c>
      <c r="F99" s="9" t="s">
        <v>559</v>
      </c>
      <c r="G99" s="10" t="s">
        <v>560</v>
      </c>
      <c r="H99" s="11" t="s">
        <v>561</v>
      </c>
      <c r="I99" s="5" t="s">
        <v>13</v>
      </c>
      <c r="J99" s="12" t="s">
        <v>562</v>
      </c>
      <c r="K99" s="5"/>
      <c r="L99" s="5"/>
      <c r="M99" s="5"/>
    </row>
    <row r="100" ht="15.75" customHeight="1">
      <c r="A100" s="5">
        <v>2025.0</v>
      </c>
      <c r="B100" s="6" t="s">
        <v>12</v>
      </c>
      <c r="C100" s="6" t="s">
        <v>13</v>
      </c>
      <c r="D100" s="7" t="s">
        <v>563</v>
      </c>
      <c r="E100" s="10" t="s">
        <v>564</v>
      </c>
      <c r="F100" s="9" t="s">
        <v>565</v>
      </c>
      <c r="G100" s="10" t="s">
        <v>182</v>
      </c>
      <c r="H100" s="11" t="s">
        <v>566</v>
      </c>
      <c r="I100" s="5" t="s">
        <v>47</v>
      </c>
      <c r="J100" s="12" t="s">
        <v>567</v>
      </c>
      <c r="K100" s="5"/>
      <c r="L100" s="5"/>
      <c r="M100" s="5"/>
    </row>
    <row r="101" ht="15.75" customHeight="1">
      <c r="A101" s="5">
        <v>2025.0</v>
      </c>
      <c r="B101" s="14" t="s">
        <v>62</v>
      </c>
      <c r="C101" s="6" t="s">
        <v>13</v>
      </c>
      <c r="D101" s="7" t="s">
        <v>568</v>
      </c>
      <c r="E101" s="10" t="s">
        <v>569</v>
      </c>
      <c r="F101" s="9" t="s">
        <v>570</v>
      </c>
      <c r="G101" s="10" t="s">
        <v>182</v>
      </c>
      <c r="H101" s="11" t="s">
        <v>571</v>
      </c>
      <c r="I101" s="5" t="s">
        <v>47</v>
      </c>
      <c r="J101" s="12" t="s">
        <v>572</v>
      </c>
      <c r="K101" s="5"/>
      <c r="L101" s="5"/>
      <c r="M101" s="5"/>
    </row>
    <row r="102" ht="15.75" customHeight="1">
      <c r="A102" s="5">
        <v>2025.0</v>
      </c>
      <c r="B102" s="14" t="s">
        <v>62</v>
      </c>
      <c r="C102" s="14" t="s">
        <v>573</v>
      </c>
      <c r="D102" s="7" t="s">
        <v>574</v>
      </c>
      <c r="E102" s="10" t="s">
        <v>575</v>
      </c>
      <c r="F102" s="9" t="s">
        <v>576</v>
      </c>
      <c r="G102" s="10" t="s">
        <v>577</v>
      </c>
      <c r="H102" s="11" t="s">
        <v>578</v>
      </c>
      <c r="I102" s="5" t="s">
        <v>47</v>
      </c>
      <c r="J102" s="12" t="s">
        <v>579</v>
      </c>
      <c r="K102" s="5"/>
      <c r="L102" s="5"/>
      <c r="M102" s="5"/>
    </row>
    <row r="103" ht="15.75" customHeight="1">
      <c r="A103" s="5">
        <v>2025.0</v>
      </c>
      <c r="B103" s="6" t="s">
        <v>142</v>
      </c>
      <c r="C103" s="6" t="s">
        <v>13</v>
      </c>
      <c r="D103" s="7" t="s">
        <v>580</v>
      </c>
      <c r="E103" s="10" t="s">
        <v>581</v>
      </c>
      <c r="F103" s="9" t="s">
        <v>582</v>
      </c>
      <c r="G103" s="10" t="s">
        <v>583</v>
      </c>
      <c r="H103" s="11" t="s">
        <v>584</v>
      </c>
      <c r="I103" s="5" t="s">
        <v>47</v>
      </c>
      <c r="J103" s="12" t="s">
        <v>585</v>
      </c>
      <c r="K103" s="5"/>
      <c r="L103" s="5"/>
      <c r="M103" s="5"/>
    </row>
    <row r="104" ht="15.75" customHeight="1">
      <c r="A104" s="5">
        <v>2025.0</v>
      </c>
      <c r="B104" s="6" t="s">
        <v>12</v>
      </c>
      <c r="C104" s="6" t="s">
        <v>13</v>
      </c>
      <c r="D104" s="7" t="s">
        <v>586</v>
      </c>
      <c r="E104" s="10" t="s">
        <v>587</v>
      </c>
      <c r="F104" s="9" t="s">
        <v>588</v>
      </c>
      <c r="G104" s="10" t="s">
        <v>589</v>
      </c>
      <c r="H104" s="11" t="s">
        <v>590</v>
      </c>
      <c r="I104" s="5" t="s">
        <v>47</v>
      </c>
      <c r="J104" s="12" t="s">
        <v>591</v>
      </c>
      <c r="K104" s="5"/>
      <c r="L104" s="5"/>
      <c r="M104" s="5"/>
    </row>
    <row r="105" ht="15.75" customHeight="1">
      <c r="A105" s="5">
        <v>2025.0</v>
      </c>
      <c r="B105" s="6" t="s">
        <v>12</v>
      </c>
      <c r="C105" s="6" t="s">
        <v>13</v>
      </c>
      <c r="D105" s="7" t="s">
        <v>592</v>
      </c>
      <c r="E105" s="10" t="s">
        <v>593</v>
      </c>
      <c r="F105" s="9" t="s">
        <v>594</v>
      </c>
      <c r="G105" s="10" t="s">
        <v>595</v>
      </c>
      <c r="H105" s="11" t="s">
        <v>596</v>
      </c>
      <c r="I105" s="5" t="s">
        <v>47</v>
      </c>
      <c r="J105" s="12" t="s">
        <v>597</v>
      </c>
      <c r="K105" s="5"/>
      <c r="L105" s="5"/>
      <c r="M105" s="5"/>
    </row>
    <row r="106" ht="15.75" customHeight="1">
      <c r="A106" s="5">
        <v>2025.0</v>
      </c>
      <c r="B106" s="6" t="s">
        <v>149</v>
      </c>
      <c r="C106" s="6" t="s">
        <v>204</v>
      </c>
      <c r="D106" s="7" t="s">
        <v>598</v>
      </c>
      <c r="E106" s="10" t="s">
        <v>599</v>
      </c>
      <c r="F106" s="9" t="s">
        <v>600</v>
      </c>
      <c r="G106" s="10" t="s">
        <v>601</v>
      </c>
      <c r="H106" s="11" t="s">
        <v>602</v>
      </c>
      <c r="I106" s="5" t="s">
        <v>47</v>
      </c>
      <c r="J106" s="12" t="s">
        <v>603</v>
      </c>
      <c r="K106" s="5"/>
      <c r="L106" s="5"/>
      <c r="M106" s="5"/>
    </row>
    <row r="107" ht="15.75" customHeight="1">
      <c r="A107" s="5">
        <v>2025.0</v>
      </c>
      <c r="B107" s="14" t="s">
        <v>62</v>
      </c>
      <c r="C107" s="6" t="s">
        <v>13</v>
      </c>
      <c r="D107" s="7" t="s">
        <v>604</v>
      </c>
      <c r="E107" s="10" t="s">
        <v>605</v>
      </c>
      <c r="F107" s="9" t="s">
        <v>606</v>
      </c>
      <c r="G107" s="10" t="s">
        <v>607</v>
      </c>
      <c r="H107" s="11" t="s">
        <v>608</v>
      </c>
      <c r="I107" s="5" t="s">
        <v>13</v>
      </c>
      <c r="J107" s="12" t="s">
        <v>609</v>
      </c>
      <c r="K107" s="5"/>
      <c r="L107" s="5"/>
      <c r="M107" s="5"/>
    </row>
    <row r="108" ht="15.75" customHeight="1">
      <c r="A108" s="5">
        <v>2025.0</v>
      </c>
      <c r="B108" s="14" t="s">
        <v>62</v>
      </c>
      <c r="C108" s="6" t="s">
        <v>13</v>
      </c>
      <c r="D108" s="7" t="s">
        <v>610</v>
      </c>
      <c r="E108" s="10" t="s">
        <v>611</v>
      </c>
      <c r="F108" s="9" t="s">
        <v>612</v>
      </c>
      <c r="G108" s="10" t="s">
        <v>613</v>
      </c>
      <c r="H108" s="11" t="s">
        <v>614</v>
      </c>
      <c r="I108" s="5" t="s">
        <v>47</v>
      </c>
      <c r="J108" s="12" t="s">
        <v>13</v>
      </c>
      <c r="K108" s="5"/>
      <c r="L108" s="5"/>
      <c r="M108" s="5"/>
    </row>
    <row r="109" ht="15.75" customHeight="1">
      <c r="A109" s="5">
        <v>2024.0</v>
      </c>
      <c r="B109" s="6" t="s">
        <v>297</v>
      </c>
      <c r="C109" s="6" t="s">
        <v>13</v>
      </c>
      <c r="D109" s="7" t="s">
        <v>615</v>
      </c>
      <c r="E109" s="10" t="s">
        <v>616</v>
      </c>
      <c r="F109" s="9" t="s">
        <v>617</v>
      </c>
      <c r="G109" s="10" t="s">
        <v>618</v>
      </c>
      <c r="H109" s="15" t="s">
        <v>619</v>
      </c>
      <c r="I109" s="5" t="s">
        <v>47</v>
      </c>
      <c r="J109" s="12" t="s">
        <v>620</v>
      </c>
      <c r="K109" s="5"/>
      <c r="L109" s="5"/>
      <c r="M109" s="5"/>
    </row>
    <row r="110" ht="15.75" customHeight="1">
      <c r="A110" s="5">
        <v>2024.0</v>
      </c>
      <c r="B110" s="6" t="s">
        <v>297</v>
      </c>
      <c r="C110" s="6" t="s">
        <v>13</v>
      </c>
      <c r="D110" s="7" t="s">
        <v>621</v>
      </c>
      <c r="E110" s="10" t="s">
        <v>622</v>
      </c>
      <c r="F110" s="9" t="s">
        <v>623</v>
      </c>
      <c r="G110" s="10" t="s">
        <v>624</v>
      </c>
      <c r="H110" s="15" t="s">
        <v>625</v>
      </c>
      <c r="I110" s="5" t="s">
        <v>47</v>
      </c>
      <c r="J110" s="12" t="s">
        <v>626</v>
      </c>
      <c r="K110" s="5"/>
      <c r="L110" s="5"/>
      <c r="M110" s="5"/>
    </row>
    <row r="111" ht="15.75" customHeight="1">
      <c r="A111" s="5">
        <v>2023.0</v>
      </c>
      <c r="B111" s="6" t="s">
        <v>297</v>
      </c>
      <c r="C111" s="6" t="s">
        <v>13</v>
      </c>
      <c r="D111" s="7" t="s">
        <v>627</v>
      </c>
      <c r="E111" s="10" t="s">
        <v>628</v>
      </c>
      <c r="F111" s="9" t="s">
        <v>629</v>
      </c>
      <c r="G111" s="10" t="s">
        <v>630</v>
      </c>
      <c r="H111" s="15" t="s">
        <v>631</v>
      </c>
      <c r="I111" s="5" t="s">
        <v>47</v>
      </c>
      <c r="J111" s="12" t="s">
        <v>13</v>
      </c>
      <c r="K111" s="5"/>
      <c r="L111" s="5"/>
      <c r="M111" s="5"/>
    </row>
    <row r="112" ht="15.75" customHeight="1">
      <c r="A112" s="5">
        <v>2023.0</v>
      </c>
      <c r="B112" s="6" t="s">
        <v>297</v>
      </c>
      <c r="C112" s="6" t="s">
        <v>13</v>
      </c>
      <c r="D112" s="7" t="s">
        <v>632</v>
      </c>
      <c r="E112" s="10" t="s">
        <v>633</v>
      </c>
      <c r="F112" s="9" t="s">
        <v>634</v>
      </c>
      <c r="G112" s="10" t="s">
        <v>630</v>
      </c>
      <c r="H112" s="15" t="s">
        <v>635</v>
      </c>
      <c r="I112" s="5" t="s">
        <v>47</v>
      </c>
      <c r="J112" s="12" t="s">
        <v>13</v>
      </c>
      <c r="K112" s="5"/>
      <c r="L112" s="5"/>
      <c r="M112" s="5"/>
    </row>
    <row r="113" ht="15.75" customHeight="1">
      <c r="A113" s="5">
        <v>2023.0</v>
      </c>
      <c r="B113" s="6" t="s">
        <v>297</v>
      </c>
      <c r="C113" s="6" t="s">
        <v>13</v>
      </c>
      <c r="D113" s="7" t="s">
        <v>636</v>
      </c>
      <c r="E113" s="10" t="s">
        <v>637</v>
      </c>
      <c r="F113" s="9" t="s">
        <v>638</v>
      </c>
      <c r="G113" s="10" t="s">
        <v>639</v>
      </c>
      <c r="H113" s="7" t="s">
        <v>640</v>
      </c>
      <c r="I113" s="5" t="s">
        <v>47</v>
      </c>
      <c r="J113" s="12" t="s">
        <v>641</v>
      </c>
      <c r="K113" s="5"/>
      <c r="L113" s="5"/>
      <c r="M113" s="5"/>
    </row>
    <row r="114" ht="15.75" customHeight="1">
      <c r="A114" s="5">
        <v>2022.0</v>
      </c>
      <c r="B114" s="6" t="s">
        <v>297</v>
      </c>
      <c r="C114" s="6" t="s">
        <v>13</v>
      </c>
      <c r="D114" s="7" t="s">
        <v>642</v>
      </c>
      <c r="E114" s="10" t="s">
        <v>643</v>
      </c>
      <c r="F114" s="9" t="s">
        <v>644</v>
      </c>
      <c r="G114" s="10" t="s">
        <v>645</v>
      </c>
      <c r="H114" s="7" t="s">
        <v>646</v>
      </c>
      <c r="I114" s="5" t="s">
        <v>47</v>
      </c>
      <c r="J114" s="12" t="s">
        <v>647</v>
      </c>
      <c r="K114" s="5"/>
      <c r="L114" s="5"/>
      <c r="M114" s="5"/>
    </row>
    <row r="115" ht="15.75" customHeight="1">
      <c r="A115" s="5">
        <v>2025.0</v>
      </c>
      <c r="B115" s="6" t="s">
        <v>648</v>
      </c>
      <c r="C115" s="6" t="s">
        <v>13</v>
      </c>
      <c r="D115" s="7" t="s">
        <v>649</v>
      </c>
      <c r="E115" s="10" t="s">
        <v>650</v>
      </c>
      <c r="F115" s="9" t="s">
        <v>651</v>
      </c>
      <c r="G115" s="10" t="s">
        <v>652</v>
      </c>
      <c r="H115" s="11" t="s">
        <v>653</v>
      </c>
      <c r="I115" s="5" t="s">
        <v>47</v>
      </c>
      <c r="J115" s="12" t="s">
        <v>654</v>
      </c>
      <c r="K115" s="5"/>
      <c r="L115" s="5"/>
      <c r="M115" s="5"/>
    </row>
    <row r="116" ht="15.75" customHeight="1">
      <c r="A116" s="5">
        <v>2025.0</v>
      </c>
      <c r="B116" s="6" t="s">
        <v>13</v>
      </c>
      <c r="C116" s="6" t="s">
        <v>13</v>
      </c>
      <c r="D116" s="7" t="s">
        <v>655</v>
      </c>
      <c r="E116" s="10" t="s">
        <v>656</v>
      </c>
      <c r="F116" s="9" t="s">
        <v>657</v>
      </c>
      <c r="G116" s="10" t="s">
        <v>658</v>
      </c>
      <c r="H116" s="11" t="s">
        <v>659</v>
      </c>
      <c r="I116" s="5" t="s">
        <v>47</v>
      </c>
      <c r="J116" s="12" t="s">
        <v>660</v>
      </c>
      <c r="K116" s="5"/>
      <c r="L116" s="5"/>
      <c r="M116" s="5"/>
    </row>
    <row r="117" ht="15.75" customHeight="1">
      <c r="A117" s="5">
        <v>2025.0</v>
      </c>
      <c r="B117" s="6" t="s">
        <v>142</v>
      </c>
      <c r="C117" s="6" t="s">
        <v>13</v>
      </c>
      <c r="D117" s="7" t="s">
        <v>661</v>
      </c>
      <c r="E117" s="10" t="s">
        <v>662</v>
      </c>
      <c r="F117" s="9" t="s">
        <v>663</v>
      </c>
      <c r="G117" s="10" t="s">
        <v>664</v>
      </c>
      <c r="H117" s="11" t="s">
        <v>665</v>
      </c>
      <c r="I117" s="5" t="s">
        <v>13</v>
      </c>
      <c r="J117" s="12" t="s">
        <v>666</v>
      </c>
      <c r="K117" s="5"/>
      <c r="L117" s="5"/>
      <c r="M117" s="5"/>
    </row>
    <row r="118" ht="15.75" customHeight="1">
      <c r="A118" s="5">
        <v>2025.0</v>
      </c>
      <c r="B118" s="6" t="s">
        <v>667</v>
      </c>
      <c r="C118" s="6" t="s">
        <v>13</v>
      </c>
      <c r="D118" s="7" t="s">
        <v>668</v>
      </c>
      <c r="E118" s="10" t="s">
        <v>669</v>
      </c>
      <c r="F118" s="9" t="s">
        <v>670</v>
      </c>
      <c r="G118" s="10" t="s">
        <v>671</v>
      </c>
      <c r="H118" s="11" t="s">
        <v>672</v>
      </c>
      <c r="I118" s="5" t="s">
        <v>47</v>
      </c>
      <c r="J118" s="12" t="s">
        <v>673</v>
      </c>
      <c r="K118" s="5"/>
      <c r="L118" s="5"/>
      <c r="M118" s="5"/>
    </row>
    <row r="119" ht="15.75" customHeight="1">
      <c r="A119" s="5">
        <v>2025.0</v>
      </c>
      <c r="B119" s="14" t="s">
        <v>62</v>
      </c>
      <c r="C119" s="14" t="s">
        <v>573</v>
      </c>
      <c r="D119" s="7" t="s">
        <v>674</v>
      </c>
      <c r="E119" s="10" t="s">
        <v>675</v>
      </c>
      <c r="F119" s="9" t="s">
        <v>676</v>
      </c>
      <c r="G119" s="10" t="s">
        <v>677</v>
      </c>
      <c r="H119" s="11" t="s">
        <v>678</v>
      </c>
      <c r="I119" s="5" t="s">
        <v>47</v>
      </c>
      <c r="J119" s="12" t="s">
        <v>679</v>
      </c>
      <c r="K119" s="5"/>
      <c r="L119" s="5"/>
      <c r="M119" s="5"/>
    </row>
    <row r="120" ht="15.75" customHeight="1">
      <c r="A120" s="5">
        <v>2025.0</v>
      </c>
      <c r="B120" s="6" t="s">
        <v>259</v>
      </c>
      <c r="C120" s="16" t="s">
        <v>13</v>
      </c>
      <c r="D120" s="7" t="s">
        <v>680</v>
      </c>
      <c r="E120" s="10" t="s">
        <v>681</v>
      </c>
      <c r="F120" s="9" t="s">
        <v>682</v>
      </c>
      <c r="G120" s="10" t="s">
        <v>683</v>
      </c>
      <c r="H120" s="11" t="s">
        <v>684</v>
      </c>
      <c r="I120" s="5" t="s">
        <v>47</v>
      </c>
      <c r="J120" s="12" t="s">
        <v>13</v>
      </c>
      <c r="K120" s="5"/>
      <c r="L120" s="5"/>
      <c r="M120" s="5"/>
    </row>
    <row r="121" ht="15.75" customHeight="1">
      <c r="A121" s="5">
        <v>2025.0</v>
      </c>
      <c r="B121" s="6" t="s">
        <v>648</v>
      </c>
      <c r="C121" s="16" t="s">
        <v>13</v>
      </c>
      <c r="D121" s="7" t="s">
        <v>685</v>
      </c>
      <c r="E121" s="10" t="s">
        <v>686</v>
      </c>
      <c r="F121" s="9" t="s">
        <v>687</v>
      </c>
      <c r="G121" s="10" t="s">
        <v>688</v>
      </c>
      <c r="H121" s="11" t="s">
        <v>689</v>
      </c>
      <c r="I121" s="5" t="s">
        <v>47</v>
      </c>
      <c r="J121" s="12" t="s">
        <v>13</v>
      </c>
      <c r="K121" s="5"/>
      <c r="L121" s="5"/>
      <c r="M121" s="5"/>
    </row>
    <row r="122" ht="15.75" customHeight="1">
      <c r="A122" s="5">
        <v>2025.0</v>
      </c>
      <c r="B122" s="6" t="s">
        <v>690</v>
      </c>
      <c r="C122" s="16" t="s">
        <v>13</v>
      </c>
      <c r="D122" s="7" t="s">
        <v>691</v>
      </c>
      <c r="E122" s="10" t="s">
        <v>692</v>
      </c>
      <c r="F122" s="9" t="s">
        <v>693</v>
      </c>
      <c r="G122" s="10" t="s">
        <v>694</v>
      </c>
      <c r="H122" s="11" t="s">
        <v>695</v>
      </c>
      <c r="I122" s="5" t="s">
        <v>13</v>
      </c>
      <c r="J122" s="12" t="s">
        <v>696</v>
      </c>
      <c r="K122" s="5"/>
      <c r="L122" s="5"/>
      <c r="M122" s="5"/>
    </row>
    <row r="123" ht="15.75" customHeight="1">
      <c r="A123" s="5">
        <v>2025.0</v>
      </c>
      <c r="B123" s="17" t="s">
        <v>697</v>
      </c>
      <c r="C123" s="16" t="s">
        <v>13</v>
      </c>
      <c r="D123" s="7" t="s">
        <v>698</v>
      </c>
      <c r="E123" s="10" t="s">
        <v>699</v>
      </c>
      <c r="F123" s="9" t="s">
        <v>700</v>
      </c>
      <c r="G123" s="10" t="s">
        <v>701</v>
      </c>
      <c r="H123" s="11" t="s">
        <v>702</v>
      </c>
      <c r="I123" s="5" t="s">
        <v>13</v>
      </c>
      <c r="J123" s="12" t="s">
        <v>703</v>
      </c>
      <c r="K123" s="5"/>
      <c r="L123" s="5"/>
      <c r="M123" s="5"/>
    </row>
    <row r="124" ht="15.75" customHeight="1">
      <c r="A124" s="5">
        <v>2025.0</v>
      </c>
      <c r="B124" s="14" t="s">
        <v>62</v>
      </c>
      <c r="C124" s="16" t="s">
        <v>204</v>
      </c>
      <c r="D124" s="7" t="s">
        <v>704</v>
      </c>
      <c r="E124" s="10" t="s">
        <v>705</v>
      </c>
      <c r="F124" s="9" t="s">
        <v>706</v>
      </c>
      <c r="G124" s="10" t="s">
        <v>707</v>
      </c>
      <c r="H124" s="11" t="s">
        <v>708</v>
      </c>
      <c r="I124" s="5" t="s">
        <v>47</v>
      </c>
      <c r="J124" s="12" t="s">
        <v>709</v>
      </c>
      <c r="K124" s="5"/>
      <c r="L124" s="5"/>
      <c r="M124" s="5"/>
    </row>
    <row r="125" ht="15.75" customHeight="1">
      <c r="A125" s="5">
        <v>2024.0</v>
      </c>
      <c r="B125" s="14" t="s">
        <v>62</v>
      </c>
      <c r="C125" s="16" t="s">
        <v>13</v>
      </c>
      <c r="D125" s="7" t="s">
        <v>710</v>
      </c>
      <c r="E125" s="10" t="s">
        <v>711</v>
      </c>
      <c r="F125" s="9" t="s">
        <v>712</v>
      </c>
      <c r="G125" s="10" t="s">
        <v>713</v>
      </c>
      <c r="H125" s="11" t="s">
        <v>714</v>
      </c>
      <c r="I125" s="5" t="s">
        <v>13</v>
      </c>
      <c r="J125" s="12" t="s">
        <v>715</v>
      </c>
      <c r="K125" s="5"/>
      <c r="L125" s="5"/>
      <c r="M125" s="5"/>
    </row>
    <row r="126" ht="15.75" customHeight="1">
      <c r="A126" s="5">
        <v>2025.0</v>
      </c>
      <c r="B126" s="14" t="s">
        <v>62</v>
      </c>
      <c r="C126" s="16" t="s">
        <v>13</v>
      </c>
      <c r="D126" s="7" t="s">
        <v>716</v>
      </c>
      <c r="E126" s="10" t="s">
        <v>717</v>
      </c>
      <c r="F126" s="9" t="s">
        <v>718</v>
      </c>
      <c r="G126" s="10" t="s">
        <v>719</v>
      </c>
      <c r="H126" s="11" t="s">
        <v>720</v>
      </c>
      <c r="I126" s="5" t="s">
        <v>47</v>
      </c>
      <c r="J126" s="12" t="s">
        <v>721</v>
      </c>
      <c r="K126" s="5"/>
      <c r="L126" s="5"/>
      <c r="M126" s="5"/>
    </row>
    <row r="127" ht="15.75" customHeight="1">
      <c r="A127" s="5">
        <v>2025.0</v>
      </c>
      <c r="B127" s="6" t="s">
        <v>690</v>
      </c>
      <c r="C127" s="16"/>
      <c r="D127" s="7" t="s">
        <v>722</v>
      </c>
      <c r="E127" s="10" t="s">
        <v>723</v>
      </c>
      <c r="F127" s="9" t="s">
        <v>724</v>
      </c>
      <c r="G127" s="10"/>
      <c r="H127" s="11" t="s">
        <v>725</v>
      </c>
      <c r="I127" s="5"/>
      <c r="J127" s="12"/>
      <c r="K127" s="5"/>
      <c r="L127" s="5"/>
      <c r="M127" s="5"/>
    </row>
    <row r="128" ht="15.75" customHeight="1">
      <c r="A128" s="5">
        <v>2025.0</v>
      </c>
      <c r="B128" s="14" t="s">
        <v>62</v>
      </c>
      <c r="C128" s="16" t="s">
        <v>13</v>
      </c>
      <c r="D128" s="7" t="s">
        <v>726</v>
      </c>
      <c r="E128" s="10" t="s">
        <v>727</v>
      </c>
      <c r="F128" s="9" t="s">
        <v>728</v>
      </c>
      <c r="G128" s="10" t="s">
        <v>595</v>
      </c>
      <c r="H128" s="11" t="s">
        <v>729</v>
      </c>
      <c r="I128" s="5" t="s">
        <v>47</v>
      </c>
      <c r="J128" s="12" t="s">
        <v>730</v>
      </c>
      <c r="K128" s="5"/>
      <c r="L128" s="5"/>
      <c r="M128" s="5"/>
    </row>
    <row r="129" ht="15.75" customHeight="1">
      <c r="A129" s="5">
        <v>2025.0</v>
      </c>
      <c r="B129" s="17" t="s">
        <v>12</v>
      </c>
      <c r="C129" s="16" t="s">
        <v>13</v>
      </c>
      <c r="D129" s="7" t="s">
        <v>731</v>
      </c>
      <c r="E129" s="10" t="s">
        <v>732</v>
      </c>
      <c r="F129" s="9" t="s">
        <v>733</v>
      </c>
      <c r="G129" s="10" t="s">
        <v>333</v>
      </c>
      <c r="H129" s="11" t="s">
        <v>734</v>
      </c>
      <c r="I129" s="5" t="s">
        <v>13</v>
      </c>
      <c r="J129" s="12" t="s">
        <v>735</v>
      </c>
      <c r="K129" s="5"/>
      <c r="L129" s="5"/>
      <c r="M129" s="5"/>
    </row>
    <row r="130" ht="15.75" customHeight="1">
      <c r="A130" s="5">
        <v>2025.0</v>
      </c>
      <c r="B130" s="17" t="s">
        <v>12</v>
      </c>
      <c r="C130" s="16" t="s">
        <v>13</v>
      </c>
      <c r="D130" s="7" t="s">
        <v>736</v>
      </c>
      <c r="E130" s="10" t="s">
        <v>737</v>
      </c>
      <c r="F130" s="9" t="s">
        <v>738</v>
      </c>
      <c r="G130" s="10" t="s">
        <v>13</v>
      </c>
      <c r="H130" s="11" t="s">
        <v>739</v>
      </c>
      <c r="I130" s="5" t="s">
        <v>13</v>
      </c>
      <c r="J130" s="12" t="s">
        <v>13</v>
      </c>
      <c r="K130" s="5"/>
      <c r="L130" s="5"/>
      <c r="M130" s="5"/>
    </row>
    <row r="131" ht="15.75" customHeight="1">
      <c r="A131" s="5">
        <v>2025.0</v>
      </c>
      <c r="B131" s="17" t="s">
        <v>740</v>
      </c>
      <c r="C131" s="16" t="s">
        <v>741</v>
      </c>
      <c r="D131" s="7" t="s">
        <v>742</v>
      </c>
      <c r="E131" s="10" t="s">
        <v>743</v>
      </c>
      <c r="F131" s="9" t="s">
        <v>744</v>
      </c>
      <c r="G131" s="10" t="s">
        <v>13</v>
      </c>
      <c r="H131" s="11" t="s">
        <v>745</v>
      </c>
      <c r="I131" s="5" t="s">
        <v>13</v>
      </c>
      <c r="J131" s="12" t="s">
        <v>746</v>
      </c>
      <c r="K131" s="5"/>
      <c r="L131" s="5"/>
      <c r="M131" s="5"/>
    </row>
    <row r="132" ht="15.75" customHeight="1">
      <c r="A132" s="5">
        <v>2025.0</v>
      </c>
      <c r="B132" s="17" t="s">
        <v>12</v>
      </c>
      <c r="C132" s="16" t="s">
        <v>741</v>
      </c>
      <c r="D132" s="7" t="s">
        <v>747</v>
      </c>
      <c r="E132" s="10" t="s">
        <v>748</v>
      </c>
      <c r="F132" s="9" t="s">
        <v>749</v>
      </c>
      <c r="G132" s="10" t="s">
        <v>750</v>
      </c>
      <c r="H132" s="11" t="s">
        <v>751</v>
      </c>
      <c r="I132" s="5" t="s">
        <v>47</v>
      </c>
      <c r="J132" s="12" t="s">
        <v>752</v>
      </c>
      <c r="K132" s="5"/>
      <c r="L132" s="5"/>
      <c r="M132" s="5"/>
    </row>
    <row r="133" ht="15.75" customHeight="1">
      <c r="A133" s="5">
        <v>2025.0</v>
      </c>
      <c r="B133" s="17" t="s">
        <v>12</v>
      </c>
      <c r="C133" s="16" t="s">
        <v>13</v>
      </c>
      <c r="D133" s="7" t="s">
        <v>736</v>
      </c>
      <c r="E133" s="10" t="s">
        <v>737</v>
      </c>
      <c r="F133" s="9" t="s">
        <v>738</v>
      </c>
      <c r="G133" s="10" t="s">
        <v>13</v>
      </c>
      <c r="H133" s="11" t="s">
        <v>739</v>
      </c>
      <c r="I133" s="5" t="s">
        <v>13</v>
      </c>
      <c r="J133" s="12" t="s">
        <v>753</v>
      </c>
      <c r="K133" s="5"/>
      <c r="L133" s="5"/>
      <c r="M133" s="5"/>
    </row>
    <row r="134" ht="15.75" customHeight="1">
      <c r="A134" s="5">
        <v>2025.0</v>
      </c>
      <c r="B134" s="17" t="s">
        <v>12</v>
      </c>
      <c r="C134" s="16" t="s">
        <v>13</v>
      </c>
      <c r="D134" s="7" t="s">
        <v>754</v>
      </c>
      <c r="E134" s="10" t="s">
        <v>755</v>
      </c>
      <c r="F134" s="9" t="s">
        <v>756</v>
      </c>
      <c r="G134" s="10" t="s">
        <v>291</v>
      </c>
      <c r="H134" s="11" t="s">
        <v>757</v>
      </c>
      <c r="I134" s="5" t="s">
        <v>47</v>
      </c>
      <c r="J134" s="12" t="s">
        <v>13</v>
      </c>
      <c r="K134" s="5"/>
      <c r="L134" s="5"/>
      <c r="M134" s="5"/>
    </row>
    <row r="135" ht="15.75" customHeight="1">
      <c r="A135" s="5">
        <v>2025.0</v>
      </c>
      <c r="B135" s="17" t="s">
        <v>12</v>
      </c>
      <c r="C135" s="16" t="s">
        <v>758</v>
      </c>
      <c r="D135" s="7" t="s">
        <v>759</v>
      </c>
      <c r="E135" s="12" t="s">
        <v>760</v>
      </c>
      <c r="F135" s="9" t="s">
        <v>761</v>
      </c>
      <c r="G135" s="10" t="s">
        <v>762</v>
      </c>
      <c r="H135" s="11" t="s">
        <v>763</v>
      </c>
      <c r="I135" s="5" t="s">
        <v>47</v>
      </c>
      <c r="J135" s="12" t="s">
        <v>764</v>
      </c>
      <c r="K135" s="5"/>
      <c r="L135" s="5"/>
      <c r="M135" s="5"/>
    </row>
    <row r="136" ht="15.75" customHeight="1">
      <c r="A136" s="5">
        <v>2025.0</v>
      </c>
      <c r="B136" s="17" t="s">
        <v>62</v>
      </c>
      <c r="C136" s="16" t="s">
        <v>13</v>
      </c>
      <c r="D136" s="7" t="s">
        <v>765</v>
      </c>
      <c r="E136" s="10" t="s">
        <v>766</v>
      </c>
      <c r="F136" s="9" t="s">
        <v>767</v>
      </c>
      <c r="G136" s="10" t="s">
        <v>285</v>
      </c>
      <c r="H136" s="18" t="s">
        <v>768</v>
      </c>
      <c r="I136" s="5" t="s">
        <v>47</v>
      </c>
      <c r="J136" s="12" t="s">
        <v>769</v>
      </c>
      <c r="K136" s="5"/>
      <c r="L136" s="5"/>
      <c r="M136" s="5"/>
    </row>
    <row r="137" ht="15.75" customHeight="1">
      <c r="A137" s="5">
        <v>2025.0</v>
      </c>
      <c r="B137" s="17" t="s">
        <v>12</v>
      </c>
      <c r="C137" s="16" t="s">
        <v>13</v>
      </c>
      <c r="D137" s="7" t="s">
        <v>770</v>
      </c>
      <c r="E137" s="10" t="s">
        <v>771</v>
      </c>
      <c r="F137" s="9" t="s">
        <v>772</v>
      </c>
      <c r="G137" s="10" t="s">
        <v>13</v>
      </c>
      <c r="H137" s="18" t="s">
        <v>773</v>
      </c>
      <c r="I137" s="5" t="s">
        <v>47</v>
      </c>
      <c r="J137" s="12" t="s">
        <v>774</v>
      </c>
      <c r="K137" s="5"/>
      <c r="L137" s="5"/>
      <c r="M137" s="5"/>
    </row>
    <row r="138" ht="15.75" customHeight="1">
      <c r="A138" s="5">
        <v>2025.0</v>
      </c>
      <c r="B138" s="17" t="s">
        <v>12</v>
      </c>
      <c r="C138" s="16" t="s">
        <v>204</v>
      </c>
      <c r="D138" s="7" t="s">
        <v>775</v>
      </c>
      <c r="E138" s="10" t="s">
        <v>776</v>
      </c>
      <c r="F138" s="9" t="s">
        <v>777</v>
      </c>
      <c r="G138" s="10" t="s">
        <v>778</v>
      </c>
      <c r="H138" s="11" t="s">
        <v>779</v>
      </c>
      <c r="I138" s="5" t="s">
        <v>47</v>
      </c>
      <c r="J138" s="12" t="s">
        <v>780</v>
      </c>
      <c r="K138" s="5"/>
      <c r="L138" s="5"/>
      <c r="M138" s="5"/>
    </row>
    <row r="139" ht="15.75" customHeight="1">
      <c r="A139" s="5">
        <v>2025.0</v>
      </c>
      <c r="B139" s="17" t="s">
        <v>12</v>
      </c>
      <c r="C139" s="16" t="s">
        <v>204</v>
      </c>
      <c r="D139" s="7" t="s">
        <v>781</v>
      </c>
      <c r="E139" s="10" t="s">
        <v>782</v>
      </c>
      <c r="F139" s="9" t="s">
        <v>783</v>
      </c>
      <c r="G139" s="10" t="s">
        <v>784</v>
      </c>
      <c r="H139" s="11" t="s">
        <v>785</v>
      </c>
      <c r="I139" s="5" t="s">
        <v>13</v>
      </c>
      <c r="J139" s="12" t="s">
        <v>786</v>
      </c>
      <c r="K139" s="5"/>
      <c r="L139" s="5"/>
      <c r="M139" s="5"/>
    </row>
    <row r="140" ht="15.75" customHeight="1">
      <c r="A140" s="5">
        <v>2025.0</v>
      </c>
      <c r="B140" s="17" t="s">
        <v>648</v>
      </c>
      <c r="C140" s="14" t="s">
        <v>573</v>
      </c>
      <c r="D140" s="7" t="s">
        <v>787</v>
      </c>
      <c r="E140" s="10" t="s">
        <v>675</v>
      </c>
      <c r="F140" s="9" t="s">
        <v>788</v>
      </c>
      <c r="G140" s="10" t="s">
        <v>13</v>
      </c>
      <c r="H140" s="11" t="s">
        <v>789</v>
      </c>
      <c r="I140" s="5" t="s">
        <v>13</v>
      </c>
      <c r="J140" s="12" t="s">
        <v>790</v>
      </c>
      <c r="K140" s="5"/>
      <c r="L140" s="5"/>
      <c r="M140" s="5"/>
    </row>
    <row r="141" ht="15.75" customHeight="1">
      <c r="A141" s="5">
        <v>2025.0</v>
      </c>
      <c r="B141" s="17" t="s">
        <v>12</v>
      </c>
      <c r="C141" s="16" t="s">
        <v>204</v>
      </c>
      <c r="D141" s="7" t="s">
        <v>791</v>
      </c>
      <c r="E141" s="10" t="s">
        <v>792</v>
      </c>
      <c r="F141" s="9" t="s">
        <v>793</v>
      </c>
      <c r="G141" s="10" t="s">
        <v>794</v>
      </c>
      <c r="H141" s="11" t="s">
        <v>795</v>
      </c>
      <c r="I141" s="5" t="s">
        <v>13</v>
      </c>
      <c r="J141" s="12" t="s">
        <v>796</v>
      </c>
      <c r="K141" s="5"/>
      <c r="L141" s="5"/>
      <c r="M141" s="5"/>
    </row>
    <row r="142" ht="15.75" customHeight="1">
      <c r="A142" s="5">
        <v>2025.0</v>
      </c>
      <c r="B142" s="6" t="s">
        <v>12</v>
      </c>
      <c r="C142" s="16" t="s">
        <v>13</v>
      </c>
      <c r="D142" s="7" t="s">
        <v>797</v>
      </c>
      <c r="E142" s="10" t="s">
        <v>798</v>
      </c>
      <c r="F142" s="9" t="s">
        <v>799</v>
      </c>
      <c r="G142" s="10" t="s">
        <v>800</v>
      </c>
      <c r="H142" s="11" t="s">
        <v>801</v>
      </c>
      <c r="I142" s="5" t="s">
        <v>47</v>
      </c>
      <c r="J142" s="12" t="s">
        <v>13</v>
      </c>
      <c r="K142" s="5"/>
      <c r="L142" s="5"/>
      <c r="M142" s="5"/>
    </row>
    <row r="143" ht="15.75" customHeight="1">
      <c r="A143" s="5">
        <v>2025.0</v>
      </c>
      <c r="B143" s="14" t="s">
        <v>62</v>
      </c>
      <c r="C143" s="16" t="s">
        <v>13</v>
      </c>
      <c r="D143" s="7" t="s">
        <v>802</v>
      </c>
      <c r="E143" s="10" t="s">
        <v>803</v>
      </c>
      <c r="F143" s="9" t="s">
        <v>804</v>
      </c>
      <c r="G143" s="10" t="s">
        <v>13</v>
      </c>
      <c r="H143" s="11" t="s">
        <v>805</v>
      </c>
      <c r="I143" s="5" t="s">
        <v>13</v>
      </c>
      <c r="J143" s="12" t="s">
        <v>13</v>
      </c>
      <c r="K143" s="5"/>
      <c r="L143" s="5"/>
      <c r="M143" s="5"/>
    </row>
    <row r="144" ht="15.75" customHeight="1">
      <c r="A144" s="5">
        <v>2025.0</v>
      </c>
      <c r="B144" s="17" t="s">
        <v>12</v>
      </c>
      <c r="C144" s="16" t="s">
        <v>13</v>
      </c>
      <c r="D144" s="7" t="s">
        <v>806</v>
      </c>
      <c r="E144" s="10" t="s">
        <v>807</v>
      </c>
      <c r="F144" s="9" t="s">
        <v>808</v>
      </c>
      <c r="G144" s="10" t="s">
        <v>809</v>
      </c>
      <c r="H144" s="11" t="s">
        <v>810</v>
      </c>
      <c r="I144" s="5" t="s">
        <v>13</v>
      </c>
      <c r="J144" s="12" t="s">
        <v>811</v>
      </c>
      <c r="K144" s="5"/>
      <c r="L144" s="5"/>
      <c r="M144" s="5"/>
    </row>
    <row r="145" ht="15.75" customHeight="1">
      <c r="A145" s="5">
        <v>2025.0</v>
      </c>
      <c r="B145" s="17" t="s">
        <v>812</v>
      </c>
      <c r="C145" s="16" t="s">
        <v>13</v>
      </c>
      <c r="D145" s="7" t="s">
        <v>813</v>
      </c>
      <c r="E145" s="10" t="s">
        <v>814</v>
      </c>
      <c r="F145" s="9" t="s">
        <v>815</v>
      </c>
      <c r="G145" s="10" t="s">
        <v>809</v>
      </c>
      <c r="H145" s="11" t="s">
        <v>816</v>
      </c>
      <c r="I145" s="5" t="s">
        <v>13</v>
      </c>
      <c r="J145" s="12" t="s">
        <v>817</v>
      </c>
      <c r="K145" s="5"/>
      <c r="L145" s="5"/>
      <c r="M145" s="5"/>
    </row>
    <row r="146" ht="15.75" customHeight="1">
      <c r="A146" s="5">
        <v>2025.0</v>
      </c>
      <c r="B146" s="17" t="s">
        <v>12</v>
      </c>
      <c r="C146" s="16" t="s">
        <v>204</v>
      </c>
      <c r="D146" s="7" t="s">
        <v>818</v>
      </c>
      <c r="E146" s="10" t="s">
        <v>819</v>
      </c>
      <c r="F146" s="9" t="s">
        <v>820</v>
      </c>
      <c r="G146" s="10" t="s">
        <v>821</v>
      </c>
      <c r="H146" s="11" t="s">
        <v>822</v>
      </c>
      <c r="I146" s="5"/>
      <c r="J146" s="12"/>
      <c r="K146" s="5"/>
      <c r="L146" s="5"/>
      <c r="M146" s="5"/>
    </row>
    <row r="147" ht="15.75" customHeight="1">
      <c r="A147" s="5">
        <v>2025.0</v>
      </c>
      <c r="B147" s="17" t="s">
        <v>12</v>
      </c>
      <c r="C147" s="16" t="s">
        <v>13</v>
      </c>
      <c r="D147" s="7" t="s">
        <v>604</v>
      </c>
      <c r="E147" s="10" t="s">
        <v>823</v>
      </c>
      <c r="F147" s="9" t="s">
        <v>824</v>
      </c>
      <c r="G147" s="10" t="s">
        <v>825</v>
      </c>
      <c r="H147" s="11" t="s">
        <v>826</v>
      </c>
      <c r="I147" s="5" t="s">
        <v>13</v>
      </c>
      <c r="J147" s="12" t="s">
        <v>827</v>
      </c>
      <c r="K147" s="5"/>
      <c r="L147" s="5"/>
      <c r="M147" s="5"/>
    </row>
    <row r="148" ht="15.75" customHeight="1">
      <c r="A148" s="5">
        <v>2025.0</v>
      </c>
      <c r="B148" s="17" t="s">
        <v>12</v>
      </c>
      <c r="C148" s="16" t="s">
        <v>13</v>
      </c>
      <c r="D148" s="7" t="s">
        <v>828</v>
      </c>
      <c r="E148" s="10" t="s">
        <v>829</v>
      </c>
      <c r="F148" s="9" t="s">
        <v>830</v>
      </c>
      <c r="G148" s="10" t="s">
        <v>13</v>
      </c>
      <c r="H148" s="11" t="s">
        <v>831</v>
      </c>
      <c r="I148" s="5" t="s">
        <v>13</v>
      </c>
      <c r="J148" s="12" t="s">
        <v>13</v>
      </c>
      <c r="K148" s="5"/>
      <c r="L148" s="5"/>
      <c r="M148" s="5"/>
    </row>
    <row r="149" ht="15.75" customHeight="1">
      <c r="A149" s="5">
        <v>2025.0</v>
      </c>
      <c r="B149" s="14" t="s">
        <v>62</v>
      </c>
      <c r="C149" s="16" t="s">
        <v>13</v>
      </c>
      <c r="D149" s="7" t="s">
        <v>832</v>
      </c>
      <c r="E149" s="10" t="s">
        <v>833</v>
      </c>
      <c r="F149" s="9" t="s">
        <v>834</v>
      </c>
      <c r="G149" s="10" t="s">
        <v>835</v>
      </c>
      <c r="H149" s="11" t="s">
        <v>836</v>
      </c>
      <c r="I149" s="5" t="s">
        <v>47</v>
      </c>
      <c r="J149" s="12" t="s">
        <v>837</v>
      </c>
      <c r="K149" s="5"/>
      <c r="L149" s="5"/>
      <c r="M149" s="5"/>
    </row>
    <row r="150" ht="15.75" customHeight="1">
      <c r="A150" s="5">
        <v>2025.0</v>
      </c>
      <c r="B150" s="17" t="s">
        <v>12</v>
      </c>
      <c r="C150" s="16" t="s">
        <v>204</v>
      </c>
      <c r="D150" s="7" t="s">
        <v>838</v>
      </c>
      <c r="E150" s="10" t="s">
        <v>839</v>
      </c>
      <c r="F150" s="9" t="s">
        <v>840</v>
      </c>
      <c r="G150" s="10" t="s">
        <v>841</v>
      </c>
      <c r="H150" s="11" t="s">
        <v>842</v>
      </c>
      <c r="I150" s="5" t="s">
        <v>13</v>
      </c>
      <c r="J150" s="12" t="s">
        <v>843</v>
      </c>
      <c r="K150" s="5"/>
      <c r="L150" s="5"/>
      <c r="M150" s="5"/>
    </row>
    <row r="151" ht="15.75" customHeight="1">
      <c r="A151" s="5">
        <v>2025.0</v>
      </c>
      <c r="B151" s="17" t="s">
        <v>12</v>
      </c>
      <c r="C151" s="16" t="s">
        <v>13</v>
      </c>
      <c r="D151" s="7" t="s">
        <v>844</v>
      </c>
      <c r="E151" s="10" t="s">
        <v>845</v>
      </c>
      <c r="F151" s="9" t="s">
        <v>846</v>
      </c>
      <c r="G151" s="10" t="s">
        <v>847</v>
      </c>
      <c r="H151" s="11" t="s">
        <v>848</v>
      </c>
      <c r="I151" s="5" t="s">
        <v>13</v>
      </c>
      <c r="J151" s="12" t="s">
        <v>13</v>
      </c>
      <c r="K151" s="5"/>
      <c r="L151" s="5"/>
      <c r="M151" s="5"/>
    </row>
    <row r="152" ht="15.75" customHeight="1">
      <c r="A152" s="5">
        <v>2025.0</v>
      </c>
      <c r="B152" s="14" t="s">
        <v>62</v>
      </c>
      <c r="C152" s="16"/>
      <c r="D152" s="7" t="s">
        <v>849</v>
      </c>
      <c r="E152" s="10" t="s">
        <v>850</v>
      </c>
      <c r="F152" s="9" t="s">
        <v>851</v>
      </c>
      <c r="G152" s="10" t="s">
        <v>852</v>
      </c>
      <c r="H152" s="11" t="s">
        <v>853</v>
      </c>
      <c r="I152" s="5"/>
      <c r="J152" s="12" t="s">
        <v>854</v>
      </c>
      <c r="K152" s="5"/>
      <c r="L152" s="5"/>
      <c r="M152" s="5"/>
    </row>
    <row r="153" ht="15.75" customHeight="1">
      <c r="A153" s="5">
        <v>2025.0</v>
      </c>
      <c r="B153" s="17" t="s">
        <v>12</v>
      </c>
      <c r="C153" s="16" t="s">
        <v>13</v>
      </c>
      <c r="D153" s="7" t="s">
        <v>855</v>
      </c>
      <c r="E153" s="10" t="s">
        <v>856</v>
      </c>
      <c r="F153" s="9" t="s">
        <v>857</v>
      </c>
      <c r="G153" s="10" t="s">
        <v>858</v>
      </c>
      <c r="H153" s="11" t="s">
        <v>859</v>
      </c>
      <c r="I153" s="5" t="s">
        <v>13</v>
      </c>
      <c r="J153" s="12" t="s">
        <v>860</v>
      </c>
      <c r="K153" s="5"/>
      <c r="L153" s="5"/>
      <c r="M153" s="5"/>
    </row>
    <row r="154" ht="15.75" customHeight="1">
      <c r="A154" s="5">
        <v>2024.0</v>
      </c>
      <c r="B154" s="17" t="s">
        <v>12</v>
      </c>
      <c r="C154" s="16" t="s">
        <v>13</v>
      </c>
      <c r="D154" s="7" t="s">
        <v>861</v>
      </c>
      <c r="E154" s="10" t="s">
        <v>862</v>
      </c>
      <c r="F154" s="9" t="s">
        <v>863</v>
      </c>
      <c r="G154" s="10" t="s">
        <v>864</v>
      </c>
      <c r="H154" s="11" t="s">
        <v>865</v>
      </c>
      <c r="I154" s="5" t="s">
        <v>13</v>
      </c>
      <c r="J154" s="12" t="s">
        <v>866</v>
      </c>
      <c r="K154" s="5"/>
      <c r="L154" s="5"/>
      <c r="M154" s="5"/>
    </row>
    <row r="155" ht="15.75" customHeight="1">
      <c r="A155" s="5">
        <v>2025.0</v>
      </c>
      <c r="B155" s="14" t="s">
        <v>62</v>
      </c>
      <c r="C155" s="16" t="s">
        <v>13</v>
      </c>
      <c r="D155" s="7" t="s">
        <v>867</v>
      </c>
      <c r="E155" s="10" t="s">
        <v>868</v>
      </c>
      <c r="F155" s="9" t="s">
        <v>869</v>
      </c>
      <c r="G155" s="10" t="s">
        <v>870</v>
      </c>
      <c r="H155" s="11" t="s">
        <v>871</v>
      </c>
      <c r="I155" s="5" t="s">
        <v>47</v>
      </c>
      <c r="J155" s="12" t="s">
        <v>872</v>
      </c>
      <c r="K155" s="5"/>
      <c r="L155" s="5"/>
      <c r="M155" s="5"/>
    </row>
    <row r="156" ht="15.75" customHeight="1">
      <c r="A156" s="5">
        <v>2025.0</v>
      </c>
      <c r="B156" s="14" t="s">
        <v>62</v>
      </c>
      <c r="C156" s="16" t="s">
        <v>13</v>
      </c>
      <c r="D156" s="7" t="s">
        <v>873</v>
      </c>
      <c r="E156" s="10" t="s">
        <v>874</v>
      </c>
      <c r="F156" s="9" t="s">
        <v>875</v>
      </c>
      <c r="G156" s="10" t="s">
        <v>876</v>
      </c>
      <c r="H156" s="11" t="s">
        <v>877</v>
      </c>
      <c r="I156" s="5" t="s">
        <v>47</v>
      </c>
      <c r="J156" s="12" t="s">
        <v>878</v>
      </c>
      <c r="K156" s="5"/>
      <c r="L156" s="5"/>
      <c r="M156" s="5"/>
    </row>
    <row r="157" ht="15.75" customHeight="1">
      <c r="A157" s="5">
        <v>2025.0</v>
      </c>
      <c r="B157" s="14" t="s">
        <v>62</v>
      </c>
      <c r="C157" s="16" t="s">
        <v>13</v>
      </c>
      <c r="D157" s="7" t="s">
        <v>879</v>
      </c>
      <c r="E157" s="10" t="s">
        <v>880</v>
      </c>
      <c r="F157" s="9" t="s">
        <v>881</v>
      </c>
      <c r="G157" s="10" t="s">
        <v>882</v>
      </c>
      <c r="H157" s="11" t="s">
        <v>883</v>
      </c>
      <c r="I157" s="5" t="s">
        <v>13</v>
      </c>
      <c r="J157" s="12" t="s">
        <v>884</v>
      </c>
      <c r="K157" s="5"/>
      <c r="L157" s="5"/>
      <c r="M157" s="5"/>
    </row>
    <row r="158" ht="15.75" customHeight="1">
      <c r="A158" s="5">
        <v>2025.0</v>
      </c>
      <c r="B158" s="14" t="s">
        <v>62</v>
      </c>
      <c r="C158" s="16" t="s">
        <v>13</v>
      </c>
      <c r="D158" s="7" t="s">
        <v>885</v>
      </c>
      <c r="E158" s="10" t="s">
        <v>886</v>
      </c>
      <c r="F158" s="9" t="s">
        <v>887</v>
      </c>
      <c r="G158" s="10" t="s">
        <v>888</v>
      </c>
      <c r="H158" s="11" t="s">
        <v>889</v>
      </c>
      <c r="I158" s="5" t="s">
        <v>13</v>
      </c>
      <c r="J158" s="12" t="s">
        <v>890</v>
      </c>
      <c r="K158" s="5"/>
      <c r="L158" s="5"/>
      <c r="M158" s="5"/>
    </row>
    <row r="159" ht="15.75" customHeight="1">
      <c r="A159" s="5">
        <v>2025.0</v>
      </c>
      <c r="B159" s="14" t="s">
        <v>62</v>
      </c>
      <c r="C159" s="16" t="s">
        <v>13</v>
      </c>
      <c r="D159" s="7" t="s">
        <v>891</v>
      </c>
      <c r="E159" s="10" t="s">
        <v>892</v>
      </c>
      <c r="F159" s="9" t="s">
        <v>893</v>
      </c>
      <c r="G159" s="10" t="s">
        <v>888</v>
      </c>
      <c r="H159" s="11" t="s">
        <v>894</v>
      </c>
      <c r="I159" s="5" t="s">
        <v>13</v>
      </c>
      <c r="J159" s="12" t="s">
        <v>895</v>
      </c>
      <c r="K159" s="5"/>
      <c r="L159" s="5"/>
      <c r="M159" s="5"/>
    </row>
    <row r="160" ht="15.75" customHeight="1">
      <c r="A160" s="5">
        <v>2025.0</v>
      </c>
      <c r="B160" s="17" t="s">
        <v>690</v>
      </c>
      <c r="C160" s="16"/>
      <c r="D160" s="7" t="s">
        <v>896</v>
      </c>
      <c r="E160" s="10" t="s">
        <v>897</v>
      </c>
      <c r="F160" s="9" t="s">
        <v>898</v>
      </c>
      <c r="G160" s="10" t="s">
        <v>899</v>
      </c>
      <c r="H160" s="11" t="s">
        <v>900</v>
      </c>
      <c r="I160" s="5"/>
      <c r="J160" s="12" t="s">
        <v>901</v>
      </c>
      <c r="K160" s="5"/>
      <c r="L160" s="5"/>
      <c r="M160" s="5"/>
    </row>
    <row r="161" ht="15.75" customHeight="1">
      <c r="A161" s="5">
        <v>2025.0</v>
      </c>
      <c r="B161" s="17" t="s">
        <v>12</v>
      </c>
      <c r="C161" s="16" t="s">
        <v>13</v>
      </c>
      <c r="D161" s="7" t="s">
        <v>902</v>
      </c>
      <c r="E161" s="10" t="s">
        <v>903</v>
      </c>
      <c r="F161" s="9" t="s">
        <v>904</v>
      </c>
      <c r="G161" s="10" t="s">
        <v>905</v>
      </c>
      <c r="H161" s="11" t="s">
        <v>906</v>
      </c>
      <c r="I161" s="5" t="s">
        <v>47</v>
      </c>
      <c r="J161" s="12" t="s">
        <v>907</v>
      </c>
      <c r="K161" s="5"/>
      <c r="L161" s="5"/>
      <c r="M161" s="5"/>
    </row>
    <row r="162" ht="15.75" customHeight="1">
      <c r="A162" s="5">
        <v>2025.0</v>
      </c>
      <c r="B162" s="17" t="s">
        <v>690</v>
      </c>
      <c r="C162" s="16" t="s">
        <v>13</v>
      </c>
      <c r="D162" s="7" t="s">
        <v>908</v>
      </c>
      <c r="E162" s="10" t="s">
        <v>909</v>
      </c>
      <c r="F162" s="9" t="s">
        <v>910</v>
      </c>
      <c r="G162" s="10" t="s">
        <v>911</v>
      </c>
      <c r="H162" s="11" t="s">
        <v>912</v>
      </c>
      <c r="I162" s="5" t="s">
        <v>13</v>
      </c>
      <c r="J162" s="12" t="s">
        <v>13</v>
      </c>
      <c r="K162" s="5"/>
      <c r="L162" s="5"/>
      <c r="M162" s="5"/>
    </row>
    <row r="163" ht="15.75" customHeight="1">
      <c r="A163" s="5">
        <v>2025.0</v>
      </c>
      <c r="B163" s="14" t="s">
        <v>62</v>
      </c>
      <c r="C163" s="16" t="s">
        <v>13</v>
      </c>
      <c r="D163" s="7" t="s">
        <v>913</v>
      </c>
      <c r="E163" s="10" t="s">
        <v>914</v>
      </c>
      <c r="F163" s="9" t="s">
        <v>915</v>
      </c>
      <c r="G163" s="10" t="s">
        <v>916</v>
      </c>
      <c r="H163" s="11" t="s">
        <v>917</v>
      </c>
      <c r="I163" s="5" t="s">
        <v>13</v>
      </c>
      <c r="J163" s="12" t="s">
        <v>918</v>
      </c>
      <c r="K163" s="5"/>
      <c r="L163" s="5"/>
      <c r="M163" s="5"/>
    </row>
    <row r="164" ht="15.75" customHeight="1">
      <c r="A164" s="5">
        <v>2025.0</v>
      </c>
      <c r="B164" s="17" t="s">
        <v>12</v>
      </c>
      <c r="C164" s="16" t="s">
        <v>13</v>
      </c>
      <c r="D164" s="7" t="s">
        <v>919</v>
      </c>
      <c r="E164" s="10" t="s">
        <v>920</v>
      </c>
      <c r="F164" s="9" t="s">
        <v>921</v>
      </c>
      <c r="G164" s="10" t="s">
        <v>922</v>
      </c>
      <c r="H164" s="11" t="s">
        <v>923</v>
      </c>
      <c r="I164" s="5" t="s">
        <v>47</v>
      </c>
      <c r="J164" s="12" t="s">
        <v>13</v>
      </c>
      <c r="K164" s="5"/>
      <c r="L164" s="5"/>
      <c r="M164" s="5"/>
    </row>
    <row r="165" ht="15.75" customHeight="1">
      <c r="A165" s="5">
        <v>2025.0</v>
      </c>
      <c r="B165" s="17" t="s">
        <v>12</v>
      </c>
      <c r="C165" s="16" t="s">
        <v>13</v>
      </c>
      <c r="D165" s="7" t="s">
        <v>924</v>
      </c>
      <c r="E165" s="10" t="s">
        <v>925</v>
      </c>
      <c r="F165" s="9" t="s">
        <v>926</v>
      </c>
      <c r="G165" s="10" t="s">
        <v>927</v>
      </c>
      <c r="H165" s="11" t="s">
        <v>928</v>
      </c>
      <c r="I165" s="5" t="s">
        <v>13</v>
      </c>
      <c r="J165" s="12" t="s">
        <v>703</v>
      </c>
      <c r="K165" s="5"/>
      <c r="L165" s="5"/>
      <c r="M165" s="5"/>
    </row>
    <row r="166" ht="15.75" customHeight="1">
      <c r="A166" s="5">
        <v>2025.0</v>
      </c>
      <c r="B166" s="17" t="s">
        <v>12</v>
      </c>
      <c r="C166" s="16" t="s">
        <v>13</v>
      </c>
      <c r="D166" s="7" t="s">
        <v>929</v>
      </c>
      <c r="E166" s="10" t="s">
        <v>930</v>
      </c>
      <c r="F166" s="9" t="s">
        <v>931</v>
      </c>
      <c r="G166" s="10" t="s">
        <v>932</v>
      </c>
      <c r="H166" s="11" t="s">
        <v>933</v>
      </c>
      <c r="I166" s="5" t="s">
        <v>47</v>
      </c>
      <c r="J166" s="12" t="s">
        <v>13</v>
      </c>
      <c r="K166" s="5"/>
      <c r="L166" s="5"/>
      <c r="M166" s="5"/>
    </row>
    <row r="167" ht="15.75" customHeight="1">
      <c r="A167" s="5">
        <v>2025.0</v>
      </c>
      <c r="B167" s="17" t="s">
        <v>12</v>
      </c>
      <c r="C167" s="16" t="s">
        <v>13</v>
      </c>
      <c r="D167" s="7" t="s">
        <v>934</v>
      </c>
      <c r="E167" s="10" t="s">
        <v>935</v>
      </c>
      <c r="F167" s="9" t="s">
        <v>936</v>
      </c>
      <c r="G167" s="10" t="s">
        <v>937</v>
      </c>
      <c r="H167" s="11" t="s">
        <v>938</v>
      </c>
      <c r="I167" s="5" t="s">
        <v>47</v>
      </c>
      <c r="J167" s="12" t="s">
        <v>939</v>
      </c>
      <c r="K167" s="5"/>
      <c r="L167" s="5"/>
      <c r="M167" s="5"/>
    </row>
    <row r="168" ht="15.75" customHeight="1">
      <c r="A168" s="5">
        <v>2025.0</v>
      </c>
      <c r="B168" s="17" t="s">
        <v>12</v>
      </c>
      <c r="C168" s="16" t="s">
        <v>13</v>
      </c>
      <c r="D168" s="7" t="s">
        <v>940</v>
      </c>
      <c r="E168" s="10" t="s">
        <v>941</v>
      </c>
      <c r="F168" s="9" t="s">
        <v>942</v>
      </c>
      <c r="G168" s="10" t="s">
        <v>943</v>
      </c>
      <c r="H168" s="11" t="s">
        <v>944</v>
      </c>
      <c r="I168" s="5" t="s">
        <v>13</v>
      </c>
      <c r="J168" s="12" t="s">
        <v>945</v>
      </c>
      <c r="K168" s="5"/>
      <c r="L168" s="5"/>
      <c r="M168" s="5"/>
    </row>
    <row r="169" ht="15.75" customHeight="1">
      <c r="A169" s="5">
        <v>2025.0</v>
      </c>
      <c r="B169" s="17" t="s">
        <v>690</v>
      </c>
      <c r="C169" s="16" t="s">
        <v>13</v>
      </c>
      <c r="D169" s="7" t="s">
        <v>946</v>
      </c>
      <c r="E169" s="10" t="s">
        <v>947</v>
      </c>
      <c r="F169" s="9" t="s">
        <v>948</v>
      </c>
      <c r="G169" s="10" t="s">
        <v>949</v>
      </c>
      <c r="H169" s="11" t="s">
        <v>950</v>
      </c>
      <c r="I169" s="5" t="s">
        <v>47</v>
      </c>
      <c r="J169" s="12" t="s">
        <v>423</v>
      </c>
      <c r="K169" s="5"/>
      <c r="L169" s="5"/>
      <c r="M169" s="5"/>
    </row>
    <row r="170" ht="15.75" customHeight="1">
      <c r="A170" s="5">
        <v>2025.0</v>
      </c>
      <c r="B170" s="17" t="s">
        <v>12</v>
      </c>
      <c r="C170" s="16" t="s">
        <v>13</v>
      </c>
      <c r="D170" s="7" t="s">
        <v>951</v>
      </c>
      <c r="E170" s="10" t="s">
        <v>952</v>
      </c>
      <c r="F170" s="9" t="s">
        <v>953</v>
      </c>
      <c r="G170" s="10" t="s">
        <v>13</v>
      </c>
      <c r="H170" s="11" t="s">
        <v>954</v>
      </c>
      <c r="I170" s="5" t="s">
        <v>13</v>
      </c>
      <c r="J170" s="12" t="s">
        <v>13</v>
      </c>
      <c r="K170" s="5"/>
      <c r="L170" s="5"/>
      <c r="M170" s="5"/>
    </row>
    <row r="171" ht="15.75" customHeight="1">
      <c r="A171" s="5">
        <v>2025.0</v>
      </c>
      <c r="B171" s="14" t="s">
        <v>62</v>
      </c>
      <c r="C171" s="16"/>
      <c r="D171" s="7" t="s">
        <v>955</v>
      </c>
      <c r="E171" s="10" t="s">
        <v>956</v>
      </c>
      <c r="F171" s="9" t="s">
        <v>957</v>
      </c>
      <c r="G171" s="10" t="s">
        <v>899</v>
      </c>
      <c r="H171" s="11" t="s">
        <v>958</v>
      </c>
      <c r="I171" s="5" t="s">
        <v>47</v>
      </c>
      <c r="J171" s="12"/>
      <c r="K171" s="5"/>
      <c r="L171" s="5"/>
      <c r="M171" s="5"/>
    </row>
    <row r="172" ht="15.75" customHeight="1">
      <c r="A172" s="5">
        <v>2025.0</v>
      </c>
      <c r="B172" s="14" t="s">
        <v>62</v>
      </c>
      <c r="C172" s="16" t="s">
        <v>13</v>
      </c>
      <c r="D172" s="7" t="s">
        <v>959</v>
      </c>
      <c r="E172" s="10" t="s">
        <v>960</v>
      </c>
      <c r="F172" s="9" t="s">
        <v>961</v>
      </c>
      <c r="G172" s="10" t="s">
        <v>521</v>
      </c>
      <c r="H172" s="11" t="s">
        <v>962</v>
      </c>
      <c r="I172" s="5" t="s">
        <v>47</v>
      </c>
      <c r="J172" s="12" t="s">
        <v>963</v>
      </c>
      <c r="K172" s="5"/>
      <c r="L172" s="5"/>
      <c r="M172" s="5"/>
    </row>
    <row r="173" ht="15.75" customHeight="1">
      <c r="A173" s="5">
        <v>2025.0</v>
      </c>
      <c r="B173" s="17" t="s">
        <v>12</v>
      </c>
      <c r="C173" s="16" t="s">
        <v>13</v>
      </c>
      <c r="D173" s="7" t="s">
        <v>964</v>
      </c>
      <c r="E173" s="10" t="s">
        <v>965</v>
      </c>
      <c r="F173" s="9" t="s">
        <v>966</v>
      </c>
      <c r="G173" s="10" t="s">
        <v>967</v>
      </c>
      <c r="H173" s="11" t="s">
        <v>968</v>
      </c>
      <c r="I173" s="5" t="s">
        <v>13</v>
      </c>
      <c r="J173" s="12" t="s">
        <v>13</v>
      </c>
      <c r="K173" s="5"/>
      <c r="L173" s="5"/>
      <c r="M173" s="5"/>
    </row>
    <row r="174" ht="15.75" customHeight="1">
      <c r="A174" s="5">
        <v>2025.0</v>
      </c>
      <c r="B174" s="17" t="s">
        <v>12</v>
      </c>
      <c r="C174" s="16" t="s">
        <v>13</v>
      </c>
      <c r="D174" s="7" t="s">
        <v>969</v>
      </c>
      <c r="E174" s="10" t="s">
        <v>970</v>
      </c>
      <c r="F174" s="9" t="s">
        <v>971</v>
      </c>
      <c r="G174" s="10" t="s">
        <v>77</v>
      </c>
      <c r="H174" s="11" t="s">
        <v>972</v>
      </c>
      <c r="I174" s="5" t="s">
        <v>47</v>
      </c>
      <c r="J174" s="12" t="s">
        <v>13</v>
      </c>
      <c r="K174" s="5"/>
      <c r="L174" s="5"/>
      <c r="M174" s="5"/>
    </row>
    <row r="175" ht="15.75" customHeight="1">
      <c r="A175" s="5">
        <v>2025.0</v>
      </c>
      <c r="B175" s="17" t="s">
        <v>62</v>
      </c>
      <c r="C175" s="16" t="s">
        <v>13</v>
      </c>
      <c r="D175" s="7" t="s">
        <v>973</v>
      </c>
      <c r="E175" s="10" t="s">
        <v>974</v>
      </c>
      <c r="F175" s="9" t="s">
        <v>975</v>
      </c>
      <c r="G175" s="10" t="s">
        <v>976</v>
      </c>
      <c r="H175" s="11" t="s">
        <v>977</v>
      </c>
      <c r="I175" s="5" t="s">
        <v>47</v>
      </c>
      <c r="J175" s="12" t="s">
        <v>978</v>
      </c>
      <c r="K175" s="5"/>
      <c r="L175" s="5"/>
      <c r="M175" s="5"/>
    </row>
    <row r="176" ht="15.75" customHeight="1">
      <c r="A176" s="5">
        <v>2025.0</v>
      </c>
      <c r="B176" s="17" t="s">
        <v>12</v>
      </c>
      <c r="C176" s="16" t="s">
        <v>13</v>
      </c>
      <c r="D176" s="7" t="s">
        <v>979</v>
      </c>
      <c r="E176" s="10" t="s">
        <v>980</v>
      </c>
      <c r="F176" s="9" t="s">
        <v>981</v>
      </c>
      <c r="G176" s="10" t="s">
        <v>13</v>
      </c>
      <c r="H176" s="11" t="s">
        <v>982</v>
      </c>
      <c r="I176" s="5" t="s">
        <v>13</v>
      </c>
      <c r="J176" s="12" t="s">
        <v>983</v>
      </c>
      <c r="K176" s="5"/>
      <c r="L176" s="5"/>
      <c r="M176" s="5"/>
    </row>
    <row r="177" ht="15.75" customHeight="1">
      <c r="A177" s="5">
        <v>2025.0</v>
      </c>
      <c r="B177" s="19" t="s">
        <v>12</v>
      </c>
      <c r="C177" s="16" t="s">
        <v>204</v>
      </c>
      <c r="D177" s="7" t="s">
        <v>984</v>
      </c>
      <c r="E177" s="10" t="s">
        <v>985</v>
      </c>
      <c r="F177" s="9" t="s">
        <v>986</v>
      </c>
      <c r="G177" s="10" t="s">
        <v>220</v>
      </c>
      <c r="H177" s="11" t="s">
        <v>987</v>
      </c>
      <c r="I177" s="5" t="s">
        <v>47</v>
      </c>
      <c r="J177" s="12" t="s">
        <v>13</v>
      </c>
      <c r="K177" s="5"/>
      <c r="L177" s="5"/>
      <c r="M177" s="5"/>
    </row>
    <row r="178" ht="15.75" customHeight="1">
      <c r="A178" s="5">
        <v>2025.0</v>
      </c>
      <c r="B178" s="6" t="s">
        <v>988</v>
      </c>
      <c r="C178" s="16" t="s">
        <v>13</v>
      </c>
      <c r="D178" s="7" t="s">
        <v>989</v>
      </c>
      <c r="E178" s="10" t="s">
        <v>990</v>
      </c>
      <c r="F178" s="9" t="s">
        <v>991</v>
      </c>
      <c r="G178" s="10" t="s">
        <v>992</v>
      </c>
      <c r="H178" s="11" t="s">
        <v>993</v>
      </c>
      <c r="I178" s="5" t="s">
        <v>47</v>
      </c>
      <c r="J178" s="12" t="s">
        <v>13</v>
      </c>
      <c r="K178" s="5"/>
      <c r="L178" s="5"/>
      <c r="M178" s="5"/>
    </row>
    <row r="179" ht="15.75" customHeight="1">
      <c r="A179" s="5">
        <v>2025.0</v>
      </c>
      <c r="B179" s="6" t="s">
        <v>124</v>
      </c>
      <c r="C179" s="16" t="s">
        <v>13</v>
      </c>
      <c r="D179" s="7" t="s">
        <v>994</v>
      </c>
      <c r="E179" s="10" t="s">
        <v>995</v>
      </c>
      <c r="F179" s="9" t="s">
        <v>996</v>
      </c>
      <c r="G179" s="10" t="s">
        <v>997</v>
      </c>
      <c r="H179" s="11" t="s">
        <v>998</v>
      </c>
      <c r="I179" s="5" t="s">
        <v>13</v>
      </c>
      <c r="J179" s="12" t="s">
        <v>999</v>
      </c>
      <c r="K179" s="5"/>
      <c r="L179" s="5"/>
      <c r="M179" s="5"/>
    </row>
    <row r="180" ht="15.75" customHeight="1">
      <c r="A180" s="5">
        <v>2025.0</v>
      </c>
      <c r="B180" s="6" t="s">
        <v>812</v>
      </c>
      <c r="C180" s="16" t="s">
        <v>1000</v>
      </c>
      <c r="D180" s="7" t="s">
        <v>1001</v>
      </c>
      <c r="E180" s="10" t="s">
        <v>1002</v>
      </c>
      <c r="F180" s="9" t="s">
        <v>1003</v>
      </c>
      <c r="G180" s="10" t="s">
        <v>1004</v>
      </c>
      <c r="H180" s="11" t="s">
        <v>1005</v>
      </c>
      <c r="I180" s="5" t="s">
        <v>13</v>
      </c>
      <c r="J180" s="12" t="s">
        <v>1006</v>
      </c>
      <c r="K180" s="5"/>
      <c r="L180" s="5"/>
      <c r="M180" s="5"/>
    </row>
    <row r="181" ht="15.75" customHeight="1">
      <c r="A181" s="5">
        <v>2025.0</v>
      </c>
      <c r="B181" s="14" t="s">
        <v>62</v>
      </c>
      <c r="C181" s="16" t="s">
        <v>13</v>
      </c>
      <c r="D181" s="7" t="s">
        <v>1007</v>
      </c>
      <c r="E181" s="10" t="s">
        <v>1008</v>
      </c>
      <c r="F181" s="9" t="s">
        <v>1009</v>
      </c>
      <c r="G181" s="10" t="s">
        <v>153</v>
      </c>
      <c r="H181" s="11" t="s">
        <v>1010</v>
      </c>
      <c r="I181" s="5" t="s">
        <v>47</v>
      </c>
      <c r="J181" s="12" t="s">
        <v>13</v>
      </c>
      <c r="K181" s="5"/>
      <c r="L181" s="5"/>
      <c r="M181" s="5"/>
    </row>
    <row r="182" ht="15.75" customHeight="1">
      <c r="A182" s="5">
        <v>2025.0</v>
      </c>
      <c r="B182" s="19" t="s">
        <v>12</v>
      </c>
      <c r="C182" s="16" t="s">
        <v>13</v>
      </c>
      <c r="D182" s="7" t="s">
        <v>1011</v>
      </c>
      <c r="E182" s="10" t="s">
        <v>1012</v>
      </c>
      <c r="F182" s="9" t="s">
        <v>1013</v>
      </c>
      <c r="G182" s="10" t="s">
        <v>17</v>
      </c>
      <c r="H182" s="11" t="s">
        <v>1014</v>
      </c>
      <c r="I182" s="5" t="s">
        <v>13</v>
      </c>
      <c r="J182" s="12" t="s">
        <v>1015</v>
      </c>
      <c r="K182" s="5"/>
      <c r="L182" s="5"/>
      <c r="M182" s="5"/>
    </row>
    <row r="183" ht="15.75" customHeight="1">
      <c r="A183" s="5">
        <v>2022.0</v>
      </c>
      <c r="B183" s="19" t="s">
        <v>12</v>
      </c>
      <c r="C183" s="16" t="s">
        <v>13</v>
      </c>
      <c r="D183" s="7" t="s">
        <v>1016</v>
      </c>
      <c r="E183" s="10" t="s">
        <v>1017</v>
      </c>
      <c r="F183" s="9" t="s">
        <v>1018</v>
      </c>
      <c r="G183" s="10" t="s">
        <v>1019</v>
      </c>
      <c r="H183" s="11" t="s">
        <v>1020</v>
      </c>
      <c r="I183" s="5" t="s">
        <v>13</v>
      </c>
      <c r="J183" s="12" t="s">
        <v>1021</v>
      </c>
      <c r="K183" s="5"/>
      <c r="L183" s="5"/>
      <c r="M183" s="5"/>
    </row>
    <row r="184" ht="15.75" customHeight="1">
      <c r="A184" s="5">
        <v>2025.0</v>
      </c>
      <c r="B184" s="19" t="s">
        <v>12</v>
      </c>
      <c r="C184" s="16" t="s">
        <v>13</v>
      </c>
      <c r="D184" s="7" t="s">
        <v>1022</v>
      </c>
      <c r="E184" s="10" t="s">
        <v>1023</v>
      </c>
      <c r="F184" s="9" t="s">
        <v>1024</v>
      </c>
      <c r="G184" s="10" t="s">
        <v>1025</v>
      </c>
      <c r="H184" s="11" t="s">
        <v>1026</v>
      </c>
      <c r="I184" s="5" t="s">
        <v>47</v>
      </c>
      <c r="J184" s="12" t="s">
        <v>13</v>
      </c>
      <c r="K184" s="5"/>
      <c r="L184" s="5"/>
      <c r="M184" s="5"/>
    </row>
    <row r="185" ht="15.75" customHeight="1">
      <c r="A185" s="5">
        <v>2025.0</v>
      </c>
      <c r="B185" s="19" t="s">
        <v>12</v>
      </c>
      <c r="C185" s="16" t="s">
        <v>13</v>
      </c>
      <c r="D185" s="7" t="s">
        <v>1027</v>
      </c>
      <c r="E185" s="10" t="s">
        <v>1028</v>
      </c>
      <c r="F185" s="9" t="s">
        <v>1029</v>
      </c>
      <c r="G185" s="10" t="s">
        <v>1030</v>
      </c>
      <c r="H185" s="11" t="s">
        <v>1031</v>
      </c>
      <c r="I185" s="5" t="s">
        <v>47</v>
      </c>
      <c r="J185" s="12" t="s">
        <v>1032</v>
      </c>
      <c r="K185" s="5"/>
      <c r="L185" s="5"/>
      <c r="M185" s="5"/>
    </row>
    <row r="186" ht="15.75" customHeight="1">
      <c r="A186" s="5">
        <v>2025.0</v>
      </c>
      <c r="B186" s="19" t="s">
        <v>12</v>
      </c>
      <c r="C186" s="16" t="s">
        <v>13</v>
      </c>
      <c r="D186" s="7" t="s">
        <v>1033</v>
      </c>
      <c r="E186" s="10" t="s">
        <v>1034</v>
      </c>
      <c r="F186" s="9" t="s">
        <v>1035</v>
      </c>
      <c r="G186" s="10" t="s">
        <v>1036</v>
      </c>
      <c r="H186" s="11" t="s">
        <v>1037</v>
      </c>
      <c r="I186" s="5" t="s">
        <v>47</v>
      </c>
      <c r="J186" s="12" t="s">
        <v>1038</v>
      </c>
      <c r="K186" s="5"/>
      <c r="L186" s="5"/>
      <c r="M186" s="5"/>
    </row>
    <row r="187" ht="15.75" customHeight="1">
      <c r="A187" s="5">
        <v>2025.0</v>
      </c>
      <c r="B187" s="19" t="s">
        <v>12</v>
      </c>
      <c r="C187" s="16" t="s">
        <v>13</v>
      </c>
      <c r="D187" s="7" t="s">
        <v>1039</v>
      </c>
      <c r="E187" s="10" t="s">
        <v>1040</v>
      </c>
      <c r="F187" s="9" t="s">
        <v>1041</v>
      </c>
      <c r="G187" s="10" t="s">
        <v>13</v>
      </c>
      <c r="H187" s="11" t="s">
        <v>1042</v>
      </c>
      <c r="I187" s="5" t="s">
        <v>13</v>
      </c>
      <c r="J187" s="12" t="s">
        <v>13</v>
      </c>
      <c r="K187" s="5"/>
      <c r="L187" s="5"/>
      <c r="M187" s="5"/>
    </row>
    <row r="188" ht="15.75" customHeight="1">
      <c r="A188" s="5">
        <v>2025.0</v>
      </c>
      <c r="B188" s="19" t="s">
        <v>12</v>
      </c>
      <c r="C188" s="16" t="s">
        <v>13</v>
      </c>
      <c r="D188" s="7" t="s">
        <v>1043</v>
      </c>
      <c r="E188" s="10" t="s">
        <v>1044</v>
      </c>
      <c r="F188" s="9" t="s">
        <v>1045</v>
      </c>
      <c r="G188" s="10" t="s">
        <v>1046</v>
      </c>
      <c r="H188" s="11" t="s">
        <v>1047</v>
      </c>
      <c r="I188" s="5" t="s">
        <v>13</v>
      </c>
      <c r="J188" s="12" t="s">
        <v>13</v>
      </c>
      <c r="K188" s="5"/>
      <c r="L188" s="5"/>
      <c r="M188" s="5"/>
    </row>
    <row r="189" ht="15.75" customHeight="1">
      <c r="A189" s="5">
        <v>2025.0</v>
      </c>
      <c r="B189" s="17" t="s">
        <v>259</v>
      </c>
      <c r="C189" s="16" t="s">
        <v>13</v>
      </c>
      <c r="D189" s="7" t="s">
        <v>1048</v>
      </c>
      <c r="E189" s="10" t="s">
        <v>1049</v>
      </c>
      <c r="F189" s="9" t="s">
        <v>1050</v>
      </c>
      <c r="G189" s="10" t="s">
        <v>1051</v>
      </c>
      <c r="H189" s="11" t="s">
        <v>1052</v>
      </c>
      <c r="I189" s="5" t="s">
        <v>13</v>
      </c>
      <c r="J189" s="12" t="s">
        <v>13</v>
      </c>
      <c r="K189" s="5"/>
      <c r="L189" s="5"/>
      <c r="M189" s="5"/>
    </row>
    <row r="190" ht="15.75" customHeight="1">
      <c r="A190" s="5">
        <v>2025.0</v>
      </c>
      <c r="B190" s="19" t="s">
        <v>12</v>
      </c>
      <c r="C190" s="16" t="s">
        <v>13</v>
      </c>
      <c r="D190" s="7" t="s">
        <v>1053</v>
      </c>
      <c r="E190" s="10" t="s">
        <v>1054</v>
      </c>
      <c r="F190" s="9" t="s">
        <v>1055</v>
      </c>
      <c r="G190" s="10" t="s">
        <v>13</v>
      </c>
      <c r="H190" s="11" t="s">
        <v>1056</v>
      </c>
      <c r="I190" s="5" t="s">
        <v>13</v>
      </c>
      <c r="J190" s="12" t="s">
        <v>1057</v>
      </c>
      <c r="K190" s="5"/>
      <c r="L190" s="5"/>
      <c r="M190" s="5"/>
    </row>
    <row r="191" ht="15.75" customHeight="1">
      <c r="A191" s="5">
        <v>2025.0</v>
      </c>
      <c r="B191" s="19" t="s">
        <v>12</v>
      </c>
      <c r="C191" s="16" t="s">
        <v>13</v>
      </c>
      <c r="D191" s="7" t="s">
        <v>1058</v>
      </c>
      <c r="E191" s="10" t="s">
        <v>1059</v>
      </c>
      <c r="F191" s="9" t="s">
        <v>1060</v>
      </c>
      <c r="G191" s="10" t="s">
        <v>13</v>
      </c>
      <c r="H191" s="11" t="s">
        <v>1061</v>
      </c>
      <c r="I191" s="5" t="s">
        <v>13</v>
      </c>
      <c r="J191" s="12" t="s">
        <v>13</v>
      </c>
      <c r="K191" s="5"/>
      <c r="L191" s="5"/>
      <c r="M191" s="5"/>
    </row>
    <row r="192" ht="15.75" customHeight="1">
      <c r="A192" s="5">
        <v>2025.0</v>
      </c>
      <c r="B192" s="19" t="s">
        <v>12</v>
      </c>
      <c r="C192" s="16" t="s">
        <v>13</v>
      </c>
      <c r="D192" s="7" t="s">
        <v>1062</v>
      </c>
      <c r="E192" s="10" t="s">
        <v>1063</v>
      </c>
      <c r="F192" s="9" t="s">
        <v>1064</v>
      </c>
      <c r="G192" s="10" t="s">
        <v>1065</v>
      </c>
      <c r="H192" s="11" t="s">
        <v>1066</v>
      </c>
      <c r="I192" s="5" t="s">
        <v>13</v>
      </c>
      <c r="J192" s="12" t="s">
        <v>1067</v>
      </c>
      <c r="K192" s="5"/>
      <c r="L192" s="5"/>
      <c r="M192" s="5"/>
    </row>
    <row r="193" ht="15.75" customHeight="1">
      <c r="A193" s="5">
        <v>2025.0</v>
      </c>
      <c r="B193" s="14" t="s">
        <v>62</v>
      </c>
      <c r="C193" s="16" t="s">
        <v>204</v>
      </c>
      <c r="D193" s="7" t="s">
        <v>1068</v>
      </c>
      <c r="E193" s="10" t="s">
        <v>1069</v>
      </c>
      <c r="F193" s="9" t="s">
        <v>1070</v>
      </c>
      <c r="G193" s="10" t="s">
        <v>778</v>
      </c>
      <c r="H193" s="11" t="s">
        <v>1071</v>
      </c>
      <c r="I193" s="5" t="s">
        <v>47</v>
      </c>
      <c r="J193" s="12" t="s">
        <v>1072</v>
      </c>
      <c r="K193" s="5"/>
      <c r="L193" s="5"/>
      <c r="M193" s="5"/>
    </row>
    <row r="194" ht="15.75" customHeight="1">
      <c r="A194" s="5">
        <v>2025.0</v>
      </c>
      <c r="B194" s="14" t="s">
        <v>62</v>
      </c>
      <c r="C194" s="16"/>
      <c r="D194" s="7" t="s">
        <v>1073</v>
      </c>
      <c r="E194" s="10" t="s">
        <v>1074</v>
      </c>
      <c r="F194" s="9" t="s">
        <v>1075</v>
      </c>
      <c r="G194" s="10"/>
      <c r="H194" s="11" t="s">
        <v>1076</v>
      </c>
      <c r="I194" s="5"/>
      <c r="J194" s="12" t="s">
        <v>1077</v>
      </c>
      <c r="K194" s="5"/>
      <c r="L194" s="5"/>
      <c r="M194" s="5"/>
    </row>
    <row r="195" ht="15.75" customHeight="1">
      <c r="A195" s="5">
        <v>2025.0</v>
      </c>
      <c r="B195" s="19" t="s">
        <v>12</v>
      </c>
      <c r="C195" s="16" t="s">
        <v>13</v>
      </c>
      <c r="D195" s="7" t="s">
        <v>1078</v>
      </c>
      <c r="E195" s="10" t="s">
        <v>1079</v>
      </c>
      <c r="F195" s="9" t="s">
        <v>1080</v>
      </c>
      <c r="G195" s="10" t="s">
        <v>1081</v>
      </c>
      <c r="H195" s="15" t="s">
        <v>1082</v>
      </c>
      <c r="I195" s="5" t="s">
        <v>13</v>
      </c>
      <c r="J195" s="12" t="s">
        <v>13</v>
      </c>
      <c r="K195" s="5"/>
      <c r="L195" s="5"/>
      <c r="M195" s="5"/>
    </row>
    <row r="196" ht="15.75" customHeight="1">
      <c r="A196" s="5">
        <v>2025.0</v>
      </c>
      <c r="B196" s="19" t="s">
        <v>12</v>
      </c>
      <c r="C196" s="16" t="s">
        <v>13</v>
      </c>
      <c r="D196" s="7" t="s">
        <v>1083</v>
      </c>
      <c r="E196" s="10" t="s">
        <v>1084</v>
      </c>
      <c r="F196" s="9" t="s">
        <v>1085</v>
      </c>
      <c r="G196" s="10" t="s">
        <v>1086</v>
      </c>
      <c r="H196" s="11" t="s">
        <v>1087</v>
      </c>
      <c r="I196" s="5" t="s">
        <v>47</v>
      </c>
      <c r="J196" s="12" t="s">
        <v>1088</v>
      </c>
      <c r="K196" s="5"/>
      <c r="L196" s="5"/>
      <c r="M196" s="5"/>
    </row>
    <row r="197" ht="15.75" customHeight="1">
      <c r="A197" s="5">
        <v>2025.0</v>
      </c>
      <c r="B197" s="14" t="s">
        <v>62</v>
      </c>
      <c r="C197" s="16" t="s">
        <v>13</v>
      </c>
      <c r="D197" s="7" t="s">
        <v>1089</v>
      </c>
      <c r="E197" s="10" t="s">
        <v>1090</v>
      </c>
      <c r="F197" s="9" t="s">
        <v>1091</v>
      </c>
      <c r="G197" s="10" t="s">
        <v>1092</v>
      </c>
      <c r="H197" s="11" t="s">
        <v>1093</v>
      </c>
      <c r="I197" s="5" t="s">
        <v>13</v>
      </c>
      <c r="J197" s="12" t="s">
        <v>1094</v>
      </c>
      <c r="K197" s="5"/>
      <c r="L197" s="5"/>
      <c r="M197" s="5"/>
    </row>
    <row r="198" ht="15.75" customHeight="1">
      <c r="A198" s="5">
        <v>2025.0</v>
      </c>
      <c r="B198" s="6" t="s">
        <v>13</v>
      </c>
      <c r="C198" s="16" t="s">
        <v>13</v>
      </c>
      <c r="D198" s="7" t="s">
        <v>1095</v>
      </c>
      <c r="E198" s="10" t="s">
        <v>1096</v>
      </c>
      <c r="F198" s="9" t="s">
        <v>1097</v>
      </c>
      <c r="G198" s="10" t="s">
        <v>1098</v>
      </c>
      <c r="H198" s="11" t="s">
        <v>1099</v>
      </c>
      <c r="I198" s="5" t="s">
        <v>47</v>
      </c>
      <c r="J198" s="12" t="s">
        <v>1100</v>
      </c>
      <c r="K198" s="5"/>
      <c r="L198" s="5"/>
      <c r="M198" s="5"/>
    </row>
    <row r="199" ht="15.75" customHeight="1">
      <c r="A199" s="5">
        <v>2025.0</v>
      </c>
      <c r="B199" s="6" t="s">
        <v>648</v>
      </c>
      <c r="C199" s="16" t="s">
        <v>1000</v>
      </c>
      <c r="D199" s="7" t="s">
        <v>1101</v>
      </c>
      <c r="E199" s="10" t="s">
        <v>1102</v>
      </c>
      <c r="F199" s="9" t="s">
        <v>1103</v>
      </c>
      <c r="G199" s="10" t="s">
        <v>1104</v>
      </c>
      <c r="H199" s="11" t="s">
        <v>1105</v>
      </c>
      <c r="I199" s="5" t="s">
        <v>47</v>
      </c>
      <c r="J199" s="12" t="s">
        <v>13</v>
      </c>
      <c r="K199" s="5"/>
      <c r="L199" s="5"/>
      <c r="M199" s="5"/>
    </row>
    <row r="200" ht="15.75" customHeight="1">
      <c r="A200" s="5">
        <v>2024.0</v>
      </c>
      <c r="B200" s="14" t="s">
        <v>62</v>
      </c>
      <c r="C200" s="16" t="s">
        <v>13</v>
      </c>
      <c r="D200" s="7" t="s">
        <v>1106</v>
      </c>
      <c r="E200" s="10" t="s">
        <v>1107</v>
      </c>
      <c r="F200" s="9" t="s">
        <v>1108</v>
      </c>
      <c r="G200" s="10" t="s">
        <v>1109</v>
      </c>
      <c r="H200" s="11" t="s">
        <v>1110</v>
      </c>
      <c r="I200" s="5" t="s">
        <v>13</v>
      </c>
      <c r="J200" s="12" t="s">
        <v>1111</v>
      </c>
      <c r="K200" s="5"/>
      <c r="L200" s="5"/>
      <c r="M200" s="5"/>
    </row>
    <row r="201" ht="15.75" customHeight="1">
      <c r="A201" s="5">
        <v>2025.0</v>
      </c>
      <c r="B201" s="17" t="s">
        <v>12</v>
      </c>
      <c r="C201" s="16" t="s">
        <v>13</v>
      </c>
      <c r="D201" s="7" t="s">
        <v>1112</v>
      </c>
      <c r="E201" s="10" t="s">
        <v>1113</v>
      </c>
      <c r="F201" s="9" t="s">
        <v>1114</v>
      </c>
      <c r="G201" s="10" t="s">
        <v>1115</v>
      </c>
      <c r="H201" s="11" t="s">
        <v>1116</v>
      </c>
      <c r="I201" s="5" t="s">
        <v>47</v>
      </c>
      <c r="J201" s="12" t="s">
        <v>1117</v>
      </c>
      <c r="K201" s="5"/>
      <c r="L201" s="5"/>
      <c r="M201" s="5"/>
    </row>
    <row r="202" ht="15.75" customHeight="1">
      <c r="A202" s="5">
        <v>2025.0</v>
      </c>
      <c r="B202" s="19" t="s">
        <v>12</v>
      </c>
      <c r="C202" s="16" t="s">
        <v>13</v>
      </c>
      <c r="D202" s="7" t="s">
        <v>1118</v>
      </c>
      <c r="E202" s="10" t="s">
        <v>1119</v>
      </c>
      <c r="F202" s="9" t="s">
        <v>1120</v>
      </c>
      <c r="G202" s="10" t="s">
        <v>1121</v>
      </c>
      <c r="H202" s="11" t="s">
        <v>1122</v>
      </c>
      <c r="I202" s="5" t="s">
        <v>47</v>
      </c>
      <c r="J202" s="12" t="s">
        <v>360</v>
      </c>
      <c r="K202" s="5"/>
      <c r="L202" s="5"/>
      <c r="M202" s="5"/>
    </row>
    <row r="203" ht="15.75" customHeight="1">
      <c r="A203" s="5">
        <v>2025.0</v>
      </c>
      <c r="B203" s="14" t="s">
        <v>62</v>
      </c>
      <c r="C203" s="16" t="s">
        <v>13</v>
      </c>
      <c r="D203" s="7" t="s">
        <v>1123</v>
      </c>
      <c r="E203" s="10" t="s">
        <v>1124</v>
      </c>
      <c r="F203" s="9" t="s">
        <v>1125</v>
      </c>
      <c r="G203" s="10" t="s">
        <v>1126</v>
      </c>
      <c r="H203" s="11" t="s">
        <v>1127</v>
      </c>
      <c r="I203" s="5" t="s">
        <v>47</v>
      </c>
      <c r="J203" s="12" t="s">
        <v>13</v>
      </c>
      <c r="K203" s="5"/>
      <c r="L203" s="5"/>
      <c r="M203" s="5"/>
    </row>
    <row r="204" ht="15.75" customHeight="1">
      <c r="A204" s="5">
        <v>2025.0</v>
      </c>
      <c r="B204" s="19" t="s">
        <v>12</v>
      </c>
      <c r="C204" s="16" t="s">
        <v>13</v>
      </c>
      <c r="D204" s="7" t="s">
        <v>1043</v>
      </c>
      <c r="E204" s="10" t="s">
        <v>1044</v>
      </c>
      <c r="F204" s="9" t="s">
        <v>1045</v>
      </c>
      <c r="G204" s="10" t="s">
        <v>13</v>
      </c>
      <c r="H204" s="11" t="s">
        <v>1047</v>
      </c>
      <c r="I204" s="5" t="s">
        <v>13</v>
      </c>
      <c r="J204" s="12" t="s">
        <v>13</v>
      </c>
      <c r="K204" s="5"/>
      <c r="L204" s="5"/>
      <c r="M204" s="5"/>
    </row>
    <row r="205" ht="15.75" customHeight="1">
      <c r="A205" s="5">
        <v>2025.0</v>
      </c>
      <c r="B205" s="19" t="s">
        <v>12</v>
      </c>
      <c r="C205" s="16" t="s">
        <v>13</v>
      </c>
      <c r="D205" s="7" t="s">
        <v>1128</v>
      </c>
      <c r="E205" s="10" t="s">
        <v>1129</v>
      </c>
      <c r="F205" s="9" t="s">
        <v>1130</v>
      </c>
      <c r="G205" s="10" t="s">
        <v>421</v>
      </c>
      <c r="H205" s="11" t="s">
        <v>1131</v>
      </c>
      <c r="I205" s="5" t="s">
        <v>47</v>
      </c>
      <c r="J205" s="12" t="s">
        <v>13</v>
      </c>
      <c r="K205" s="5"/>
      <c r="L205" s="5"/>
      <c r="M205" s="5"/>
    </row>
    <row r="206" ht="15.75" customHeight="1">
      <c r="A206" s="5">
        <v>2025.0</v>
      </c>
      <c r="B206" s="17" t="s">
        <v>1132</v>
      </c>
      <c r="C206" s="16" t="s">
        <v>1000</v>
      </c>
      <c r="D206" s="7" t="s">
        <v>1133</v>
      </c>
      <c r="E206" s="10" t="s">
        <v>1134</v>
      </c>
      <c r="F206" s="9" t="s">
        <v>1135</v>
      </c>
      <c r="G206" s="10" t="s">
        <v>182</v>
      </c>
      <c r="H206" s="11" t="s">
        <v>1136</v>
      </c>
      <c r="I206" s="5" t="s">
        <v>47</v>
      </c>
      <c r="J206" s="12" t="s">
        <v>1137</v>
      </c>
      <c r="K206" s="5"/>
      <c r="L206" s="5"/>
      <c r="M206" s="5"/>
    </row>
    <row r="207" ht="15.75" customHeight="1">
      <c r="A207" s="5">
        <v>2025.0</v>
      </c>
      <c r="B207" s="17" t="s">
        <v>12</v>
      </c>
      <c r="C207" s="16" t="s">
        <v>13</v>
      </c>
      <c r="D207" s="7" t="s">
        <v>1138</v>
      </c>
      <c r="E207" s="10" t="s">
        <v>1139</v>
      </c>
      <c r="F207" s="9" t="s">
        <v>1140</v>
      </c>
      <c r="G207" s="10" t="s">
        <v>1141</v>
      </c>
      <c r="H207" s="11" t="s">
        <v>1142</v>
      </c>
      <c r="I207" s="5" t="s">
        <v>47</v>
      </c>
      <c r="J207" s="12" t="s">
        <v>13</v>
      </c>
      <c r="K207" s="5"/>
      <c r="L207" s="5"/>
      <c r="M207" s="5"/>
    </row>
    <row r="208" ht="15.75" customHeight="1">
      <c r="A208" s="5">
        <v>2025.0</v>
      </c>
      <c r="B208" s="14" t="s">
        <v>62</v>
      </c>
      <c r="C208" s="16" t="s">
        <v>13</v>
      </c>
      <c r="D208" s="7" t="s">
        <v>1143</v>
      </c>
      <c r="E208" s="10" t="s">
        <v>1144</v>
      </c>
      <c r="F208" s="9" t="s">
        <v>1145</v>
      </c>
      <c r="G208" s="10" t="s">
        <v>1146</v>
      </c>
      <c r="H208" s="11" t="s">
        <v>1147</v>
      </c>
      <c r="I208" s="5" t="s">
        <v>13</v>
      </c>
      <c r="J208" s="12" t="s">
        <v>13</v>
      </c>
      <c r="K208" s="5"/>
      <c r="L208" s="5"/>
      <c r="M208" s="5"/>
    </row>
    <row r="209" ht="15.75" customHeight="1">
      <c r="A209" s="5">
        <v>2025.0</v>
      </c>
      <c r="B209" s="19" t="s">
        <v>12</v>
      </c>
      <c r="C209" s="16" t="s">
        <v>13</v>
      </c>
      <c r="D209" s="7" t="s">
        <v>1148</v>
      </c>
      <c r="E209" s="10" t="s">
        <v>1149</v>
      </c>
      <c r="F209" s="9" t="s">
        <v>1150</v>
      </c>
      <c r="G209" s="10" t="s">
        <v>1151</v>
      </c>
      <c r="H209" s="11" t="s">
        <v>1152</v>
      </c>
      <c r="I209" s="5" t="s">
        <v>47</v>
      </c>
      <c r="J209" s="12" t="s">
        <v>1153</v>
      </c>
      <c r="K209" s="5"/>
      <c r="L209" s="5"/>
      <c r="M209" s="5"/>
    </row>
    <row r="210" ht="15.75" customHeight="1">
      <c r="A210" s="5">
        <v>2025.0</v>
      </c>
      <c r="B210" s="19" t="s">
        <v>12</v>
      </c>
      <c r="C210" s="16" t="s">
        <v>1154</v>
      </c>
      <c r="D210" s="7" t="s">
        <v>1155</v>
      </c>
      <c r="E210" s="10" t="s">
        <v>1156</v>
      </c>
      <c r="F210" s="9" t="s">
        <v>1157</v>
      </c>
      <c r="G210" s="10" t="s">
        <v>291</v>
      </c>
      <c r="H210" s="11" t="s">
        <v>1158</v>
      </c>
      <c r="I210" s="5" t="s">
        <v>47</v>
      </c>
      <c r="J210" s="12" t="s">
        <v>1159</v>
      </c>
      <c r="K210" s="5"/>
      <c r="L210" s="5"/>
      <c r="M210" s="5"/>
    </row>
    <row r="211" ht="15.75" customHeight="1">
      <c r="A211" s="5">
        <v>2024.0</v>
      </c>
      <c r="B211" s="19" t="s">
        <v>12</v>
      </c>
      <c r="C211" s="16" t="s">
        <v>68</v>
      </c>
      <c r="D211" s="7" t="s">
        <v>1160</v>
      </c>
      <c r="E211" s="10" t="s">
        <v>1161</v>
      </c>
      <c r="F211" s="9" t="s">
        <v>1162</v>
      </c>
      <c r="G211" s="10" t="s">
        <v>1163</v>
      </c>
      <c r="H211" s="11" t="s">
        <v>1164</v>
      </c>
      <c r="I211" s="5" t="s">
        <v>13</v>
      </c>
      <c r="J211" s="12" t="s">
        <v>13</v>
      </c>
      <c r="K211" s="5"/>
      <c r="L211" s="5"/>
      <c r="M211" s="5"/>
    </row>
    <row r="212" ht="15.75" customHeight="1">
      <c r="A212" s="5">
        <v>2025.0</v>
      </c>
      <c r="B212" s="19" t="s">
        <v>12</v>
      </c>
      <c r="C212" s="16" t="s">
        <v>13</v>
      </c>
      <c r="D212" s="7" t="s">
        <v>1165</v>
      </c>
      <c r="E212" s="10" t="s">
        <v>1166</v>
      </c>
      <c r="F212" s="9" t="s">
        <v>1167</v>
      </c>
      <c r="G212" s="10" t="s">
        <v>1168</v>
      </c>
      <c r="H212" s="11" t="s">
        <v>1169</v>
      </c>
      <c r="I212" s="5" t="s">
        <v>47</v>
      </c>
      <c r="J212" s="12" t="s">
        <v>1170</v>
      </c>
      <c r="K212" s="5"/>
      <c r="L212" s="5"/>
      <c r="M212" s="5"/>
    </row>
    <row r="213" ht="15.75" customHeight="1">
      <c r="A213" s="5">
        <v>2024.0</v>
      </c>
      <c r="B213" s="19" t="s">
        <v>12</v>
      </c>
      <c r="C213" s="16" t="s">
        <v>13</v>
      </c>
      <c r="D213" s="7" t="s">
        <v>1171</v>
      </c>
      <c r="E213" s="10" t="s">
        <v>1172</v>
      </c>
      <c r="F213" s="9" t="s">
        <v>1173</v>
      </c>
      <c r="G213" s="10" t="s">
        <v>1174</v>
      </c>
      <c r="H213" s="11" t="s">
        <v>1175</v>
      </c>
      <c r="I213" s="5" t="s">
        <v>47</v>
      </c>
      <c r="J213" s="12" t="s">
        <v>13</v>
      </c>
      <c r="K213" s="5"/>
      <c r="L213" s="5"/>
      <c r="M213" s="5"/>
    </row>
    <row r="214" ht="15.75" customHeight="1">
      <c r="A214" s="5">
        <v>2024.0</v>
      </c>
      <c r="B214" s="17" t="s">
        <v>13</v>
      </c>
      <c r="C214" s="16" t="s">
        <v>13</v>
      </c>
      <c r="D214" s="7" t="s">
        <v>1176</v>
      </c>
      <c r="E214" s="10" t="s">
        <v>1177</v>
      </c>
      <c r="F214" s="9" t="s">
        <v>1178</v>
      </c>
      <c r="G214" s="10" t="s">
        <v>1179</v>
      </c>
      <c r="H214" s="11" t="s">
        <v>1180</v>
      </c>
      <c r="I214" s="5" t="s">
        <v>47</v>
      </c>
      <c r="J214" s="12" t="s">
        <v>1181</v>
      </c>
      <c r="K214" s="5"/>
      <c r="L214" s="5"/>
      <c r="M214" s="5"/>
    </row>
    <row r="215" ht="15.75" customHeight="1">
      <c r="A215" s="5">
        <v>2025.0</v>
      </c>
      <c r="B215" s="17" t="s">
        <v>142</v>
      </c>
      <c r="C215" s="16" t="s">
        <v>13</v>
      </c>
      <c r="D215" s="7" t="s">
        <v>1182</v>
      </c>
      <c r="E215" s="10" t="s">
        <v>1183</v>
      </c>
      <c r="F215" s="9" t="s">
        <v>1184</v>
      </c>
      <c r="G215" s="10" t="s">
        <v>1185</v>
      </c>
      <c r="H215" s="11" t="s">
        <v>1186</v>
      </c>
      <c r="I215" s="5" t="s">
        <v>47</v>
      </c>
      <c r="J215" s="12" t="s">
        <v>13</v>
      </c>
      <c r="K215" s="5"/>
      <c r="L215" s="5"/>
      <c r="M215" s="5"/>
    </row>
    <row r="216" ht="15.75" customHeight="1">
      <c r="A216" s="5">
        <v>2025.0</v>
      </c>
      <c r="B216" s="19" t="s">
        <v>12</v>
      </c>
      <c r="C216" s="16" t="s">
        <v>13</v>
      </c>
      <c r="D216" s="7" t="s">
        <v>1187</v>
      </c>
      <c r="E216" s="10" t="s">
        <v>1188</v>
      </c>
      <c r="F216" s="9" t="s">
        <v>1189</v>
      </c>
      <c r="G216" s="10" t="s">
        <v>182</v>
      </c>
      <c r="H216" s="11" t="s">
        <v>1190</v>
      </c>
      <c r="I216" s="5" t="s">
        <v>47</v>
      </c>
      <c r="J216" s="12" t="s">
        <v>1191</v>
      </c>
      <c r="K216" s="5"/>
      <c r="L216" s="5"/>
      <c r="M216" s="5"/>
    </row>
    <row r="217" ht="15.75" customHeight="1">
      <c r="A217" s="5">
        <v>2024.0</v>
      </c>
      <c r="B217" s="19" t="s">
        <v>12</v>
      </c>
      <c r="C217" s="16" t="s">
        <v>13</v>
      </c>
      <c r="D217" s="7" t="s">
        <v>1192</v>
      </c>
      <c r="E217" s="10" t="s">
        <v>1193</v>
      </c>
      <c r="F217" s="9" t="s">
        <v>1194</v>
      </c>
      <c r="G217" s="10" t="s">
        <v>1195</v>
      </c>
      <c r="H217" s="11" t="s">
        <v>1196</v>
      </c>
      <c r="I217" s="5" t="s">
        <v>47</v>
      </c>
      <c r="J217" s="12" t="s">
        <v>1197</v>
      </c>
      <c r="K217" s="5"/>
      <c r="L217" s="5"/>
      <c r="M217" s="5"/>
    </row>
    <row r="218" ht="15.75" customHeight="1">
      <c r="A218" s="5">
        <v>2025.0</v>
      </c>
      <c r="B218" s="20" t="str">
        <f>HYPERLINK("https://shop.openbci.com/collections/frontpage/products/ganglion-board","Ganglion")</f>
        <v>Ganglion</v>
      </c>
      <c r="C218" s="16" t="s">
        <v>13</v>
      </c>
      <c r="D218" s="7" t="s">
        <v>1198</v>
      </c>
      <c r="E218" s="10" t="s">
        <v>1199</v>
      </c>
      <c r="F218" s="9" t="s">
        <v>1200</v>
      </c>
      <c r="G218" s="10" t="s">
        <v>1201</v>
      </c>
      <c r="H218" s="11" t="s">
        <v>1202</v>
      </c>
      <c r="I218" s="5" t="s">
        <v>47</v>
      </c>
      <c r="J218" s="12" t="s">
        <v>1203</v>
      </c>
      <c r="K218" s="5"/>
      <c r="L218" s="5"/>
      <c r="M218" s="5"/>
    </row>
    <row r="219" ht="15.75" customHeight="1">
      <c r="A219" s="5">
        <v>2025.0</v>
      </c>
      <c r="B219" s="14" t="s">
        <v>62</v>
      </c>
      <c r="C219" s="21" t="s">
        <v>1204</v>
      </c>
      <c r="D219" s="7" t="s">
        <v>1205</v>
      </c>
      <c r="E219" s="10" t="s">
        <v>1206</v>
      </c>
      <c r="F219" s="9" t="s">
        <v>1207</v>
      </c>
      <c r="G219" s="10" t="s">
        <v>1208</v>
      </c>
      <c r="H219" s="11" t="s">
        <v>1209</v>
      </c>
      <c r="I219" s="5" t="s">
        <v>47</v>
      </c>
      <c r="J219" s="12" t="s">
        <v>1210</v>
      </c>
      <c r="K219" s="5"/>
      <c r="L219" s="5"/>
      <c r="M219" s="5"/>
    </row>
    <row r="220" ht="15.75" customHeight="1">
      <c r="A220" s="5">
        <v>2025.0</v>
      </c>
      <c r="B220" s="19" t="s">
        <v>12</v>
      </c>
      <c r="C220" s="22" t="s">
        <v>13</v>
      </c>
      <c r="D220" s="7" t="s">
        <v>1211</v>
      </c>
      <c r="E220" s="10" t="s">
        <v>1212</v>
      </c>
      <c r="F220" s="9" t="s">
        <v>1213</v>
      </c>
      <c r="G220" s="10" t="s">
        <v>1214</v>
      </c>
      <c r="H220" s="11" t="s">
        <v>1215</v>
      </c>
      <c r="I220" s="5" t="s">
        <v>47</v>
      </c>
      <c r="J220" s="12" t="s">
        <v>1216</v>
      </c>
      <c r="K220" s="5"/>
      <c r="L220" s="5"/>
      <c r="M220" s="5"/>
    </row>
    <row r="221" ht="15.75" customHeight="1">
      <c r="A221" s="5">
        <v>2025.0</v>
      </c>
      <c r="B221" s="19" t="s">
        <v>12</v>
      </c>
      <c r="C221" s="22" t="s">
        <v>13</v>
      </c>
      <c r="D221" s="7" t="s">
        <v>1217</v>
      </c>
      <c r="E221" s="10" t="s">
        <v>1218</v>
      </c>
      <c r="F221" s="9" t="s">
        <v>1219</v>
      </c>
      <c r="G221" s="10" t="s">
        <v>1220</v>
      </c>
      <c r="H221" s="11" t="s">
        <v>1221</v>
      </c>
      <c r="I221" s="5" t="s">
        <v>47</v>
      </c>
      <c r="J221" s="12" t="s">
        <v>1222</v>
      </c>
      <c r="K221" s="5"/>
      <c r="L221" s="5"/>
      <c r="M221" s="5"/>
    </row>
    <row r="222" ht="15.75" customHeight="1">
      <c r="A222" s="5">
        <v>2025.0</v>
      </c>
      <c r="B222" s="20" t="str">
        <f>HYPERLINK("https://shop.openbci.com/collections/frontpage/products/ganglion-board","Ganglion")</f>
        <v>Ganglion</v>
      </c>
      <c r="C222" s="22" t="s">
        <v>13</v>
      </c>
      <c r="D222" s="7" t="s">
        <v>1223</v>
      </c>
      <c r="E222" s="10" t="s">
        <v>1224</v>
      </c>
      <c r="F222" s="9" t="s">
        <v>1225</v>
      </c>
      <c r="G222" s="10" t="s">
        <v>280</v>
      </c>
      <c r="H222" s="15" t="s">
        <v>1226</v>
      </c>
      <c r="I222" s="5" t="s">
        <v>47</v>
      </c>
      <c r="J222" s="12" t="s">
        <v>1227</v>
      </c>
      <c r="K222" s="5"/>
      <c r="L222" s="5"/>
      <c r="M222" s="5"/>
    </row>
    <row r="223" ht="15.75" customHeight="1">
      <c r="A223" s="5">
        <v>2025.0</v>
      </c>
      <c r="B223" s="17" t="s">
        <v>1228</v>
      </c>
      <c r="C223" s="22" t="s">
        <v>204</v>
      </c>
      <c r="D223" s="7" t="s">
        <v>1229</v>
      </c>
      <c r="E223" s="10" t="s">
        <v>1230</v>
      </c>
      <c r="F223" s="9" t="s">
        <v>1231</v>
      </c>
      <c r="G223" s="10" t="s">
        <v>1232</v>
      </c>
      <c r="H223" s="11" t="s">
        <v>1233</v>
      </c>
      <c r="I223" s="5" t="s">
        <v>47</v>
      </c>
      <c r="J223" s="12" t="s">
        <v>1234</v>
      </c>
      <c r="K223" s="5"/>
      <c r="L223" s="5"/>
      <c r="M223" s="5"/>
    </row>
    <row r="224" ht="15.75" customHeight="1">
      <c r="A224" s="5">
        <v>2025.0</v>
      </c>
      <c r="B224" s="19" t="s">
        <v>12</v>
      </c>
      <c r="C224" s="22" t="s">
        <v>1235</v>
      </c>
      <c r="D224" s="7" t="s">
        <v>1236</v>
      </c>
      <c r="E224" s="10" t="s">
        <v>1237</v>
      </c>
      <c r="F224" s="9" t="s">
        <v>1238</v>
      </c>
      <c r="G224" s="10" t="s">
        <v>1239</v>
      </c>
      <c r="H224" s="15" t="s">
        <v>1240</v>
      </c>
      <c r="I224" s="5" t="s">
        <v>47</v>
      </c>
      <c r="J224" s="12"/>
      <c r="K224" s="5"/>
      <c r="L224" s="5"/>
      <c r="M224" s="5"/>
    </row>
    <row r="225" ht="15.75" customHeight="1">
      <c r="A225" s="5">
        <v>2025.0</v>
      </c>
      <c r="B225" s="19" t="s">
        <v>12</v>
      </c>
      <c r="C225" s="22" t="s">
        <v>13</v>
      </c>
      <c r="D225" s="7" t="s">
        <v>1241</v>
      </c>
      <c r="E225" s="10" t="s">
        <v>1242</v>
      </c>
      <c r="F225" s="9" t="s">
        <v>1243</v>
      </c>
      <c r="G225" s="10" t="s">
        <v>1244</v>
      </c>
      <c r="H225" s="15" t="s">
        <v>1245</v>
      </c>
      <c r="I225" s="5" t="s">
        <v>47</v>
      </c>
      <c r="J225" s="12" t="s">
        <v>13</v>
      </c>
      <c r="K225" s="5"/>
      <c r="L225" s="5"/>
      <c r="M225" s="5"/>
    </row>
    <row r="226" ht="15.75" customHeight="1">
      <c r="A226" s="5">
        <v>2025.0</v>
      </c>
      <c r="B226" s="14" t="s">
        <v>62</v>
      </c>
      <c r="C226" s="22" t="s">
        <v>204</v>
      </c>
      <c r="D226" s="7" t="s">
        <v>1246</v>
      </c>
      <c r="E226" s="10" t="s">
        <v>1247</v>
      </c>
      <c r="F226" s="9" t="s">
        <v>1248</v>
      </c>
      <c r="G226" s="10" t="s">
        <v>1249</v>
      </c>
      <c r="H226" s="15" t="s">
        <v>1250</v>
      </c>
      <c r="I226" s="5" t="s">
        <v>47</v>
      </c>
      <c r="J226" s="12" t="s">
        <v>1251</v>
      </c>
      <c r="K226" s="5"/>
      <c r="L226" s="5"/>
      <c r="M226" s="5"/>
    </row>
    <row r="227" ht="15.75" customHeight="1">
      <c r="A227" s="5">
        <v>2025.0</v>
      </c>
      <c r="B227" s="14" t="s">
        <v>62</v>
      </c>
      <c r="C227" s="23" t="s">
        <v>13</v>
      </c>
      <c r="D227" s="7" t="s">
        <v>685</v>
      </c>
      <c r="E227" s="10" t="s">
        <v>1252</v>
      </c>
      <c r="F227" s="9" t="s">
        <v>1253</v>
      </c>
      <c r="G227" s="10" t="s">
        <v>13</v>
      </c>
      <c r="H227" s="24" t="s">
        <v>1254</v>
      </c>
      <c r="I227" s="5" t="s">
        <v>47</v>
      </c>
      <c r="J227" s="12" t="s">
        <v>13</v>
      </c>
      <c r="K227" s="5"/>
      <c r="L227" s="5"/>
      <c r="M227" s="5"/>
    </row>
    <row r="228" ht="15.75" customHeight="1">
      <c r="A228" s="5">
        <v>2025.0</v>
      </c>
      <c r="B228" s="14" t="s">
        <v>62</v>
      </c>
      <c r="C228" s="23" t="s">
        <v>13</v>
      </c>
      <c r="D228" s="7" t="s">
        <v>1255</v>
      </c>
      <c r="E228" s="10" t="s">
        <v>1256</v>
      </c>
      <c r="F228" s="9" t="s">
        <v>1257</v>
      </c>
      <c r="G228" s="10" t="s">
        <v>1258</v>
      </c>
      <c r="H228" s="24" t="s">
        <v>1259</v>
      </c>
      <c r="I228" s="5" t="s">
        <v>47</v>
      </c>
      <c r="J228" s="12" t="s">
        <v>1260</v>
      </c>
      <c r="K228" s="5"/>
      <c r="L228" s="5"/>
      <c r="M228" s="5"/>
    </row>
    <row r="229" ht="15.75" customHeight="1">
      <c r="A229" s="5">
        <v>2024.0</v>
      </c>
      <c r="B229" s="19" t="s">
        <v>12</v>
      </c>
      <c r="C229" s="22"/>
      <c r="D229" s="7" t="s">
        <v>1261</v>
      </c>
      <c r="E229" s="10" t="s">
        <v>1262</v>
      </c>
      <c r="F229" s="25" t="s">
        <v>1263</v>
      </c>
      <c r="G229" s="10" t="s">
        <v>1264</v>
      </c>
      <c r="H229" s="24" t="s">
        <v>1265</v>
      </c>
      <c r="I229" s="5" t="s">
        <v>1266</v>
      </c>
      <c r="J229" s="12" t="s">
        <v>1267</v>
      </c>
      <c r="K229" s="5"/>
      <c r="L229" s="5"/>
      <c r="M229" s="5"/>
    </row>
    <row r="230" ht="15.75" customHeight="1">
      <c r="A230" s="5">
        <v>2025.0</v>
      </c>
      <c r="B230" s="19" t="s">
        <v>12</v>
      </c>
      <c r="C230" s="22" t="s">
        <v>204</v>
      </c>
      <c r="D230" s="7" t="s">
        <v>1268</v>
      </c>
      <c r="E230" s="10" t="s">
        <v>1269</v>
      </c>
      <c r="F230" s="9" t="s">
        <v>1270</v>
      </c>
      <c r="G230" s="10" t="s">
        <v>1271</v>
      </c>
      <c r="H230" s="24" t="s">
        <v>1272</v>
      </c>
      <c r="I230" s="5" t="s">
        <v>1266</v>
      </c>
      <c r="J230" s="12" t="s">
        <v>1273</v>
      </c>
      <c r="K230" s="5"/>
      <c r="L230" s="5"/>
      <c r="M230" s="5"/>
    </row>
    <row r="231" ht="15.75" customHeight="1">
      <c r="A231" s="5">
        <v>2025.0</v>
      </c>
      <c r="B231" s="19" t="s">
        <v>12</v>
      </c>
      <c r="C231" s="22"/>
      <c r="D231" s="7" t="s">
        <v>1274</v>
      </c>
      <c r="E231" s="10" t="s">
        <v>1275</v>
      </c>
      <c r="F231" s="9" t="s">
        <v>1276</v>
      </c>
      <c r="G231" s="10" t="s">
        <v>1277</v>
      </c>
      <c r="H231" s="26" t="s">
        <v>1278</v>
      </c>
      <c r="I231" s="5" t="s">
        <v>1266</v>
      </c>
      <c r="J231" s="12" t="s">
        <v>1279</v>
      </c>
      <c r="K231" s="5"/>
      <c r="L231" s="5"/>
      <c r="M231" s="5"/>
    </row>
    <row r="232" ht="15.75" customHeight="1">
      <c r="A232" s="5">
        <v>2025.0</v>
      </c>
      <c r="B232" s="19" t="s">
        <v>12</v>
      </c>
      <c r="C232" s="22"/>
      <c r="D232" s="7" t="s">
        <v>1280</v>
      </c>
      <c r="E232" s="10" t="s">
        <v>1281</v>
      </c>
      <c r="F232" s="9" t="s">
        <v>1282</v>
      </c>
      <c r="G232" s="10" t="s">
        <v>1283</v>
      </c>
      <c r="H232" s="24" t="s">
        <v>1284</v>
      </c>
      <c r="I232" s="5" t="s">
        <v>1266</v>
      </c>
      <c r="J232" s="12" t="s">
        <v>1285</v>
      </c>
      <c r="K232" s="5"/>
      <c r="L232" s="5"/>
      <c r="M232" s="5"/>
    </row>
    <row r="233" ht="15.75" customHeight="1">
      <c r="A233" s="5">
        <v>2025.0</v>
      </c>
      <c r="B233" s="14" t="s">
        <v>62</v>
      </c>
      <c r="C233" s="22" t="s">
        <v>204</v>
      </c>
      <c r="D233" s="7" t="s">
        <v>1286</v>
      </c>
      <c r="E233" s="10" t="s">
        <v>1287</v>
      </c>
      <c r="F233" s="9" t="s">
        <v>1288</v>
      </c>
      <c r="G233" s="10" t="s">
        <v>1289</v>
      </c>
      <c r="H233" s="24" t="s">
        <v>1290</v>
      </c>
      <c r="I233" s="5" t="s">
        <v>1266</v>
      </c>
      <c r="J233" s="12" t="s">
        <v>1291</v>
      </c>
      <c r="K233" s="5"/>
      <c r="L233" s="5"/>
      <c r="M233" s="5"/>
    </row>
    <row r="234" ht="15.75" customHeight="1">
      <c r="A234" s="5">
        <v>2025.0</v>
      </c>
      <c r="B234" s="19" t="s">
        <v>12</v>
      </c>
      <c r="C234" s="22"/>
      <c r="D234" s="7" t="s">
        <v>1292</v>
      </c>
      <c r="E234" s="10" t="s">
        <v>1293</v>
      </c>
      <c r="F234" s="9" t="s">
        <v>1294</v>
      </c>
      <c r="G234" s="10" t="s">
        <v>1295</v>
      </c>
      <c r="H234" s="26" t="s">
        <v>1296</v>
      </c>
      <c r="I234" s="5" t="s">
        <v>1266</v>
      </c>
      <c r="J234" s="12" t="s">
        <v>1297</v>
      </c>
      <c r="K234" s="5"/>
      <c r="L234" s="5"/>
      <c r="M234" s="5"/>
    </row>
    <row r="235" ht="15.75" customHeight="1">
      <c r="A235" s="5">
        <v>2024.0</v>
      </c>
      <c r="B235" s="19" t="s">
        <v>12</v>
      </c>
      <c r="C235" s="22"/>
      <c r="D235" s="7" t="s">
        <v>1298</v>
      </c>
      <c r="E235" s="10" t="s">
        <v>1299</v>
      </c>
      <c r="F235" s="9" t="s">
        <v>1300</v>
      </c>
      <c r="G235" s="10" t="s">
        <v>1301</v>
      </c>
      <c r="H235" s="24"/>
      <c r="I235" s="5" t="s">
        <v>1266</v>
      </c>
      <c r="J235" s="12" t="s">
        <v>1302</v>
      </c>
      <c r="K235" s="5"/>
      <c r="L235" s="5"/>
      <c r="M235" s="5"/>
    </row>
    <row r="236" ht="15.75" customHeight="1">
      <c r="A236" s="5">
        <v>2024.0</v>
      </c>
      <c r="B236" s="19" t="s">
        <v>12</v>
      </c>
      <c r="C236" s="22"/>
      <c r="D236" s="7" t="s">
        <v>1303</v>
      </c>
      <c r="E236" s="10" t="s">
        <v>1304</v>
      </c>
      <c r="F236" s="9" t="s">
        <v>1305</v>
      </c>
      <c r="G236" s="10" t="s">
        <v>1306</v>
      </c>
      <c r="H236" s="26" t="s">
        <v>1307</v>
      </c>
      <c r="I236" s="5" t="s">
        <v>1266</v>
      </c>
      <c r="J236" s="12" t="s">
        <v>1308</v>
      </c>
      <c r="K236" s="5"/>
      <c r="L236" s="5"/>
      <c r="M236" s="5"/>
    </row>
    <row r="237" ht="15.75" customHeight="1">
      <c r="A237" s="5">
        <v>2025.0</v>
      </c>
      <c r="B237" s="19" t="s">
        <v>12</v>
      </c>
      <c r="C237" s="22"/>
      <c r="D237" s="7" t="s">
        <v>1309</v>
      </c>
      <c r="E237" s="10" t="s">
        <v>1310</v>
      </c>
      <c r="F237" s="9" t="s">
        <v>1311</v>
      </c>
      <c r="G237" s="10" t="s">
        <v>1312</v>
      </c>
      <c r="H237" s="26" t="s">
        <v>1313</v>
      </c>
      <c r="I237" s="5" t="s">
        <v>1266</v>
      </c>
      <c r="J237" s="12" t="s">
        <v>1314</v>
      </c>
      <c r="K237" s="5"/>
      <c r="L237" s="5"/>
      <c r="M237" s="5"/>
    </row>
    <row r="238" ht="15.75" customHeight="1">
      <c r="A238" s="5">
        <v>2025.0</v>
      </c>
      <c r="B238" s="19" t="s">
        <v>12</v>
      </c>
      <c r="C238" s="22"/>
      <c r="D238" s="7" t="s">
        <v>1315</v>
      </c>
      <c r="E238" s="10" t="s">
        <v>1316</v>
      </c>
      <c r="F238" s="9" t="s">
        <v>1317</v>
      </c>
      <c r="G238" s="10" t="s">
        <v>1318</v>
      </c>
      <c r="H238" s="26" t="s">
        <v>1319</v>
      </c>
      <c r="I238" s="5" t="s">
        <v>1266</v>
      </c>
      <c r="J238" s="12" t="s">
        <v>1320</v>
      </c>
      <c r="K238" s="5"/>
      <c r="L238" s="5"/>
      <c r="M238" s="5"/>
    </row>
    <row r="239" ht="15.75" customHeight="1">
      <c r="A239" s="5">
        <v>2024.0</v>
      </c>
      <c r="B239" s="19" t="s">
        <v>12</v>
      </c>
      <c r="C239" s="22"/>
      <c r="D239" s="7" t="s">
        <v>1321</v>
      </c>
      <c r="E239" s="10" t="s">
        <v>1322</v>
      </c>
      <c r="F239" s="9" t="s">
        <v>1323</v>
      </c>
      <c r="G239" s="7" t="s">
        <v>1324</v>
      </c>
      <c r="H239" s="26" t="s">
        <v>1325</v>
      </c>
      <c r="I239" s="5" t="s">
        <v>1266</v>
      </c>
      <c r="J239" s="12"/>
      <c r="K239" s="5"/>
      <c r="L239" s="5"/>
      <c r="M239" s="5"/>
    </row>
    <row r="240" ht="15.75" customHeight="1">
      <c r="A240" s="5">
        <v>2024.0</v>
      </c>
      <c r="B240" s="19" t="s">
        <v>12</v>
      </c>
      <c r="C240" s="22"/>
      <c r="D240" s="7" t="s">
        <v>1326</v>
      </c>
      <c r="E240" s="10" t="s">
        <v>1327</v>
      </c>
      <c r="F240" s="9" t="s">
        <v>1328</v>
      </c>
      <c r="G240" s="7" t="s">
        <v>1329</v>
      </c>
      <c r="H240" s="7" t="s">
        <v>1330</v>
      </c>
      <c r="I240" s="5" t="s">
        <v>1266</v>
      </c>
      <c r="J240" s="12" t="s">
        <v>1331</v>
      </c>
      <c r="K240" s="5"/>
      <c r="L240" s="5"/>
      <c r="M240" s="5"/>
    </row>
    <row r="241" ht="15.75" customHeight="1">
      <c r="A241" s="5">
        <v>2024.0</v>
      </c>
      <c r="B241" s="19" t="s">
        <v>12</v>
      </c>
      <c r="C241" s="22"/>
      <c r="D241" s="7" t="s">
        <v>1332</v>
      </c>
      <c r="E241" s="10" t="s">
        <v>1333</v>
      </c>
      <c r="F241" s="9" t="s">
        <v>1334</v>
      </c>
      <c r="G241" s="7" t="s">
        <v>1335</v>
      </c>
      <c r="H241" s="24" t="s">
        <v>1336</v>
      </c>
      <c r="I241" s="5" t="s">
        <v>1266</v>
      </c>
      <c r="J241" s="12" t="s">
        <v>1337</v>
      </c>
      <c r="K241" s="5"/>
      <c r="L241" s="5"/>
      <c r="M241" s="5"/>
    </row>
    <row r="242" ht="15.75" customHeight="1">
      <c r="A242" s="5">
        <v>2024.0</v>
      </c>
      <c r="B242" s="19" t="s">
        <v>12</v>
      </c>
      <c r="C242" s="22"/>
      <c r="D242" s="7" t="s">
        <v>1338</v>
      </c>
      <c r="E242" s="10" t="s">
        <v>1339</v>
      </c>
      <c r="F242" s="9" t="s">
        <v>1340</v>
      </c>
      <c r="G242" s="7" t="s">
        <v>1341</v>
      </c>
      <c r="H242" s="24" t="s">
        <v>1342</v>
      </c>
      <c r="I242" s="5" t="s">
        <v>1266</v>
      </c>
      <c r="J242" s="12"/>
      <c r="K242" s="5"/>
      <c r="L242" s="5"/>
      <c r="M242" s="5"/>
    </row>
    <row r="243" ht="15.75" customHeight="1">
      <c r="A243" s="5">
        <v>2024.0</v>
      </c>
      <c r="B243" s="19" t="s">
        <v>12</v>
      </c>
      <c r="C243" s="22"/>
      <c r="D243" s="7" t="s">
        <v>1343</v>
      </c>
      <c r="E243" s="10" t="s">
        <v>1344</v>
      </c>
      <c r="F243" s="9" t="s">
        <v>1345</v>
      </c>
      <c r="G243" s="7" t="s">
        <v>1346</v>
      </c>
      <c r="H243" s="24"/>
      <c r="I243" s="5" t="s">
        <v>1266</v>
      </c>
      <c r="J243" s="12" t="s">
        <v>1347</v>
      </c>
      <c r="K243" s="5"/>
      <c r="L243" s="5"/>
      <c r="M243" s="5"/>
    </row>
    <row r="244" ht="15.75" customHeight="1">
      <c r="A244" s="5">
        <v>2024.0</v>
      </c>
      <c r="B244" s="14" t="s">
        <v>62</v>
      </c>
      <c r="C244" s="22"/>
      <c r="D244" s="7" t="s">
        <v>1348</v>
      </c>
      <c r="E244" s="10" t="s">
        <v>1349</v>
      </c>
      <c r="F244" s="9" t="s">
        <v>1350</v>
      </c>
      <c r="G244" s="7" t="s">
        <v>1351</v>
      </c>
      <c r="H244" s="26" t="s">
        <v>1352</v>
      </c>
      <c r="I244" s="5" t="s">
        <v>1266</v>
      </c>
      <c r="J244" s="12"/>
      <c r="K244" s="5"/>
      <c r="L244" s="5"/>
      <c r="M244" s="5"/>
    </row>
    <row r="245" ht="15.75" customHeight="1">
      <c r="A245" s="5">
        <v>2024.0</v>
      </c>
      <c r="B245" s="19" t="s">
        <v>12</v>
      </c>
      <c r="C245" s="22"/>
      <c r="D245" s="7" t="s">
        <v>1353</v>
      </c>
      <c r="E245" s="10" t="s">
        <v>1354</v>
      </c>
      <c r="F245" s="9" t="s">
        <v>1355</v>
      </c>
      <c r="G245" s="7" t="s">
        <v>1356</v>
      </c>
      <c r="H245" s="26" t="s">
        <v>1357</v>
      </c>
      <c r="I245" s="5" t="s">
        <v>1266</v>
      </c>
      <c r="J245" s="12"/>
      <c r="K245" s="5"/>
      <c r="L245" s="5"/>
      <c r="M245" s="5"/>
    </row>
    <row r="246" ht="15.75" customHeight="1">
      <c r="A246" s="5">
        <v>2024.0</v>
      </c>
      <c r="B246" s="19" t="s">
        <v>12</v>
      </c>
      <c r="C246" s="22"/>
      <c r="D246" s="27" t="s">
        <v>1358</v>
      </c>
      <c r="E246" s="10" t="s">
        <v>1359</v>
      </c>
      <c r="F246" s="9" t="s">
        <v>1360</v>
      </c>
      <c r="G246" s="7" t="s">
        <v>1361</v>
      </c>
      <c r="H246" s="24" t="s">
        <v>1362</v>
      </c>
      <c r="I246" s="5" t="s">
        <v>1266</v>
      </c>
      <c r="J246" s="12" t="s">
        <v>1363</v>
      </c>
      <c r="K246" s="5"/>
      <c r="L246" s="5"/>
      <c r="M246" s="5"/>
    </row>
    <row r="247" ht="15.75" customHeight="1">
      <c r="A247" s="5">
        <v>2024.0</v>
      </c>
      <c r="B247" s="19" t="s">
        <v>12</v>
      </c>
      <c r="C247" s="22"/>
      <c r="D247" s="7" t="s">
        <v>1364</v>
      </c>
      <c r="E247" s="10" t="s">
        <v>1365</v>
      </c>
      <c r="F247" s="9" t="s">
        <v>1366</v>
      </c>
      <c r="G247" s="7" t="s">
        <v>1367</v>
      </c>
      <c r="H247" s="26" t="s">
        <v>1368</v>
      </c>
      <c r="I247" s="5" t="s">
        <v>1266</v>
      </c>
      <c r="J247" s="12" t="s">
        <v>1369</v>
      </c>
      <c r="K247" s="5"/>
      <c r="L247" s="5"/>
      <c r="M247" s="5"/>
    </row>
    <row r="248" ht="15.75" customHeight="1">
      <c r="A248" s="5">
        <v>2024.0</v>
      </c>
      <c r="B248" s="19" t="s">
        <v>12</v>
      </c>
      <c r="C248" s="22"/>
      <c r="D248" s="7" t="s">
        <v>1370</v>
      </c>
      <c r="E248" s="10" t="s">
        <v>1371</v>
      </c>
      <c r="F248" s="9" t="s">
        <v>1372</v>
      </c>
      <c r="G248" s="7" t="s">
        <v>1373</v>
      </c>
      <c r="H248" s="24" t="s">
        <v>1374</v>
      </c>
      <c r="I248" s="5" t="s">
        <v>1266</v>
      </c>
      <c r="J248" s="12" t="s">
        <v>1375</v>
      </c>
      <c r="K248" s="5"/>
      <c r="L248" s="5"/>
      <c r="M248" s="5"/>
    </row>
    <row r="249" ht="15.75" customHeight="1">
      <c r="A249" s="5">
        <v>2024.0</v>
      </c>
      <c r="B249" s="19" t="s">
        <v>12</v>
      </c>
      <c r="C249" s="22"/>
      <c r="D249" s="7" t="s">
        <v>1376</v>
      </c>
      <c r="E249" s="10" t="s">
        <v>1377</v>
      </c>
      <c r="F249" s="9" t="s">
        <v>1378</v>
      </c>
      <c r="G249" s="7" t="s">
        <v>1379</v>
      </c>
      <c r="H249" s="24" t="s">
        <v>1380</v>
      </c>
      <c r="I249" s="5" t="s">
        <v>1266</v>
      </c>
      <c r="J249" s="12" t="s">
        <v>1381</v>
      </c>
      <c r="K249" s="5"/>
      <c r="L249" s="5"/>
      <c r="M249" s="5"/>
    </row>
    <row r="250" ht="15.75" customHeight="1">
      <c r="A250" s="5">
        <v>2024.0</v>
      </c>
      <c r="B250" s="19" t="s">
        <v>12</v>
      </c>
      <c r="C250" s="22"/>
      <c r="D250" s="7" t="s">
        <v>1382</v>
      </c>
      <c r="E250" s="10" t="s">
        <v>1383</v>
      </c>
      <c r="F250" s="9" t="s">
        <v>1384</v>
      </c>
      <c r="G250" s="7" t="s">
        <v>1385</v>
      </c>
      <c r="H250" s="24" t="s">
        <v>1386</v>
      </c>
      <c r="I250" s="5" t="s">
        <v>1266</v>
      </c>
      <c r="J250" s="12"/>
      <c r="K250" s="5"/>
      <c r="L250" s="5"/>
      <c r="M250" s="5"/>
    </row>
    <row r="251" ht="15.75" customHeight="1">
      <c r="A251" s="5">
        <v>2024.0</v>
      </c>
      <c r="B251" s="19" t="s">
        <v>12</v>
      </c>
      <c r="C251" s="22"/>
      <c r="D251" s="7" t="s">
        <v>1387</v>
      </c>
      <c r="E251" s="10" t="s">
        <v>1388</v>
      </c>
      <c r="F251" s="9" t="s">
        <v>1389</v>
      </c>
      <c r="G251" s="7" t="s">
        <v>1390</v>
      </c>
      <c r="H251" s="24" t="s">
        <v>1391</v>
      </c>
      <c r="I251" s="5" t="s">
        <v>1266</v>
      </c>
      <c r="J251" s="12" t="s">
        <v>1392</v>
      </c>
      <c r="K251" s="5"/>
      <c r="L251" s="5"/>
      <c r="M251" s="5"/>
    </row>
    <row r="252" ht="15.75" customHeight="1">
      <c r="A252" s="5">
        <v>2024.0</v>
      </c>
      <c r="B252" s="19" t="s">
        <v>12</v>
      </c>
      <c r="C252" s="22"/>
      <c r="D252" s="7" t="s">
        <v>1393</v>
      </c>
      <c r="E252" s="10" t="s">
        <v>1394</v>
      </c>
      <c r="F252" s="9" t="s">
        <v>1395</v>
      </c>
      <c r="G252" s="7" t="s">
        <v>17</v>
      </c>
      <c r="H252" s="24" t="s">
        <v>1396</v>
      </c>
      <c r="I252" s="5" t="s">
        <v>1266</v>
      </c>
      <c r="J252" s="12" t="s">
        <v>1397</v>
      </c>
      <c r="K252" s="5"/>
      <c r="L252" s="5"/>
      <c r="M252" s="5"/>
    </row>
    <row r="253" ht="15.75" customHeight="1">
      <c r="A253" s="5">
        <v>2024.0</v>
      </c>
      <c r="B253" s="14" t="s">
        <v>62</v>
      </c>
      <c r="C253" s="22"/>
      <c r="D253" s="7" t="s">
        <v>1398</v>
      </c>
      <c r="E253" s="10" t="s">
        <v>1399</v>
      </c>
      <c r="F253" s="9" t="s">
        <v>1400</v>
      </c>
      <c r="G253" s="7" t="s">
        <v>1401</v>
      </c>
      <c r="H253" s="24" t="s">
        <v>1402</v>
      </c>
      <c r="I253" s="5" t="s">
        <v>1266</v>
      </c>
      <c r="J253" s="12" t="s">
        <v>1403</v>
      </c>
      <c r="K253" s="5"/>
      <c r="L253" s="5"/>
      <c r="M253" s="5"/>
    </row>
    <row r="254" ht="15.75" customHeight="1">
      <c r="A254" s="5">
        <v>2024.0</v>
      </c>
      <c r="B254" s="19" t="s">
        <v>12</v>
      </c>
      <c r="C254" s="22"/>
      <c r="D254" s="7" t="s">
        <v>1404</v>
      </c>
      <c r="E254" s="10" t="s">
        <v>1405</v>
      </c>
      <c r="F254" s="9" t="s">
        <v>1406</v>
      </c>
      <c r="G254" s="7" t="s">
        <v>1407</v>
      </c>
      <c r="H254" s="26" t="s">
        <v>1408</v>
      </c>
      <c r="I254" s="5" t="s">
        <v>1266</v>
      </c>
      <c r="J254" s="12" t="s">
        <v>1409</v>
      </c>
      <c r="K254" s="5"/>
      <c r="L254" s="5"/>
      <c r="M254" s="5"/>
    </row>
    <row r="255" ht="15.75" customHeight="1">
      <c r="A255" s="5">
        <v>2024.0</v>
      </c>
      <c r="B255" s="17" t="s">
        <v>297</v>
      </c>
      <c r="C255" s="22"/>
      <c r="D255" s="7" t="s">
        <v>1410</v>
      </c>
      <c r="E255" s="10" t="s">
        <v>1411</v>
      </c>
      <c r="F255" s="9" t="s">
        <v>1412</v>
      </c>
      <c r="G255" s="7" t="s">
        <v>1413</v>
      </c>
      <c r="H255" s="24" t="s">
        <v>1414</v>
      </c>
      <c r="I255" s="5" t="s">
        <v>1266</v>
      </c>
      <c r="J255" s="12" t="s">
        <v>1415</v>
      </c>
      <c r="K255" s="5"/>
      <c r="L255" s="5"/>
      <c r="M255" s="5"/>
    </row>
    <row r="256" ht="15.75" customHeight="1">
      <c r="A256" s="5">
        <v>2024.0</v>
      </c>
      <c r="B256" s="19" t="s">
        <v>12</v>
      </c>
      <c r="C256" s="22"/>
      <c r="D256" s="7" t="s">
        <v>1416</v>
      </c>
      <c r="E256" s="10" t="s">
        <v>1417</v>
      </c>
      <c r="F256" s="9" t="s">
        <v>1418</v>
      </c>
      <c r="G256" s="7" t="s">
        <v>1419</v>
      </c>
      <c r="H256" s="24"/>
      <c r="I256" s="5" t="s">
        <v>1266</v>
      </c>
      <c r="J256" s="12" t="s">
        <v>1420</v>
      </c>
      <c r="K256" s="5"/>
      <c r="L256" s="5"/>
      <c r="M256" s="5"/>
    </row>
    <row r="257" ht="15.75" customHeight="1">
      <c r="A257" s="5">
        <v>2024.0</v>
      </c>
      <c r="B257" s="19" t="s">
        <v>12</v>
      </c>
      <c r="C257" s="22"/>
      <c r="D257" s="7" t="s">
        <v>1421</v>
      </c>
      <c r="E257" s="10" t="s">
        <v>1422</v>
      </c>
      <c r="F257" s="9" t="s">
        <v>1423</v>
      </c>
      <c r="G257" s="7" t="s">
        <v>1424</v>
      </c>
      <c r="H257" s="24" t="s">
        <v>1425</v>
      </c>
      <c r="I257" s="5" t="s">
        <v>1266</v>
      </c>
      <c r="J257" s="12" t="s">
        <v>1426</v>
      </c>
      <c r="K257" s="5"/>
      <c r="L257" s="5"/>
      <c r="M257" s="5"/>
    </row>
    <row r="258" ht="15.75" customHeight="1">
      <c r="A258" s="5">
        <v>2024.0</v>
      </c>
      <c r="B258" s="19" t="s">
        <v>12</v>
      </c>
      <c r="C258" s="22"/>
      <c r="D258" s="7" t="s">
        <v>1427</v>
      </c>
      <c r="E258" s="10" t="s">
        <v>1428</v>
      </c>
      <c r="F258" s="9" t="s">
        <v>1429</v>
      </c>
      <c r="G258" s="7" t="s">
        <v>1430</v>
      </c>
      <c r="H258" s="26" t="s">
        <v>1431</v>
      </c>
      <c r="I258" s="5" t="s">
        <v>1266</v>
      </c>
      <c r="J258" s="12" t="s">
        <v>1432</v>
      </c>
      <c r="K258" s="5"/>
      <c r="L258" s="5"/>
      <c r="M258" s="5"/>
    </row>
    <row r="259" ht="15.75" customHeight="1">
      <c r="A259" s="5">
        <v>2024.0</v>
      </c>
      <c r="B259" s="19" t="s">
        <v>12</v>
      </c>
      <c r="C259" s="22"/>
      <c r="D259" s="7" t="s">
        <v>1433</v>
      </c>
      <c r="E259" s="10" t="s">
        <v>1434</v>
      </c>
      <c r="F259" s="9" t="s">
        <v>1435</v>
      </c>
      <c r="G259" s="27" t="s">
        <v>1436</v>
      </c>
      <c r="H259" s="24" t="s">
        <v>1437</v>
      </c>
      <c r="I259" s="5" t="s">
        <v>1266</v>
      </c>
      <c r="J259" s="12" t="s">
        <v>1438</v>
      </c>
      <c r="K259" s="5"/>
      <c r="L259" s="5"/>
      <c r="M259" s="5"/>
    </row>
    <row r="260" ht="15.75" customHeight="1">
      <c r="A260" s="5">
        <v>2024.0</v>
      </c>
      <c r="B260" s="28" t="s">
        <v>12</v>
      </c>
      <c r="C260" s="22"/>
      <c r="D260" s="7" t="s">
        <v>1439</v>
      </c>
      <c r="E260" s="10" t="s">
        <v>1440</v>
      </c>
      <c r="F260" s="9" t="s">
        <v>1441</v>
      </c>
      <c r="G260" s="7" t="s">
        <v>1436</v>
      </c>
      <c r="H260" s="24" t="s">
        <v>1442</v>
      </c>
      <c r="I260" s="5" t="s">
        <v>1266</v>
      </c>
      <c r="J260" s="12" t="s">
        <v>1443</v>
      </c>
      <c r="K260" s="5"/>
      <c r="L260" s="5"/>
      <c r="M260" s="5"/>
    </row>
    <row r="261" ht="15.75" customHeight="1">
      <c r="A261" s="5">
        <v>2024.0</v>
      </c>
      <c r="B261" s="28" t="s">
        <v>12</v>
      </c>
      <c r="C261" s="22"/>
      <c r="D261" s="7" t="s">
        <v>1444</v>
      </c>
      <c r="E261" s="10" t="s">
        <v>1445</v>
      </c>
      <c r="F261" s="9" t="s">
        <v>1446</v>
      </c>
      <c r="G261" s="7" t="s">
        <v>1447</v>
      </c>
      <c r="H261" s="26" t="s">
        <v>1448</v>
      </c>
      <c r="I261" s="5" t="s">
        <v>1266</v>
      </c>
      <c r="J261" s="12" t="s">
        <v>1449</v>
      </c>
      <c r="K261" s="5"/>
      <c r="L261" s="5"/>
      <c r="M261" s="5"/>
    </row>
    <row r="262" ht="15.75" customHeight="1">
      <c r="A262" s="5">
        <v>2024.0</v>
      </c>
      <c r="B262" s="14" t="s">
        <v>62</v>
      </c>
      <c r="C262" s="22" t="s">
        <v>204</v>
      </c>
      <c r="D262" s="27" t="s">
        <v>1450</v>
      </c>
      <c r="E262" s="10" t="s">
        <v>1451</v>
      </c>
      <c r="F262" s="9" t="s">
        <v>1452</v>
      </c>
      <c r="G262" s="27" t="s">
        <v>1453</v>
      </c>
      <c r="H262" s="7" t="s">
        <v>1454</v>
      </c>
      <c r="I262" s="5" t="s">
        <v>1266</v>
      </c>
      <c r="J262" s="12" t="s">
        <v>1455</v>
      </c>
      <c r="K262" s="5"/>
      <c r="L262" s="5"/>
      <c r="M262" s="5"/>
    </row>
    <row r="263" ht="15.75" customHeight="1">
      <c r="A263" s="5">
        <v>2024.0</v>
      </c>
      <c r="B263" s="28" t="s">
        <v>12</v>
      </c>
      <c r="C263" s="22"/>
      <c r="D263" s="10" t="s">
        <v>1456</v>
      </c>
      <c r="E263" s="10" t="s">
        <v>1457</v>
      </c>
      <c r="F263" s="9" t="s">
        <v>1458</v>
      </c>
      <c r="G263" s="7" t="s">
        <v>1459</v>
      </c>
      <c r="H263" s="7" t="s">
        <v>1460</v>
      </c>
      <c r="I263" s="5" t="s">
        <v>1266</v>
      </c>
      <c r="J263" s="12" t="s">
        <v>1461</v>
      </c>
      <c r="K263" s="5"/>
      <c r="L263" s="5"/>
      <c r="M263" s="5"/>
    </row>
    <row r="264" ht="15.75" customHeight="1">
      <c r="A264" s="5">
        <v>2024.0</v>
      </c>
      <c r="B264" s="28" t="s">
        <v>12</v>
      </c>
      <c r="C264" s="22"/>
      <c r="D264" s="10" t="s">
        <v>1462</v>
      </c>
      <c r="E264" s="10" t="s">
        <v>1463</v>
      </c>
      <c r="F264" s="9" t="s">
        <v>1464</v>
      </c>
      <c r="G264" s="7" t="s">
        <v>1465</v>
      </c>
      <c r="H264" s="29" t="s">
        <v>1466</v>
      </c>
      <c r="I264" s="5" t="s">
        <v>1266</v>
      </c>
      <c r="J264" s="12" t="s">
        <v>1467</v>
      </c>
      <c r="K264" s="5"/>
      <c r="L264" s="5"/>
      <c r="M264" s="5"/>
    </row>
    <row r="265" ht="15.75" customHeight="1">
      <c r="A265" s="5">
        <v>2024.0</v>
      </c>
      <c r="B265" s="28" t="s">
        <v>12</v>
      </c>
      <c r="C265" s="22" t="s">
        <v>204</v>
      </c>
      <c r="D265" s="10" t="s">
        <v>1468</v>
      </c>
      <c r="E265" s="30" t="s">
        <v>1469</v>
      </c>
      <c r="F265" s="9" t="s">
        <v>1470</v>
      </c>
      <c r="G265" s="7" t="s">
        <v>1471</v>
      </c>
      <c r="H265" s="27" t="s">
        <v>1472</v>
      </c>
      <c r="I265" s="5" t="s">
        <v>1266</v>
      </c>
      <c r="J265" s="12"/>
      <c r="K265" s="5"/>
      <c r="L265" s="5"/>
      <c r="M265" s="5"/>
    </row>
    <row r="266" ht="15.75" customHeight="1">
      <c r="A266" s="5">
        <v>2024.0</v>
      </c>
      <c r="B266" s="14" t="s">
        <v>62</v>
      </c>
      <c r="C266" s="22" t="s">
        <v>204</v>
      </c>
      <c r="D266" s="10" t="s">
        <v>1473</v>
      </c>
      <c r="E266" s="30" t="s">
        <v>1474</v>
      </c>
      <c r="F266" s="9" t="s">
        <v>1475</v>
      </c>
      <c r="G266" s="7" t="s">
        <v>1476</v>
      </c>
      <c r="H266" s="29" t="s">
        <v>1477</v>
      </c>
      <c r="I266" s="5" t="s">
        <v>1266</v>
      </c>
      <c r="J266" s="12"/>
      <c r="K266" s="5"/>
      <c r="L266" s="5"/>
      <c r="M266" s="5"/>
    </row>
    <row r="267" ht="15.75" customHeight="1">
      <c r="A267" s="5">
        <v>2024.0</v>
      </c>
      <c r="B267" s="28" t="s">
        <v>12</v>
      </c>
      <c r="C267" s="22"/>
      <c r="D267" s="10" t="s">
        <v>1478</v>
      </c>
      <c r="E267" s="30" t="s">
        <v>1479</v>
      </c>
      <c r="F267" s="9" t="s">
        <v>1480</v>
      </c>
      <c r="G267" s="7" t="s">
        <v>1481</v>
      </c>
      <c r="H267" s="27" t="s">
        <v>1482</v>
      </c>
      <c r="I267" s="5" t="s">
        <v>1266</v>
      </c>
      <c r="J267" s="12" t="s">
        <v>1483</v>
      </c>
      <c r="K267" s="5"/>
      <c r="L267" s="5"/>
      <c r="M267" s="5"/>
    </row>
    <row r="268" ht="15.75" customHeight="1">
      <c r="A268" s="5">
        <v>2024.0</v>
      </c>
      <c r="B268" s="20" t="str">
        <f>HYPERLINK("https://shop.openbci.com/collections/frontpage/products/ganglion-board","Ganglion")</f>
        <v>Ganglion</v>
      </c>
      <c r="C268" s="22"/>
      <c r="D268" s="10" t="s">
        <v>1484</v>
      </c>
      <c r="E268" s="30" t="s">
        <v>1485</v>
      </c>
      <c r="F268" s="9" t="s">
        <v>1486</v>
      </c>
      <c r="G268" s="10" t="s">
        <v>1487</v>
      </c>
      <c r="H268" s="11" t="s">
        <v>1488</v>
      </c>
      <c r="I268" s="5" t="s">
        <v>1266</v>
      </c>
      <c r="J268" s="12" t="s">
        <v>1489</v>
      </c>
      <c r="K268" s="5"/>
      <c r="L268" s="5"/>
      <c r="M268" s="5"/>
    </row>
    <row r="269" ht="15.75" customHeight="1">
      <c r="A269" s="5">
        <v>2024.0</v>
      </c>
      <c r="B269" s="28" t="s">
        <v>12</v>
      </c>
      <c r="C269" s="22"/>
      <c r="D269" s="10" t="s">
        <v>1490</v>
      </c>
      <c r="E269" s="30" t="s">
        <v>1491</v>
      </c>
      <c r="F269" s="9" t="s">
        <v>1492</v>
      </c>
      <c r="G269" s="10" t="s">
        <v>1493</v>
      </c>
      <c r="H269" s="15" t="s">
        <v>1494</v>
      </c>
      <c r="I269" s="5" t="s">
        <v>1266</v>
      </c>
      <c r="J269" s="12" t="s">
        <v>1495</v>
      </c>
      <c r="K269" s="5"/>
      <c r="L269" s="5"/>
      <c r="M269" s="5"/>
    </row>
    <row r="270" ht="15.75" customHeight="1">
      <c r="A270" s="5">
        <v>2024.0</v>
      </c>
      <c r="B270" s="28" t="s">
        <v>12</v>
      </c>
      <c r="C270" s="22"/>
      <c r="D270" s="10" t="s">
        <v>1496</v>
      </c>
      <c r="E270" s="30" t="s">
        <v>1497</v>
      </c>
      <c r="F270" s="9" t="s">
        <v>1498</v>
      </c>
      <c r="G270" s="10" t="s">
        <v>1499</v>
      </c>
      <c r="H270" s="15" t="s">
        <v>1500</v>
      </c>
      <c r="I270" s="5" t="s">
        <v>1266</v>
      </c>
      <c r="J270" s="12" t="s">
        <v>1501</v>
      </c>
      <c r="K270" s="5"/>
      <c r="L270" s="5"/>
      <c r="M270" s="5"/>
    </row>
    <row r="271" ht="15.75" customHeight="1">
      <c r="A271" s="5">
        <v>2024.0</v>
      </c>
      <c r="B271" s="28" t="s">
        <v>12</v>
      </c>
      <c r="C271" s="22" t="s">
        <v>204</v>
      </c>
      <c r="D271" s="10" t="s">
        <v>1502</v>
      </c>
      <c r="E271" s="30" t="s">
        <v>1503</v>
      </c>
      <c r="F271" s="9" t="s">
        <v>1504</v>
      </c>
      <c r="G271" s="10" t="s">
        <v>1505</v>
      </c>
      <c r="H271" s="31" t="s">
        <v>1506</v>
      </c>
      <c r="I271" s="5" t="s">
        <v>1266</v>
      </c>
      <c r="J271" s="12" t="s">
        <v>1507</v>
      </c>
      <c r="K271" s="5"/>
      <c r="L271" s="5"/>
      <c r="M271" s="5"/>
    </row>
    <row r="272" ht="15.75" customHeight="1">
      <c r="A272" s="5">
        <v>2024.0</v>
      </c>
      <c r="B272" s="28" t="s">
        <v>12</v>
      </c>
      <c r="C272" s="16"/>
      <c r="D272" s="10" t="s">
        <v>1508</v>
      </c>
      <c r="E272" s="30" t="s">
        <v>1509</v>
      </c>
      <c r="F272" s="9" t="s">
        <v>1510</v>
      </c>
      <c r="G272" s="10" t="s">
        <v>1511</v>
      </c>
      <c r="H272" s="32" t="s">
        <v>1512</v>
      </c>
      <c r="I272" s="5" t="s">
        <v>1266</v>
      </c>
      <c r="J272" s="12" t="s">
        <v>1513</v>
      </c>
      <c r="K272" s="5"/>
      <c r="L272" s="5"/>
      <c r="M272" s="5"/>
    </row>
    <row r="273" ht="15.75" customHeight="1">
      <c r="A273" s="5">
        <v>2024.0</v>
      </c>
      <c r="B273" s="28" t="s">
        <v>12</v>
      </c>
      <c r="C273" s="16"/>
      <c r="D273" s="10" t="s">
        <v>1514</v>
      </c>
      <c r="E273" s="30" t="s">
        <v>1515</v>
      </c>
      <c r="F273" s="9" t="s">
        <v>1516</v>
      </c>
      <c r="G273" s="10" t="s">
        <v>1517</v>
      </c>
      <c r="H273" s="32" t="s">
        <v>1518</v>
      </c>
      <c r="I273" s="5" t="s">
        <v>1266</v>
      </c>
      <c r="J273" s="12" t="s">
        <v>1519</v>
      </c>
      <c r="K273" s="5"/>
      <c r="L273" s="5"/>
      <c r="M273" s="5"/>
    </row>
    <row r="274" ht="15.75" customHeight="1">
      <c r="A274" s="5">
        <v>2024.0</v>
      </c>
      <c r="B274" s="28" t="s">
        <v>12</v>
      </c>
      <c r="C274" s="16"/>
      <c r="D274" s="10" t="s">
        <v>1520</v>
      </c>
      <c r="E274" s="30" t="s">
        <v>1521</v>
      </c>
      <c r="F274" s="9" t="s">
        <v>1522</v>
      </c>
      <c r="G274" s="10" t="s">
        <v>17</v>
      </c>
      <c r="H274" s="32" t="s">
        <v>1523</v>
      </c>
      <c r="I274" s="5" t="s">
        <v>1266</v>
      </c>
      <c r="J274" s="33" t="s">
        <v>1524</v>
      </c>
      <c r="K274" s="5"/>
      <c r="L274" s="5"/>
      <c r="M274" s="5"/>
    </row>
    <row r="275" ht="15.75" customHeight="1">
      <c r="A275" s="5">
        <v>2024.0</v>
      </c>
      <c r="B275" s="28" t="s">
        <v>12</v>
      </c>
      <c r="C275" s="16"/>
      <c r="D275" s="10" t="s">
        <v>1525</v>
      </c>
      <c r="E275" s="30" t="s">
        <v>1526</v>
      </c>
      <c r="F275" s="9" t="s">
        <v>1527</v>
      </c>
      <c r="G275" s="10" t="s">
        <v>1528</v>
      </c>
      <c r="H275" s="32" t="s">
        <v>1529</v>
      </c>
      <c r="I275" s="5" t="s">
        <v>1266</v>
      </c>
      <c r="J275" s="33" t="s">
        <v>1530</v>
      </c>
      <c r="K275" s="5"/>
      <c r="L275" s="5"/>
      <c r="M275" s="5"/>
    </row>
    <row r="276" ht="15.75" customHeight="1">
      <c r="A276" s="5">
        <v>2024.0</v>
      </c>
      <c r="B276" s="14" t="s">
        <v>12</v>
      </c>
      <c r="C276" s="16"/>
      <c r="D276" s="10" t="s">
        <v>1531</v>
      </c>
      <c r="E276" s="30" t="s">
        <v>1532</v>
      </c>
      <c r="F276" s="9" t="s">
        <v>1533</v>
      </c>
      <c r="G276" s="10" t="s">
        <v>1528</v>
      </c>
      <c r="H276" s="32" t="s">
        <v>1534</v>
      </c>
      <c r="I276" s="5" t="s">
        <v>1266</v>
      </c>
      <c r="J276" s="33" t="s">
        <v>1535</v>
      </c>
      <c r="K276" s="5"/>
      <c r="L276" s="5"/>
      <c r="M276" s="5"/>
    </row>
    <row r="277" ht="15.75" customHeight="1">
      <c r="A277" s="5">
        <v>2024.0</v>
      </c>
      <c r="B277" s="14" t="s">
        <v>12</v>
      </c>
      <c r="C277" s="16"/>
      <c r="D277" s="10" t="s">
        <v>1536</v>
      </c>
      <c r="E277" s="30" t="s">
        <v>1537</v>
      </c>
      <c r="F277" s="9" t="s">
        <v>1538</v>
      </c>
      <c r="G277" s="10" t="s">
        <v>1539</v>
      </c>
      <c r="H277" s="32" t="s">
        <v>1540</v>
      </c>
      <c r="I277" s="5" t="s">
        <v>1266</v>
      </c>
      <c r="J277" s="33" t="s">
        <v>1541</v>
      </c>
      <c r="K277" s="5"/>
      <c r="L277" s="5"/>
      <c r="M277" s="5"/>
    </row>
    <row r="278" ht="15.75" customHeight="1">
      <c r="A278" s="5">
        <v>2024.0</v>
      </c>
      <c r="B278" s="14" t="s">
        <v>12</v>
      </c>
      <c r="C278" s="16"/>
      <c r="D278" s="10" t="s">
        <v>1542</v>
      </c>
      <c r="E278" s="30" t="s">
        <v>1543</v>
      </c>
      <c r="F278" s="9" t="s">
        <v>1544</v>
      </c>
      <c r="G278" s="10" t="s">
        <v>1545</v>
      </c>
      <c r="H278" s="34" t="s">
        <v>1546</v>
      </c>
      <c r="I278" s="5" t="s">
        <v>1266</v>
      </c>
      <c r="J278" s="33" t="s">
        <v>1547</v>
      </c>
      <c r="K278" s="5"/>
      <c r="L278" s="5"/>
      <c r="M278" s="5"/>
    </row>
    <row r="279" ht="15.75" customHeight="1">
      <c r="A279" s="5">
        <v>2024.0</v>
      </c>
      <c r="B279" s="20" t="str">
        <f>HYPERLINK("https://shop.openbci.com/collections/frontpage/products/ganglion-board","Ganglion")</f>
        <v>Ganglion</v>
      </c>
      <c r="C279" s="16"/>
      <c r="D279" s="10" t="s">
        <v>1548</v>
      </c>
      <c r="E279" s="30" t="s">
        <v>1549</v>
      </c>
      <c r="F279" s="9" t="s">
        <v>1550</v>
      </c>
      <c r="G279" s="10" t="s">
        <v>1551</v>
      </c>
      <c r="H279" s="32"/>
      <c r="I279" s="5" t="s">
        <v>1266</v>
      </c>
      <c r="J279" s="33" t="s">
        <v>1552</v>
      </c>
      <c r="K279" s="5"/>
      <c r="L279" s="5"/>
      <c r="M279" s="5"/>
    </row>
    <row r="280" ht="15.75" customHeight="1">
      <c r="A280" s="5">
        <v>2024.0</v>
      </c>
      <c r="B280" s="14" t="s">
        <v>12</v>
      </c>
      <c r="C280" s="16"/>
      <c r="D280" s="10" t="s">
        <v>1553</v>
      </c>
      <c r="E280" s="30" t="s">
        <v>1554</v>
      </c>
      <c r="F280" s="9" t="s">
        <v>1555</v>
      </c>
      <c r="G280" s="10" t="s">
        <v>1556</v>
      </c>
      <c r="H280" s="32" t="s">
        <v>1557</v>
      </c>
      <c r="I280" s="5" t="s">
        <v>1266</v>
      </c>
      <c r="J280" s="33" t="s">
        <v>1558</v>
      </c>
      <c r="K280" s="5"/>
      <c r="L280" s="5"/>
      <c r="M280" s="5"/>
    </row>
    <row r="281" ht="15.75" customHeight="1">
      <c r="A281" s="5">
        <v>2024.0</v>
      </c>
      <c r="B281" s="14" t="s">
        <v>62</v>
      </c>
      <c r="C281" s="21" t="s">
        <v>1204</v>
      </c>
      <c r="D281" s="10" t="s">
        <v>1559</v>
      </c>
      <c r="E281" s="30" t="s">
        <v>1560</v>
      </c>
      <c r="F281" s="9" t="s">
        <v>1561</v>
      </c>
      <c r="G281" s="10" t="s">
        <v>1562</v>
      </c>
      <c r="H281" s="32" t="s">
        <v>1563</v>
      </c>
      <c r="I281" s="5" t="s">
        <v>1266</v>
      </c>
      <c r="J281" s="35" t="s">
        <v>1564</v>
      </c>
      <c r="K281" s="5"/>
      <c r="L281" s="5"/>
      <c r="M281" s="5"/>
    </row>
    <row r="282" ht="15.75" customHeight="1">
      <c r="A282" s="5">
        <v>2024.0</v>
      </c>
      <c r="B282" s="14" t="s">
        <v>12</v>
      </c>
      <c r="C282" s="22"/>
      <c r="D282" s="10" t="s">
        <v>1565</v>
      </c>
      <c r="E282" s="30" t="s">
        <v>1566</v>
      </c>
      <c r="F282" s="9" t="s">
        <v>1567</v>
      </c>
      <c r="G282" s="10" t="s">
        <v>1568</v>
      </c>
      <c r="H282" s="34" t="s">
        <v>1569</v>
      </c>
      <c r="I282" s="5" t="s">
        <v>1266</v>
      </c>
      <c r="J282" s="35" t="s">
        <v>1570</v>
      </c>
      <c r="K282" s="5"/>
      <c r="L282" s="5"/>
      <c r="M282" s="5"/>
    </row>
    <row r="283" ht="15.75" customHeight="1">
      <c r="A283" s="5">
        <v>2024.0</v>
      </c>
      <c r="B283" s="20" t="str">
        <f>HYPERLINK("https://shop.openbci.com/collections/frontpage/products/ganglion-board","Ganglion")</f>
        <v>Ganglion</v>
      </c>
      <c r="C283" s="22"/>
      <c r="D283" s="10" t="s">
        <v>1571</v>
      </c>
      <c r="E283" s="30" t="s">
        <v>1572</v>
      </c>
      <c r="F283" s="9" t="s">
        <v>1573</v>
      </c>
      <c r="G283" s="10" t="s">
        <v>1574</v>
      </c>
      <c r="H283" s="32" t="s">
        <v>1575</v>
      </c>
      <c r="I283" s="5" t="s">
        <v>1266</v>
      </c>
      <c r="J283" s="35" t="s">
        <v>1576</v>
      </c>
      <c r="K283" s="5"/>
      <c r="L283" s="5"/>
      <c r="M283" s="5"/>
    </row>
    <row r="284" ht="15.75" customHeight="1">
      <c r="A284" s="5">
        <v>2024.0</v>
      </c>
      <c r="B284" s="14" t="s">
        <v>12</v>
      </c>
      <c r="C284" s="22"/>
      <c r="D284" s="10" t="s">
        <v>1577</v>
      </c>
      <c r="E284" s="30" t="s">
        <v>1578</v>
      </c>
      <c r="F284" s="9" t="s">
        <v>1579</v>
      </c>
      <c r="G284" s="10" t="s">
        <v>1580</v>
      </c>
      <c r="H284" s="32" t="s">
        <v>1581</v>
      </c>
      <c r="I284" s="5" t="s">
        <v>1266</v>
      </c>
      <c r="J284" s="35" t="s">
        <v>1582</v>
      </c>
      <c r="K284" s="5"/>
      <c r="L284" s="5"/>
      <c r="M284" s="5"/>
    </row>
    <row r="285" ht="15.75" customHeight="1">
      <c r="A285" s="5">
        <v>2024.0</v>
      </c>
      <c r="B285" s="14" t="s">
        <v>12</v>
      </c>
      <c r="C285" s="22"/>
      <c r="D285" s="10" t="s">
        <v>1583</v>
      </c>
      <c r="E285" s="30" t="s">
        <v>1584</v>
      </c>
      <c r="F285" s="9" t="s">
        <v>1585</v>
      </c>
      <c r="G285" s="10" t="s">
        <v>1586</v>
      </c>
      <c r="H285" s="32" t="s">
        <v>1587</v>
      </c>
      <c r="I285" s="5" t="s">
        <v>1266</v>
      </c>
      <c r="J285" s="35" t="s">
        <v>1588</v>
      </c>
      <c r="K285" s="5"/>
      <c r="L285" s="5"/>
      <c r="M285" s="5"/>
    </row>
    <row r="286" ht="15.75" customHeight="1">
      <c r="A286" s="5">
        <v>2024.0</v>
      </c>
      <c r="B286" s="14" t="s">
        <v>12</v>
      </c>
      <c r="C286" s="22"/>
      <c r="D286" s="10" t="s">
        <v>1589</v>
      </c>
      <c r="E286" s="30" t="s">
        <v>1590</v>
      </c>
      <c r="F286" s="9" t="s">
        <v>1591</v>
      </c>
      <c r="G286" s="10" t="s">
        <v>1592</v>
      </c>
      <c r="H286" s="32" t="s">
        <v>1593</v>
      </c>
      <c r="I286" s="5" t="s">
        <v>1266</v>
      </c>
      <c r="J286" s="35" t="s">
        <v>1594</v>
      </c>
      <c r="K286" s="5"/>
      <c r="L286" s="5"/>
      <c r="M286" s="5"/>
    </row>
    <row r="287" ht="15.75" customHeight="1">
      <c r="A287" s="5">
        <v>2024.0</v>
      </c>
      <c r="B287" s="14" t="s">
        <v>12</v>
      </c>
      <c r="C287" s="22"/>
      <c r="D287" s="10" t="s">
        <v>1595</v>
      </c>
      <c r="E287" s="30" t="s">
        <v>1596</v>
      </c>
      <c r="F287" s="9" t="s">
        <v>1597</v>
      </c>
      <c r="G287" s="10" t="s">
        <v>1598</v>
      </c>
      <c r="H287" s="32" t="s">
        <v>1599</v>
      </c>
      <c r="I287" s="5" t="s">
        <v>1266</v>
      </c>
      <c r="J287" s="35" t="s">
        <v>1600</v>
      </c>
      <c r="K287" s="5"/>
      <c r="L287" s="5"/>
      <c r="M287" s="5"/>
    </row>
    <row r="288" ht="15.75" customHeight="1">
      <c r="A288" s="5">
        <v>2024.0</v>
      </c>
      <c r="B288" s="14" t="s">
        <v>12</v>
      </c>
      <c r="C288" s="22"/>
      <c r="D288" s="10" t="s">
        <v>1601</v>
      </c>
      <c r="E288" s="30" t="s">
        <v>1602</v>
      </c>
      <c r="F288" s="9" t="s">
        <v>1603</v>
      </c>
      <c r="G288" s="10" t="s">
        <v>285</v>
      </c>
      <c r="H288" s="32" t="s">
        <v>1604</v>
      </c>
      <c r="I288" s="5" t="s">
        <v>1266</v>
      </c>
      <c r="J288" s="35"/>
      <c r="K288" s="5"/>
      <c r="L288" s="5"/>
      <c r="M288" s="5"/>
    </row>
    <row r="289" ht="15.75" customHeight="1">
      <c r="A289" s="5">
        <v>2024.0</v>
      </c>
      <c r="B289" s="14" t="s">
        <v>12</v>
      </c>
      <c r="C289" s="22" t="s">
        <v>1605</v>
      </c>
      <c r="D289" s="10" t="s">
        <v>1606</v>
      </c>
      <c r="E289" s="30" t="s">
        <v>1607</v>
      </c>
      <c r="F289" s="9" t="s">
        <v>1608</v>
      </c>
      <c r="G289" s="10" t="s">
        <v>1609</v>
      </c>
      <c r="H289" s="32" t="s">
        <v>1610</v>
      </c>
      <c r="I289" s="5" t="s">
        <v>1266</v>
      </c>
      <c r="J289" s="35" t="s">
        <v>1611</v>
      </c>
      <c r="K289" s="5"/>
      <c r="L289" s="5"/>
      <c r="M289" s="5"/>
    </row>
    <row r="290" ht="15.75" customHeight="1">
      <c r="A290" s="5">
        <v>2024.0</v>
      </c>
      <c r="B290" s="20" t="str">
        <f>HYPERLINK("https://shop.openbci.com/collections/frontpage/products/ganglion-board","Ganglion")</f>
        <v>Ganglion</v>
      </c>
      <c r="C290" s="22"/>
      <c r="D290" s="10" t="s">
        <v>1612</v>
      </c>
      <c r="E290" s="30" t="s">
        <v>1613</v>
      </c>
      <c r="F290" s="9" t="s">
        <v>1614</v>
      </c>
      <c r="G290" s="10" t="s">
        <v>1615</v>
      </c>
      <c r="H290" s="34" t="s">
        <v>1616</v>
      </c>
      <c r="I290" s="5" t="s">
        <v>1266</v>
      </c>
      <c r="J290" s="35" t="s">
        <v>1617</v>
      </c>
      <c r="K290" s="5"/>
      <c r="L290" s="5"/>
      <c r="M290" s="5"/>
    </row>
    <row r="291" ht="15.75" customHeight="1">
      <c r="A291" s="5">
        <v>2024.0</v>
      </c>
      <c r="B291" s="14" t="s">
        <v>12</v>
      </c>
      <c r="C291" s="22"/>
      <c r="D291" s="10" t="s">
        <v>1618</v>
      </c>
      <c r="E291" s="30" t="s">
        <v>1619</v>
      </c>
      <c r="F291" s="9" t="s">
        <v>1620</v>
      </c>
      <c r="G291" s="10" t="s">
        <v>1621</v>
      </c>
      <c r="H291" s="34" t="s">
        <v>1622</v>
      </c>
      <c r="I291" s="5" t="s">
        <v>1266</v>
      </c>
      <c r="J291" s="35" t="s">
        <v>1623</v>
      </c>
      <c r="K291" s="5"/>
      <c r="L291" s="5"/>
      <c r="M291" s="5"/>
    </row>
    <row r="292" ht="15.75" customHeight="1">
      <c r="A292" s="5">
        <v>2024.0</v>
      </c>
      <c r="B292" s="14" t="s">
        <v>12</v>
      </c>
      <c r="C292" s="22"/>
      <c r="D292" s="10" t="s">
        <v>1624</v>
      </c>
      <c r="E292" s="30" t="s">
        <v>1625</v>
      </c>
      <c r="F292" s="9" t="s">
        <v>1626</v>
      </c>
      <c r="G292" s="10" t="s">
        <v>1351</v>
      </c>
      <c r="H292" s="34" t="s">
        <v>1627</v>
      </c>
      <c r="I292" s="5" t="s">
        <v>1266</v>
      </c>
      <c r="J292" s="35" t="s">
        <v>1628</v>
      </c>
      <c r="K292" s="5"/>
      <c r="L292" s="5"/>
      <c r="M292" s="5"/>
    </row>
    <row r="293" ht="15.75" customHeight="1">
      <c r="A293" s="5">
        <v>2024.0</v>
      </c>
      <c r="B293" s="14" t="s">
        <v>12</v>
      </c>
      <c r="C293" s="22"/>
      <c r="D293" s="10" t="s">
        <v>1629</v>
      </c>
      <c r="E293" s="30" t="s">
        <v>1630</v>
      </c>
      <c r="F293" s="9" t="s">
        <v>1631</v>
      </c>
      <c r="G293" s="10" t="s">
        <v>1632</v>
      </c>
      <c r="H293" s="32" t="s">
        <v>1633</v>
      </c>
      <c r="I293" s="5" t="s">
        <v>1266</v>
      </c>
      <c r="J293" s="35" t="s">
        <v>1634</v>
      </c>
      <c r="K293" s="5"/>
      <c r="L293" s="5"/>
      <c r="M293" s="5"/>
    </row>
    <row r="294" ht="15.75" customHeight="1">
      <c r="A294" s="5">
        <v>2024.0</v>
      </c>
      <c r="B294" s="14" t="s">
        <v>12</v>
      </c>
      <c r="C294" s="22"/>
      <c r="D294" s="10" t="s">
        <v>1635</v>
      </c>
      <c r="E294" s="30"/>
      <c r="F294" s="9" t="s">
        <v>1636</v>
      </c>
      <c r="G294" s="10"/>
      <c r="H294" s="32"/>
      <c r="I294" s="5" t="s">
        <v>1266</v>
      </c>
      <c r="J294" s="35"/>
      <c r="K294" s="5"/>
      <c r="L294" s="5"/>
      <c r="M294" s="5"/>
    </row>
    <row r="295" ht="15.75" customHeight="1">
      <c r="A295" s="5">
        <v>2024.0</v>
      </c>
      <c r="B295" s="14" t="s">
        <v>12</v>
      </c>
      <c r="C295" s="22"/>
      <c r="D295" s="10" t="s">
        <v>1637</v>
      </c>
      <c r="E295" s="30" t="s">
        <v>1638</v>
      </c>
      <c r="F295" s="9" t="s">
        <v>1639</v>
      </c>
      <c r="G295" s="10" t="s">
        <v>1640</v>
      </c>
      <c r="H295" s="32" t="s">
        <v>1641</v>
      </c>
      <c r="I295" s="5" t="s">
        <v>1266</v>
      </c>
      <c r="J295" s="35" t="s">
        <v>1642</v>
      </c>
      <c r="K295" s="5"/>
      <c r="L295" s="5"/>
      <c r="M295" s="5"/>
    </row>
    <row r="296" ht="15.75" customHeight="1">
      <c r="A296" s="5">
        <v>2024.0</v>
      </c>
      <c r="B296" s="14" t="s">
        <v>12</v>
      </c>
      <c r="C296" s="22"/>
      <c r="D296" s="10" t="s">
        <v>1643</v>
      </c>
      <c r="E296" s="30" t="s">
        <v>1644</v>
      </c>
      <c r="F296" s="9" t="s">
        <v>1645</v>
      </c>
      <c r="G296" s="10" t="s">
        <v>1646</v>
      </c>
      <c r="H296" s="32" t="s">
        <v>1647</v>
      </c>
      <c r="I296" s="5" t="s">
        <v>1266</v>
      </c>
      <c r="J296" s="35" t="s">
        <v>1648</v>
      </c>
      <c r="K296" s="5"/>
      <c r="L296" s="5"/>
      <c r="M296" s="5"/>
    </row>
    <row r="297" ht="15.75" customHeight="1">
      <c r="A297" s="5">
        <v>2024.0</v>
      </c>
      <c r="B297" s="14" t="s">
        <v>12</v>
      </c>
      <c r="C297" s="22"/>
      <c r="D297" s="10" t="s">
        <v>1649</v>
      </c>
      <c r="E297" s="30" t="s">
        <v>1650</v>
      </c>
      <c r="F297" s="9" t="s">
        <v>1651</v>
      </c>
      <c r="G297" s="10" t="s">
        <v>17</v>
      </c>
      <c r="H297" s="32" t="s">
        <v>1652</v>
      </c>
      <c r="I297" s="5" t="s">
        <v>1266</v>
      </c>
      <c r="J297" s="35" t="s">
        <v>1653</v>
      </c>
      <c r="K297" s="5"/>
      <c r="L297" s="5"/>
      <c r="M297" s="5"/>
    </row>
    <row r="298" ht="15.75" customHeight="1">
      <c r="A298" s="5">
        <v>2024.0</v>
      </c>
      <c r="B298" s="14" t="s">
        <v>12</v>
      </c>
      <c r="C298" s="22" t="s">
        <v>204</v>
      </c>
      <c r="D298" s="10" t="s">
        <v>1654</v>
      </c>
      <c r="E298" s="30" t="s">
        <v>1655</v>
      </c>
      <c r="F298" s="9" t="s">
        <v>1656</v>
      </c>
      <c r="G298" s="10" t="s">
        <v>1657</v>
      </c>
      <c r="H298" s="32" t="s">
        <v>1658</v>
      </c>
      <c r="I298" s="5" t="s">
        <v>1266</v>
      </c>
      <c r="J298" s="35" t="s">
        <v>1659</v>
      </c>
      <c r="K298" s="5"/>
      <c r="L298" s="5"/>
      <c r="M298" s="5"/>
    </row>
    <row r="299" ht="15.75" customHeight="1">
      <c r="A299" s="5">
        <v>2024.0</v>
      </c>
      <c r="B299" s="14" t="s">
        <v>12</v>
      </c>
      <c r="C299" s="22"/>
      <c r="D299" s="10" t="s">
        <v>1660</v>
      </c>
      <c r="E299" s="30" t="s">
        <v>1661</v>
      </c>
      <c r="F299" s="9" t="s">
        <v>1662</v>
      </c>
      <c r="G299" s="10" t="s">
        <v>1663</v>
      </c>
      <c r="H299" s="34" t="s">
        <v>1664</v>
      </c>
      <c r="I299" s="5" t="s">
        <v>1266</v>
      </c>
      <c r="J299" s="35" t="s">
        <v>1665</v>
      </c>
      <c r="K299" s="5"/>
      <c r="L299" s="5"/>
      <c r="M299" s="5"/>
    </row>
    <row r="300" ht="15.75" customHeight="1">
      <c r="A300" s="5">
        <v>2024.0</v>
      </c>
      <c r="B300" s="14" t="s">
        <v>12</v>
      </c>
      <c r="C300" s="22"/>
      <c r="D300" s="10" t="s">
        <v>1666</v>
      </c>
      <c r="E300" s="30" t="s">
        <v>1667</v>
      </c>
      <c r="F300" s="9" t="s">
        <v>1668</v>
      </c>
      <c r="G300" s="10" t="s">
        <v>1663</v>
      </c>
      <c r="H300" s="34" t="s">
        <v>1669</v>
      </c>
      <c r="I300" s="5" t="s">
        <v>1266</v>
      </c>
      <c r="J300" s="35" t="s">
        <v>1670</v>
      </c>
      <c r="K300" s="5"/>
      <c r="L300" s="5"/>
      <c r="M300" s="5"/>
    </row>
    <row r="301" ht="15.75" customHeight="1">
      <c r="A301" s="5">
        <v>2024.0</v>
      </c>
      <c r="B301" s="14" t="s">
        <v>12</v>
      </c>
      <c r="C301" s="22"/>
      <c r="D301" s="36" t="s">
        <v>1671</v>
      </c>
      <c r="E301" s="30" t="s">
        <v>1672</v>
      </c>
      <c r="F301" s="9" t="s">
        <v>1673</v>
      </c>
      <c r="G301" s="37"/>
      <c r="H301" s="32"/>
      <c r="I301" s="5" t="s">
        <v>1266</v>
      </c>
      <c r="J301" s="35"/>
      <c r="K301" s="5"/>
      <c r="L301" s="5"/>
      <c r="M301" s="5"/>
    </row>
    <row r="302" ht="15.75" customHeight="1">
      <c r="A302" s="5">
        <v>2024.0</v>
      </c>
      <c r="B302" s="14" t="s">
        <v>12</v>
      </c>
      <c r="C302" s="22"/>
      <c r="D302" s="36" t="s">
        <v>1674</v>
      </c>
      <c r="E302" s="30" t="s">
        <v>1675</v>
      </c>
      <c r="F302" s="9" t="s">
        <v>1676</v>
      </c>
      <c r="G302" s="37" t="s">
        <v>409</v>
      </c>
      <c r="H302" s="34" t="s">
        <v>1677</v>
      </c>
      <c r="I302" s="5" t="s">
        <v>1266</v>
      </c>
      <c r="J302" s="35" t="s">
        <v>1678</v>
      </c>
      <c r="K302" s="5"/>
      <c r="L302" s="5"/>
      <c r="M302" s="5"/>
    </row>
    <row r="303" ht="15.75" customHeight="1">
      <c r="A303" s="5">
        <v>2024.0</v>
      </c>
      <c r="B303" s="14" t="s">
        <v>12</v>
      </c>
      <c r="C303" s="22"/>
      <c r="D303" s="36" t="s">
        <v>1679</v>
      </c>
      <c r="E303" s="30" t="s">
        <v>1680</v>
      </c>
      <c r="F303" s="9" t="s">
        <v>1681</v>
      </c>
      <c r="G303" s="37" t="s">
        <v>683</v>
      </c>
      <c r="H303" s="34" t="s">
        <v>1682</v>
      </c>
      <c r="I303" s="5" t="s">
        <v>1266</v>
      </c>
      <c r="J303" s="35"/>
      <c r="K303" s="5"/>
      <c r="L303" s="5"/>
      <c r="M303" s="5"/>
    </row>
    <row r="304" ht="15.75" customHeight="1">
      <c r="A304" s="5">
        <v>2024.0</v>
      </c>
      <c r="B304" s="14" t="s">
        <v>12</v>
      </c>
      <c r="C304" s="22"/>
      <c r="D304" s="36" t="s">
        <v>1683</v>
      </c>
      <c r="E304" s="30" t="s">
        <v>1684</v>
      </c>
      <c r="F304" s="9" t="s">
        <v>1685</v>
      </c>
      <c r="G304" s="37" t="s">
        <v>1686</v>
      </c>
      <c r="H304" s="32"/>
      <c r="I304" s="5" t="s">
        <v>1266</v>
      </c>
      <c r="J304" s="35"/>
      <c r="K304" s="5"/>
      <c r="L304" s="5"/>
      <c r="M304" s="5"/>
    </row>
    <row r="305" ht="15.75" customHeight="1">
      <c r="A305" s="5">
        <v>2024.0</v>
      </c>
      <c r="B305" s="14" t="s">
        <v>12</v>
      </c>
      <c r="C305" s="22"/>
      <c r="D305" s="36" t="s">
        <v>1687</v>
      </c>
      <c r="E305" s="30" t="s">
        <v>1688</v>
      </c>
      <c r="F305" s="9" t="s">
        <v>1689</v>
      </c>
      <c r="G305" s="37" t="s">
        <v>1690</v>
      </c>
      <c r="H305" s="34" t="s">
        <v>1691</v>
      </c>
      <c r="I305" s="5" t="s">
        <v>1266</v>
      </c>
      <c r="J305" s="35"/>
      <c r="K305" s="5"/>
      <c r="L305" s="5"/>
      <c r="M305" s="5"/>
    </row>
    <row r="306" ht="15.75" customHeight="1">
      <c r="A306" s="5">
        <v>2024.0</v>
      </c>
      <c r="B306" s="14" t="s">
        <v>12</v>
      </c>
      <c r="C306" s="22"/>
      <c r="D306" s="36" t="s">
        <v>1692</v>
      </c>
      <c r="E306" s="30" t="s">
        <v>1693</v>
      </c>
      <c r="F306" s="9" t="s">
        <v>1694</v>
      </c>
      <c r="G306" s="37" t="s">
        <v>1695</v>
      </c>
      <c r="H306" s="32" t="s">
        <v>1696</v>
      </c>
      <c r="I306" s="5" t="s">
        <v>1266</v>
      </c>
      <c r="J306" s="35" t="s">
        <v>1697</v>
      </c>
      <c r="K306" s="5"/>
      <c r="L306" s="5"/>
      <c r="M306" s="5"/>
    </row>
    <row r="307" ht="15.75" customHeight="1">
      <c r="A307" s="5">
        <v>2024.0</v>
      </c>
      <c r="B307" s="14" t="s">
        <v>62</v>
      </c>
      <c r="C307" s="22"/>
      <c r="D307" s="36" t="s">
        <v>1698</v>
      </c>
      <c r="E307" s="30" t="s">
        <v>1699</v>
      </c>
      <c r="F307" s="9" t="s">
        <v>1700</v>
      </c>
      <c r="G307" s="37" t="s">
        <v>1701</v>
      </c>
      <c r="H307" s="32"/>
      <c r="I307" s="5" t="s">
        <v>1266</v>
      </c>
      <c r="J307" s="35" t="s">
        <v>1702</v>
      </c>
      <c r="K307" s="5"/>
      <c r="L307" s="5"/>
      <c r="M307" s="5"/>
    </row>
    <row r="308" ht="15.75" customHeight="1">
      <c r="A308" s="5">
        <v>2024.0</v>
      </c>
      <c r="B308" s="20" t="str">
        <f>HYPERLINK("https://shop.openbci.com/collections/frontpage/products/ganglion-board","Ganglion")</f>
        <v>Ganglion</v>
      </c>
      <c r="C308" s="22"/>
      <c r="D308" s="36" t="s">
        <v>1703</v>
      </c>
      <c r="E308" s="30" t="s">
        <v>1704</v>
      </c>
      <c r="F308" s="9" t="s">
        <v>1705</v>
      </c>
      <c r="G308" s="37" t="s">
        <v>1695</v>
      </c>
      <c r="H308" s="32" t="s">
        <v>1706</v>
      </c>
      <c r="I308" s="5" t="s">
        <v>1266</v>
      </c>
      <c r="J308" s="35" t="s">
        <v>1707</v>
      </c>
      <c r="K308" s="5"/>
      <c r="L308" s="5"/>
      <c r="M308" s="5"/>
    </row>
    <row r="309" ht="15.75" customHeight="1">
      <c r="A309" s="5">
        <v>2024.0</v>
      </c>
      <c r="B309" s="14" t="s">
        <v>12</v>
      </c>
      <c r="C309" s="22" t="s">
        <v>204</v>
      </c>
      <c r="D309" s="36" t="s">
        <v>1708</v>
      </c>
      <c r="E309" s="30" t="s">
        <v>1709</v>
      </c>
      <c r="F309" s="9" t="s">
        <v>1710</v>
      </c>
      <c r="G309" s="37" t="s">
        <v>1711</v>
      </c>
      <c r="H309" s="32"/>
      <c r="I309" s="5" t="s">
        <v>1266</v>
      </c>
      <c r="J309" s="35" t="s">
        <v>1712</v>
      </c>
      <c r="K309" s="5"/>
      <c r="L309" s="5"/>
      <c r="M309" s="5"/>
    </row>
    <row r="310" ht="15.75" customHeight="1">
      <c r="A310" s="5">
        <v>2024.0</v>
      </c>
      <c r="B310" s="14" t="s">
        <v>62</v>
      </c>
      <c r="C310" s="6"/>
      <c r="D310" s="36" t="s">
        <v>1713</v>
      </c>
      <c r="E310" s="30" t="s">
        <v>1714</v>
      </c>
      <c r="F310" s="9" t="s">
        <v>1715</v>
      </c>
      <c r="G310" s="37" t="s">
        <v>1716</v>
      </c>
      <c r="H310" s="34" t="s">
        <v>1717</v>
      </c>
      <c r="I310" s="5" t="s">
        <v>1266</v>
      </c>
      <c r="J310" s="35"/>
      <c r="K310" s="5"/>
      <c r="L310" s="5"/>
      <c r="M310" s="5"/>
    </row>
    <row r="311" ht="15.75" customHeight="1">
      <c r="A311" s="5">
        <v>2024.0</v>
      </c>
      <c r="B311" s="14" t="s">
        <v>12</v>
      </c>
      <c r="C311" s="14" t="s">
        <v>573</v>
      </c>
      <c r="D311" s="36" t="s">
        <v>1718</v>
      </c>
      <c r="E311" s="30" t="s">
        <v>1719</v>
      </c>
      <c r="F311" s="9" t="s">
        <v>1720</v>
      </c>
      <c r="G311" s="37" t="s">
        <v>1721</v>
      </c>
      <c r="H311" s="38" t="s">
        <v>1722</v>
      </c>
      <c r="I311" s="5" t="s">
        <v>1266</v>
      </c>
      <c r="J311" s="35" t="s">
        <v>1723</v>
      </c>
      <c r="K311" s="5"/>
      <c r="L311" s="5"/>
      <c r="M311" s="5"/>
    </row>
    <row r="312" ht="15.75" customHeight="1">
      <c r="A312" s="5">
        <v>2024.0</v>
      </c>
      <c r="B312" s="14" t="s">
        <v>12</v>
      </c>
      <c r="C312" s="14" t="s">
        <v>573</v>
      </c>
      <c r="D312" s="36" t="s">
        <v>1724</v>
      </c>
      <c r="E312" s="30" t="s">
        <v>1725</v>
      </c>
      <c r="F312" s="9" t="s">
        <v>1726</v>
      </c>
      <c r="G312" s="37" t="s">
        <v>1727</v>
      </c>
      <c r="H312" s="38" t="s">
        <v>1728</v>
      </c>
      <c r="I312" s="5" t="s">
        <v>1266</v>
      </c>
      <c r="J312" s="39" t="s">
        <v>1729</v>
      </c>
      <c r="K312" s="5"/>
      <c r="L312" s="5"/>
      <c r="M312" s="5"/>
    </row>
    <row r="313" ht="15.75" customHeight="1">
      <c r="A313" s="5">
        <v>2024.0</v>
      </c>
      <c r="B313" s="14" t="s">
        <v>12</v>
      </c>
      <c r="C313" s="22"/>
      <c r="D313" s="36" t="s">
        <v>1730</v>
      </c>
      <c r="E313" s="40" t="s">
        <v>1731</v>
      </c>
      <c r="F313" s="9" t="s">
        <v>1732</v>
      </c>
      <c r="G313" s="37" t="s">
        <v>1721</v>
      </c>
      <c r="H313" s="38" t="s">
        <v>1733</v>
      </c>
      <c r="I313" s="5" t="s">
        <v>1734</v>
      </c>
      <c r="J313" s="39" t="s">
        <v>1735</v>
      </c>
      <c r="K313" s="5"/>
      <c r="L313" s="5"/>
      <c r="M313" s="5"/>
    </row>
    <row r="314" ht="15.75" customHeight="1">
      <c r="A314" s="5">
        <v>2024.0</v>
      </c>
      <c r="B314" s="14" t="s">
        <v>12</v>
      </c>
      <c r="C314" s="22"/>
      <c r="D314" s="36" t="s">
        <v>1736</v>
      </c>
      <c r="E314" s="41" t="s">
        <v>1737</v>
      </c>
      <c r="F314" s="9" t="s">
        <v>1738</v>
      </c>
      <c r="G314" s="37" t="s">
        <v>17</v>
      </c>
      <c r="H314" s="38" t="s">
        <v>1739</v>
      </c>
      <c r="I314" s="5" t="s">
        <v>1266</v>
      </c>
      <c r="J314" s="42" t="s">
        <v>1740</v>
      </c>
      <c r="K314" s="5"/>
      <c r="L314" s="5"/>
      <c r="M314" s="5"/>
    </row>
    <row r="315" ht="15.75" customHeight="1">
      <c r="A315" s="5">
        <v>2024.0</v>
      </c>
      <c r="B315" s="14" t="s">
        <v>12</v>
      </c>
      <c r="C315" s="22"/>
      <c r="D315" s="43" t="s">
        <v>1741</v>
      </c>
      <c r="E315" s="44" t="s">
        <v>1742</v>
      </c>
      <c r="F315" s="9" t="s">
        <v>1743</v>
      </c>
      <c r="G315" s="37" t="s">
        <v>1744</v>
      </c>
      <c r="H315" s="38" t="s">
        <v>1745</v>
      </c>
      <c r="I315" s="5" t="s">
        <v>1266</v>
      </c>
      <c r="J315" s="45" t="s">
        <v>1746</v>
      </c>
      <c r="K315" s="5"/>
      <c r="L315" s="5"/>
      <c r="M315" s="5"/>
    </row>
    <row r="316" ht="15.75" customHeight="1">
      <c r="A316" s="5">
        <v>2024.0</v>
      </c>
      <c r="B316" s="14" t="s">
        <v>62</v>
      </c>
      <c r="C316" s="22"/>
      <c r="D316" s="43" t="s">
        <v>1747</v>
      </c>
      <c r="E316" s="46" t="s">
        <v>1748</v>
      </c>
      <c r="F316" s="9" t="s">
        <v>1749</v>
      </c>
      <c r="G316" s="37" t="s">
        <v>1750</v>
      </c>
      <c r="H316" s="47" t="s">
        <v>1751</v>
      </c>
      <c r="I316" s="5" t="s">
        <v>1734</v>
      </c>
      <c r="J316" s="45" t="s">
        <v>1752</v>
      </c>
      <c r="K316" s="5"/>
      <c r="L316" s="5"/>
      <c r="M316" s="5"/>
    </row>
    <row r="317" ht="15.75" customHeight="1">
      <c r="A317" s="5">
        <v>2024.0</v>
      </c>
      <c r="B317" s="14" t="s">
        <v>12</v>
      </c>
      <c r="C317" s="22"/>
      <c r="D317" s="48" t="s">
        <v>1753</v>
      </c>
      <c r="E317" s="40" t="s">
        <v>1754</v>
      </c>
      <c r="F317" s="9" t="s">
        <v>1755</v>
      </c>
      <c r="G317" s="37" t="s">
        <v>1756</v>
      </c>
      <c r="H317" s="38" t="s">
        <v>1757</v>
      </c>
      <c r="I317" s="5" t="s">
        <v>1266</v>
      </c>
      <c r="J317" s="49" t="s">
        <v>1758</v>
      </c>
      <c r="K317" s="5"/>
      <c r="L317" s="5"/>
      <c r="M317" s="5"/>
    </row>
    <row r="318" ht="15.75" customHeight="1">
      <c r="A318" s="5">
        <v>2024.0</v>
      </c>
      <c r="B318" s="14" t="s">
        <v>12</v>
      </c>
      <c r="C318" s="22"/>
      <c r="D318" s="50" t="s">
        <v>1759</v>
      </c>
      <c r="E318" s="40" t="s">
        <v>1760</v>
      </c>
      <c r="F318" s="9" t="s">
        <v>1761</v>
      </c>
      <c r="G318" s="37" t="s">
        <v>1762</v>
      </c>
      <c r="H318" s="38" t="s">
        <v>1763</v>
      </c>
      <c r="I318" s="5" t="s">
        <v>1266</v>
      </c>
      <c r="J318" s="35" t="s">
        <v>1764</v>
      </c>
      <c r="K318" s="5"/>
      <c r="L318" s="5"/>
      <c r="M318" s="5"/>
    </row>
    <row r="319" ht="15.75" customHeight="1">
      <c r="A319" s="5">
        <v>2024.0</v>
      </c>
      <c r="B319" s="14" t="s">
        <v>12</v>
      </c>
      <c r="C319" s="22"/>
      <c r="D319" s="51" t="s">
        <v>1765</v>
      </c>
      <c r="E319" s="52" t="s">
        <v>1766</v>
      </c>
      <c r="F319" s="9" t="s">
        <v>1767</v>
      </c>
      <c r="G319" s="43" t="s">
        <v>1768</v>
      </c>
      <c r="H319" s="38"/>
      <c r="I319" s="5" t="s">
        <v>1266</v>
      </c>
      <c r="J319" s="53" t="s">
        <v>1769</v>
      </c>
      <c r="K319" s="5"/>
      <c r="L319" s="5"/>
      <c r="M319" s="5"/>
    </row>
    <row r="320" ht="15.75" customHeight="1">
      <c r="A320" s="5">
        <v>2024.0</v>
      </c>
      <c r="B320" s="14" t="s">
        <v>12</v>
      </c>
      <c r="C320" s="22"/>
      <c r="D320" s="54" t="s">
        <v>1770</v>
      </c>
      <c r="E320" s="52" t="s">
        <v>1771</v>
      </c>
      <c r="F320" s="9" t="s">
        <v>1772</v>
      </c>
      <c r="G320" s="43" t="s">
        <v>1773</v>
      </c>
      <c r="H320" s="38" t="s">
        <v>1774</v>
      </c>
      <c r="I320" s="5" t="s">
        <v>1734</v>
      </c>
      <c r="J320" s="53" t="s">
        <v>1775</v>
      </c>
      <c r="K320" s="5"/>
      <c r="L320" s="5"/>
      <c r="M320" s="5"/>
    </row>
    <row r="321" ht="15.75" customHeight="1">
      <c r="A321" s="5">
        <v>2024.0</v>
      </c>
      <c r="B321" s="14" t="s">
        <v>12</v>
      </c>
      <c r="C321" s="22"/>
      <c r="D321" s="55" t="s">
        <v>1776</v>
      </c>
      <c r="E321" s="56" t="s">
        <v>1777</v>
      </c>
      <c r="F321" s="9" t="s">
        <v>1778</v>
      </c>
      <c r="G321" s="51" t="s">
        <v>1779</v>
      </c>
      <c r="H321" s="38" t="s">
        <v>1780</v>
      </c>
      <c r="I321" s="5" t="s">
        <v>1266</v>
      </c>
      <c r="J321" s="53" t="s">
        <v>1781</v>
      </c>
      <c r="K321" s="5"/>
      <c r="L321" s="5"/>
      <c r="M321" s="5"/>
    </row>
    <row r="322" ht="15.75" customHeight="1">
      <c r="A322" s="5">
        <v>2024.0</v>
      </c>
      <c r="B322" s="14" t="s">
        <v>12</v>
      </c>
      <c r="C322" s="22" t="s">
        <v>204</v>
      </c>
      <c r="D322" s="57" t="s">
        <v>1782</v>
      </c>
      <c r="E322" s="48" t="s">
        <v>1783</v>
      </c>
      <c r="F322" s="9" t="s">
        <v>1784</v>
      </c>
      <c r="G322" s="51" t="s">
        <v>1779</v>
      </c>
      <c r="H322" s="38" t="s">
        <v>1785</v>
      </c>
      <c r="I322" s="5" t="s">
        <v>1266</v>
      </c>
      <c r="J322" s="58" t="s">
        <v>1786</v>
      </c>
      <c r="K322" s="5"/>
      <c r="L322" s="5"/>
      <c r="M322" s="5"/>
    </row>
    <row r="323" ht="15.75" customHeight="1">
      <c r="A323" s="5">
        <v>2024.0</v>
      </c>
      <c r="B323" s="14" t="s">
        <v>12</v>
      </c>
      <c r="C323" s="22"/>
      <c r="D323" s="59" t="s">
        <v>1787</v>
      </c>
      <c r="E323" s="48" t="s">
        <v>1788</v>
      </c>
      <c r="F323" s="9" t="s">
        <v>1789</v>
      </c>
      <c r="G323" s="51" t="s">
        <v>1790</v>
      </c>
      <c r="H323" s="38"/>
      <c r="I323" s="5" t="s">
        <v>1266</v>
      </c>
      <c r="J323" s="58" t="s">
        <v>1791</v>
      </c>
      <c r="K323" s="5"/>
      <c r="L323" s="5"/>
      <c r="M323" s="5"/>
    </row>
    <row r="324" ht="15.75" customHeight="1">
      <c r="A324" s="5">
        <v>2024.0</v>
      </c>
      <c r="B324" s="14" t="s">
        <v>12</v>
      </c>
      <c r="C324" s="22" t="s">
        <v>204</v>
      </c>
      <c r="D324" s="60" t="s">
        <v>1792</v>
      </c>
      <c r="E324" s="48" t="s">
        <v>1793</v>
      </c>
      <c r="F324" s="9" t="s">
        <v>1794</v>
      </c>
      <c r="G324" s="51" t="s">
        <v>1795</v>
      </c>
      <c r="H324" s="38" t="s">
        <v>1796</v>
      </c>
      <c r="I324" s="5" t="s">
        <v>1734</v>
      </c>
      <c r="J324" s="58" t="s">
        <v>1797</v>
      </c>
      <c r="K324" s="5"/>
      <c r="L324" s="5"/>
      <c r="M324" s="5"/>
    </row>
    <row r="325" ht="15.75" customHeight="1">
      <c r="A325" s="5">
        <v>2024.0</v>
      </c>
      <c r="B325" s="14" t="s">
        <v>12</v>
      </c>
      <c r="C325" s="22"/>
      <c r="D325" s="61" t="s">
        <v>1798</v>
      </c>
      <c r="E325" s="62" t="s">
        <v>1799</v>
      </c>
      <c r="F325" s="9" t="s">
        <v>1800</v>
      </c>
      <c r="G325" s="51" t="s">
        <v>1801</v>
      </c>
      <c r="H325" s="38"/>
      <c r="I325" s="5" t="s">
        <v>1266</v>
      </c>
      <c r="J325" s="63" t="s">
        <v>1802</v>
      </c>
      <c r="K325" s="5"/>
      <c r="L325" s="5"/>
      <c r="M325" s="5"/>
    </row>
    <row r="326" ht="15.75" customHeight="1">
      <c r="A326" s="5">
        <v>2022.0</v>
      </c>
      <c r="B326" s="14" t="s">
        <v>12</v>
      </c>
      <c r="C326" s="22"/>
      <c r="D326" s="40" t="s">
        <v>1803</v>
      </c>
      <c r="E326" s="40" t="s">
        <v>1804</v>
      </c>
      <c r="F326" s="9" t="s">
        <v>1805</v>
      </c>
      <c r="G326" s="51" t="s">
        <v>1806</v>
      </c>
      <c r="H326" s="38"/>
      <c r="I326" s="5" t="s">
        <v>1266</v>
      </c>
      <c r="J326" s="64" t="s">
        <v>1807</v>
      </c>
      <c r="K326" s="5"/>
      <c r="L326" s="5"/>
      <c r="M326" s="5"/>
    </row>
    <row r="327" ht="15.75" customHeight="1">
      <c r="A327" s="5">
        <v>2024.0</v>
      </c>
      <c r="B327" s="14" t="s">
        <v>12</v>
      </c>
      <c r="C327" s="22"/>
      <c r="D327" s="65" t="s">
        <v>1808</v>
      </c>
      <c r="E327" s="48" t="s">
        <v>1809</v>
      </c>
      <c r="F327" s="9" t="s">
        <v>1810</v>
      </c>
      <c r="G327" s="51" t="s">
        <v>1811</v>
      </c>
      <c r="H327" s="38" t="s">
        <v>1812</v>
      </c>
      <c r="I327" s="5" t="s">
        <v>1266</v>
      </c>
      <c r="J327" s="58" t="s">
        <v>1813</v>
      </c>
      <c r="K327" s="5"/>
      <c r="L327" s="5"/>
      <c r="M327" s="5"/>
    </row>
    <row r="328" ht="15.75" customHeight="1">
      <c r="A328" s="5">
        <v>2024.0</v>
      </c>
      <c r="B328" s="14" t="s">
        <v>12</v>
      </c>
      <c r="C328" s="22" t="s">
        <v>204</v>
      </c>
      <c r="D328" s="66" t="s">
        <v>1814</v>
      </c>
      <c r="E328" s="51" t="s">
        <v>1815</v>
      </c>
      <c r="F328" s="9" t="s">
        <v>1816</v>
      </c>
      <c r="G328" s="67" t="s">
        <v>1817</v>
      </c>
      <c r="H328" s="38" t="s">
        <v>1818</v>
      </c>
      <c r="I328" s="5" t="s">
        <v>1266</v>
      </c>
      <c r="J328" s="68" t="s">
        <v>1819</v>
      </c>
      <c r="K328" s="5"/>
      <c r="L328" s="5"/>
      <c r="M328" s="5"/>
    </row>
    <row r="329" ht="15.75" customHeight="1">
      <c r="A329" s="5">
        <v>2024.0</v>
      </c>
      <c r="B329" s="14" t="s">
        <v>12</v>
      </c>
      <c r="C329" s="22"/>
      <c r="D329" s="69" t="s">
        <v>1820</v>
      </c>
      <c r="E329" s="51" t="s">
        <v>1821</v>
      </c>
      <c r="F329" s="9" t="s">
        <v>1822</v>
      </c>
      <c r="G329" s="67" t="s">
        <v>1823</v>
      </c>
      <c r="H329" s="38" t="s">
        <v>1824</v>
      </c>
      <c r="I329" s="5" t="s">
        <v>1266</v>
      </c>
      <c r="J329" s="68" t="s">
        <v>1825</v>
      </c>
      <c r="K329" s="5"/>
      <c r="L329" s="5"/>
      <c r="M329" s="5"/>
    </row>
    <row r="330" ht="15.75" customHeight="1">
      <c r="A330" s="5">
        <v>2024.0</v>
      </c>
      <c r="B330" s="14" t="s">
        <v>12</v>
      </c>
      <c r="C330" s="22"/>
      <c r="D330" s="70" t="s">
        <v>1826</v>
      </c>
      <c r="E330" s="56" t="s">
        <v>1827</v>
      </c>
      <c r="F330" s="9" t="s">
        <v>1828</v>
      </c>
      <c r="G330" s="56" t="s">
        <v>1829</v>
      </c>
      <c r="H330" s="38" t="s">
        <v>1830</v>
      </c>
      <c r="I330" s="5" t="s">
        <v>1734</v>
      </c>
      <c r="J330" s="53" t="s">
        <v>1831</v>
      </c>
      <c r="K330" s="5"/>
      <c r="L330" s="5"/>
      <c r="M330" s="5"/>
    </row>
    <row r="331" ht="15.75" customHeight="1">
      <c r="A331" s="5">
        <v>2024.0</v>
      </c>
      <c r="B331" s="14" t="s">
        <v>12</v>
      </c>
      <c r="C331" s="22"/>
      <c r="D331" s="70" t="s">
        <v>1832</v>
      </c>
      <c r="E331" s="71" t="s">
        <v>1833</v>
      </c>
      <c r="F331" s="9" t="s">
        <v>1834</v>
      </c>
      <c r="G331" s="70"/>
      <c r="H331" s="38" t="s">
        <v>1835</v>
      </c>
      <c r="I331" s="5" t="s">
        <v>1836</v>
      </c>
      <c r="J331" s="72"/>
      <c r="K331" s="5"/>
      <c r="L331" s="5"/>
      <c r="M331" s="5"/>
    </row>
    <row r="332" ht="15.75" customHeight="1">
      <c r="A332" s="5">
        <v>2024.0</v>
      </c>
      <c r="B332" s="14" t="s">
        <v>12</v>
      </c>
      <c r="C332" s="22"/>
      <c r="D332" s="70" t="s">
        <v>1837</v>
      </c>
      <c r="E332" s="71" t="s">
        <v>1838</v>
      </c>
      <c r="F332" s="9" t="s">
        <v>1839</v>
      </c>
      <c r="G332" s="70" t="s">
        <v>1840</v>
      </c>
      <c r="H332" s="38" t="s">
        <v>1841</v>
      </c>
      <c r="I332" s="5" t="s">
        <v>1266</v>
      </c>
      <c r="J332" s="72"/>
      <c r="K332" s="5"/>
      <c r="L332" s="5"/>
      <c r="M332" s="5"/>
    </row>
    <row r="333" ht="15.75" customHeight="1">
      <c r="A333" s="5">
        <v>2024.0</v>
      </c>
      <c r="B333" s="20" t="str">
        <f>HYPERLINK("https://shop.openbci.com/collections/frontpage/products/ganglion-board","Ganglion")</f>
        <v>Ganglion</v>
      </c>
      <c r="C333" s="22"/>
      <c r="D333" s="70" t="s">
        <v>1842</v>
      </c>
      <c r="E333" s="71" t="s">
        <v>1843</v>
      </c>
      <c r="F333" s="9" t="s">
        <v>1844</v>
      </c>
      <c r="G333" s="70" t="s">
        <v>1845</v>
      </c>
      <c r="H333" s="38" t="s">
        <v>1846</v>
      </c>
      <c r="I333" s="5" t="s">
        <v>1266</v>
      </c>
      <c r="J333" s="72"/>
      <c r="K333" s="5"/>
      <c r="L333" s="5"/>
      <c r="M333" s="5"/>
    </row>
    <row r="334" ht="15.75" customHeight="1">
      <c r="A334" s="5">
        <v>2024.0</v>
      </c>
      <c r="B334" s="14" t="s">
        <v>12</v>
      </c>
      <c r="C334" s="22"/>
      <c r="D334" s="70" t="s">
        <v>1847</v>
      </c>
      <c r="E334" s="71" t="s">
        <v>1848</v>
      </c>
      <c r="F334" s="9" t="s">
        <v>1849</v>
      </c>
      <c r="G334" s="70" t="s">
        <v>1850</v>
      </c>
      <c r="H334" s="38" t="s">
        <v>1851</v>
      </c>
      <c r="I334" s="5" t="s">
        <v>1266</v>
      </c>
      <c r="J334" s="72" t="s">
        <v>1852</v>
      </c>
      <c r="K334" s="5"/>
      <c r="L334" s="5"/>
      <c r="M334" s="5"/>
    </row>
    <row r="335" ht="15.75" customHeight="1">
      <c r="A335" s="5">
        <v>2024.0</v>
      </c>
      <c r="B335" s="14" t="s">
        <v>12</v>
      </c>
      <c r="C335" s="22"/>
      <c r="D335" s="10" t="s">
        <v>1853</v>
      </c>
      <c r="E335" s="71" t="s">
        <v>1854</v>
      </c>
      <c r="F335" s="9" t="s">
        <v>1855</v>
      </c>
      <c r="G335" s="70" t="s">
        <v>1856</v>
      </c>
      <c r="H335" s="38" t="s">
        <v>1857</v>
      </c>
      <c r="I335" s="5" t="s">
        <v>1266</v>
      </c>
      <c r="J335" s="72" t="s">
        <v>1858</v>
      </c>
      <c r="K335" s="5"/>
      <c r="L335" s="5"/>
      <c r="M335" s="5"/>
    </row>
    <row r="336" ht="15.75" customHeight="1">
      <c r="A336" s="5">
        <v>2024.0</v>
      </c>
      <c r="B336" s="6" t="s">
        <v>62</v>
      </c>
      <c r="C336" s="21" t="s">
        <v>204</v>
      </c>
      <c r="D336" s="10" t="s">
        <v>1859</v>
      </c>
      <c r="E336" s="71" t="s">
        <v>1860</v>
      </c>
      <c r="F336" s="9" t="s">
        <v>1861</v>
      </c>
      <c r="G336" s="10" t="s">
        <v>1862</v>
      </c>
      <c r="H336" s="38" t="s">
        <v>1863</v>
      </c>
      <c r="I336" s="5" t="s">
        <v>1266</v>
      </c>
      <c r="J336" s="72" t="s">
        <v>1864</v>
      </c>
      <c r="K336" s="5"/>
      <c r="L336" s="5"/>
      <c r="M336" s="5"/>
    </row>
    <row r="337" ht="15.75" customHeight="1">
      <c r="A337" s="5">
        <v>2024.0</v>
      </c>
      <c r="B337" s="14" t="s">
        <v>12</v>
      </c>
      <c r="C337" s="22"/>
      <c r="D337" s="10" t="s">
        <v>1865</v>
      </c>
      <c r="E337" s="71" t="s">
        <v>1866</v>
      </c>
      <c r="F337" s="9" t="s">
        <v>1867</v>
      </c>
      <c r="G337" s="10"/>
      <c r="H337" s="38" t="s">
        <v>1868</v>
      </c>
      <c r="I337" s="5" t="s">
        <v>1266</v>
      </c>
      <c r="J337" s="12" t="s">
        <v>1869</v>
      </c>
      <c r="K337" s="5"/>
      <c r="L337" s="5"/>
      <c r="M337" s="5"/>
    </row>
    <row r="338" ht="15.75" customHeight="1">
      <c r="A338" s="5">
        <v>2024.0</v>
      </c>
      <c r="B338" s="14" t="s">
        <v>12</v>
      </c>
      <c r="C338" s="22"/>
      <c r="D338" s="10" t="s">
        <v>1870</v>
      </c>
      <c r="E338" s="71" t="s">
        <v>1871</v>
      </c>
      <c r="F338" s="9" t="s">
        <v>1872</v>
      </c>
      <c r="G338" s="10" t="s">
        <v>1873</v>
      </c>
      <c r="H338" s="38" t="s">
        <v>1874</v>
      </c>
      <c r="I338" s="5" t="s">
        <v>1266</v>
      </c>
      <c r="J338" s="12" t="s">
        <v>1875</v>
      </c>
      <c r="K338" s="5"/>
      <c r="L338" s="5"/>
      <c r="M338" s="5"/>
    </row>
    <row r="339" ht="15.75" customHeight="1">
      <c r="A339" s="5">
        <v>2024.0</v>
      </c>
      <c r="B339" s="14" t="s">
        <v>12</v>
      </c>
      <c r="C339" s="22" t="s">
        <v>204</v>
      </c>
      <c r="D339" s="10" t="s">
        <v>1876</v>
      </c>
      <c r="E339" s="71" t="s">
        <v>1877</v>
      </c>
      <c r="F339" s="9" t="s">
        <v>1878</v>
      </c>
      <c r="G339" s="10" t="s">
        <v>1879</v>
      </c>
      <c r="H339" s="38" t="s">
        <v>1880</v>
      </c>
      <c r="I339" s="5" t="s">
        <v>1266</v>
      </c>
      <c r="J339" s="12" t="s">
        <v>1881</v>
      </c>
      <c r="K339" s="5"/>
      <c r="L339" s="5"/>
      <c r="M339" s="5"/>
    </row>
    <row r="340" ht="15.75" customHeight="1">
      <c r="A340" s="5">
        <v>2024.0</v>
      </c>
      <c r="B340" s="14" t="s">
        <v>12</v>
      </c>
      <c r="C340" s="16"/>
      <c r="D340" s="10" t="s">
        <v>1882</v>
      </c>
      <c r="E340" s="71" t="s">
        <v>1883</v>
      </c>
      <c r="F340" s="9" t="s">
        <v>1884</v>
      </c>
      <c r="G340" s="10" t="s">
        <v>1885</v>
      </c>
      <c r="H340" s="38"/>
      <c r="I340" s="5" t="s">
        <v>1266</v>
      </c>
      <c r="J340" s="12" t="s">
        <v>1886</v>
      </c>
      <c r="K340" s="5"/>
      <c r="L340" s="5"/>
      <c r="M340" s="5"/>
    </row>
    <row r="341" ht="15.75" customHeight="1">
      <c r="A341" s="5">
        <v>2024.0</v>
      </c>
      <c r="B341" s="14" t="s">
        <v>12</v>
      </c>
      <c r="C341" s="16"/>
      <c r="D341" s="10" t="s">
        <v>1887</v>
      </c>
      <c r="E341" s="71" t="s">
        <v>1888</v>
      </c>
      <c r="F341" s="9" t="s">
        <v>1889</v>
      </c>
      <c r="G341" s="10" t="s">
        <v>1890</v>
      </c>
      <c r="H341" s="38" t="s">
        <v>1891</v>
      </c>
      <c r="I341" s="5" t="s">
        <v>1266</v>
      </c>
      <c r="J341" s="12" t="s">
        <v>1892</v>
      </c>
      <c r="K341" s="5"/>
      <c r="L341" s="5"/>
      <c r="M341" s="5"/>
    </row>
    <row r="342" ht="15.75" customHeight="1">
      <c r="A342" s="5">
        <v>2024.0</v>
      </c>
      <c r="B342" s="14" t="s">
        <v>12</v>
      </c>
      <c r="C342" s="16"/>
      <c r="D342" s="10" t="s">
        <v>1893</v>
      </c>
      <c r="E342" s="71" t="s">
        <v>1894</v>
      </c>
      <c r="F342" s="9" t="s">
        <v>1895</v>
      </c>
      <c r="G342" s="10"/>
      <c r="H342" s="38"/>
      <c r="I342" s="5" t="s">
        <v>1266</v>
      </c>
      <c r="J342" s="12"/>
      <c r="K342" s="5"/>
      <c r="L342" s="5"/>
      <c r="M342" s="5"/>
    </row>
    <row r="343" ht="15.75" customHeight="1">
      <c r="A343" s="5">
        <v>2024.0</v>
      </c>
      <c r="B343" s="14" t="s">
        <v>12</v>
      </c>
      <c r="C343" s="16"/>
      <c r="D343" s="10" t="s">
        <v>1896</v>
      </c>
      <c r="E343" s="71" t="s">
        <v>1897</v>
      </c>
      <c r="F343" s="9" t="s">
        <v>1898</v>
      </c>
      <c r="G343" s="10" t="s">
        <v>1899</v>
      </c>
      <c r="H343" s="38" t="s">
        <v>1900</v>
      </c>
      <c r="I343" s="5" t="s">
        <v>1266</v>
      </c>
      <c r="J343" s="12" t="s">
        <v>1901</v>
      </c>
      <c r="K343" s="5"/>
      <c r="L343" s="5"/>
      <c r="M343" s="5"/>
    </row>
    <row r="344" ht="15.75" customHeight="1">
      <c r="A344" s="5">
        <v>2024.0</v>
      </c>
      <c r="B344" s="14" t="s">
        <v>62</v>
      </c>
      <c r="C344" s="16"/>
      <c r="D344" s="10" t="s">
        <v>1902</v>
      </c>
      <c r="E344" s="71" t="s">
        <v>1903</v>
      </c>
      <c r="F344" s="9" t="s">
        <v>1904</v>
      </c>
      <c r="G344" s="10" t="s">
        <v>1905</v>
      </c>
      <c r="H344" s="38" t="s">
        <v>1906</v>
      </c>
      <c r="I344" s="5" t="s">
        <v>1266</v>
      </c>
      <c r="J344" s="12" t="s">
        <v>1907</v>
      </c>
      <c r="K344" s="5"/>
      <c r="L344" s="5"/>
      <c r="M344" s="5"/>
    </row>
    <row r="345" ht="15.75" customHeight="1">
      <c r="A345" s="5">
        <v>2024.0</v>
      </c>
      <c r="B345" s="14" t="s">
        <v>12</v>
      </c>
      <c r="C345" s="16"/>
      <c r="D345" s="10" t="s">
        <v>1908</v>
      </c>
      <c r="E345" s="71" t="s">
        <v>1909</v>
      </c>
      <c r="F345" s="9" t="s">
        <v>1910</v>
      </c>
      <c r="G345" s="10" t="s">
        <v>1168</v>
      </c>
      <c r="H345" s="38" t="s">
        <v>1911</v>
      </c>
      <c r="I345" s="5" t="s">
        <v>1266</v>
      </c>
      <c r="J345" s="12" t="s">
        <v>1912</v>
      </c>
      <c r="K345" s="5"/>
      <c r="L345" s="5"/>
      <c r="M345" s="5"/>
    </row>
    <row r="346" ht="15.75" customHeight="1">
      <c r="A346" s="5">
        <v>2024.0</v>
      </c>
      <c r="B346" s="14" t="s">
        <v>12</v>
      </c>
      <c r="C346" s="16"/>
      <c r="D346" s="10" t="s">
        <v>1913</v>
      </c>
      <c r="E346" s="71" t="s">
        <v>1914</v>
      </c>
      <c r="F346" s="9" t="s">
        <v>1915</v>
      </c>
      <c r="G346" s="10" t="s">
        <v>1916</v>
      </c>
      <c r="H346" s="38" t="s">
        <v>1917</v>
      </c>
      <c r="I346" s="5" t="s">
        <v>1266</v>
      </c>
      <c r="J346" s="12"/>
      <c r="K346" s="5"/>
      <c r="L346" s="5"/>
      <c r="M346" s="5"/>
    </row>
    <row r="347" ht="15.75" customHeight="1">
      <c r="A347" s="5">
        <v>2024.0</v>
      </c>
      <c r="B347" s="14" t="s">
        <v>62</v>
      </c>
      <c r="C347" s="21" t="s">
        <v>1204</v>
      </c>
      <c r="D347" s="10" t="s">
        <v>1918</v>
      </c>
      <c r="E347" s="71" t="s">
        <v>1919</v>
      </c>
      <c r="F347" s="9" t="s">
        <v>1920</v>
      </c>
      <c r="G347" s="10" t="s">
        <v>1921</v>
      </c>
      <c r="H347" s="38" t="s">
        <v>1922</v>
      </c>
      <c r="I347" s="5" t="s">
        <v>1266</v>
      </c>
      <c r="J347" s="12" t="s">
        <v>1923</v>
      </c>
      <c r="K347" s="5"/>
      <c r="L347" s="5"/>
      <c r="M347" s="5"/>
    </row>
    <row r="348" ht="15.75" customHeight="1">
      <c r="A348" s="5">
        <v>2024.0</v>
      </c>
      <c r="B348" s="14" t="s">
        <v>12</v>
      </c>
      <c r="C348" s="22"/>
      <c r="D348" s="10" t="s">
        <v>1924</v>
      </c>
      <c r="E348" s="71" t="s">
        <v>1925</v>
      </c>
      <c r="F348" s="9" t="s">
        <v>1926</v>
      </c>
      <c r="G348" s="10"/>
      <c r="H348" s="38"/>
      <c r="I348" s="5" t="s">
        <v>1266</v>
      </c>
      <c r="J348" s="12" t="s">
        <v>1927</v>
      </c>
      <c r="K348" s="5"/>
      <c r="L348" s="5"/>
      <c r="M348" s="5"/>
    </row>
    <row r="349" ht="15.75" customHeight="1">
      <c r="A349" s="5">
        <v>2024.0</v>
      </c>
      <c r="B349" s="14" t="s">
        <v>12</v>
      </c>
      <c r="C349" s="22"/>
      <c r="D349" s="10" t="s">
        <v>1928</v>
      </c>
      <c r="E349" s="71" t="s">
        <v>1929</v>
      </c>
      <c r="F349" s="9" t="s">
        <v>1930</v>
      </c>
      <c r="G349" s="10" t="s">
        <v>1931</v>
      </c>
      <c r="H349" s="38" t="s">
        <v>1932</v>
      </c>
      <c r="I349" s="5" t="s">
        <v>1266</v>
      </c>
      <c r="J349" s="12" t="s">
        <v>1933</v>
      </c>
      <c r="K349" s="5"/>
      <c r="L349" s="5"/>
      <c r="M349" s="5"/>
    </row>
    <row r="350" ht="15.75" customHeight="1">
      <c r="A350" s="5">
        <v>2024.0</v>
      </c>
      <c r="B350" s="14" t="s">
        <v>12</v>
      </c>
      <c r="C350" s="22" t="s">
        <v>204</v>
      </c>
      <c r="D350" s="10" t="s">
        <v>1934</v>
      </c>
      <c r="E350" s="71" t="s">
        <v>1935</v>
      </c>
      <c r="F350" s="9" t="s">
        <v>1936</v>
      </c>
      <c r="G350" s="10" t="s">
        <v>1937</v>
      </c>
      <c r="H350" s="38" t="s">
        <v>1938</v>
      </c>
      <c r="I350" s="5" t="s">
        <v>1266</v>
      </c>
      <c r="J350" s="12" t="s">
        <v>1939</v>
      </c>
      <c r="K350" s="5"/>
      <c r="L350" s="5"/>
      <c r="M350" s="5"/>
    </row>
    <row r="351" ht="15.75" customHeight="1">
      <c r="A351" s="5">
        <v>2024.0</v>
      </c>
      <c r="B351" s="14" t="s">
        <v>12</v>
      </c>
      <c r="C351" s="73" t="s">
        <v>1000</v>
      </c>
      <c r="D351" s="10" t="s">
        <v>1940</v>
      </c>
      <c r="E351" s="71" t="s">
        <v>1941</v>
      </c>
      <c r="F351" s="9" t="s">
        <v>1942</v>
      </c>
      <c r="G351" s="10" t="s">
        <v>1943</v>
      </c>
      <c r="H351" s="38" t="s">
        <v>1944</v>
      </c>
      <c r="I351" s="5" t="s">
        <v>1266</v>
      </c>
      <c r="J351" s="12"/>
      <c r="K351" s="5"/>
      <c r="L351" s="5"/>
      <c r="M351" s="5"/>
    </row>
    <row r="352" ht="15.75" customHeight="1">
      <c r="A352" s="5">
        <v>2024.0</v>
      </c>
      <c r="B352" s="14" t="s">
        <v>12</v>
      </c>
      <c r="C352" s="22"/>
      <c r="D352" s="10" t="s">
        <v>1945</v>
      </c>
      <c r="E352" s="71" t="s">
        <v>1946</v>
      </c>
      <c r="F352" s="9" t="s">
        <v>1947</v>
      </c>
      <c r="G352" s="10" t="s">
        <v>1948</v>
      </c>
      <c r="H352" s="38" t="s">
        <v>1949</v>
      </c>
      <c r="I352" s="5" t="s">
        <v>1266</v>
      </c>
      <c r="J352" s="12" t="s">
        <v>1950</v>
      </c>
      <c r="K352" s="5"/>
      <c r="L352" s="5"/>
      <c r="M352" s="5"/>
    </row>
    <row r="353" ht="15.75" customHeight="1">
      <c r="A353" s="5">
        <v>2024.0</v>
      </c>
      <c r="B353" s="14" t="s">
        <v>12</v>
      </c>
      <c r="C353" s="22" t="s">
        <v>204</v>
      </c>
      <c r="D353" s="10" t="s">
        <v>1951</v>
      </c>
      <c r="E353" s="10" t="s">
        <v>1952</v>
      </c>
      <c r="F353" s="9" t="s">
        <v>1953</v>
      </c>
      <c r="G353" s="10" t="s">
        <v>1954</v>
      </c>
      <c r="H353" s="38" t="s">
        <v>1955</v>
      </c>
      <c r="I353" s="5" t="s">
        <v>1266</v>
      </c>
      <c r="J353" s="12" t="s">
        <v>1956</v>
      </c>
      <c r="K353" s="5"/>
      <c r="L353" s="5"/>
      <c r="M353" s="5"/>
    </row>
    <row r="354" ht="15.75" customHeight="1">
      <c r="A354" s="5">
        <v>2024.0</v>
      </c>
      <c r="B354" s="14" t="s">
        <v>62</v>
      </c>
      <c r="C354" s="6"/>
      <c r="D354" s="10" t="s">
        <v>1957</v>
      </c>
      <c r="E354" s="10" t="s">
        <v>1958</v>
      </c>
      <c r="F354" s="9" t="s">
        <v>1959</v>
      </c>
      <c r="G354" s="10" t="s">
        <v>1960</v>
      </c>
      <c r="H354" s="38" t="s">
        <v>1961</v>
      </c>
      <c r="I354" s="5" t="s">
        <v>1266</v>
      </c>
      <c r="J354" s="12" t="s">
        <v>1962</v>
      </c>
      <c r="K354" s="5"/>
      <c r="L354" s="5"/>
      <c r="M354" s="5"/>
    </row>
    <row r="355" ht="15.75" customHeight="1">
      <c r="A355" s="5">
        <v>2024.0</v>
      </c>
      <c r="B355" s="14" t="s">
        <v>12</v>
      </c>
      <c r="C355" s="6"/>
      <c r="D355" s="10" t="s">
        <v>1963</v>
      </c>
      <c r="E355" s="10" t="s">
        <v>1964</v>
      </c>
      <c r="F355" s="9" t="s">
        <v>1965</v>
      </c>
      <c r="G355" s="10" t="s">
        <v>1966</v>
      </c>
      <c r="H355" s="38" t="s">
        <v>1967</v>
      </c>
      <c r="I355" s="5" t="s">
        <v>1266</v>
      </c>
      <c r="J355" s="12" t="s">
        <v>1968</v>
      </c>
      <c r="K355" s="5"/>
      <c r="L355" s="5"/>
      <c r="M355" s="5"/>
    </row>
    <row r="356" ht="15.75" customHeight="1">
      <c r="A356" s="5">
        <v>2024.0</v>
      </c>
      <c r="B356" s="14" t="s">
        <v>12</v>
      </c>
      <c r="C356" s="6"/>
      <c r="D356" s="10" t="s">
        <v>1969</v>
      </c>
      <c r="E356" s="10" t="s">
        <v>1970</v>
      </c>
      <c r="F356" s="9" t="s">
        <v>1971</v>
      </c>
      <c r="G356" s="10" t="s">
        <v>1972</v>
      </c>
      <c r="H356" s="38" t="s">
        <v>1973</v>
      </c>
      <c r="I356" s="5" t="s">
        <v>1266</v>
      </c>
      <c r="J356" s="12" t="s">
        <v>1974</v>
      </c>
      <c r="K356" s="5"/>
      <c r="L356" s="5"/>
      <c r="M356" s="5"/>
    </row>
    <row r="357" ht="15.75" customHeight="1">
      <c r="A357" s="5">
        <v>2024.0</v>
      </c>
      <c r="B357" s="14" t="s">
        <v>12</v>
      </c>
      <c r="C357" s="14" t="s">
        <v>204</v>
      </c>
      <c r="D357" s="10" t="s">
        <v>1975</v>
      </c>
      <c r="E357" s="10" t="s">
        <v>1976</v>
      </c>
      <c r="F357" s="9" t="s">
        <v>1977</v>
      </c>
      <c r="G357" s="10" t="s">
        <v>1978</v>
      </c>
      <c r="H357" s="38" t="s">
        <v>1979</v>
      </c>
      <c r="I357" s="5" t="s">
        <v>1266</v>
      </c>
      <c r="J357" s="12" t="s">
        <v>1980</v>
      </c>
      <c r="K357" s="5"/>
      <c r="L357" s="5"/>
      <c r="M357" s="5"/>
    </row>
    <row r="358" ht="15.75" customHeight="1">
      <c r="A358" s="5">
        <v>2024.0</v>
      </c>
      <c r="B358" s="14" t="s">
        <v>12</v>
      </c>
      <c r="C358" s="6"/>
      <c r="D358" s="10" t="s">
        <v>1981</v>
      </c>
      <c r="E358" s="10" t="s">
        <v>1982</v>
      </c>
      <c r="F358" s="9" t="s">
        <v>1983</v>
      </c>
      <c r="G358" s="10" t="s">
        <v>1984</v>
      </c>
      <c r="H358" s="38" t="s">
        <v>1985</v>
      </c>
      <c r="I358" s="5" t="s">
        <v>1266</v>
      </c>
      <c r="J358" s="12" t="s">
        <v>1986</v>
      </c>
      <c r="K358" s="5"/>
      <c r="L358" s="5"/>
      <c r="M358" s="5"/>
    </row>
    <row r="359" ht="15.75" customHeight="1">
      <c r="A359" s="5">
        <v>2023.0</v>
      </c>
      <c r="B359" s="14" t="s">
        <v>12</v>
      </c>
      <c r="C359" s="6"/>
      <c r="D359" s="10" t="s">
        <v>1987</v>
      </c>
      <c r="E359" s="10" t="s">
        <v>1988</v>
      </c>
      <c r="F359" s="9" t="s">
        <v>1989</v>
      </c>
      <c r="G359" s="10"/>
      <c r="H359" s="38"/>
      <c r="I359" s="5" t="s">
        <v>1266</v>
      </c>
      <c r="J359" s="12" t="s">
        <v>1990</v>
      </c>
      <c r="K359" s="5"/>
      <c r="L359" s="5"/>
      <c r="M359" s="5"/>
    </row>
    <row r="360" ht="15.75" customHeight="1">
      <c r="A360" s="5">
        <v>2024.0</v>
      </c>
      <c r="B360" s="14" t="s">
        <v>12</v>
      </c>
      <c r="C360" s="6"/>
      <c r="D360" s="10" t="s">
        <v>1991</v>
      </c>
      <c r="E360" s="10" t="s">
        <v>1992</v>
      </c>
      <c r="F360" s="9" t="s">
        <v>1993</v>
      </c>
      <c r="G360" s="10" t="s">
        <v>1994</v>
      </c>
      <c r="H360" s="38" t="s">
        <v>1995</v>
      </c>
      <c r="I360" s="5" t="s">
        <v>1266</v>
      </c>
      <c r="J360" s="12"/>
      <c r="K360" s="5"/>
      <c r="L360" s="5"/>
      <c r="M360" s="5"/>
    </row>
    <row r="361" ht="15.75" customHeight="1">
      <c r="A361" s="5">
        <v>2024.0</v>
      </c>
      <c r="B361" s="14" t="s">
        <v>12</v>
      </c>
      <c r="C361" s="6"/>
      <c r="D361" s="10" t="s">
        <v>1996</v>
      </c>
      <c r="E361" s="10" t="s">
        <v>1997</v>
      </c>
      <c r="F361" s="9" t="s">
        <v>1998</v>
      </c>
      <c r="G361" s="10" t="s">
        <v>1999</v>
      </c>
      <c r="H361" s="38" t="s">
        <v>2000</v>
      </c>
      <c r="I361" s="5" t="s">
        <v>1266</v>
      </c>
      <c r="J361" s="12" t="s">
        <v>2001</v>
      </c>
      <c r="K361" s="5"/>
      <c r="L361" s="5"/>
      <c r="M361" s="5"/>
    </row>
    <row r="362" ht="15.75" customHeight="1">
      <c r="A362" s="5">
        <v>2024.0</v>
      </c>
      <c r="B362" s="14" t="s">
        <v>12</v>
      </c>
      <c r="C362" s="6"/>
      <c r="D362" s="10" t="s">
        <v>2002</v>
      </c>
      <c r="E362" s="10" t="s">
        <v>2003</v>
      </c>
      <c r="F362" s="9" t="s">
        <v>2004</v>
      </c>
      <c r="G362" s="10" t="s">
        <v>2005</v>
      </c>
      <c r="H362" s="38" t="s">
        <v>2006</v>
      </c>
      <c r="I362" s="5" t="s">
        <v>1266</v>
      </c>
      <c r="J362" s="12" t="s">
        <v>2007</v>
      </c>
      <c r="K362" s="5"/>
      <c r="L362" s="5"/>
      <c r="M362" s="5"/>
    </row>
    <row r="363" ht="15.75" customHeight="1">
      <c r="A363" s="5">
        <v>2024.0</v>
      </c>
      <c r="B363" s="14" t="s">
        <v>12</v>
      </c>
      <c r="C363" s="6"/>
      <c r="D363" s="10" t="s">
        <v>2008</v>
      </c>
      <c r="E363" s="10" t="s">
        <v>2009</v>
      </c>
      <c r="F363" s="9" t="s">
        <v>2010</v>
      </c>
      <c r="G363" s="10" t="s">
        <v>1943</v>
      </c>
      <c r="H363" s="38" t="s">
        <v>2011</v>
      </c>
      <c r="I363" s="5" t="s">
        <v>1266</v>
      </c>
      <c r="J363" s="12" t="s">
        <v>2012</v>
      </c>
      <c r="K363" s="5"/>
      <c r="L363" s="5"/>
      <c r="M363" s="5"/>
    </row>
    <row r="364" ht="15.75" customHeight="1">
      <c r="A364" s="5">
        <v>2024.0</v>
      </c>
      <c r="B364" s="14" t="s">
        <v>12</v>
      </c>
      <c r="C364" s="6"/>
      <c r="D364" s="10" t="s">
        <v>2013</v>
      </c>
      <c r="E364" s="10" t="s">
        <v>2014</v>
      </c>
      <c r="F364" s="9" t="s">
        <v>2015</v>
      </c>
      <c r="G364" s="10" t="s">
        <v>2016</v>
      </c>
      <c r="H364" s="38" t="s">
        <v>2017</v>
      </c>
      <c r="I364" s="5" t="s">
        <v>1266</v>
      </c>
      <c r="J364" s="12" t="s">
        <v>2018</v>
      </c>
      <c r="K364" s="5"/>
      <c r="L364" s="5"/>
      <c r="M364" s="5"/>
    </row>
    <row r="365" ht="15.75" customHeight="1">
      <c r="A365" s="5">
        <v>2024.0</v>
      </c>
      <c r="B365" s="14" t="str">
        <f>HYPERLINK("https://shop.openbci.com/collections/frontpage/products/ganglion-board","Ganglion")</f>
        <v>Ganglion</v>
      </c>
      <c r="C365" s="6"/>
      <c r="D365" s="10" t="s">
        <v>2019</v>
      </c>
      <c r="E365" s="10" t="s">
        <v>2020</v>
      </c>
      <c r="F365" s="9" t="s">
        <v>2021</v>
      </c>
      <c r="G365" s="7" t="s">
        <v>1921</v>
      </c>
      <c r="H365" s="38" t="s">
        <v>2022</v>
      </c>
      <c r="I365" s="5" t="s">
        <v>1266</v>
      </c>
      <c r="J365" s="12" t="s">
        <v>2023</v>
      </c>
      <c r="K365" s="5"/>
      <c r="L365" s="5"/>
      <c r="M365" s="5"/>
    </row>
    <row r="366" ht="15.75" customHeight="1">
      <c r="A366" s="5">
        <v>2024.0</v>
      </c>
      <c r="B366" s="14" t="s">
        <v>62</v>
      </c>
      <c r="C366" s="6"/>
      <c r="D366" s="10" t="s">
        <v>2024</v>
      </c>
      <c r="E366" s="10" t="s">
        <v>2025</v>
      </c>
      <c r="F366" s="9" t="s">
        <v>2026</v>
      </c>
      <c r="G366" s="27" t="s">
        <v>2027</v>
      </c>
      <c r="H366" s="38" t="s">
        <v>2028</v>
      </c>
      <c r="I366" s="5" t="s">
        <v>1266</v>
      </c>
      <c r="J366" s="12" t="s">
        <v>2029</v>
      </c>
      <c r="K366" s="5"/>
      <c r="L366" s="5"/>
      <c r="M366" s="5"/>
    </row>
    <row r="367" ht="15.75" customHeight="1">
      <c r="A367" s="5">
        <v>2023.0</v>
      </c>
      <c r="B367" s="14" t="s">
        <v>12</v>
      </c>
      <c r="C367" s="14" t="s">
        <v>573</v>
      </c>
      <c r="D367" s="10" t="s">
        <v>2030</v>
      </c>
      <c r="E367" s="10" t="s">
        <v>2031</v>
      </c>
      <c r="F367" s="9" t="s">
        <v>2032</v>
      </c>
      <c r="G367" s="12"/>
      <c r="H367" s="38"/>
      <c r="I367" s="5" t="s">
        <v>1266</v>
      </c>
      <c r="J367" s="12"/>
      <c r="K367" s="5"/>
      <c r="L367" s="5"/>
      <c r="M367" s="5"/>
    </row>
    <row r="368" ht="15.75" customHeight="1">
      <c r="A368" s="5">
        <v>2023.0</v>
      </c>
      <c r="B368" s="14" t="s">
        <v>12</v>
      </c>
      <c r="C368" s="14" t="s">
        <v>204</v>
      </c>
      <c r="D368" s="10" t="s">
        <v>2033</v>
      </c>
      <c r="E368" s="10" t="s">
        <v>2034</v>
      </c>
      <c r="F368" s="9" t="s">
        <v>2035</v>
      </c>
      <c r="G368" s="12" t="s">
        <v>2036</v>
      </c>
      <c r="H368" s="38" t="s">
        <v>2037</v>
      </c>
      <c r="I368" s="5" t="s">
        <v>1266</v>
      </c>
      <c r="J368" s="12" t="s">
        <v>2038</v>
      </c>
      <c r="K368" s="5"/>
      <c r="L368" s="5"/>
      <c r="M368" s="5"/>
    </row>
    <row r="369" ht="15.75" customHeight="1">
      <c r="A369" s="5">
        <v>2024.0</v>
      </c>
      <c r="B369" s="14" t="s">
        <v>12</v>
      </c>
      <c r="C369" s="6"/>
      <c r="D369" s="10" t="s">
        <v>2039</v>
      </c>
      <c r="E369" s="10" t="s">
        <v>2040</v>
      </c>
      <c r="F369" s="9" t="s">
        <v>2041</v>
      </c>
      <c r="G369" s="12" t="s">
        <v>2042</v>
      </c>
      <c r="H369" s="38" t="s">
        <v>2043</v>
      </c>
      <c r="I369" s="5" t="s">
        <v>1266</v>
      </c>
      <c r="J369" s="12" t="s">
        <v>2044</v>
      </c>
      <c r="K369" s="5"/>
      <c r="L369" s="5"/>
      <c r="M369" s="5"/>
    </row>
    <row r="370" ht="15.75" customHeight="1">
      <c r="A370" s="5">
        <v>2024.0</v>
      </c>
      <c r="B370" s="14" t="s">
        <v>12</v>
      </c>
      <c r="C370" s="6"/>
      <c r="D370" s="10" t="s">
        <v>2045</v>
      </c>
      <c r="E370" s="10" t="s">
        <v>2046</v>
      </c>
      <c r="F370" s="9" t="s">
        <v>2047</v>
      </c>
      <c r="G370" s="12" t="s">
        <v>683</v>
      </c>
      <c r="H370" s="38" t="s">
        <v>2048</v>
      </c>
      <c r="I370" s="5" t="s">
        <v>1266</v>
      </c>
      <c r="J370" s="12" t="s">
        <v>2049</v>
      </c>
      <c r="K370" s="5"/>
      <c r="L370" s="5"/>
      <c r="M370" s="5"/>
    </row>
    <row r="371" ht="15.75" customHeight="1">
      <c r="A371" s="5">
        <v>2024.0</v>
      </c>
      <c r="B371" s="14" t="s">
        <v>12</v>
      </c>
      <c r="C371" s="14" t="s">
        <v>204</v>
      </c>
      <c r="D371" s="10" t="s">
        <v>2050</v>
      </c>
      <c r="E371" s="10" t="s">
        <v>2051</v>
      </c>
      <c r="F371" s="9" t="s">
        <v>2052</v>
      </c>
      <c r="G371" s="12" t="s">
        <v>2053</v>
      </c>
      <c r="H371" s="38" t="s">
        <v>2052</v>
      </c>
      <c r="I371" s="5" t="s">
        <v>1266</v>
      </c>
      <c r="J371" s="12" t="s">
        <v>2054</v>
      </c>
      <c r="K371" s="5"/>
      <c r="L371" s="5"/>
      <c r="M371" s="5"/>
    </row>
    <row r="372" ht="15.75" customHeight="1">
      <c r="A372" s="5">
        <v>2024.0</v>
      </c>
      <c r="B372" s="14" t="s">
        <v>12</v>
      </c>
      <c r="C372" s="6"/>
      <c r="D372" s="10" t="s">
        <v>2055</v>
      </c>
      <c r="E372" s="10" t="s">
        <v>2056</v>
      </c>
      <c r="F372" s="9" t="s">
        <v>2057</v>
      </c>
      <c r="G372" s="12" t="s">
        <v>899</v>
      </c>
      <c r="H372" s="38" t="s">
        <v>2058</v>
      </c>
      <c r="I372" s="5" t="s">
        <v>1266</v>
      </c>
      <c r="J372" s="12" t="s">
        <v>2059</v>
      </c>
      <c r="K372" s="5"/>
      <c r="L372" s="5"/>
      <c r="M372" s="5"/>
    </row>
    <row r="373" ht="15.75" customHeight="1">
      <c r="A373" s="5">
        <v>2024.0</v>
      </c>
      <c r="B373" s="14" t="s">
        <v>12</v>
      </c>
      <c r="C373" s="6"/>
      <c r="D373" s="10" t="s">
        <v>2060</v>
      </c>
      <c r="E373" s="10" t="s">
        <v>2061</v>
      </c>
      <c r="F373" s="9" t="s">
        <v>2062</v>
      </c>
      <c r="G373" s="12" t="s">
        <v>2063</v>
      </c>
      <c r="H373" s="38" t="s">
        <v>2064</v>
      </c>
      <c r="I373" s="5" t="s">
        <v>1266</v>
      </c>
      <c r="J373" s="12" t="s">
        <v>2065</v>
      </c>
      <c r="K373" s="5"/>
      <c r="L373" s="5"/>
      <c r="M373" s="5"/>
    </row>
    <row r="374" ht="15.75" customHeight="1">
      <c r="A374" s="5">
        <v>2024.0</v>
      </c>
      <c r="B374" s="14" t="s">
        <v>62</v>
      </c>
      <c r="C374" s="6"/>
      <c r="D374" s="10" t="s">
        <v>2066</v>
      </c>
      <c r="E374" s="10" t="s">
        <v>2067</v>
      </c>
      <c r="F374" s="9" t="s">
        <v>2068</v>
      </c>
      <c r="G374" s="12" t="s">
        <v>2069</v>
      </c>
      <c r="H374" s="38" t="s">
        <v>2070</v>
      </c>
      <c r="I374" s="5" t="s">
        <v>1266</v>
      </c>
      <c r="J374" s="12" t="s">
        <v>2071</v>
      </c>
      <c r="K374" s="5"/>
      <c r="L374" s="5"/>
      <c r="M374" s="5"/>
    </row>
    <row r="375" ht="15.75" customHeight="1">
      <c r="A375" s="5">
        <v>2024.0</v>
      </c>
      <c r="B375" s="14" t="s">
        <v>62</v>
      </c>
      <c r="C375" s="6"/>
      <c r="D375" s="10" t="s">
        <v>2072</v>
      </c>
      <c r="E375" s="10" t="s">
        <v>2073</v>
      </c>
      <c r="F375" s="9" t="s">
        <v>2074</v>
      </c>
      <c r="G375" s="12" t="s">
        <v>2069</v>
      </c>
      <c r="H375" s="38" t="s">
        <v>2075</v>
      </c>
      <c r="I375" s="5" t="s">
        <v>1266</v>
      </c>
      <c r="J375" s="12" t="s">
        <v>2076</v>
      </c>
      <c r="K375" s="5"/>
      <c r="L375" s="5"/>
      <c r="M375" s="5"/>
    </row>
    <row r="376" ht="15.75" customHeight="1">
      <c r="A376" s="5">
        <v>2024.0</v>
      </c>
      <c r="B376" s="14" t="s">
        <v>12</v>
      </c>
      <c r="C376" s="6"/>
      <c r="D376" s="10" t="s">
        <v>2077</v>
      </c>
      <c r="E376" s="10" t="s">
        <v>2078</v>
      </c>
      <c r="F376" s="9" t="s">
        <v>2079</v>
      </c>
      <c r="G376" s="12" t="s">
        <v>2080</v>
      </c>
      <c r="H376" s="38" t="s">
        <v>2081</v>
      </c>
      <c r="I376" s="5" t="s">
        <v>1266</v>
      </c>
      <c r="J376" s="12" t="s">
        <v>2082</v>
      </c>
      <c r="K376" s="5"/>
      <c r="L376" s="5"/>
      <c r="M376" s="5"/>
    </row>
    <row r="377" ht="15.75" customHeight="1">
      <c r="A377" s="5">
        <v>2024.0</v>
      </c>
      <c r="B377" s="14" t="s">
        <v>12</v>
      </c>
      <c r="C377" s="6"/>
      <c r="D377" s="10" t="s">
        <v>2083</v>
      </c>
      <c r="E377" s="10" t="s">
        <v>2084</v>
      </c>
      <c r="F377" s="9" t="s">
        <v>2085</v>
      </c>
      <c r="G377" s="12" t="s">
        <v>2086</v>
      </c>
      <c r="H377" s="38" t="s">
        <v>2087</v>
      </c>
      <c r="I377" s="5" t="s">
        <v>1266</v>
      </c>
      <c r="J377" s="12" t="s">
        <v>2088</v>
      </c>
      <c r="K377" s="5"/>
      <c r="L377" s="5"/>
      <c r="M377" s="5"/>
    </row>
    <row r="378" ht="15.75" customHeight="1">
      <c r="A378" s="5">
        <v>2024.0</v>
      </c>
      <c r="B378" s="14" t="s">
        <v>12</v>
      </c>
      <c r="C378" s="6"/>
      <c r="D378" s="10" t="s">
        <v>2089</v>
      </c>
      <c r="E378" s="10" t="s">
        <v>2090</v>
      </c>
      <c r="F378" s="9" t="s">
        <v>2091</v>
      </c>
      <c r="G378" s="12" t="s">
        <v>2086</v>
      </c>
      <c r="H378" s="38" t="s">
        <v>2092</v>
      </c>
      <c r="I378" s="5" t="s">
        <v>1266</v>
      </c>
      <c r="J378" s="12" t="s">
        <v>2093</v>
      </c>
      <c r="K378" s="5"/>
      <c r="L378" s="5"/>
      <c r="M378" s="5"/>
    </row>
    <row r="379" ht="15.75" customHeight="1">
      <c r="A379" s="5">
        <v>2023.0</v>
      </c>
      <c r="B379" s="14" t="s">
        <v>62</v>
      </c>
      <c r="C379" s="14" t="s">
        <v>204</v>
      </c>
      <c r="D379" s="10" t="s">
        <v>2094</v>
      </c>
      <c r="E379" s="10" t="s">
        <v>2095</v>
      </c>
      <c r="F379" s="9" t="s">
        <v>2096</v>
      </c>
      <c r="G379" s="12" t="s">
        <v>2097</v>
      </c>
      <c r="H379" s="38" t="s">
        <v>2098</v>
      </c>
      <c r="I379" s="5" t="s">
        <v>1266</v>
      </c>
      <c r="J379" s="12" t="s">
        <v>2099</v>
      </c>
      <c r="K379" s="5"/>
      <c r="L379" s="5"/>
      <c r="M379" s="5"/>
    </row>
    <row r="380" ht="15.75" customHeight="1">
      <c r="A380" s="5">
        <v>2023.0</v>
      </c>
      <c r="B380" s="14" t="s">
        <v>62</v>
      </c>
      <c r="C380" s="6"/>
      <c r="D380" s="10" t="s">
        <v>2100</v>
      </c>
      <c r="E380" s="10" t="s">
        <v>2101</v>
      </c>
      <c r="F380" s="9" t="s">
        <v>2102</v>
      </c>
      <c r="G380" s="12" t="s">
        <v>2103</v>
      </c>
      <c r="H380" s="38" t="s">
        <v>2104</v>
      </c>
      <c r="I380" s="5" t="s">
        <v>1266</v>
      </c>
      <c r="J380" s="12" t="s">
        <v>2105</v>
      </c>
      <c r="K380" s="5"/>
      <c r="L380" s="5"/>
      <c r="M380" s="5"/>
    </row>
    <row r="381" ht="15.75" customHeight="1">
      <c r="A381" s="5">
        <v>2023.0</v>
      </c>
      <c r="B381" s="14" t="s">
        <v>12</v>
      </c>
      <c r="C381" s="6"/>
      <c r="D381" s="10" t="s">
        <v>2106</v>
      </c>
      <c r="E381" s="10" t="s">
        <v>2107</v>
      </c>
      <c r="F381" s="9" t="s">
        <v>2108</v>
      </c>
      <c r="G381" s="12" t="s">
        <v>2109</v>
      </c>
      <c r="H381" s="38" t="s">
        <v>2110</v>
      </c>
      <c r="I381" s="5" t="s">
        <v>1266</v>
      </c>
      <c r="J381" s="12" t="s">
        <v>2111</v>
      </c>
      <c r="K381" s="5"/>
      <c r="L381" s="5"/>
      <c r="M381" s="5"/>
    </row>
    <row r="382" ht="15.75" customHeight="1">
      <c r="A382" s="5">
        <v>2023.0</v>
      </c>
      <c r="B382" s="14" t="s">
        <v>12</v>
      </c>
      <c r="C382" s="6"/>
      <c r="D382" s="10" t="s">
        <v>2112</v>
      </c>
      <c r="E382" s="10" t="s">
        <v>2113</v>
      </c>
      <c r="F382" s="9" t="s">
        <v>2114</v>
      </c>
      <c r="G382" s="12" t="s">
        <v>2115</v>
      </c>
      <c r="H382" s="38"/>
      <c r="I382" s="5" t="s">
        <v>1266</v>
      </c>
      <c r="J382" s="12" t="s">
        <v>2116</v>
      </c>
      <c r="K382" s="5"/>
      <c r="L382" s="5"/>
      <c r="M382" s="5"/>
    </row>
    <row r="383" ht="15.75" customHeight="1">
      <c r="A383" s="5">
        <v>2023.0</v>
      </c>
      <c r="B383" s="14" t="s">
        <v>12</v>
      </c>
      <c r="C383" s="6"/>
      <c r="D383" s="10" t="s">
        <v>2117</v>
      </c>
      <c r="E383" s="10" t="s">
        <v>2118</v>
      </c>
      <c r="F383" s="9" t="s">
        <v>2119</v>
      </c>
      <c r="G383" s="12" t="s">
        <v>2120</v>
      </c>
      <c r="H383" s="38"/>
      <c r="I383" s="5" t="s">
        <v>1266</v>
      </c>
      <c r="J383" s="12"/>
      <c r="K383" s="5"/>
      <c r="L383" s="5"/>
      <c r="M383" s="5"/>
    </row>
    <row r="384" ht="15.75" customHeight="1">
      <c r="A384" s="5">
        <v>2023.0</v>
      </c>
      <c r="B384" s="14" t="s">
        <v>12</v>
      </c>
      <c r="C384" s="6"/>
      <c r="D384" s="10" t="s">
        <v>2121</v>
      </c>
      <c r="E384" s="10" t="s">
        <v>2122</v>
      </c>
      <c r="F384" s="9" t="s">
        <v>2123</v>
      </c>
      <c r="G384" s="12" t="s">
        <v>2124</v>
      </c>
      <c r="H384" s="38" t="s">
        <v>2125</v>
      </c>
      <c r="I384" s="5" t="s">
        <v>1266</v>
      </c>
      <c r="J384" s="12" t="s">
        <v>2126</v>
      </c>
      <c r="K384" s="5"/>
      <c r="L384" s="5"/>
      <c r="M384" s="5"/>
    </row>
    <row r="385" ht="15.75" customHeight="1">
      <c r="A385" s="5">
        <v>2023.0</v>
      </c>
      <c r="B385" s="14" t="s">
        <v>12</v>
      </c>
      <c r="C385" s="14" t="s">
        <v>204</v>
      </c>
      <c r="D385" s="10" t="s">
        <v>2127</v>
      </c>
      <c r="E385" s="10" t="s">
        <v>2128</v>
      </c>
      <c r="F385" s="9" t="s">
        <v>2129</v>
      </c>
      <c r="G385" s="12"/>
      <c r="H385" s="38"/>
      <c r="I385" s="5" t="s">
        <v>1266</v>
      </c>
      <c r="J385" s="12"/>
      <c r="K385" s="5"/>
      <c r="L385" s="5"/>
      <c r="M385" s="5"/>
    </row>
    <row r="386" ht="15.75" customHeight="1">
      <c r="A386" s="5">
        <v>2023.0</v>
      </c>
      <c r="B386" s="14" t="s">
        <v>12</v>
      </c>
      <c r="C386" s="6"/>
      <c r="D386" s="10" t="s">
        <v>2130</v>
      </c>
      <c r="E386" s="10" t="s">
        <v>2131</v>
      </c>
      <c r="F386" s="9" t="s">
        <v>2132</v>
      </c>
      <c r="G386" s="12" t="s">
        <v>2133</v>
      </c>
      <c r="H386" s="38" t="s">
        <v>2134</v>
      </c>
      <c r="I386" s="5" t="s">
        <v>1266</v>
      </c>
      <c r="J386" s="12" t="s">
        <v>2135</v>
      </c>
      <c r="K386" s="5"/>
      <c r="L386" s="5"/>
      <c r="M386" s="5"/>
    </row>
    <row r="387" ht="15.75" customHeight="1">
      <c r="A387" s="5">
        <v>2023.0</v>
      </c>
      <c r="B387" s="14" t="s">
        <v>12</v>
      </c>
      <c r="C387" s="6"/>
      <c r="D387" s="10" t="s">
        <v>2136</v>
      </c>
      <c r="E387" s="10" t="s">
        <v>2137</v>
      </c>
      <c r="F387" s="9" t="s">
        <v>2138</v>
      </c>
      <c r="G387" s="12" t="s">
        <v>2139</v>
      </c>
      <c r="H387" s="38" t="s">
        <v>2140</v>
      </c>
      <c r="I387" s="5" t="s">
        <v>1266</v>
      </c>
      <c r="J387" s="12" t="s">
        <v>2141</v>
      </c>
      <c r="K387" s="5"/>
      <c r="L387" s="5"/>
      <c r="M387" s="5"/>
    </row>
    <row r="388" ht="15.75" customHeight="1">
      <c r="A388" s="5">
        <v>2023.0</v>
      </c>
      <c r="B388" s="14" t="s">
        <v>62</v>
      </c>
      <c r="C388" s="6"/>
      <c r="D388" s="10" t="s">
        <v>2142</v>
      </c>
      <c r="E388" s="10" t="s">
        <v>2143</v>
      </c>
      <c r="F388" s="9" t="s">
        <v>2144</v>
      </c>
      <c r="G388" s="12" t="s">
        <v>2145</v>
      </c>
      <c r="H388" s="38" t="s">
        <v>2146</v>
      </c>
      <c r="I388" s="5" t="s">
        <v>1266</v>
      </c>
      <c r="J388" s="12" t="s">
        <v>2147</v>
      </c>
      <c r="K388" s="5"/>
      <c r="L388" s="5"/>
      <c r="M388" s="5"/>
    </row>
    <row r="389" ht="15.75" customHeight="1">
      <c r="A389" s="5">
        <v>2023.0</v>
      </c>
      <c r="B389" s="14" t="s">
        <v>12</v>
      </c>
      <c r="C389" s="6"/>
      <c r="D389" s="10" t="s">
        <v>2148</v>
      </c>
      <c r="E389" s="10" t="s">
        <v>2149</v>
      </c>
      <c r="F389" s="9" t="s">
        <v>2150</v>
      </c>
      <c r="G389" s="12"/>
      <c r="H389" s="38"/>
      <c r="I389" s="5" t="s">
        <v>1266</v>
      </c>
      <c r="J389" s="12" t="s">
        <v>2151</v>
      </c>
      <c r="K389" s="5"/>
      <c r="L389" s="5"/>
      <c r="M389" s="5"/>
    </row>
    <row r="390" ht="15.75" customHeight="1">
      <c r="A390" s="5">
        <v>2023.0</v>
      </c>
      <c r="B390" s="14" t="s">
        <v>12</v>
      </c>
      <c r="C390" s="6"/>
      <c r="D390" s="10" t="s">
        <v>2152</v>
      </c>
      <c r="E390" s="10" t="s">
        <v>2153</v>
      </c>
      <c r="F390" s="9" t="s">
        <v>2154</v>
      </c>
      <c r="G390" s="12" t="s">
        <v>2155</v>
      </c>
      <c r="H390" s="38" t="s">
        <v>2156</v>
      </c>
      <c r="I390" s="5" t="s">
        <v>1266</v>
      </c>
      <c r="J390" s="12" t="s">
        <v>2157</v>
      </c>
      <c r="K390" s="5"/>
      <c r="L390" s="5"/>
      <c r="M390" s="5"/>
    </row>
    <row r="391" ht="15.75" customHeight="1">
      <c r="A391" s="5">
        <v>2023.0</v>
      </c>
      <c r="B391" s="14" t="s">
        <v>12</v>
      </c>
      <c r="C391" s="6"/>
      <c r="D391" s="10" t="s">
        <v>2158</v>
      </c>
      <c r="E391" s="10" t="s">
        <v>2159</v>
      </c>
      <c r="F391" s="9" t="s">
        <v>2160</v>
      </c>
      <c r="G391" s="12" t="s">
        <v>2069</v>
      </c>
      <c r="H391" s="38" t="s">
        <v>2161</v>
      </c>
      <c r="I391" s="5" t="s">
        <v>1266</v>
      </c>
      <c r="J391" s="12" t="s">
        <v>2162</v>
      </c>
      <c r="K391" s="5"/>
      <c r="L391" s="5"/>
      <c r="M391" s="5"/>
    </row>
    <row r="392" ht="15.75" customHeight="1">
      <c r="A392" s="5">
        <v>2023.0</v>
      </c>
      <c r="B392" s="14" t="s">
        <v>12</v>
      </c>
      <c r="C392" s="6"/>
      <c r="D392" s="10" t="s">
        <v>2163</v>
      </c>
      <c r="E392" s="10" t="s">
        <v>2164</v>
      </c>
      <c r="F392" s="9" t="s">
        <v>2165</v>
      </c>
      <c r="G392" s="12" t="s">
        <v>2166</v>
      </c>
      <c r="H392" s="38" t="s">
        <v>2167</v>
      </c>
      <c r="I392" s="5" t="s">
        <v>1266</v>
      </c>
      <c r="J392" s="12" t="s">
        <v>2168</v>
      </c>
      <c r="K392" s="5"/>
      <c r="L392" s="5"/>
      <c r="M392" s="5"/>
    </row>
    <row r="393" ht="15.75" customHeight="1">
      <c r="A393" s="5">
        <v>2023.0</v>
      </c>
      <c r="B393" s="14" t="s">
        <v>62</v>
      </c>
      <c r="C393" s="6"/>
      <c r="D393" s="10" t="s">
        <v>2169</v>
      </c>
      <c r="E393" s="10" t="s">
        <v>2170</v>
      </c>
      <c r="F393" s="9" t="s">
        <v>2171</v>
      </c>
      <c r="G393" s="12" t="s">
        <v>2172</v>
      </c>
      <c r="H393" s="38" t="s">
        <v>2173</v>
      </c>
      <c r="I393" s="5" t="s">
        <v>1266</v>
      </c>
      <c r="J393" s="12" t="s">
        <v>2174</v>
      </c>
      <c r="K393" s="5"/>
      <c r="L393" s="5"/>
      <c r="M393" s="5"/>
    </row>
    <row r="394" ht="15.75" customHeight="1">
      <c r="A394" s="5">
        <v>2023.0</v>
      </c>
      <c r="B394" s="14" t="s">
        <v>12</v>
      </c>
      <c r="C394" s="6"/>
      <c r="D394" s="10" t="s">
        <v>2175</v>
      </c>
      <c r="E394" s="10" t="s">
        <v>2176</v>
      </c>
      <c r="F394" s="9" t="s">
        <v>2177</v>
      </c>
      <c r="G394" s="12" t="s">
        <v>2178</v>
      </c>
      <c r="H394" s="38" t="s">
        <v>2179</v>
      </c>
      <c r="I394" s="5" t="s">
        <v>1266</v>
      </c>
      <c r="J394" s="12" t="s">
        <v>2180</v>
      </c>
      <c r="K394" s="5"/>
      <c r="L394" s="5"/>
      <c r="M394" s="5"/>
    </row>
    <row r="395" ht="15.75" customHeight="1">
      <c r="A395" s="5">
        <v>2023.0</v>
      </c>
      <c r="B395" s="14" t="s">
        <v>12</v>
      </c>
      <c r="C395" s="14" t="s">
        <v>204</v>
      </c>
      <c r="D395" s="10" t="s">
        <v>2181</v>
      </c>
      <c r="E395" s="10" t="s">
        <v>2182</v>
      </c>
      <c r="F395" s="9" t="s">
        <v>2183</v>
      </c>
      <c r="G395" s="12" t="s">
        <v>2184</v>
      </c>
      <c r="H395" s="38" t="s">
        <v>2185</v>
      </c>
      <c r="I395" s="5" t="s">
        <v>1266</v>
      </c>
      <c r="J395" s="12" t="s">
        <v>2186</v>
      </c>
      <c r="K395" s="5"/>
      <c r="L395" s="5"/>
      <c r="M395" s="5"/>
    </row>
    <row r="396" ht="15.75" customHeight="1">
      <c r="A396" s="5">
        <v>2023.0</v>
      </c>
      <c r="B396" s="14" t="s">
        <v>62</v>
      </c>
      <c r="C396" s="14" t="s">
        <v>204</v>
      </c>
      <c r="D396" s="10" t="s">
        <v>2187</v>
      </c>
      <c r="E396" s="10" t="s">
        <v>2188</v>
      </c>
      <c r="F396" s="9" t="s">
        <v>2189</v>
      </c>
      <c r="G396" s="12" t="s">
        <v>2190</v>
      </c>
      <c r="H396" s="38"/>
      <c r="I396" s="5" t="s">
        <v>1266</v>
      </c>
      <c r="J396" s="12" t="s">
        <v>2191</v>
      </c>
      <c r="K396" s="5"/>
      <c r="L396" s="5"/>
      <c r="M396" s="5"/>
    </row>
    <row r="397" ht="15.75" customHeight="1">
      <c r="A397" s="5">
        <v>2023.0</v>
      </c>
      <c r="B397" s="14" t="s">
        <v>12</v>
      </c>
      <c r="C397" s="6"/>
      <c r="D397" s="10" t="s">
        <v>2192</v>
      </c>
      <c r="E397" s="10" t="s">
        <v>2193</v>
      </c>
      <c r="F397" s="9" t="s">
        <v>2194</v>
      </c>
      <c r="G397" s="12" t="s">
        <v>2195</v>
      </c>
      <c r="H397" s="38" t="s">
        <v>2196</v>
      </c>
      <c r="I397" s="5" t="s">
        <v>1266</v>
      </c>
      <c r="J397" s="12" t="s">
        <v>2197</v>
      </c>
      <c r="K397" s="5"/>
      <c r="L397" s="5"/>
      <c r="M397" s="5"/>
    </row>
    <row r="398" ht="15.75" customHeight="1">
      <c r="A398" s="5">
        <v>2023.0</v>
      </c>
      <c r="B398" s="20" t="str">
        <f>HYPERLINK("https://shop.openbci.com/collections/frontpage/products/ganglion-board","Ganglion")</f>
        <v>Ganglion</v>
      </c>
      <c r="C398" s="6"/>
      <c r="D398" s="10" t="s">
        <v>2198</v>
      </c>
      <c r="E398" s="10" t="s">
        <v>2199</v>
      </c>
      <c r="F398" s="9" t="s">
        <v>2200</v>
      </c>
      <c r="G398" s="12" t="s">
        <v>2201</v>
      </c>
      <c r="H398" s="38" t="s">
        <v>2202</v>
      </c>
      <c r="I398" s="5" t="s">
        <v>1266</v>
      </c>
      <c r="J398" s="12" t="s">
        <v>2203</v>
      </c>
      <c r="K398" s="5"/>
      <c r="L398" s="5"/>
      <c r="M398" s="5"/>
    </row>
    <row r="399" ht="15.75" customHeight="1">
      <c r="A399" s="5">
        <v>2023.0</v>
      </c>
      <c r="B399" s="14" t="s">
        <v>12</v>
      </c>
      <c r="C399" s="6"/>
      <c r="D399" s="10" t="s">
        <v>2204</v>
      </c>
      <c r="E399" s="10" t="s">
        <v>2205</v>
      </c>
      <c r="F399" s="9" t="s">
        <v>2206</v>
      </c>
      <c r="G399" s="12"/>
      <c r="H399" s="38"/>
      <c r="I399" s="5" t="s">
        <v>1266</v>
      </c>
      <c r="J399" s="12" t="s">
        <v>2207</v>
      </c>
      <c r="K399" s="5"/>
      <c r="L399" s="5"/>
      <c r="M399" s="5"/>
    </row>
    <row r="400" ht="15.75" customHeight="1">
      <c r="A400" s="5">
        <v>2023.0</v>
      </c>
      <c r="B400" s="14" t="s">
        <v>62</v>
      </c>
      <c r="C400" s="14" t="s">
        <v>204</v>
      </c>
      <c r="D400" s="10" t="s">
        <v>2208</v>
      </c>
      <c r="E400" s="10" t="s">
        <v>2209</v>
      </c>
      <c r="F400" s="9" t="s">
        <v>2210</v>
      </c>
      <c r="G400" s="12" t="s">
        <v>2211</v>
      </c>
      <c r="H400" s="38" t="s">
        <v>2212</v>
      </c>
      <c r="I400" s="5" t="s">
        <v>1266</v>
      </c>
      <c r="J400" s="12" t="s">
        <v>2213</v>
      </c>
      <c r="K400" s="5"/>
      <c r="L400" s="5"/>
      <c r="M400" s="5"/>
    </row>
    <row r="401" ht="15.75" customHeight="1">
      <c r="A401" s="5">
        <v>2023.0</v>
      </c>
      <c r="B401" s="14" t="s">
        <v>12</v>
      </c>
      <c r="C401" s="6"/>
      <c r="D401" s="10" t="s">
        <v>2214</v>
      </c>
      <c r="E401" s="10" t="s">
        <v>2215</v>
      </c>
      <c r="F401" s="9" t="s">
        <v>2216</v>
      </c>
      <c r="G401" s="12" t="s">
        <v>2217</v>
      </c>
      <c r="H401" s="38" t="s">
        <v>2218</v>
      </c>
      <c r="I401" s="5" t="s">
        <v>1266</v>
      </c>
      <c r="J401" s="12"/>
      <c r="K401" s="5"/>
      <c r="L401" s="5"/>
      <c r="M401" s="5"/>
    </row>
    <row r="402" ht="15.75" customHeight="1">
      <c r="A402" s="5">
        <v>2023.0</v>
      </c>
      <c r="B402" s="14" t="s">
        <v>12</v>
      </c>
      <c r="C402" s="6"/>
      <c r="D402" s="10" t="s">
        <v>2219</v>
      </c>
      <c r="E402" s="10" t="s">
        <v>2220</v>
      </c>
      <c r="F402" s="9" t="s">
        <v>2221</v>
      </c>
      <c r="G402" s="12" t="s">
        <v>2222</v>
      </c>
      <c r="H402" s="38" t="s">
        <v>2223</v>
      </c>
      <c r="I402" s="5" t="s">
        <v>1266</v>
      </c>
      <c r="J402" s="12" t="s">
        <v>2224</v>
      </c>
      <c r="K402" s="5"/>
      <c r="L402" s="5"/>
      <c r="M402" s="5"/>
    </row>
    <row r="403" ht="15.75" customHeight="1">
      <c r="A403" s="5">
        <v>2023.0</v>
      </c>
      <c r="B403" s="14" t="s">
        <v>12</v>
      </c>
      <c r="C403" s="6"/>
      <c r="D403" s="10" t="s">
        <v>2106</v>
      </c>
      <c r="E403" s="10" t="s">
        <v>2225</v>
      </c>
      <c r="F403" s="9" t="s">
        <v>2226</v>
      </c>
      <c r="G403" s="12" t="s">
        <v>2227</v>
      </c>
      <c r="H403" s="38" t="s">
        <v>2228</v>
      </c>
      <c r="I403" s="5" t="s">
        <v>1266</v>
      </c>
      <c r="J403" s="12"/>
      <c r="K403" s="5"/>
      <c r="L403" s="5"/>
      <c r="M403" s="5"/>
    </row>
    <row r="404" ht="15.75" customHeight="1">
      <c r="A404" s="5">
        <v>2023.0</v>
      </c>
      <c r="B404" s="14" t="s">
        <v>12</v>
      </c>
      <c r="C404" s="14" t="s">
        <v>573</v>
      </c>
      <c r="D404" s="10" t="s">
        <v>2229</v>
      </c>
      <c r="E404" s="10" t="s">
        <v>2230</v>
      </c>
      <c r="F404" s="9" t="s">
        <v>2231</v>
      </c>
      <c r="G404" s="12" t="s">
        <v>2232</v>
      </c>
      <c r="H404" s="38" t="s">
        <v>2233</v>
      </c>
      <c r="I404" s="5" t="s">
        <v>1266</v>
      </c>
      <c r="J404" s="12" t="s">
        <v>2234</v>
      </c>
      <c r="K404" s="5"/>
      <c r="L404" s="5"/>
      <c r="M404" s="5"/>
    </row>
    <row r="405" ht="15.75" customHeight="1">
      <c r="A405" s="5">
        <v>2023.0</v>
      </c>
      <c r="B405" s="14" t="s">
        <v>12</v>
      </c>
      <c r="C405" s="14" t="s">
        <v>573</v>
      </c>
      <c r="D405" s="10" t="s">
        <v>2235</v>
      </c>
      <c r="E405" s="10" t="s">
        <v>2236</v>
      </c>
      <c r="F405" s="9" t="s">
        <v>2237</v>
      </c>
      <c r="G405" s="12" t="s">
        <v>2238</v>
      </c>
      <c r="H405" s="38" t="s">
        <v>2239</v>
      </c>
      <c r="I405" s="5" t="s">
        <v>1266</v>
      </c>
      <c r="J405" s="12" t="s">
        <v>2240</v>
      </c>
      <c r="K405" s="5"/>
      <c r="L405" s="5"/>
      <c r="M405" s="5"/>
    </row>
    <row r="406" ht="15.75" customHeight="1">
      <c r="A406" s="5">
        <v>2023.0</v>
      </c>
      <c r="B406" s="20" t="s">
        <v>62</v>
      </c>
      <c r="C406" s="14" t="s">
        <v>573</v>
      </c>
      <c r="D406" s="10" t="s">
        <v>2241</v>
      </c>
      <c r="E406" s="10" t="s">
        <v>2242</v>
      </c>
      <c r="F406" s="9" t="s">
        <v>2243</v>
      </c>
      <c r="G406" s="12"/>
      <c r="H406" s="38" t="s">
        <v>2244</v>
      </c>
      <c r="I406" s="5" t="s">
        <v>1266</v>
      </c>
      <c r="J406" s="12"/>
      <c r="K406" s="5"/>
      <c r="L406" s="5"/>
      <c r="M406" s="5"/>
    </row>
    <row r="407" ht="15.75" customHeight="1">
      <c r="A407" s="5">
        <v>2023.0</v>
      </c>
      <c r="B407" s="14" t="s">
        <v>12</v>
      </c>
      <c r="C407" s="6"/>
      <c r="D407" s="10" t="s">
        <v>2245</v>
      </c>
      <c r="E407" s="10" t="s">
        <v>2246</v>
      </c>
      <c r="F407" s="9" t="s">
        <v>2247</v>
      </c>
      <c r="G407" s="12" t="s">
        <v>2248</v>
      </c>
      <c r="H407" s="38" t="s">
        <v>2249</v>
      </c>
      <c r="I407" s="5" t="s">
        <v>1266</v>
      </c>
      <c r="J407" s="12" t="s">
        <v>2250</v>
      </c>
      <c r="K407" s="5"/>
      <c r="L407" s="5"/>
      <c r="M407" s="5"/>
    </row>
    <row r="408" ht="15.75" customHeight="1">
      <c r="A408" s="5">
        <v>2023.0</v>
      </c>
      <c r="B408" s="14" t="s">
        <v>12</v>
      </c>
      <c r="C408" s="6"/>
      <c r="D408" s="10" t="s">
        <v>2251</v>
      </c>
      <c r="E408" s="10" t="s">
        <v>2252</v>
      </c>
      <c r="F408" s="9" t="s">
        <v>2253</v>
      </c>
      <c r="G408" s="12" t="s">
        <v>2254</v>
      </c>
      <c r="H408" s="38" t="s">
        <v>2255</v>
      </c>
      <c r="I408" s="5" t="s">
        <v>1266</v>
      </c>
      <c r="J408" s="12" t="s">
        <v>2256</v>
      </c>
      <c r="K408" s="5"/>
      <c r="L408" s="5"/>
      <c r="M408" s="5"/>
    </row>
    <row r="409" ht="15.75" customHeight="1">
      <c r="A409" s="5">
        <v>2023.0</v>
      </c>
      <c r="B409" s="14" t="s">
        <v>12</v>
      </c>
      <c r="C409" s="6"/>
      <c r="D409" s="10" t="s">
        <v>2257</v>
      </c>
      <c r="E409" s="10" t="s">
        <v>2258</v>
      </c>
      <c r="F409" s="9" t="s">
        <v>2259</v>
      </c>
      <c r="G409" s="12" t="s">
        <v>2260</v>
      </c>
      <c r="H409" s="38" t="s">
        <v>2261</v>
      </c>
      <c r="I409" s="5" t="s">
        <v>1266</v>
      </c>
      <c r="J409" s="12" t="s">
        <v>2262</v>
      </c>
      <c r="K409" s="5"/>
      <c r="L409" s="5"/>
      <c r="M409" s="5"/>
    </row>
    <row r="410" ht="15.75" customHeight="1">
      <c r="A410" s="5">
        <v>2023.0</v>
      </c>
      <c r="B410" s="14" t="str">
        <f>HYPERLINK("https://shop.openbci.com/collections/frontpage/products/ganglion-board","Ganglion")</f>
        <v>Ganglion</v>
      </c>
      <c r="C410" s="6"/>
      <c r="D410" s="10" t="s">
        <v>2263</v>
      </c>
      <c r="E410" s="10" t="s">
        <v>2264</v>
      </c>
      <c r="F410" s="9" t="s">
        <v>2265</v>
      </c>
      <c r="G410" s="12" t="s">
        <v>1351</v>
      </c>
      <c r="H410" s="38" t="s">
        <v>2266</v>
      </c>
      <c r="I410" s="5" t="s">
        <v>1266</v>
      </c>
      <c r="J410" s="12" t="s">
        <v>2267</v>
      </c>
      <c r="K410" s="5"/>
      <c r="L410" s="5"/>
      <c r="M410" s="5"/>
    </row>
    <row r="411" ht="15.75" customHeight="1">
      <c r="A411" s="5">
        <v>2023.0</v>
      </c>
      <c r="B411" s="20" t="s">
        <v>12</v>
      </c>
      <c r="C411" s="6"/>
      <c r="D411" s="10" t="s">
        <v>2268</v>
      </c>
      <c r="E411" s="10" t="s">
        <v>2269</v>
      </c>
      <c r="F411" s="9" t="s">
        <v>2270</v>
      </c>
      <c r="G411" s="12" t="s">
        <v>2271</v>
      </c>
      <c r="H411" s="38"/>
      <c r="I411" s="5" t="s">
        <v>1266</v>
      </c>
      <c r="J411" s="12"/>
      <c r="K411" s="5"/>
      <c r="L411" s="5"/>
      <c r="M411" s="5"/>
    </row>
    <row r="412" ht="15.75" customHeight="1">
      <c r="A412" s="5">
        <v>2023.0</v>
      </c>
      <c r="B412" s="14" t="s">
        <v>12</v>
      </c>
      <c r="C412" s="6"/>
      <c r="D412" s="10" t="s">
        <v>2272</v>
      </c>
      <c r="E412" s="10" t="s">
        <v>2273</v>
      </c>
      <c r="F412" s="9" t="s">
        <v>2274</v>
      </c>
      <c r="G412" s="12" t="s">
        <v>2275</v>
      </c>
      <c r="H412" s="38" t="s">
        <v>2276</v>
      </c>
      <c r="I412" s="5" t="s">
        <v>1266</v>
      </c>
      <c r="J412" s="12"/>
      <c r="K412" s="5"/>
      <c r="L412" s="5"/>
      <c r="M412" s="5"/>
    </row>
    <row r="413" ht="15.75" customHeight="1">
      <c r="A413" s="5">
        <v>2023.0</v>
      </c>
      <c r="B413" s="14" t="s">
        <v>62</v>
      </c>
      <c r="C413" s="6"/>
      <c r="D413" s="10" t="s">
        <v>2277</v>
      </c>
      <c r="E413" s="10" t="s">
        <v>2278</v>
      </c>
      <c r="F413" s="9" t="s">
        <v>2279</v>
      </c>
      <c r="G413" s="12" t="s">
        <v>2280</v>
      </c>
      <c r="H413" s="38" t="s">
        <v>2281</v>
      </c>
      <c r="I413" s="5" t="s">
        <v>1266</v>
      </c>
      <c r="J413" s="12" t="s">
        <v>2282</v>
      </c>
      <c r="K413" s="5"/>
      <c r="L413" s="5"/>
      <c r="M413" s="5"/>
    </row>
    <row r="414" ht="15.75" customHeight="1">
      <c r="A414" s="5">
        <v>2023.0</v>
      </c>
      <c r="B414" s="14" t="s">
        <v>62</v>
      </c>
      <c r="C414" s="14" t="s">
        <v>204</v>
      </c>
      <c r="D414" s="10" t="s">
        <v>2283</v>
      </c>
      <c r="E414" s="10" t="s">
        <v>2284</v>
      </c>
      <c r="F414" s="9" t="s">
        <v>2285</v>
      </c>
      <c r="G414" s="12"/>
      <c r="H414" s="38"/>
      <c r="I414" s="5" t="s">
        <v>1266</v>
      </c>
      <c r="J414" s="12" t="s">
        <v>2286</v>
      </c>
      <c r="K414" s="5"/>
      <c r="L414" s="5"/>
      <c r="M414" s="5"/>
    </row>
    <row r="415" ht="15.75" customHeight="1">
      <c r="A415" s="5">
        <v>2023.0</v>
      </c>
      <c r="B415" s="14" t="s">
        <v>62</v>
      </c>
      <c r="C415" s="6"/>
      <c r="D415" s="10" t="s">
        <v>2287</v>
      </c>
      <c r="E415" s="10" t="s">
        <v>2288</v>
      </c>
      <c r="F415" s="9" t="s">
        <v>2289</v>
      </c>
      <c r="G415" s="12" t="s">
        <v>2290</v>
      </c>
      <c r="H415" s="38" t="s">
        <v>2291</v>
      </c>
      <c r="I415" s="5" t="s">
        <v>1266</v>
      </c>
      <c r="J415" s="12" t="s">
        <v>2292</v>
      </c>
      <c r="K415" s="5"/>
      <c r="L415" s="5"/>
      <c r="M415" s="5"/>
    </row>
    <row r="416" ht="15.75" customHeight="1">
      <c r="A416" s="5">
        <v>2023.0</v>
      </c>
      <c r="B416" s="14" t="s">
        <v>62</v>
      </c>
      <c r="C416" s="6"/>
      <c r="D416" s="10" t="s">
        <v>2293</v>
      </c>
      <c r="E416" s="10" t="s">
        <v>2294</v>
      </c>
      <c r="F416" s="9" t="s">
        <v>2295</v>
      </c>
      <c r="G416" s="12" t="s">
        <v>2296</v>
      </c>
      <c r="H416" s="38" t="s">
        <v>2297</v>
      </c>
      <c r="I416" s="5" t="s">
        <v>1266</v>
      </c>
      <c r="J416" s="12" t="s">
        <v>2298</v>
      </c>
      <c r="K416" s="5"/>
      <c r="L416" s="5"/>
      <c r="M416" s="5"/>
    </row>
    <row r="417" ht="15.75" customHeight="1">
      <c r="A417" s="5">
        <v>2023.0</v>
      </c>
      <c r="B417" s="14" t="s">
        <v>12</v>
      </c>
      <c r="C417" s="6"/>
      <c r="D417" s="10" t="s">
        <v>2299</v>
      </c>
      <c r="E417" s="10" t="s">
        <v>2300</v>
      </c>
      <c r="F417" s="9" t="s">
        <v>2301</v>
      </c>
      <c r="G417" s="12" t="s">
        <v>2302</v>
      </c>
      <c r="H417" s="38" t="s">
        <v>2303</v>
      </c>
      <c r="I417" s="5" t="s">
        <v>1266</v>
      </c>
      <c r="J417" s="12" t="s">
        <v>2304</v>
      </c>
      <c r="K417" s="5"/>
      <c r="L417" s="5"/>
      <c r="M417" s="5"/>
    </row>
    <row r="418" ht="15.75" customHeight="1">
      <c r="A418" s="5">
        <v>2023.0</v>
      </c>
      <c r="B418" s="14" t="s">
        <v>12</v>
      </c>
      <c r="C418" s="14" t="s">
        <v>573</v>
      </c>
      <c r="D418" s="10" t="s">
        <v>2305</v>
      </c>
      <c r="E418" s="10" t="s">
        <v>2306</v>
      </c>
      <c r="F418" s="9" t="s">
        <v>2307</v>
      </c>
      <c r="G418" s="12" t="s">
        <v>2308</v>
      </c>
      <c r="H418" s="38" t="s">
        <v>2309</v>
      </c>
      <c r="I418" s="5" t="s">
        <v>1266</v>
      </c>
      <c r="J418" s="12" t="s">
        <v>2310</v>
      </c>
      <c r="K418" s="5"/>
      <c r="L418" s="5"/>
      <c r="M418" s="5"/>
    </row>
    <row r="419" ht="15.75" customHeight="1">
      <c r="A419" s="5">
        <v>2023.0</v>
      </c>
      <c r="B419" s="14" t="s">
        <v>12</v>
      </c>
      <c r="C419" s="6"/>
      <c r="D419" s="10" t="s">
        <v>2311</v>
      </c>
      <c r="E419" s="10" t="s">
        <v>2312</v>
      </c>
      <c r="F419" s="9" t="s">
        <v>2313</v>
      </c>
      <c r="G419" s="12" t="s">
        <v>2314</v>
      </c>
      <c r="H419" s="38" t="s">
        <v>2315</v>
      </c>
      <c r="I419" s="5" t="s">
        <v>1266</v>
      </c>
      <c r="J419" s="12" t="s">
        <v>2316</v>
      </c>
      <c r="K419" s="5"/>
      <c r="L419" s="5"/>
      <c r="M419" s="5"/>
    </row>
    <row r="420" ht="15.75" customHeight="1">
      <c r="A420" s="5">
        <v>2023.0</v>
      </c>
      <c r="B420" s="14" t="s">
        <v>62</v>
      </c>
      <c r="C420" s="6"/>
      <c r="D420" s="10" t="s">
        <v>2317</v>
      </c>
      <c r="E420" s="10" t="s">
        <v>2318</v>
      </c>
      <c r="F420" s="9" t="s">
        <v>2319</v>
      </c>
      <c r="G420" s="12" t="s">
        <v>2320</v>
      </c>
      <c r="H420" s="38"/>
      <c r="I420" s="5" t="s">
        <v>1266</v>
      </c>
      <c r="J420" s="12"/>
      <c r="K420" s="5"/>
      <c r="L420" s="5"/>
      <c r="M420" s="5"/>
    </row>
    <row r="421" ht="15.75" customHeight="1">
      <c r="A421" s="5">
        <v>2023.0</v>
      </c>
      <c r="B421" s="14" t="s">
        <v>12</v>
      </c>
      <c r="C421" s="6" t="s">
        <v>13</v>
      </c>
      <c r="D421" s="10" t="s">
        <v>2321</v>
      </c>
      <c r="E421" s="10" t="s">
        <v>2322</v>
      </c>
      <c r="F421" s="9" t="s">
        <v>2323</v>
      </c>
      <c r="G421" s="12" t="s">
        <v>2324</v>
      </c>
      <c r="H421" s="38" t="s">
        <v>2325</v>
      </c>
      <c r="I421" s="5" t="s">
        <v>1266</v>
      </c>
      <c r="J421" s="12" t="s">
        <v>13</v>
      </c>
      <c r="K421" s="5"/>
      <c r="L421" s="5"/>
      <c r="M421" s="5"/>
    </row>
    <row r="422" ht="15.75" customHeight="1">
      <c r="A422" s="5">
        <v>2023.0</v>
      </c>
      <c r="B422" s="14" t="s">
        <v>12</v>
      </c>
      <c r="C422" s="6"/>
      <c r="D422" s="10" t="s">
        <v>2326</v>
      </c>
      <c r="E422" s="10" t="s">
        <v>2327</v>
      </c>
      <c r="F422" s="9" t="s">
        <v>2328</v>
      </c>
      <c r="G422" s="12"/>
      <c r="H422" s="38"/>
      <c r="I422" s="5" t="s">
        <v>1266</v>
      </c>
      <c r="J422" s="12"/>
      <c r="K422" s="5"/>
      <c r="L422" s="5"/>
      <c r="M422" s="5"/>
    </row>
    <row r="423" ht="15.75" customHeight="1">
      <c r="A423" s="5">
        <v>2023.0</v>
      </c>
      <c r="B423" s="14" t="s">
        <v>12</v>
      </c>
      <c r="C423" s="6"/>
      <c r="D423" s="10" t="s">
        <v>2329</v>
      </c>
      <c r="E423" s="10" t="s">
        <v>2330</v>
      </c>
      <c r="F423" s="9" t="s">
        <v>2331</v>
      </c>
      <c r="G423" s="12" t="s">
        <v>2332</v>
      </c>
      <c r="H423" s="38" t="s">
        <v>2333</v>
      </c>
      <c r="I423" s="5" t="s">
        <v>1266</v>
      </c>
      <c r="J423" s="12" t="s">
        <v>2334</v>
      </c>
      <c r="K423" s="5"/>
      <c r="L423" s="5"/>
      <c r="M423" s="5"/>
    </row>
    <row r="424" ht="15.75" customHeight="1">
      <c r="A424" s="5">
        <v>2023.0</v>
      </c>
      <c r="B424" s="14" t="s">
        <v>12</v>
      </c>
      <c r="C424" s="14" t="s">
        <v>204</v>
      </c>
      <c r="D424" s="10" t="s">
        <v>2335</v>
      </c>
      <c r="E424" s="10" t="s">
        <v>2336</v>
      </c>
      <c r="F424" s="9" t="s">
        <v>2337</v>
      </c>
      <c r="G424" s="12" t="s">
        <v>2338</v>
      </c>
      <c r="H424" s="38" t="s">
        <v>2339</v>
      </c>
      <c r="I424" s="5" t="s">
        <v>1266</v>
      </c>
      <c r="J424" s="12" t="s">
        <v>2340</v>
      </c>
      <c r="K424" s="5"/>
      <c r="L424" s="5"/>
      <c r="M424" s="5"/>
    </row>
    <row r="425" ht="15.75" customHeight="1">
      <c r="A425" s="5">
        <v>2023.0</v>
      </c>
      <c r="B425" s="14" t="s">
        <v>12</v>
      </c>
      <c r="C425" s="6"/>
      <c r="D425" s="10" t="s">
        <v>2341</v>
      </c>
      <c r="E425" s="10" t="s">
        <v>2342</v>
      </c>
      <c r="F425" s="9" t="s">
        <v>2343</v>
      </c>
      <c r="G425" s="12" t="s">
        <v>2338</v>
      </c>
      <c r="H425" s="38" t="s">
        <v>2344</v>
      </c>
      <c r="I425" s="5" t="s">
        <v>1266</v>
      </c>
      <c r="J425" s="12" t="s">
        <v>2345</v>
      </c>
      <c r="K425" s="5"/>
      <c r="L425" s="5"/>
      <c r="M425" s="5"/>
    </row>
    <row r="426" ht="15.75" customHeight="1">
      <c r="A426" s="5">
        <v>2023.0</v>
      </c>
      <c r="B426" s="14" t="s">
        <v>62</v>
      </c>
      <c r="C426" s="6"/>
      <c r="D426" s="10" t="s">
        <v>2346</v>
      </c>
      <c r="E426" s="10" t="s">
        <v>2347</v>
      </c>
      <c r="F426" s="9" t="s">
        <v>2348</v>
      </c>
      <c r="G426" s="12" t="s">
        <v>2349</v>
      </c>
      <c r="H426" s="38" t="s">
        <v>2350</v>
      </c>
      <c r="I426" s="5" t="s">
        <v>1266</v>
      </c>
      <c r="J426" s="12" t="s">
        <v>2351</v>
      </c>
      <c r="K426" s="5"/>
      <c r="L426" s="5"/>
      <c r="M426" s="5"/>
    </row>
    <row r="427" ht="15.75" customHeight="1">
      <c r="A427" s="5">
        <v>2023.0</v>
      </c>
      <c r="B427" s="14" t="s">
        <v>12</v>
      </c>
      <c r="C427" s="6"/>
      <c r="D427" s="10" t="s">
        <v>2352</v>
      </c>
      <c r="E427" s="10" t="s">
        <v>2353</v>
      </c>
      <c r="F427" s="9" t="s">
        <v>2354</v>
      </c>
      <c r="G427" s="12" t="s">
        <v>2355</v>
      </c>
      <c r="H427" s="38" t="s">
        <v>2356</v>
      </c>
      <c r="I427" s="5" t="s">
        <v>1266</v>
      </c>
      <c r="J427" s="12" t="s">
        <v>2357</v>
      </c>
      <c r="K427" s="5"/>
      <c r="L427" s="5"/>
      <c r="M427" s="5"/>
    </row>
    <row r="428" ht="15.75" customHeight="1">
      <c r="A428" s="5">
        <v>2023.0</v>
      </c>
      <c r="B428" s="14" t="s">
        <v>12</v>
      </c>
      <c r="C428" s="6"/>
      <c r="D428" s="10" t="s">
        <v>2358</v>
      </c>
      <c r="E428" s="10" t="s">
        <v>2359</v>
      </c>
      <c r="F428" s="9" t="s">
        <v>2360</v>
      </c>
      <c r="G428" s="12" t="s">
        <v>2361</v>
      </c>
      <c r="H428" s="38" t="s">
        <v>2362</v>
      </c>
      <c r="I428" s="5" t="s">
        <v>1266</v>
      </c>
      <c r="J428" s="12"/>
      <c r="K428" s="5"/>
      <c r="L428" s="5"/>
      <c r="M428" s="5"/>
    </row>
    <row r="429" ht="15.75" customHeight="1">
      <c r="A429" s="5">
        <v>2023.0</v>
      </c>
      <c r="B429" s="14" t="s">
        <v>12</v>
      </c>
      <c r="C429" s="14" t="s">
        <v>573</v>
      </c>
      <c r="D429" s="10" t="s">
        <v>2363</v>
      </c>
      <c r="E429" s="10" t="s">
        <v>2364</v>
      </c>
      <c r="F429" s="9" t="s">
        <v>2365</v>
      </c>
      <c r="G429" s="12" t="s">
        <v>2366</v>
      </c>
      <c r="H429" s="38" t="s">
        <v>2367</v>
      </c>
      <c r="I429" s="5" t="s">
        <v>1266</v>
      </c>
      <c r="J429" s="12" t="s">
        <v>2368</v>
      </c>
      <c r="K429" s="5"/>
      <c r="L429" s="5"/>
      <c r="M429" s="5"/>
    </row>
    <row r="430" ht="15.75" customHeight="1">
      <c r="A430" s="5">
        <v>2023.0</v>
      </c>
      <c r="B430" s="14" t="s">
        <v>12</v>
      </c>
      <c r="C430" s="14" t="s">
        <v>573</v>
      </c>
      <c r="D430" s="10" t="s">
        <v>2369</v>
      </c>
      <c r="E430" s="10" t="s">
        <v>2370</v>
      </c>
      <c r="F430" s="9" t="s">
        <v>2371</v>
      </c>
      <c r="G430" s="12" t="s">
        <v>2372</v>
      </c>
      <c r="H430" s="38" t="s">
        <v>2373</v>
      </c>
      <c r="I430" s="5" t="s">
        <v>1266</v>
      </c>
      <c r="J430" s="12" t="s">
        <v>2374</v>
      </c>
      <c r="K430" s="5"/>
      <c r="L430" s="5"/>
      <c r="M430" s="5"/>
    </row>
    <row r="431" ht="15.75" customHeight="1">
      <c r="A431" s="5">
        <v>2023.0</v>
      </c>
      <c r="B431" s="14" t="s">
        <v>62</v>
      </c>
      <c r="C431" s="14" t="s">
        <v>573</v>
      </c>
      <c r="D431" s="10" t="s">
        <v>2375</v>
      </c>
      <c r="E431" s="10" t="s">
        <v>2376</v>
      </c>
      <c r="F431" s="9" t="s">
        <v>2377</v>
      </c>
      <c r="G431" s="12" t="s">
        <v>2378</v>
      </c>
      <c r="H431" s="38" t="s">
        <v>2379</v>
      </c>
      <c r="I431" s="5" t="s">
        <v>1266</v>
      </c>
      <c r="J431" s="12" t="s">
        <v>2380</v>
      </c>
      <c r="K431" s="5"/>
      <c r="L431" s="5"/>
      <c r="M431" s="5"/>
    </row>
    <row r="432" ht="15.75" customHeight="1">
      <c r="A432" s="5">
        <v>2023.0</v>
      </c>
      <c r="B432" s="14" t="s">
        <v>12</v>
      </c>
      <c r="C432" s="6"/>
      <c r="D432" s="10" t="s">
        <v>2381</v>
      </c>
      <c r="E432" s="10" t="s">
        <v>2382</v>
      </c>
      <c r="F432" s="9" t="s">
        <v>2383</v>
      </c>
      <c r="G432" s="12" t="s">
        <v>2384</v>
      </c>
      <c r="H432" s="38" t="s">
        <v>2385</v>
      </c>
      <c r="I432" s="5" t="s">
        <v>1266</v>
      </c>
      <c r="J432" s="12" t="s">
        <v>2386</v>
      </c>
      <c r="K432" s="5"/>
      <c r="L432" s="5"/>
      <c r="M432" s="5"/>
    </row>
    <row r="433" ht="15.75" customHeight="1">
      <c r="A433" s="5">
        <v>2023.0</v>
      </c>
      <c r="B433" s="14" t="s">
        <v>12</v>
      </c>
      <c r="C433" s="6"/>
      <c r="D433" s="10" t="s">
        <v>2387</v>
      </c>
      <c r="E433" s="10" t="s">
        <v>2388</v>
      </c>
      <c r="F433" s="9" t="s">
        <v>2389</v>
      </c>
      <c r="G433" s="12" t="s">
        <v>2390</v>
      </c>
      <c r="H433" s="38" t="s">
        <v>2391</v>
      </c>
      <c r="I433" s="5" t="s">
        <v>1266</v>
      </c>
      <c r="J433" s="12" t="s">
        <v>2392</v>
      </c>
      <c r="K433" s="5"/>
      <c r="L433" s="5"/>
      <c r="M433" s="5"/>
    </row>
    <row r="434" ht="15.75" customHeight="1">
      <c r="A434" s="5">
        <v>2023.0</v>
      </c>
      <c r="B434" s="14" t="str">
        <f>HYPERLINK("https://shop.openbci.com/collections/frontpage/products/ganglion-board","Ganglion")</f>
        <v>Ganglion</v>
      </c>
      <c r="C434" s="6"/>
      <c r="D434" s="10" t="s">
        <v>2393</v>
      </c>
      <c r="E434" s="10" t="s">
        <v>2394</v>
      </c>
      <c r="F434" s="9" t="s">
        <v>2395</v>
      </c>
      <c r="G434" s="12" t="s">
        <v>2396</v>
      </c>
      <c r="H434" s="38"/>
      <c r="I434" s="5" t="s">
        <v>1266</v>
      </c>
      <c r="J434" s="12"/>
      <c r="K434" s="5"/>
      <c r="L434" s="5"/>
      <c r="M434" s="5"/>
    </row>
    <row r="435" ht="15.75" customHeight="1">
      <c r="A435" s="5">
        <v>2023.0</v>
      </c>
      <c r="B435" s="20" t="s">
        <v>12</v>
      </c>
      <c r="C435" s="14" t="s">
        <v>204</v>
      </c>
      <c r="D435" s="74" t="s">
        <v>2397</v>
      </c>
      <c r="E435" s="75" t="s">
        <v>2398</v>
      </c>
      <c r="F435" s="9" t="s">
        <v>2399</v>
      </c>
      <c r="G435" s="12" t="s">
        <v>2400</v>
      </c>
      <c r="H435" s="38" t="s">
        <v>2401</v>
      </c>
      <c r="I435" s="5" t="s">
        <v>1266</v>
      </c>
      <c r="J435" s="12" t="s">
        <v>2402</v>
      </c>
      <c r="K435" s="5"/>
      <c r="L435" s="5"/>
      <c r="M435" s="5"/>
    </row>
    <row r="436" ht="15.75" customHeight="1">
      <c r="A436" s="5">
        <v>2023.0</v>
      </c>
      <c r="B436" s="14" t="s">
        <v>12</v>
      </c>
      <c r="C436" s="6"/>
      <c r="D436" s="74" t="s">
        <v>2403</v>
      </c>
      <c r="E436" s="75" t="s">
        <v>2404</v>
      </c>
      <c r="F436" s="9" t="s">
        <v>2405</v>
      </c>
      <c r="G436" s="12" t="s">
        <v>2406</v>
      </c>
      <c r="H436" s="38" t="s">
        <v>2407</v>
      </c>
      <c r="I436" s="5" t="s">
        <v>1266</v>
      </c>
      <c r="J436" s="12" t="s">
        <v>2408</v>
      </c>
      <c r="K436" s="5"/>
      <c r="L436" s="5"/>
      <c r="M436" s="5"/>
    </row>
    <row r="437" ht="15.75" customHeight="1">
      <c r="A437" s="5">
        <v>2023.0</v>
      </c>
      <c r="B437" s="14" t="s">
        <v>12</v>
      </c>
      <c r="C437" s="6"/>
      <c r="D437" s="74" t="s">
        <v>2409</v>
      </c>
      <c r="E437" s="75" t="s">
        <v>2410</v>
      </c>
      <c r="F437" s="9" t="s">
        <v>2411</v>
      </c>
      <c r="G437" s="12" t="s">
        <v>2412</v>
      </c>
      <c r="H437" s="38" t="s">
        <v>2413</v>
      </c>
      <c r="I437" s="5" t="s">
        <v>1266</v>
      </c>
      <c r="J437" s="12"/>
      <c r="K437" s="5"/>
      <c r="L437" s="5"/>
      <c r="M437" s="5"/>
    </row>
    <row r="438" ht="15.75" customHeight="1">
      <c r="A438" s="5">
        <v>2023.0</v>
      </c>
      <c r="B438" s="14" t="s">
        <v>62</v>
      </c>
      <c r="C438" s="6"/>
      <c r="D438" s="74" t="s">
        <v>2414</v>
      </c>
      <c r="E438" s="76" t="s">
        <v>2415</v>
      </c>
      <c r="F438" s="9" t="s">
        <v>2416</v>
      </c>
      <c r="G438" s="12" t="s">
        <v>2417</v>
      </c>
      <c r="H438" s="38" t="s">
        <v>2418</v>
      </c>
      <c r="I438" s="5" t="s">
        <v>1266</v>
      </c>
      <c r="J438" s="12" t="s">
        <v>2419</v>
      </c>
      <c r="K438" s="5"/>
      <c r="L438" s="5"/>
      <c r="M438" s="5"/>
    </row>
    <row r="439" ht="15.75" customHeight="1">
      <c r="A439" s="5">
        <v>2023.0</v>
      </c>
      <c r="B439" s="14" t="s">
        <v>12</v>
      </c>
      <c r="C439" s="6"/>
      <c r="D439" s="74" t="s">
        <v>2420</v>
      </c>
      <c r="E439" s="76" t="s">
        <v>2421</v>
      </c>
      <c r="F439" s="9" t="s">
        <v>2422</v>
      </c>
      <c r="G439" s="12" t="s">
        <v>2423</v>
      </c>
      <c r="H439" s="38" t="s">
        <v>2424</v>
      </c>
      <c r="I439" s="5" t="s">
        <v>1266</v>
      </c>
      <c r="J439" s="12" t="s">
        <v>2425</v>
      </c>
      <c r="K439" s="5"/>
      <c r="L439" s="5"/>
      <c r="M439" s="5"/>
    </row>
    <row r="440" ht="15.75" customHeight="1">
      <c r="A440" s="5">
        <v>2023.0</v>
      </c>
      <c r="B440" s="14" t="s">
        <v>12</v>
      </c>
      <c r="C440" s="6"/>
      <c r="D440" s="74" t="s">
        <v>2426</v>
      </c>
      <c r="E440" s="76" t="s">
        <v>2427</v>
      </c>
      <c r="F440" s="9" t="s">
        <v>2428</v>
      </c>
      <c r="G440" s="12" t="s">
        <v>2429</v>
      </c>
      <c r="H440" s="38"/>
      <c r="I440" s="5" t="s">
        <v>1266</v>
      </c>
      <c r="J440" s="12"/>
      <c r="K440" s="5"/>
      <c r="L440" s="5"/>
      <c r="M440" s="5"/>
    </row>
    <row r="441" ht="15.75" customHeight="1">
      <c r="A441" s="5">
        <v>2023.0</v>
      </c>
      <c r="B441" s="14" t="s">
        <v>12</v>
      </c>
      <c r="C441" s="6"/>
      <c r="D441" s="74" t="s">
        <v>2430</v>
      </c>
      <c r="E441" s="76" t="s">
        <v>2431</v>
      </c>
      <c r="F441" s="9" t="s">
        <v>2432</v>
      </c>
      <c r="G441" s="12" t="s">
        <v>2433</v>
      </c>
      <c r="H441" s="38" t="s">
        <v>2434</v>
      </c>
      <c r="I441" s="5" t="s">
        <v>1266</v>
      </c>
      <c r="J441" s="12" t="s">
        <v>2435</v>
      </c>
      <c r="K441" s="5"/>
      <c r="L441" s="5"/>
      <c r="M441" s="5"/>
    </row>
    <row r="442" ht="15.75" customHeight="1">
      <c r="A442" s="5">
        <v>2023.0</v>
      </c>
      <c r="B442" s="14" t="s">
        <v>62</v>
      </c>
      <c r="C442" s="14" t="s">
        <v>204</v>
      </c>
      <c r="D442" s="74" t="s">
        <v>2436</v>
      </c>
      <c r="E442" s="76" t="s">
        <v>2437</v>
      </c>
      <c r="F442" s="9" t="s">
        <v>2438</v>
      </c>
      <c r="G442" s="12" t="s">
        <v>2439</v>
      </c>
      <c r="H442" s="38"/>
      <c r="I442" s="5" t="s">
        <v>1266</v>
      </c>
      <c r="J442" s="12"/>
      <c r="K442" s="5"/>
      <c r="L442" s="5"/>
      <c r="M442" s="5"/>
    </row>
    <row r="443" ht="15.75" customHeight="1">
      <c r="A443" s="5">
        <v>2023.0</v>
      </c>
      <c r="B443" s="14" t="s">
        <v>62</v>
      </c>
      <c r="C443" s="14" t="s">
        <v>204</v>
      </c>
      <c r="D443" s="74" t="s">
        <v>2440</v>
      </c>
      <c r="E443" s="76" t="s">
        <v>2441</v>
      </c>
      <c r="F443" s="9" t="s">
        <v>2442</v>
      </c>
      <c r="G443" s="12" t="s">
        <v>2443</v>
      </c>
      <c r="H443" s="38"/>
      <c r="I443" s="5" t="s">
        <v>1266</v>
      </c>
      <c r="J443" s="12" t="s">
        <v>2444</v>
      </c>
      <c r="K443" s="5"/>
      <c r="L443" s="5"/>
      <c r="M443" s="5"/>
    </row>
    <row r="444" ht="15.75" customHeight="1">
      <c r="A444" s="5">
        <v>2023.0</v>
      </c>
      <c r="B444" s="14" t="s">
        <v>12</v>
      </c>
      <c r="C444" s="6"/>
      <c r="D444" s="74" t="s">
        <v>2445</v>
      </c>
      <c r="E444" s="76" t="s">
        <v>2446</v>
      </c>
      <c r="F444" s="9" t="s">
        <v>2447</v>
      </c>
      <c r="G444" s="12" t="s">
        <v>2448</v>
      </c>
      <c r="H444" s="38"/>
      <c r="I444" s="5" t="s">
        <v>1266</v>
      </c>
      <c r="J444" s="12" t="s">
        <v>2449</v>
      </c>
      <c r="K444" s="5"/>
      <c r="L444" s="5"/>
      <c r="M444" s="5"/>
    </row>
    <row r="445" ht="15.75" customHeight="1">
      <c r="A445" s="5">
        <v>2023.0</v>
      </c>
      <c r="B445" s="14" t="s">
        <v>12</v>
      </c>
      <c r="C445" s="6"/>
      <c r="D445" s="74" t="s">
        <v>2450</v>
      </c>
      <c r="E445" s="76" t="s">
        <v>2451</v>
      </c>
      <c r="F445" s="9" t="s">
        <v>2452</v>
      </c>
      <c r="G445" s="12" t="s">
        <v>2453</v>
      </c>
      <c r="H445" s="38" t="s">
        <v>2454</v>
      </c>
      <c r="I445" s="5" t="s">
        <v>1266</v>
      </c>
      <c r="J445" s="12" t="s">
        <v>2455</v>
      </c>
      <c r="K445" s="5"/>
      <c r="L445" s="5"/>
      <c r="M445" s="5"/>
    </row>
    <row r="446" ht="15.75" customHeight="1">
      <c r="A446" s="5">
        <v>2023.0</v>
      </c>
      <c r="B446" s="14" t="str">
        <f>HYPERLINK("https://shop.openbci.com/collections/frontpage/products/ganglion-board","Ganglion")</f>
        <v>Ganglion</v>
      </c>
      <c r="C446" s="6"/>
      <c r="D446" s="74" t="s">
        <v>2456</v>
      </c>
      <c r="E446" s="76" t="s">
        <v>2457</v>
      </c>
      <c r="F446" s="9" t="s">
        <v>2458</v>
      </c>
      <c r="G446" s="12" t="s">
        <v>2459</v>
      </c>
      <c r="H446" s="38" t="s">
        <v>2460</v>
      </c>
      <c r="I446" s="5" t="s">
        <v>1266</v>
      </c>
      <c r="J446" s="12"/>
      <c r="K446" s="5"/>
      <c r="L446" s="5"/>
      <c r="M446" s="5"/>
    </row>
    <row r="447" ht="15.75" customHeight="1">
      <c r="A447" s="5">
        <v>2023.0</v>
      </c>
      <c r="B447" s="20" t="s">
        <v>12</v>
      </c>
      <c r="C447" s="14" t="s">
        <v>204</v>
      </c>
      <c r="D447" s="74" t="s">
        <v>2461</v>
      </c>
      <c r="E447" s="76" t="s">
        <v>2462</v>
      </c>
      <c r="F447" s="9" t="s">
        <v>2463</v>
      </c>
      <c r="G447" s="12" t="s">
        <v>2464</v>
      </c>
      <c r="H447" s="38" t="s">
        <v>2465</v>
      </c>
      <c r="I447" s="5" t="s">
        <v>1266</v>
      </c>
      <c r="J447" s="12" t="s">
        <v>2466</v>
      </c>
      <c r="K447" s="5"/>
      <c r="L447" s="5"/>
      <c r="M447" s="5"/>
    </row>
    <row r="448" ht="15.75" customHeight="1">
      <c r="A448" s="5">
        <v>2023.0</v>
      </c>
      <c r="B448" s="14" t="s">
        <v>2467</v>
      </c>
      <c r="C448" s="6"/>
      <c r="D448" s="74" t="s">
        <v>2468</v>
      </c>
      <c r="E448" s="76" t="s">
        <v>2469</v>
      </c>
      <c r="F448" s="9" t="s">
        <v>2470</v>
      </c>
      <c r="G448" s="12" t="s">
        <v>2471</v>
      </c>
      <c r="H448" s="38"/>
      <c r="I448" s="5" t="s">
        <v>1266</v>
      </c>
      <c r="J448" s="12" t="s">
        <v>2472</v>
      </c>
      <c r="K448" s="5"/>
      <c r="L448" s="5"/>
      <c r="M448" s="5"/>
    </row>
    <row r="449" ht="15.75" customHeight="1">
      <c r="A449" s="5">
        <v>2023.0</v>
      </c>
      <c r="B449" s="14" t="s">
        <v>12</v>
      </c>
      <c r="C449" s="6"/>
      <c r="D449" s="74" t="s">
        <v>2473</v>
      </c>
      <c r="E449" s="76" t="s">
        <v>2474</v>
      </c>
      <c r="F449" s="9" t="s">
        <v>2475</v>
      </c>
      <c r="G449" s="12" t="s">
        <v>1351</v>
      </c>
      <c r="H449" s="38" t="s">
        <v>2476</v>
      </c>
      <c r="I449" s="5" t="s">
        <v>1266</v>
      </c>
      <c r="J449" s="12" t="s">
        <v>2477</v>
      </c>
      <c r="K449" s="5"/>
      <c r="L449" s="5"/>
      <c r="M449" s="5"/>
    </row>
    <row r="450" ht="15.75" customHeight="1">
      <c r="A450" s="5">
        <v>2023.0</v>
      </c>
      <c r="B450" s="14" t="s">
        <v>12</v>
      </c>
      <c r="C450" s="6"/>
      <c r="D450" s="74" t="s">
        <v>2478</v>
      </c>
      <c r="E450" s="76" t="s">
        <v>2479</v>
      </c>
      <c r="F450" s="9" t="s">
        <v>2480</v>
      </c>
      <c r="G450" s="12" t="s">
        <v>2481</v>
      </c>
      <c r="H450" s="38" t="s">
        <v>2482</v>
      </c>
      <c r="I450" s="5" t="s">
        <v>1266</v>
      </c>
      <c r="J450" s="12" t="s">
        <v>2483</v>
      </c>
      <c r="K450" s="5"/>
      <c r="L450" s="5"/>
      <c r="M450" s="5"/>
    </row>
    <row r="451" ht="15.75" customHeight="1">
      <c r="A451" s="5">
        <v>2023.0</v>
      </c>
      <c r="B451" s="14" t="s">
        <v>12</v>
      </c>
      <c r="C451" s="6"/>
      <c r="D451" s="74" t="s">
        <v>2484</v>
      </c>
      <c r="E451" s="76" t="s">
        <v>2485</v>
      </c>
      <c r="F451" s="9" t="s">
        <v>2486</v>
      </c>
      <c r="G451" s="12" t="s">
        <v>2487</v>
      </c>
      <c r="H451" s="38" t="s">
        <v>2488</v>
      </c>
      <c r="I451" s="5" t="s">
        <v>1266</v>
      </c>
      <c r="J451" s="12" t="s">
        <v>2489</v>
      </c>
      <c r="K451" s="5"/>
      <c r="L451" s="5"/>
      <c r="M451" s="5"/>
    </row>
    <row r="452" ht="15.75" customHeight="1">
      <c r="A452" s="5">
        <v>2023.0</v>
      </c>
      <c r="B452" s="14" t="s">
        <v>12</v>
      </c>
      <c r="C452" s="6"/>
      <c r="D452" s="74" t="s">
        <v>2490</v>
      </c>
      <c r="E452" s="76" t="s">
        <v>2491</v>
      </c>
      <c r="F452" s="9" t="s">
        <v>2492</v>
      </c>
      <c r="G452" s="12" t="s">
        <v>2493</v>
      </c>
      <c r="H452" s="38" t="s">
        <v>2494</v>
      </c>
      <c r="I452" s="5" t="s">
        <v>1266</v>
      </c>
      <c r="J452" s="12" t="s">
        <v>2495</v>
      </c>
      <c r="K452" s="5"/>
      <c r="L452" s="5"/>
      <c r="M452" s="5"/>
    </row>
    <row r="453" ht="15.75" customHeight="1">
      <c r="A453" s="5">
        <v>2023.0</v>
      </c>
      <c r="B453" s="14" t="str">
        <f>HYPERLINK("https://shop.openbci.com/collections/frontpage/products/ganglion-board","Ganglion")</f>
        <v>Ganglion</v>
      </c>
      <c r="C453" s="6"/>
      <c r="D453" s="74" t="s">
        <v>2496</v>
      </c>
      <c r="E453" s="76" t="s">
        <v>2497</v>
      </c>
      <c r="F453" s="9" t="s">
        <v>2498</v>
      </c>
      <c r="G453" s="12" t="s">
        <v>2499</v>
      </c>
      <c r="H453" s="38" t="s">
        <v>2500</v>
      </c>
      <c r="I453" s="5" t="s">
        <v>1266</v>
      </c>
      <c r="J453" s="12" t="s">
        <v>2501</v>
      </c>
      <c r="K453" s="5"/>
      <c r="L453" s="5"/>
      <c r="M453" s="5"/>
    </row>
    <row r="454" ht="15.75" customHeight="1">
      <c r="A454" s="5">
        <v>2023.0</v>
      </c>
      <c r="B454" s="20" t="s">
        <v>62</v>
      </c>
      <c r="C454" s="6"/>
      <c r="D454" s="74" t="s">
        <v>2502</v>
      </c>
      <c r="E454" s="76" t="s">
        <v>2503</v>
      </c>
      <c r="F454" s="9" t="s">
        <v>2504</v>
      </c>
      <c r="G454" s="12" t="s">
        <v>2505</v>
      </c>
      <c r="H454" s="38" t="s">
        <v>2506</v>
      </c>
      <c r="I454" s="5" t="s">
        <v>1266</v>
      </c>
      <c r="J454" s="12" t="s">
        <v>2507</v>
      </c>
      <c r="K454" s="5"/>
      <c r="L454" s="5"/>
      <c r="M454" s="5"/>
    </row>
    <row r="455" ht="15.75" customHeight="1">
      <c r="A455" s="5">
        <v>2023.0</v>
      </c>
      <c r="B455" s="14" t="s">
        <v>62</v>
      </c>
      <c r="C455" s="14" t="s">
        <v>204</v>
      </c>
      <c r="D455" s="74" t="s">
        <v>2508</v>
      </c>
      <c r="E455" s="76" t="s">
        <v>2509</v>
      </c>
      <c r="F455" s="9" t="s">
        <v>2510</v>
      </c>
      <c r="G455" s="12" t="s">
        <v>2511</v>
      </c>
      <c r="H455" s="38" t="s">
        <v>2512</v>
      </c>
      <c r="I455" s="5" t="s">
        <v>1266</v>
      </c>
      <c r="J455" s="12" t="s">
        <v>2513</v>
      </c>
      <c r="K455" s="5"/>
      <c r="L455" s="5"/>
      <c r="M455" s="5"/>
    </row>
    <row r="456" ht="15.75" customHeight="1">
      <c r="A456" s="5">
        <v>2023.0</v>
      </c>
      <c r="B456" s="14" t="s">
        <v>12</v>
      </c>
      <c r="C456" s="6"/>
      <c r="D456" s="74" t="s">
        <v>2514</v>
      </c>
      <c r="E456" s="76" t="s">
        <v>2515</v>
      </c>
      <c r="F456" s="9" t="s">
        <v>2516</v>
      </c>
      <c r="G456" s="12" t="s">
        <v>2517</v>
      </c>
      <c r="H456" s="38" t="s">
        <v>2518</v>
      </c>
      <c r="I456" s="5" t="s">
        <v>1266</v>
      </c>
      <c r="J456" s="12" t="s">
        <v>2519</v>
      </c>
      <c r="K456" s="5"/>
      <c r="L456" s="5"/>
      <c r="M456" s="5"/>
    </row>
    <row r="457" ht="15.75" customHeight="1">
      <c r="A457" s="5">
        <v>2023.0</v>
      </c>
      <c r="B457" s="14" t="s">
        <v>12</v>
      </c>
      <c r="C457" s="6"/>
      <c r="D457" s="74" t="s">
        <v>2520</v>
      </c>
      <c r="E457" s="76" t="s">
        <v>2521</v>
      </c>
      <c r="F457" s="9" t="s">
        <v>2522</v>
      </c>
      <c r="G457" s="12" t="s">
        <v>2523</v>
      </c>
      <c r="H457" s="38" t="s">
        <v>2524</v>
      </c>
      <c r="I457" s="5" t="s">
        <v>1266</v>
      </c>
      <c r="J457" s="12" t="s">
        <v>2525</v>
      </c>
      <c r="K457" s="5"/>
      <c r="L457" s="5"/>
      <c r="M457" s="5"/>
    </row>
    <row r="458" ht="15.75" customHeight="1">
      <c r="A458" s="5">
        <v>2023.0</v>
      </c>
      <c r="B458" s="14" t="s">
        <v>12</v>
      </c>
      <c r="C458" s="6"/>
      <c r="D458" s="74" t="s">
        <v>2526</v>
      </c>
      <c r="E458" s="76" t="s">
        <v>2527</v>
      </c>
      <c r="F458" s="9" t="s">
        <v>2528</v>
      </c>
      <c r="G458" s="12"/>
      <c r="H458" s="38"/>
      <c r="I458" s="5" t="s">
        <v>1266</v>
      </c>
      <c r="J458" s="12" t="s">
        <v>2529</v>
      </c>
      <c r="K458" s="5"/>
      <c r="L458" s="5"/>
      <c r="M458" s="5"/>
    </row>
    <row r="459" ht="15.75" customHeight="1">
      <c r="A459" s="5">
        <v>2023.0</v>
      </c>
      <c r="B459" s="14" t="s">
        <v>12</v>
      </c>
      <c r="C459" s="6"/>
      <c r="D459" s="74" t="s">
        <v>2530</v>
      </c>
      <c r="E459" s="76" t="s">
        <v>2531</v>
      </c>
      <c r="F459" s="9" t="s">
        <v>2532</v>
      </c>
      <c r="G459" s="12" t="s">
        <v>2533</v>
      </c>
      <c r="H459" s="38"/>
      <c r="I459" s="5" t="s">
        <v>1266</v>
      </c>
      <c r="J459" s="12" t="s">
        <v>2534</v>
      </c>
      <c r="K459" s="5"/>
      <c r="L459" s="5"/>
      <c r="M459" s="5"/>
    </row>
    <row r="460" ht="15.75" customHeight="1">
      <c r="A460" s="5">
        <v>2023.0</v>
      </c>
      <c r="B460" s="14" t="s">
        <v>12</v>
      </c>
      <c r="C460" s="6"/>
      <c r="D460" s="74" t="s">
        <v>2535</v>
      </c>
      <c r="E460" s="76" t="s">
        <v>2536</v>
      </c>
      <c r="F460" s="9" t="s">
        <v>2537</v>
      </c>
      <c r="G460" s="12" t="s">
        <v>2538</v>
      </c>
      <c r="H460" s="38" t="s">
        <v>2539</v>
      </c>
      <c r="I460" s="5" t="s">
        <v>1266</v>
      </c>
      <c r="J460" s="12" t="s">
        <v>2540</v>
      </c>
      <c r="K460" s="5"/>
      <c r="L460" s="5"/>
      <c r="M460" s="5"/>
    </row>
    <row r="461" ht="15.75" customHeight="1">
      <c r="A461" s="5">
        <v>2023.0</v>
      </c>
      <c r="B461" s="14" t="s">
        <v>12</v>
      </c>
      <c r="C461" s="6"/>
      <c r="D461" s="74" t="s">
        <v>2541</v>
      </c>
      <c r="E461" s="76" t="s">
        <v>2542</v>
      </c>
      <c r="F461" s="9" t="s">
        <v>2543</v>
      </c>
      <c r="G461" s="12" t="s">
        <v>2544</v>
      </c>
      <c r="H461" s="38" t="s">
        <v>2545</v>
      </c>
      <c r="I461" s="5" t="s">
        <v>1266</v>
      </c>
      <c r="J461" s="12" t="s">
        <v>2546</v>
      </c>
      <c r="K461" s="5"/>
      <c r="L461" s="5"/>
      <c r="M461" s="5"/>
    </row>
    <row r="462" ht="15.75" customHeight="1">
      <c r="A462" s="5">
        <v>2023.0</v>
      </c>
      <c r="B462" s="14" t="s">
        <v>12</v>
      </c>
      <c r="C462" s="6"/>
      <c r="D462" s="74" t="s">
        <v>2547</v>
      </c>
      <c r="E462" s="76" t="s">
        <v>2548</v>
      </c>
      <c r="F462" s="9" t="s">
        <v>2549</v>
      </c>
      <c r="G462" s="12" t="s">
        <v>2550</v>
      </c>
      <c r="H462" s="38" t="s">
        <v>2551</v>
      </c>
      <c r="I462" s="5" t="s">
        <v>1266</v>
      </c>
      <c r="J462" s="12" t="s">
        <v>2552</v>
      </c>
      <c r="K462" s="5"/>
      <c r="L462" s="5"/>
      <c r="M462" s="5"/>
    </row>
    <row r="463" ht="15.75" customHeight="1">
      <c r="A463" s="5">
        <v>2023.0</v>
      </c>
      <c r="B463" s="14" t="s">
        <v>12</v>
      </c>
      <c r="C463" s="6"/>
      <c r="D463" s="74" t="s">
        <v>2553</v>
      </c>
      <c r="E463" s="76" t="s">
        <v>2554</v>
      </c>
      <c r="F463" s="9" t="s">
        <v>2555</v>
      </c>
      <c r="G463" s="12" t="s">
        <v>2556</v>
      </c>
      <c r="H463" s="38" t="s">
        <v>2557</v>
      </c>
      <c r="I463" s="5" t="s">
        <v>1266</v>
      </c>
      <c r="J463" s="12" t="s">
        <v>2558</v>
      </c>
      <c r="K463" s="5"/>
      <c r="L463" s="5"/>
      <c r="M463" s="5"/>
    </row>
    <row r="464" ht="15.75" customHeight="1">
      <c r="A464" s="5">
        <v>2023.0</v>
      </c>
      <c r="B464" s="14" t="s">
        <v>12</v>
      </c>
      <c r="C464" s="14" t="s">
        <v>204</v>
      </c>
      <c r="D464" s="74" t="s">
        <v>2559</v>
      </c>
      <c r="E464" s="76" t="s">
        <v>2560</v>
      </c>
      <c r="F464" s="9" t="s">
        <v>2561</v>
      </c>
      <c r="G464" s="12" t="s">
        <v>2562</v>
      </c>
      <c r="H464" s="38"/>
      <c r="I464" s="5" t="s">
        <v>1266</v>
      </c>
      <c r="J464" s="12" t="s">
        <v>2563</v>
      </c>
      <c r="K464" s="5"/>
      <c r="L464" s="5"/>
      <c r="M464" s="5"/>
    </row>
    <row r="465" ht="15.75" customHeight="1">
      <c r="A465" s="5">
        <v>2023.0</v>
      </c>
      <c r="B465" s="14" t="s">
        <v>12</v>
      </c>
      <c r="C465" s="6"/>
      <c r="D465" s="74" t="s">
        <v>2564</v>
      </c>
      <c r="E465" s="76" t="s">
        <v>2565</v>
      </c>
      <c r="F465" s="9" t="s">
        <v>2566</v>
      </c>
      <c r="G465" s="12" t="s">
        <v>2567</v>
      </c>
      <c r="H465" s="38" t="s">
        <v>2568</v>
      </c>
      <c r="I465" s="5" t="s">
        <v>1266</v>
      </c>
      <c r="J465" s="12" t="s">
        <v>2569</v>
      </c>
      <c r="K465" s="5"/>
      <c r="L465" s="5"/>
      <c r="M465" s="5"/>
    </row>
    <row r="466" ht="15.75" customHeight="1">
      <c r="A466" s="5">
        <v>2023.0</v>
      </c>
      <c r="B466" s="14" t="s">
        <v>12</v>
      </c>
      <c r="C466" s="6"/>
      <c r="D466" s="74" t="s">
        <v>2570</v>
      </c>
      <c r="E466" s="76" t="s">
        <v>2571</v>
      </c>
      <c r="F466" s="9" t="s">
        <v>2572</v>
      </c>
      <c r="G466" s="12" t="s">
        <v>2573</v>
      </c>
      <c r="H466" s="38" t="s">
        <v>2574</v>
      </c>
      <c r="I466" s="5" t="s">
        <v>1266</v>
      </c>
      <c r="J466" s="12" t="s">
        <v>2575</v>
      </c>
      <c r="K466" s="5"/>
      <c r="L466" s="5"/>
      <c r="M466" s="5"/>
    </row>
    <row r="467" ht="15.75" customHeight="1">
      <c r="A467" s="5">
        <v>2023.0</v>
      </c>
      <c r="B467" s="14" t="s">
        <v>2576</v>
      </c>
      <c r="C467" s="6"/>
      <c r="D467" s="74" t="s">
        <v>2577</v>
      </c>
      <c r="E467" s="76" t="s">
        <v>2578</v>
      </c>
      <c r="F467" s="9" t="s">
        <v>2579</v>
      </c>
      <c r="G467" s="12" t="s">
        <v>2580</v>
      </c>
      <c r="H467" s="38" t="s">
        <v>2581</v>
      </c>
      <c r="I467" s="5" t="s">
        <v>1266</v>
      </c>
      <c r="J467" s="12"/>
      <c r="K467" s="5"/>
      <c r="L467" s="5"/>
      <c r="M467" s="5"/>
    </row>
    <row r="468" ht="15.75" customHeight="1">
      <c r="A468" s="5">
        <v>2023.0</v>
      </c>
      <c r="B468" s="14" t="s">
        <v>12</v>
      </c>
      <c r="C468" s="14" t="s">
        <v>573</v>
      </c>
      <c r="D468" s="74" t="s">
        <v>2582</v>
      </c>
      <c r="E468" s="76" t="s">
        <v>2583</v>
      </c>
      <c r="F468" s="9" t="s">
        <v>2584</v>
      </c>
      <c r="G468" s="12" t="s">
        <v>2585</v>
      </c>
      <c r="H468" s="38" t="s">
        <v>2586</v>
      </c>
      <c r="I468" s="5" t="s">
        <v>1266</v>
      </c>
      <c r="J468" s="12" t="s">
        <v>2587</v>
      </c>
      <c r="K468" s="5"/>
      <c r="L468" s="5"/>
      <c r="M468" s="5"/>
    </row>
    <row r="469" ht="15.75" customHeight="1">
      <c r="A469" s="5">
        <v>2023.0</v>
      </c>
      <c r="B469" s="6"/>
      <c r="C469" s="6"/>
      <c r="D469" s="74" t="s">
        <v>2588</v>
      </c>
      <c r="E469" s="76" t="s">
        <v>2589</v>
      </c>
      <c r="F469" s="9" t="s">
        <v>2590</v>
      </c>
      <c r="G469" s="12" t="s">
        <v>2591</v>
      </c>
      <c r="H469" s="38" t="s">
        <v>2592</v>
      </c>
      <c r="I469" s="5" t="s">
        <v>1266</v>
      </c>
      <c r="J469" s="12" t="s">
        <v>2593</v>
      </c>
      <c r="K469" s="5"/>
      <c r="L469" s="5"/>
      <c r="M469" s="5"/>
    </row>
    <row r="470" ht="15.75" customHeight="1">
      <c r="A470" s="5">
        <v>2023.0</v>
      </c>
      <c r="B470" s="14" t="s">
        <v>62</v>
      </c>
      <c r="C470" s="6"/>
      <c r="D470" s="74" t="s">
        <v>2594</v>
      </c>
      <c r="E470" s="76" t="s">
        <v>2595</v>
      </c>
      <c r="F470" s="9" t="s">
        <v>2596</v>
      </c>
      <c r="G470" s="12" t="s">
        <v>2597</v>
      </c>
      <c r="H470" s="38" t="s">
        <v>2598</v>
      </c>
      <c r="I470" s="5" t="s">
        <v>1266</v>
      </c>
      <c r="J470" s="12" t="s">
        <v>2599</v>
      </c>
      <c r="K470" s="5"/>
      <c r="L470" s="5"/>
      <c r="M470" s="5"/>
    </row>
    <row r="471" ht="15.75" customHeight="1">
      <c r="A471" s="5">
        <v>2023.0</v>
      </c>
      <c r="B471" s="14" t="s">
        <v>12</v>
      </c>
      <c r="C471" s="14" t="s">
        <v>573</v>
      </c>
      <c r="D471" s="74" t="s">
        <v>2600</v>
      </c>
      <c r="E471" s="76" t="s">
        <v>2601</v>
      </c>
      <c r="F471" s="9" t="s">
        <v>2602</v>
      </c>
      <c r="G471" s="12" t="s">
        <v>2603</v>
      </c>
      <c r="H471" s="38" t="s">
        <v>2604</v>
      </c>
      <c r="I471" s="5" t="s">
        <v>1266</v>
      </c>
      <c r="J471" s="12" t="s">
        <v>2605</v>
      </c>
      <c r="K471" s="5"/>
      <c r="L471" s="5"/>
      <c r="M471" s="5"/>
    </row>
    <row r="472" ht="15.75" customHeight="1">
      <c r="A472" s="5">
        <v>2023.0</v>
      </c>
      <c r="B472" s="14" t="s">
        <v>12</v>
      </c>
      <c r="C472" s="14" t="s">
        <v>573</v>
      </c>
      <c r="D472" s="74" t="s">
        <v>2606</v>
      </c>
      <c r="E472" s="76" t="s">
        <v>2607</v>
      </c>
      <c r="F472" s="9" t="s">
        <v>2608</v>
      </c>
      <c r="G472" s="12" t="s">
        <v>639</v>
      </c>
      <c r="H472" s="38" t="s">
        <v>2609</v>
      </c>
      <c r="I472" s="5" t="s">
        <v>1266</v>
      </c>
      <c r="J472" s="12" t="s">
        <v>2610</v>
      </c>
      <c r="K472" s="5"/>
      <c r="L472" s="5"/>
      <c r="M472" s="5"/>
    </row>
    <row r="473" ht="15.75" customHeight="1">
      <c r="A473" s="5">
        <v>2023.0</v>
      </c>
      <c r="B473" s="14" t="s">
        <v>62</v>
      </c>
      <c r="C473" s="6"/>
      <c r="D473" s="74" t="s">
        <v>2611</v>
      </c>
      <c r="E473" s="76" t="s">
        <v>2612</v>
      </c>
      <c r="F473" s="9" t="s">
        <v>2613</v>
      </c>
      <c r="G473" s="12" t="s">
        <v>2614</v>
      </c>
      <c r="H473" s="38" t="s">
        <v>2615</v>
      </c>
      <c r="I473" s="5" t="s">
        <v>1266</v>
      </c>
      <c r="J473" s="12" t="s">
        <v>2616</v>
      </c>
      <c r="K473" s="5"/>
      <c r="L473" s="5"/>
      <c r="M473" s="5"/>
    </row>
    <row r="474" ht="15.75" customHeight="1">
      <c r="A474" s="5">
        <v>2023.0</v>
      </c>
      <c r="B474" s="14" t="s">
        <v>62</v>
      </c>
      <c r="C474" s="6"/>
      <c r="D474" s="74" t="s">
        <v>2617</v>
      </c>
      <c r="E474" s="76" t="s">
        <v>2618</v>
      </c>
      <c r="F474" s="9" t="s">
        <v>2619</v>
      </c>
      <c r="G474" s="12" t="s">
        <v>2620</v>
      </c>
      <c r="H474" s="38"/>
      <c r="I474" s="5" t="s">
        <v>1266</v>
      </c>
      <c r="J474" s="12"/>
      <c r="K474" s="5"/>
      <c r="L474" s="5"/>
      <c r="M474" s="5"/>
    </row>
    <row r="475" ht="15.75" customHeight="1">
      <c r="A475" s="5">
        <v>2023.0</v>
      </c>
      <c r="B475" s="14" t="s">
        <v>12</v>
      </c>
      <c r="C475" s="6"/>
      <c r="D475" s="74" t="s">
        <v>2621</v>
      </c>
      <c r="E475" s="76" t="s">
        <v>2622</v>
      </c>
      <c r="F475" s="9" t="s">
        <v>2623</v>
      </c>
      <c r="G475" s="12" t="s">
        <v>2624</v>
      </c>
      <c r="H475" s="38" t="s">
        <v>2625</v>
      </c>
      <c r="I475" s="5" t="s">
        <v>1266</v>
      </c>
      <c r="J475" s="12" t="s">
        <v>2626</v>
      </c>
      <c r="K475" s="5"/>
      <c r="L475" s="5"/>
      <c r="M475" s="5"/>
    </row>
    <row r="476" ht="15.75" customHeight="1">
      <c r="A476" s="5">
        <v>2023.0</v>
      </c>
      <c r="B476" s="14" t="s">
        <v>62</v>
      </c>
      <c r="C476" s="14" t="s">
        <v>204</v>
      </c>
      <c r="D476" s="74" t="s">
        <v>2627</v>
      </c>
      <c r="E476" s="76" t="s">
        <v>2628</v>
      </c>
      <c r="F476" s="9" t="s">
        <v>2629</v>
      </c>
      <c r="G476" s="12" t="s">
        <v>2630</v>
      </c>
      <c r="H476" s="38" t="s">
        <v>2631</v>
      </c>
      <c r="I476" s="5" t="s">
        <v>1266</v>
      </c>
      <c r="J476" s="12" t="s">
        <v>2632</v>
      </c>
      <c r="K476" s="5"/>
      <c r="L476" s="5"/>
      <c r="M476" s="5"/>
    </row>
    <row r="477" ht="15.75" customHeight="1">
      <c r="A477" s="5">
        <v>2023.0</v>
      </c>
      <c r="B477" s="14" t="s">
        <v>62</v>
      </c>
      <c r="C477" s="14" t="s">
        <v>204</v>
      </c>
      <c r="D477" s="74" t="s">
        <v>2633</v>
      </c>
      <c r="E477" s="76" t="s">
        <v>2634</v>
      </c>
      <c r="F477" s="9" t="s">
        <v>2635</v>
      </c>
      <c r="G477" s="12" t="s">
        <v>2636</v>
      </c>
      <c r="H477" s="38" t="s">
        <v>2637</v>
      </c>
      <c r="I477" s="5" t="s">
        <v>1266</v>
      </c>
      <c r="J477" s="12" t="s">
        <v>2638</v>
      </c>
      <c r="K477" s="5"/>
      <c r="L477" s="5"/>
      <c r="M477" s="5"/>
    </row>
    <row r="478" ht="15.75" customHeight="1">
      <c r="A478" s="5">
        <v>2023.0</v>
      </c>
      <c r="B478" s="14" t="s">
        <v>12</v>
      </c>
      <c r="C478" s="6"/>
      <c r="D478" s="74" t="s">
        <v>2639</v>
      </c>
      <c r="E478" s="76" t="s">
        <v>2640</v>
      </c>
      <c r="F478" s="9" t="s">
        <v>2641</v>
      </c>
      <c r="G478" s="12" t="s">
        <v>2642</v>
      </c>
      <c r="H478" s="38" t="s">
        <v>2643</v>
      </c>
      <c r="I478" s="5" t="s">
        <v>1266</v>
      </c>
      <c r="J478" s="12" t="s">
        <v>2644</v>
      </c>
      <c r="K478" s="5"/>
      <c r="L478" s="5"/>
      <c r="M478" s="5"/>
    </row>
    <row r="479" ht="15.75" customHeight="1">
      <c r="A479" s="5">
        <v>2023.0</v>
      </c>
      <c r="B479" s="14" t="s">
        <v>12</v>
      </c>
      <c r="C479" s="6"/>
      <c r="D479" s="74" t="s">
        <v>2645</v>
      </c>
      <c r="E479" s="76" t="s">
        <v>2646</v>
      </c>
      <c r="F479" s="9" t="s">
        <v>2647</v>
      </c>
      <c r="G479" s="12" t="s">
        <v>2648</v>
      </c>
      <c r="H479" s="38" t="s">
        <v>2649</v>
      </c>
      <c r="I479" s="5" t="s">
        <v>1266</v>
      </c>
      <c r="J479" s="12" t="s">
        <v>2650</v>
      </c>
      <c r="K479" s="5"/>
      <c r="L479" s="5"/>
      <c r="M479" s="5"/>
    </row>
    <row r="480" ht="15.75" customHeight="1">
      <c r="A480" s="5">
        <v>2023.0</v>
      </c>
      <c r="B480" s="14" t="s">
        <v>62</v>
      </c>
      <c r="C480" s="77" t="s">
        <v>2651</v>
      </c>
      <c r="D480" s="74" t="s">
        <v>2652</v>
      </c>
      <c r="E480" s="76" t="s">
        <v>2653</v>
      </c>
      <c r="F480" s="9" t="s">
        <v>2654</v>
      </c>
      <c r="G480" s="12" t="s">
        <v>2655</v>
      </c>
      <c r="H480" s="38" t="s">
        <v>2637</v>
      </c>
      <c r="I480" s="5" t="s">
        <v>1266</v>
      </c>
      <c r="J480" s="12" t="s">
        <v>2656</v>
      </c>
      <c r="K480" s="5"/>
      <c r="L480" s="5"/>
      <c r="M480" s="5"/>
    </row>
    <row r="481" ht="15.75" customHeight="1">
      <c r="A481" s="5">
        <v>2023.0</v>
      </c>
      <c r="B481" s="14" t="s">
        <v>62</v>
      </c>
      <c r="C481" s="14" t="s">
        <v>573</v>
      </c>
      <c r="D481" s="74" t="s">
        <v>2657</v>
      </c>
      <c r="E481" s="76" t="s">
        <v>2658</v>
      </c>
      <c r="F481" s="9" t="s">
        <v>2659</v>
      </c>
      <c r="G481" s="12" t="s">
        <v>2660</v>
      </c>
      <c r="H481" s="38" t="s">
        <v>2661</v>
      </c>
      <c r="I481" s="5" t="s">
        <v>1266</v>
      </c>
      <c r="J481" s="12" t="s">
        <v>2662</v>
      </c>
      <c r="K481" s="5"/>
      <c r="L481" s="5"/>
      <c r="M481" s="5"/>
    </row>
    <row r="482" ht="15.75" customHeight="1">
      <c r="A482" s="12">
        <v>2023.0</v>
      </c>
      <c r="B482" s="14" t="str">
        <f>HYPERLINK("https://shop.openbci.com/collections/frontpage/products/ganglion-board","Ganglion")</f>
        <v>Ganglion</v>
      </c>
      <c r="C482" s="78"/>
      <c r="D482" s="12" t="s">
        <v>2663</v>
      </c>
      <c r="E482" s="12" t="s">
        <v>2664</v>
      </c>
      <c r="F482" s="79" t="s">
        <v>2665</v>
      </c>
      <c r="G482" s="12" t="s">
        <v>2666</v>
      </c>
      <c r="H482" s="38" t="s">
        <v>2667</v>
      </c>
      <c r="I482" s="12" t="s">
        <v>1266</v>
      </c>
      <c r="J482" s="12" t="s">
        <v>2668</v>
      </c>
      <c r="K482" s="78"/>
      <c r="L482" s="78"/>
      <c r="M482" s="78"/>
    </row>
    <row r="483" ht="17.25" customHeight="1">
      <c r="A483" s="5">
        <v>2023.0</v>
      </c>
      <c r="B483" s="20" t="s">
        <v>12</v>
      </c>
      <c r="C483" s="6"/>
      <c r="D483" s="74" t="s">
        <v>2669</v>
      </c>
      <c r="E483" s="76" t="s">
        <v>2670</v>
      </c>
      <c r="F483" s="9" t="s">
        <v>2671</v>
      </c>
      <c r="G483" s="12" t="s">
        <v>2672</v>
      </c>
      <c r="H483" s="38" t="s">
        <v>2673</v>
      </c>
      <c r="I483" s="5" t="s">
        <v>1266</v>
      </c>
      <c r="J483" s="12" t="s">
        <v>2674</v>
      </c>
      <c r="K483" s="5"/>
      <c r="L483" s="5"/>
      <c r="M483" s="5"/>
    </row>
    <row r="484" ht="15.75" customHeight="1">
      <c r="A484" s="5">
        <v>2023.0</v>
      </c>
      <c r="B484" s="14" t="s">
        <v>62</v>
      </c>
      <c r="C484" s="6"/>
      <c r="D484" s="74" t="s">
        <v>2675</v>
      </c>
      <c r="E484" s="76" t="s">
        <v>2676</v>
      </c>
      <c r="F484" s="9" t="s">
        <v>2677</v>
      </c>
      <c r="G484" s="12" t="s">
        <v>2678</v>
      </c>
      <c r="H484" s="38" t="s">
        <v>2679</v>
      </c>
      <c r="I484" s="5" t="s">
        <v>1266</v>
      </c>
      <c r="J484" s="12" t="s">
        <v>2680</v>
      </c>
      <c r="K484" s="5"/>
      <c r="L484" s="5"/>
      <c r="M484" s="5"/>
    </row>
    <row r="485" ht="15.75" customHeight="1">
      <c r="A485" s="5">
        <v>2023.0</v>
      </c>
      <c r="B485" s="6" t="s">
        <v>13</v>
      </c>
      <c r="C485" s="6" t="s">
        <v>259</v>
      </c>
      <c r="D485" s="74" t="s">
        <v>2681</v>
      </c>
      <c r="E485" s="76" t="s">
        <v>2682</v>
      </c>
      <c r="F485" s="9" t="s">
        <v>2683</v>
      </c>
      <c r="G485" s="12" t="s">
        <v>2637</v>
      </c>
      <c r="H485" s="38" t="s">
        <v>2684</v>
      </c>
      <c r="I485" s="5" t="s">
        <v>1266</v>
      </c>
      <c r="J485" s="12" t="s">
        <v>2685</v>
      </c>
      <c r="K485" s="5"/>
      <c r="L485" s="5"/>
      <c r="M485" s="5"/>
    </row>
    <row r="486" ht="15.75" customHeight="1">
      <c r="A486" s="5">
        <v>2023.0</v>
      </c>
      <c r="B486" s="14" t="s">
        <v>12</v>
      </c>
      <c r="C486" s="6"/>
      <c r="D486" s="74" t="s">
        <v>2686</v>
      </c>
      <c r="E486" s="76" t="s">
        <v>2687</v>
      </c>
      <c r="F486" s="25" t="s">
        <v>2688</v>
      </c>
      <c r="G486" s="12" t="s">
        <v>2689</v>
      </c>
      <c r="H486" s="38" t="s">
        <v>2690</v>
      </c>
      <c r="I486" s="5" t="s">
        <v>1266</v>
      </c>
      <c r="J486" s="12" t="s">
        <v>2691</v>
      </c>
      <c r="K486" s="5"/>
      <c r="L486" s="5"/>
      <c r="M486" s="5"/>
    </row>
    <row r="487" ht="15.75" customHeight="1">
      <c r="A487" s="5">
        <v>2023.0</v>
      </c>
      <c r="B487" s="14" t="s">
        <v>62</v>
      </c>
      <c r="C487" s="14" t="s">
        <v>204</v>
      </c>
      <c r="D487" s="74" t="s">
        <v>2692</v>
      </c>
      <c r="E487" s="76" t="s">
        <v>2693</v>
      </c>
      <c r="F487" s="9" t="s">
        <v>2694</v>
      </c>
      <c r="G487" s="12" t="s">
        <v>2695</v>
      </c>
      <c r="H487" s="38" t="s">
        <v>2696</v>
      </c>
      <c r="I487" s="5" t="s">
        <v>1266</v>
      </c>
      <c r="J487" s="12" t="s">
        <v>2697</v>
      </c>
      <c r="K487" s="5"/>
      <c r="L487" s="5"/>
      <c r="M487" s="5"/>
    </row>
    <row r="488" ht="15.75" customHeight="1">
      <c r="A488" s="5">
        <v>2023.0</v>
      </c>
      <c r="B488" s="14" t="s">
        <v>12</v>
      </c>
      <c r="C488" s="6"/>
      <c r="D488" s="74" t="s">
        <v>2698</v>
      </c>
      <c r="E488" s="76" t="s">
        <v>2699</v>
      </c>
      <c r="F488" s="9" t="s">
        <v>2700</v>
      </c>
      <c r="G488" s="12" t="s">
        <v>2701</v>
      </c>
      <c r="H488" s="38" t="s">
        <v>2702</v>
      </c>
      <c r="I488" s="5" t="s">
        <v>1266</v>
      </c>
      <c r="J488" s="12" t="s">
        <v>2703</v>
      </c>
      <c r="K488" s="5"/>
      <c r="L488" s="5"/>
      <c r="M488" s="5"/>
    </row>
    <row r="489" ht="15.75" customHeight="1">
      <c r="A489" s="5">
        <v>2023.0</v>
      </c>
      <c r="B489" s="14" t="s">
        <v>12</v>
      </c>
      <c r="C489" s="14" t="s">
        <v>204</v>
      </c>
      <c r="D489" s="74" t="s">
        <v>2704</v>
      </c>
      <c r="E489" s="76" t="s">
        <v>2705</v>
      </c>
      <c r="F489" s="9" t="s">
        <v>2706</v>
      </c>
      <c r="G489" s="12" t="s">
        <v>2707</v>
      </c>
      <c r="H489" s="38" t="s">
        <v>2708</v>
      </c>
      <c r="I489" s="5" t="s">
        <v>1266</v>
      </c>
      <c r="J489" s="12" t="s">
        <v>2709</v>
      </c>
      <c r="K489" s="5"/>
      <c r="L489" s="5"/>
      <c r="M489" s="5"/>
    </row>
    <row r="490" ht="15.75" customHeight="1">
      <c r="A490" s="5">
        <v>2023.0</v>
      </c>
      <c r="B490" s="14" t="s">
        <v>62</v>
      </c>
      <c r="C490" s="6"/>
      <c r="D490" s="74" t="s">
        <v>2710</v>
      </c>
      <c r="E490" s="76" t="s">
        <v>2711</v>
      </c>
      <c r="F490" s="9" t="s">
        <v>2712</v>
      </c>
      <c r="G490" s="12" t="s">
        <v>2713</v>
      </c>
      <c r="H490" s="38" t="s">
        <v>2714</v>
      </c>
      <c r="I490" s="5" t="s">
        <v>1266</v>
      </c>
      <c r="J490" s="12" t="s">
        <v>2715</v>
      </c>
      <c r="K490" s="5"/>
      <c r="L490" s="5"/>
      <c r="M490" s="5"/>
    </row>
    <row r="491" ht="15.75" customHeight="1">
      <c r="A491" s="5">
        <v>2023.0</v>
      </c>
      <c r="B491" s="14" t="s">
        <v>12</v>
      </c>
      <c r="C491" s="6"/>
      <c r="D491" s="74" t="s">
        <v>2716</v>
      </c>
      <c r="E491" s="76" t="s">
        <v>2717</v>
      </c>
      <c r="F491" s="9" t="s">
        <v>2718</v>
      </c>
      <c r="G491" s="12" t="s">
        <v>2719</v>
      </c>
      <c r="H491" s="38" t="s">
        <v>2720</v>
      </c>
      <c r="I491" s="5" t="s">
        <v>1266</v>
      </c>
      <c r="J491" s="12" t="s">
        <v>2721</v>
      </c>
      <c r="K491" s="5"/>
      <c r="L491" s="5"/>
      <c r="M491" s="5"/>
    </row>
    <row r="492" ht="15.75" customHeight="1">
      <c r="A492" s="5">
        <v>2023.0</v>
      </c>
      <c r="B492" s="14" t="s">
        <v>12</v>
      </c>
      <c r="C492" s="6"/>
      <c r="D492" s="74" t="s">
        <v>2722</v>
      </c>
      <c r="E492" s="76" t="s">
        <v>2723</v>
      </c>
      <c r="F492" s="9" t="s">
        <v>2724</v>
      </c>
      <c r="G492" s="12" t="s">
        <v>2725</v>
      </c>
      <c r="H492" s="38" t="s">
        <v>2726</v>
      </c>
      <c r="I492" s="5" t="s">
        <v>1266</v>
      </c>
      <c r="J492" s="12" t="s">
        <v>2727</v>
      </c>
      <c r="K492" s="5"/>
      <c r="L492" s="5"/>
      <c r="M492" s="5"/>
    </row>
    <row r="493" ht="15.75" customHeight="1">
      <c r="A493" s="5">
        <v>2023.0</v>
      </c>
      <c r="B493" s="14" t="s">
        <v>12</v>
      </c>
      <c r="C493" s="6"/>
      <c r="D493" s="74" t="s">
        <v>2728</v>
      </c>
      <c r="E493" s="76" t="s">
        <v>2729</v>
      </c>
      <c r="F493" s="9" t="s">
        <v>2730</v>
      </c>
      <c r="G493" s="12" t="s">
        <v>2731</v>
      </c>
      <c r="H493" s="38" t="s">
        <v>2732</v>
      </c>
      <c r="I493" s="5" t="s">
        <v>1266</v>
      </c>
      <c r="J493" s="12" t="s">
        <v>2733</v>
      </c>
      <c r="K493" s="5"/>
      <c r="L493" s="5"/>
      <c r="M493" s="5"/>
    </row>
    <row r="494" ht="15.75" customHeight="1">
      <c r="A494" s="5">
        <v>2023.0</v>
      </c>
      <c r="B494" s="14" t="s">
        <v>12</v>
      </c>
      <c r="C494" s="14" t="s">
        <v>1235</v>
      </c>
      <c r="D494" s="74" t="s">
        <v>2734</v>
      </c>
      <c r="E494" s="76" t="s">
        <v>2735</v>
      </c>
      <c r="F494" s="9" t="s">
        <v>2736</v>
      </c>
      <c r="G494" s="12" t="s">
        <v>2737</v>
      </c>
      <c r="H494" s="38"/>
      <c r="I494" s="5" t="s">
        <v>1266</v>
      </c>
      <c r="J494" s="12" t="s">
        <v>2738</v>
      </c>
      <c r="K494" s="5"/>
      <c r="L494" s="5"/>
      <c r="M494" s="5"/>
    </row>
    <row r="495" ht="15.75" customHeight="1">
      <c r="A495" s="5">
        <v>2023.0</v>
      </c>
      <c r="B495" s="14" t="s">
        <v>12</v>
      </c>
      <c r="C495" s="6"/>
      <c r="D495" s="74" t="s">
        <v>2739</v>
      </c>
      <c r="E495" s="76" t="s">
        <v>2740</v>
      </c>
      <c r="F495" s="9" t="s">
        <v>2741</v>
      </c>
      <c r="G495" s="12" t="s">
        <v>2742</v>
      </c>
      <c r="H495" s="38" t="s">
        <v>2743</v>
      </c>
      <c r="I495" s="5" t="s">
        <v>1266</v>
      </c>
      <c r="J495" s="12" t="s">
        <v>2744</v>
      </c>
      <c r="K495" s="5"/>
      <c r="L495" s="5"/>
      <c r="M495" s="5"/>
    </row>
    <row r="496" ht="15.75" customHeight="1">
      <c r="A496" s="12">
        <v>2023.0</v>
      </c>
      <c r="B496" s="14" t="s">
        <v>12</v>
      </c>
      <c r="C496" s="78"/>
      <c r="D496" s="12" t="s">
        <v>2745</v>
      </c>
      <c r="E496" s="12" t="s">
        <v>2746</v>
      </c>
      <c r="F496" s="79" t="s">
        <v>2747</v>
      </c>
      <c r="G496" s="12" t="s">
        <v>2748</v>
      </c>
      <c r="H496" s="38" t="s">
        <v>2749</v>
      </c>
      <c r="I496" s="12" t="s">
        <v>1266</v>
      </c>
      <c r="J496" s="12" t="s">
        <v>2750</v>
      </c>
      <c r="K496" s="78"/>
      <c r="L496" s="78"/>
      <c r="M496" s="78"/>
    </row>
    <row r="497" ht="17.25" customHeight="1">
      <c r="A497" s="5">
        <v>2023.0</v>
      </c>
      <c r="B497" s="6"/>
      <c r="C497" s="14" t="s">
        <v>204</v>
      </c>
      <c r="D497" s="10" t="s">
        <v>2751</v>
      </c>
      <c r="E497" s="74" t="s">
        <v>2752</v>
      </c>
      <c r="F497" s="9" t="s">
        <v>2753</v>
      </c>
      <c r="G497" s="12" t="s">
        <v>2754</v>
      </c>
      <c r="H497" s="38" t="s">
        <v>2755</v>
      </c>
      <c r="I497" s="5" t="s">
        <v>1266</v>
      </c>
      <c r="J497" s="12" t="s">
        <v>2756</v>
      </c>
      <c r="K497" s="5"/>
      <c r="L497" s="5"/>
      <c r="M497" s="5"/>
    </row>
    <row r="498" ht="15.75" customHeight="1">
      <c r="A498" s="5">
        <v>2023.0</v>
      </c>
      <c r="B498" s="14" t="s">
        <v>12</v>
      </c>
      <c r="C498" s="6"/>
      <c r="D498" s="74" t="s">
        <v>2757</v>
      </c>
      <c r="E498" s="76" t="s">
        <v>2758</v>
      </c>
      <c r="F498" s="9" t="s">
        <v>2759</v>
      </c>
      <c r="G498" s="12" t="s">
        <v>2760</v>
      </c>
      <c r="H498" s="38" t="s">
        <v>2761</v>
      </c>
      <c r="I498" s="5" t="s">
        <v>1266</v>
      </c>
      <c r="J498" s="12" t="s">
        <v>2762</v>
      </c>
      <c r="K498" s="5"/>
      <c r="L498" s="5"/>
      <c r="M498" s="5"/>
    </row>
    <row r="499" ht="15.75" customHeight="1">
      <c r="A499" s="5">
        <v>2023.0</v>
      </c>
      <c r="B499" s="14" t="s">
        <v>12</v>
      </c>
      <c r="C499" s="6"/>
      <c r="D499" s="74" t="s">
        <v>2763</v>
      </c>
      <c r="E499" s="76" t="s">
        <v>2764</v>
      </c>
      <c r="F499" s="9" t="s">
        <v>2765</v>
      </c>
      <c r="G499" s="12" t="s">
        <v>2766</v>
      </c>
      <c r="H499" s="38" t="s">
        <v>2767</v>
      </c>
      <c r="I499" s="5" t="s">
        <v>1266</v>
      </c>
      <c r="J499" s="12" t="s">
        <v>2768</v>
      </c>
      <c r="K499" s="5"/>
      <c r="L499" s="5"/>
      <c r="M499" s="5"/>
    </row>
    <row r="500" ht="15.75" customHeight="1">
      <c r="A500" s="5">
        <v>2023.0</v>
      </c>
      <c r="B500" s="14" t="s">
        <v>12</v>
      </c>
      <c r="C500" s="6"/>
      <c r="D500" s="74" t="s">
        <v>2769</v>
      </c>
      <c r="E500" s="76" t="s">
        <v>2770</v>
      </c>
      <c r="F500" s="9" t="s">
        <v>2771</v>
      </c>
      <c r="G500" s="12" t="s">
        <v>2772</v>
      </c>
      <c r="H500" s="38" t="s">
        <v>2773</v>
      </c>
      <c r="I500" s="5" t="s">
        <v>1266</v>
      </c>
      <c r="J500" s="12" t="s">
        <v>2774</v>
      </c>
      <c r="K500" s="5"/>
      <c r="L500" s="5"/>
      <c r="M500" s="5"/>
    </row>
    <row r="501" ht="15.75" customHeight="1">
      <c r="A501" s="5">
        <v>2023.0</v>
      </c>
      <c r="B501" s="14" t="s">
        <v>12</v>
      </c>
      <c r="C501" s="6"/>
      <c r="D501" s="74" t="s">
        <v>2775</v>
      </c>
      <c r="E501" s="76" t="s">
        <v>2776</v>
      </c>
      <c r="F501" s="9" t="s">
        <v>2777</v>
      </c>
      <c r="G501" s="12" t="s">
        <v>2778</v>
      </c>
      <c r="H501" s="38" t="s">
        <v>2779</v>
      </c>
      <c r="I501" s="5" t="s">
        <v>1266</v>
      </c>
      <c r="J501" s="12" t="s">
        <v>2780</v>
      </c>
      <c r="K501" s="5"/>
      <c r="L501" s="5"/>
      <c r="M501" s="5"/>
    </row>
    <row r="502" ht="15.75" customHeight="1">
      <c r="A502" s="5">
        <v>2023.0</v>
      </c>
      <c r="B502" s="14" t="s">
        <v>12</v>
      </c>
      <c r="C502" s="14" t="s">
        <v>204</v>
      </c>
      <c r="D502" s="74" t="s">
        <v>2781</v>
      </c>
      <c r="E502" s="76" t="s">
        <v>2782</v>
      </c>
      <c r="F502" s="9" t="s">
        <v>2783</v>
      </c>
      <c r="G502" s="12" t="s">
        <v>2784</v>
      </c>
      <c r="H502" s="38" t="s">
        <v>2785</v>
      </c>
      <c r="I502" s="5" t="s">
        <v>1266</v>
      </c>
      <c r="J502" s="12" t="s">
        <v>2786</v>
      </c>
      <c r="K502" s="5"/>
      <c r="L502" s="5"/>
      <c r="M502" s="5"/>
    </row>
    <row r="503" ht="15.75" customHeight="1">
      <c r="A503" s="5">
        <v>2023.0</v>
      </c>
      <c r="B503" s="14" t="s">
        <v>12</v>
      </c>
      <c r="C503" s="6"/>
      <c r="D503" s="74" t="s">
        <v>2787</v>
      </c>
      <c r="E503" s="76" t="s">
        <v>2788</v>
      </c>
      <c r="F503" s="9" t="s">
        <v>2789</v>
      </c>
      <c r="G503" s="12" t="s">
        <v>2790</v>
      </c>
      <c r="H503" s="38" t="s">
        <v>2791</v>
      </c>
      <c r="I503" s="5" t="s">
        <v>1266</v>
      </c>
      <c r="J503" s="12" t="s">
        <v>2792</v>
      </c>
      <c r="K503" s="5"/>
      <c r="L503" s="5"/>
      <c r="M503" s="5"/>
    </row>
    <row r="504" ht="15.75" customHeight="1">
      <c r="A504" s="5">
        <v>2022.0</v>
      </c>
      <c r="B504" s="14" t="str">
        <f>HYPERLINK("https://shop.openbci.com/collections/frontpage/products/ganglion-board","Ganglion")</f>
        <v>Ganglion</v>
      </c>
      <c r="C504" s="14" t="s">
        <v>204</v>
      </c>
      <c r="D504" s="10" t="s">
        <v>2793</v>
      </c>
      <c r="E504" s="10" t="s">
        <v>2794</v>
      </c>
      <c r="F504" s="9" t="s">
        <v>2795</v>
      </c>
      <c r="G504" s="12" t="s">
        <v>2796</v>
      </c>
      <c r="H504" s="38" t="s">
        <v>2797</v>
      </c>
      <c r="I504" s="5" t="s">
        <v>1266</v>
      </c>
      <c r="J504" s="12" t="s">
        <v>2798</v>
      </c>
      <c r="K504" s="5"/>
      <c r="L504" s="5"/>
      <c r="M504" s="5"/>
    </row>
    <row r="505" ht="15.75" customHeight="1">
      <c r="A505" s="5">
        <v>2022.0</v>
      </c>
      <c r="B505" s="14" t="s">
        <v>12</v>
      </c>
      <c r="C505" s="6"/>
      <c r="D505" s="74" t="s">
        <v>2799</v>
      </c>
      <c r="E505" s="76" t="s">
        <v>2800</v>
      </c>
      <c r="F505" s="9" t="s">
        <v>2801</v>
      </c>
      <c r="G505" s="12" t="s">
        <v>2802</v>
      </c>
      <c r="H505" s="38" t="s">
        <v>2803</v>
      </c>
      <c r="I505" s="5" t="s">
        <v>1266</v>
      </c>
      <c r="J505" s="12" t="s">
        <v>2804</v>
      </c>
      <c r="K505" s="5"/>
      <c r="L505" s="5"/>
      <c r="M505" s="5"/>
    </row>
    <row r="506" ht="15.75" customHeight="1">
      <c r="A506" s="5">
        <v>2022.0</v>
      </c>
      <c r="B506" s="14" t="s">
        <v>12</v>
      </c>
      <c r="C506" s="6"/>
      <c r="D506" s="74" t="s">
        <v>2805</v>
      </c>
      <c r="E506" s="76" t="s">
        <v>2806</v>
      </c>
      <c r="F506" s="9" t="s">
        <v>2807</v>
      </c>
      <c r="G506" s="12" t="s">
        <v>2808</v>
      </c>
      <c r="H506" s="38"/>
      <c r="I506" s="5" t="s">
        <v>1266</v>
      </c>
      <c r="J506" s="12"/>
      <c r="K506" s="5"/>
      <c r="L506" s="5"/>
      <c r="M506" s="5"/>
    </row>
    <row r="507" ht="15.75" customHeight="1">
      <c r="A507" s="5">
        <v>2022.0</v>
      </c>
      <c r="B507" s="14" t="s">
        <v>12</v>
      </c>
      <c r="C507" s="6"/>
      <c r="D507" s="74" t="s">
        <v>2809</v>
      </c>
      <c r="E507" s="76" t="s">
        <v>2810</v>
      </c>
      <c r="F507" s="9" t="s">
        <v>2811</v>
      </c>
      <c r="G507" s="12" t="s">
        <v>2812</v>
      </c>
      <c r="H507" s="38" t="s">
        <v>2813</v>
      </c>
      <c r="I507" s="5" t="s">
        <v>1266</v>
      </c>
      <c r="J507" s="12" t="s">
        <v>2814</v>
      </c>
      <c r="K507" s="5"/>
      <c r="L507" s="5"/>
      <c r="M507" s="5"/>
    </row>
    <row r="508" ht="15.75" customHeight="1">
      <c r="A508" s="5">
        <v>2022.0</v>
      </c>
      <c r="B508" s="14" t="s">
        <v>12</v>
      </c>
      <c r="C508" s="6"/>
      <c r="D508" s="74" t="s">
        <v>2815</v>
      </c>
      <c r="E508" s="76" t="s">
        <v>2816</v>
      </c>
      <c r="F508" s="9" t="s">
        <v>2817</v>
      </c>
      <c r="G508" s="12" t="s">
        <v>2818</v>
      </c>
      <c r="H508" s="38" t="s">
        <v>2819</v>
      </c>
      <c r="I508" s="5" t="s">
        <v>1266</v>
      </c>
      <c r="J508" s="12" t="s">
        <v>2820</v>
      </c>
      <c r="K508" s="5"/>
      <c r="L508" s="5"/>
      <c r="M508" s="5"/>
    </row>
    <row r="509" ht="15.75" customHeight="1">
      <c r="A509" s="5">
        <v>2022.0</v>
      </c>
      <c r="B509" s="14" t="s">
        <v>12</v>
      </c>
      <c r="C509" s="6"/>
      <c r="D509" s="80" t="s">
        <v>2821</v>
      </c>
      <c r="E509" s="76" t="s">
        <v>2822</v>
      </c>
      <c r="F509" s="9" t="s">
        <v>2823</v>
      </c>
      <c r="G509" s="12" t="s">
        <v>2824</v>
      </c>
      <c r="H509" s="38" t="s">
        <v>2825</v>
      </c>
      <c r="I509" s="5" t="s">
        <v>1266</v>
      </c>
      <c r="J509" s="12" t="s">
        <v>2826</v>
      </c>
      <c r="K509" s="5"/>
      <c r="L509" s="5"/>
      <c r="M509" s="5"/>
    </row>
    <row r="510" ht="15.75" customHeight="1">
      <c r="A510" s="5">
        <v>2022.0</v>
      </c>
      <c r="B510" s="14" t="s">
        <v>62</v>
      </c>
      <c r="C510" s="6"/>
      <c r="D510" s="80" t="s">
        <v>2827</v>
      </c>
      <c r="E510" s="76" t="s">
        <v>2828</v>
      </c>
      <c r="F510" s="9" t="s">
        <v>2829</v>
      </c>
      <c r="G510" s="12" t="s">
        <v>2830</v>
      </c>
      <c r="H510" s="38" t="s">
        <v>2831</v>
      </c>
      <c r="I510" s="5" t="s">
        <v>1266</v>
      </c>
      <c r="J510" s="12" t="s">
        <v>2832</v>
      </c>
      <c r="K510" s="5"/>
      <c r="L510" s="5"/>
      <c r="M510" s="5"/>
    </row>
    <row r="511" ht="15.75" customHeight="1">
      <c r="A511" s="5">
        <v>2022.0</v>
      </c>
      <c r="B511" s="14" t="s">
        <v>12</v>
      </c>
      <c r="C511" s="6"/>
      <c r="D511" s="80" t="s">
        <v>2833</v>
      </c>
      <c r="E511" s="76" t="s">
        <v>2834</v>
      </c>
      <c r="F511" s="9" t="s">
        <v>2835</v>
      </c>
      <c r="G511" s="12" t="s">
        <v>2836</v>
      </c>
      <c r="H511" s="38"/>
      <c r="I511" s="5" t="s">
        <v>1266</v>
      </c>
      <c r="J511" s="12" t="s">
        <v>2837</v>
      </c>
      <c r="K511" s="5"/>
      <c r="L511" s="5"/>
      <c r="M511" s="5"/>
    </row>
    <row r="512" ht="15.75" customHeight="1">
      <c r="A512" s="5">
        <v>2022.0</v>
      </c>
      <c r="B512" s="20" t="s">
        <v>62</v>
      </c>
      <c r="C512" s="14" t="s">
        <v>573</v>
      </c>
      <c r="D512" s="74" t="s">
        <v>2838</v>
      </c>
      <c r="E512" s="76" t="s">
        <v>2839</v>
      </c>
      <c r="F512" s="25" t="s">
        <v>2840</v>
      </c>
      <c r="G512" s="12" t="s">
        <v>2841</v>
      </c>
      <c r="H512" s="38" t="s">
        <v>2842</v>
      </c>
      <c r="I512" s="5" t="s">
        <v>1266</v>
      </c>
      <c r="J512" s="12"/>
      <c r="K512" s="5"/>
      <c r="L512" s="5"/>
      <c r="M512" s="5"/>
    </row>
    <row r="513" ht="15.75" customHeight="1">
      <c r="A513" s="5">
        <v>2022.0</v>
      </c>
      <c r="B513" s="14" t="str">
        <f>HYPERLINK("https://shop.openbci.com/collections/frontpage/products/ganglion-board","Ganglion")</f>
        <v>Ganglion</v>
      </c>
      <c r="C513" s="81" t="s">
        <v>2843</v>
      </c>
      <c r="D513" s="74" t="s">
        <v>2844</v>
      </c>
      <c r="E513" s="76" t="s">
        <v>2845</v>
      </c>
      <c r="F513" s="9" t="s">
        <v>2846</v>
      </c>
      <c r="G513" s="12" t="s">
        <v>2847</v>
      </c>
      <c r="H513" s="38" t="s">
        <v>2848</v>
      </c>
      <c r="I513" s="5" t="s">
        <v>1266</v>
      </c>
      <c r="J513" s="12" t="s">
        <v>2849</v>
      </c>
      <c r="K513" s="5"/>
      <c r="L513" s="5"/>
      <c r="M513" s="5"/>
    </row>
    <row r="514" ht="15.75" customHeight="1">
      <c r="A514" s="5">
        <v>2022.0</v>
      </c>
      <c r="B514" s="20" t="s">
        <v>12</v>
      </c>
      <c r="C514" s="6"/>
      <c r="D514" s="74" t="s">
        <v>2850</v>
      </c>
      <c r="E514" s="76" t="s">
        <v>2851</v>
      </c>
      <c r="F514" s="9" t="s">
        <v>2852</v>
      </c>
      <c r="G514" s="12" t="s">
        <v>2853</v>
      </c>
      <c r="H514" s="38" t="s">
        <v>2854</v>
      </c>
      <c r="I514" s="5" t="s">
        <v>1266</v>
      </c>
      <c r="J514" s="12"/>
      <c r="K514" s="5"/>
      <c r="L514" s="5"/>
      <c r="M514" s="5"/>
    </row>
    <row r="515" ht="15.75" customHeight="1">
      <c r="A515" s="5">
        <v>2022.0</v>
      </c>
      <c r="B515" s="14" t="str">
        <f>HYPERLINK("https://shop.openbci.com/collections/frontpage/products/ganglion-board","Ganglion")</f>
        <v>Ganglion</v>
      </c>
      <c r="C515" s="6"/>
      <c r="D515" s="74" t="s">
        <v>2855</v>
      </c>
      <c r="E515" s="76" t="s">
        <v>2856</v>
      </c>
      <c r="F515" s="9" t="s">
        <v>2857</v>
      </c>
      <c r="G515" s="12" t="s">
        <v>2858</v>
      </c>
      <c r="H515" s="38" t="s">
        <v>2859</v>
      </c>
      <c r="I515" s="5" t="s">
        <v>1266</v>
      </c>
      <c r="J515" s="12" t="s">
        <v>2860</v>
      </c>
      <c r="K515" s="5"/>
      <c r="L515" s="5"/>
      <c r="M515" s="5"/>
    </row>
    <row r="516" ht="15.75" customHeight="1">
      <c r="A516" s="5">
        <v>2022.0</v>
      </c>
      <c r="B516" s="14" t="s">
        <v>62</v>
      </c>
      <c r="C516" s="6"/>
      <c r="D516" s="74" t="s">
        <v>2861</v>
      </c>
      <c r="E516" s="76" t="s">
        <v>2862</v>
      </c>
      <c r="F516" s="9" t="s">
        <v>2863</v>
      </c>
      <c r="G516" s="12" t="s">
        <v>2864</v>
      </c>
      <c r="H516" s="38" t="s">
        <v>2865</v>
      </c>
      <c r="I516" s="5" t="s">
        <v>1266</v>
      </c>
      <c r="J516" s="12"/>
      <c r="K516" s="5"/>
      <c r="L516" s="5"/>
      <c r="M516" s="5"/>
    </row>
    <row r="517" ht="15.75" customHeight="1">
      <c r="A517" s="5">
        <v>2022.0</v>
      </c>
      <c r="B517" s="14" t="s">
        <v>62</v>
      </c>
      <c r="C517" s="14" t="s">
        <v>204</v>
      </c>
      <c r="D517" s="74" t="s">
        <v>2866</v>
      </c>
      <c r="E517" s="76" t="s">
        <v>2867</v>
      </c>
      <c r="F517" s="9" t="s">
        <v>2868</v>
      </c>
      <c r="G517" s="12" t="s">
        <v>2869</v>
      </c>
      <c r="H517" s="38" t="s">
        <v>2870</v>
      </c>
      <c r="I517" s="5" t="s">
        <v>1266</v>
      </c>
      <c r="J517" s="12" t="s">
        <v>2871</v>
      </c>
      <c r="K517" s="5"/>
      <c r="L517" s="5"/>
      <c r="M517" s="5"/>
    </row>
    <row r="518" ht="15.75" customHeight="1">
      <c r="A518" s="5">
        <v>2022.0</v>
      </c>
      <c r="B518" s="14" t="s">
        <v>12</v>
      </c>
      <c r="C518" s="6"/>
      <c r="D518" s="74" t="s">
        <v>2872</v>
      </c>
      <c r="E518" s="76" t="s">
        <v>2873</v>
      </c>
      <c r="F518" s="9" t="s">
        <v>2874</v>
      </c>
      <c r="G518" s="12" t="s">
        <v>2875</v>
      </c>
      <c r="H518" s="38" t="s">
        <v>2876</v>
      </c>
      <c r="I518" s="5" t="s">
        <v>1266</v>
      </c>
      <c r="J518" s="12" t="s">
        <v>2877</v>
      </c>
      <c r="K518" s="5"/>
      <c r="L518" s="5"/>
      <c r="M518" s="5"/>
    </row>
    <row r="519" ht="15.75" customHeight="1">
      <c r="A519" s="5">
        <v>2022.0</v>
      </c>
      <c r="B519" s="14" t="s">
        <v>12</v>
      </c>
      <c r="C519" s="14" t="s">
        <v>204</v>
      </c>
      <c r="D519" s="74" t="s">
        <v>2827</v>
      </c>
      <c r="E519" s="76" t="s">
        <v>2828</v>
      </c>
      <c r="F519" s="9" t="s">
        <v>2878</v>
      </c>
      <c r="G519" s="12" t="s">
        <v>2830</v>
      </c>
      <c r="H519" s="38" t="s">
        <v>2831</v>
      </c>
      <c r="I519" s="5" t="s">
        <v>1266</v>
      </c>
      <c r="J519" s="12" t="s">
        <v>2879</v>
      </c>
      <c r="K519" s="5"/>
      <c r="L519" s="5"/>
      <c r="M519" s="5"/>
    </row>
    <row r="520" ht="15.75" customHeight="1">
      <c r="A520" s="5">
        <v>2022.0</v>
      </c>
      <c r="B520" s="14" t="s">
        <v>12</v>
      </c>
      <c r="C520" s="6"/>
      <c r="D520" s="74" t="s">
        <v>2880</v>
      </c>
      <c r="E520" s="76" t="s">
        <v>2881</v>
      </c>
      <c r="F520" s="9" t="s">
        <v>2882</v>
      </c>
      <c r="G520" s="12" t="s">
        <v>2883</v>
      </c>
      <c r="H520" s="38"/>
      <c r="I520" s="5" t="s">
        <v>1266</v>
      </c>
      <c r="J520" s="12"/>
      <c r="K520" s="5"/>
      <c r="L520" s="5"/>
      <c r="M520" s="5"/>
    </row>
    <row r="521" ht="15.75" customHeight="1">
      <c r="A521" s="5">
        <v>2022.0</v>
      </c>
      <c r="B521" s="14" t="s">
        <v>12</v>
      </c>
      <c r="C521" s="6"/>
      <c r="D521" s="74" t="s">
        <v>2884</v>
      </c>
      <c r="E521" s="76" t="s">
        <v>2885</v>
      </c>
      <c r="F521" s="9" t="s">
        <v>2886</v>
      </c>
      <c r="G521" s="12" t="s">
        <v>2887</v>
      </c>
      <c r="H521" s="38"/>
      <c r="I521" s="5" t="s">
        <v>1266</v>
      </c>
      <c r="J521" s="12" t="s">
        <v>2888</v>
      </c>
      <c r="K521" s="5"/>
      <c r="L521" s="5"/>
      <c r="M521" s="5"/>
    </row>
    <row r="522" ht="15.75" customHeight="1">
      <c r="A522" s="5">
        <v>2022.0</v>
      </c>
      <c r="B522" s="14" t="s">
        <v>12</v>
      </c>
      <c r="C522" s="6"/>
      <c r="D522" s="74" t="s">
        <v>2889</v>
      </c>
      <c r="E522" s="76" t="s">
        <v>2890</v>
      </c>
      <c r="F522" s="9" t="s">
        <v>2891</v>
      </c>
      <c r="G522" s="12" t="s">
        <v>2892</v>
      </c>
      <c r="H522" s="38" t="s">
        <v>2893</v>
      </c>
      <c r="I522" s="5" t="s">
        <v>1266</v>
      </c>
      <c r="J522" s="12" t="s">
        <v>2894</v>
      </c>
      <c r="K522" s="5"/>
      <c r="L522" s="5"/>
      <c r="M522" s="5"/>
    </row>
    <row r="523" ht="15.75" customHeight="1">
      <c r="A523" s="5">
        <v>2022.0</v>
      </c>
      <c r="B523" s="14" t="s">
        <v>12</v>
      </c>
      <c r="C523" s="6"/>
      <c r="D523" s="74" t="s">
        <v>2895</v>
      </c>
      <c r="E523" s="76" t="s">
        <v>2896</v>
      </c>
      <c r="F523" s="9" t="s">
        <v>2897</v>
      </c>
      <c r="G523" s="12" t="s">
        <v>2898</v>
      </c>
      <c r="H523" s="38" t="s">
        <v>2899</v>
      </c>
      <c r="I523" s="5" t="s">
        <v>1266</v>
      </c>
      <c r="J523" s="12" t="s">
        <v>2900</v>
      </c>
      <c r="K523" s="5"/>
      <c r="L523" s="5"/>
      <c r="M523" s="5"/>
    </row>
    <row r="524" ht="15.75" customHeight="1">
      <c r="A524" s="5">
        <v>2022.0</v>
      </c>
      <c r="B524" s="14" t="s">
        <v>12</v>
      </c>
      <c r="C524" s="6"/>
      <c r="D524" s="74" t="s">
        <v>2901</v>
      </c>
      <c r="E524" s="76" t="s">
        <v>2902</v>
      </c>
      <c r="F524" s="9" t="s">
        <v>2903</v>
      </c>
      <c r="G524" s="12" t="s">
        <v>2904</v>
      </c>
      <c r="H524" s="38" t="s">
        <v>2905</v>
      </c>
      <c r="I524" s="5" t="s">
        <v>1266</v>
      </c>
      <c r="J524" s="12" t="s">
        <v>2906</v>
      </c>
      <c r="K524" s="5"/>
      <c r="L524" s="5"/>
      <c r="M524" s="5"/>
    </row>
    <row r="525" ht="15.75" customHeight="1">
      <c r="A525" s="5">
        <v>2022.0</v>
      </c>
      <c r="B525" s="14" t="s">
        <v>12</v>
      </c>
      <c r="C525" s="14" t="s">
        <v>204</v>
      </c>
      <c r="D525" s="74" t="s">
        <v>2907</v>
      </c>
      <c r="E525" s="76" t="s">
        <v>2908</v>
      </c>
      <c r="F525" s="9" t="s">
        <v>2909</v>
      </c>
      <c r="G525" s="12" t="s">
        <v>2910</v>
      </c>
      <c r="H525" s="38" t="s">
        <v>2911</v>
      </c>
      <c r="I525" s="5" t="s">
        <v>1266</v>
      </c>
      <c r="J525" s="12" t="s">
        <v>2912</v>
      </c>
      <c r="K525" s="5"/>
      <c r="L525" s="5"/>
      <c r="M525" s="5"/>
    </row>
    <row r="526" ht="15.75" customHeight="1">
      <c r="A526" s="5">
        <v>2022.0</v>
      </c>
      <c r="B526" s="14" t="s">
        <v>62</v>
      </c>
      <c r="C526" s="6"/>
      <c r="D526" s="74" t="s">
        <v>2913</v>
      </c>
      <c r="E526" s="76" t="s">
        <v>2914</v>
      </c>
      <c r="F526" s="9" t="s">
        <v>2915</v>
      </c>
      <c r="G526" s="12" t="s">
        <v>2916</v>
      </c>
      <c r="H526" s="38"/>
      <c r="I526" s="5" t="s">
        <v>1266</v>
      </c>
      <c r="J526" s="12" t="s">
        <v>2917</v>
      </c>
      <c r="K526" s="5"/>
      <c r="L526" s="5"/>
      <c r="M526" s="5"/>
    </row>
    <row r="527" ht="15.75" customHeight="1">
      <c r="A527" s="5">
        <v>2022.0</v>
      </c>
      <c r="B527" s="14" t="s">
        <v>12</v>
      </c>
      <c r="C527" s="14" t="s">
        <v>573</v>
      </c>
      <c r="D527" s="74" t="s">
        <v>2918</v>
      </c>
      <c r="E527" s="76" t="s">
        <v>2919</v>
      </c>
      <c r="F527" s="9" t="s">
        <v>2920</v>
      </c>
      <c r="G527" s="12"/>
      <c r="H527" s="38" t="s">
        <v>2921</v>
      </c>
      <c r="I527" s="5" t="s">
        <v>1266</v>
      </c>
      <c r="J527" s="12" t="s">
        <v>2922</v>
      </c>
      <c r="K527" s="5"/>
      <c r="L527" s="5"/>
      <c r="M527" s="5"/>
    </row>
    <row r="528" ht="15.75" customHeight="1">
      <c r="A528" s="5">
        <v>2022.0</v>
      </c>
      <c r="B528" s="6"/>
      <c r="C528" s="73"/>
      <c r="D528" s="74" t="s">
        <v>2923</v>
      </c>
      <c r="E528" s="76" t="s">
        <v>2924</v>
      </c>
      <c r="F528" s="9" t="s">
        <v>2925</v>
      </c>
      <c r="G528" s="12" t="s">
        <v>2926</v>
      </c>
      <c r="H528" s="38" t="s">
        <v>2927</v>
      </c>
      <c r="I528" s="5" t="s">
        <v>1266</v>
      </c>
      <c r="J528" s="12" t="s">
        <v>2928</v>
      </c>
      <c r="K528" s="5"/>
      <c r="L528" s="5"/>
      <c r="M528" s="5"/>
    </row>
    <row r="529" ht="15.75" customHeight="1">
      <c r="A529" s="5">
        <v>2022.0</v>
      </c>
      <c r="B529" s="14" t="s">
        <v>12</v>
      </c>
      <c r="C529" s="73"/>
      <c r="D529" s="74" t="s">
        <v>2929</v>
      </c>
      <c r="E529" s="76" t="s">
        <v>2930</v>
      </c>
      <c r="F529" s="9" t="s">
        <v>2931</v>
      </c>
      <c r="G529" s="12"/>
      <c r="H529" s="38"/>
      <c r="I529" s="5" t="s">
        <v>1266</v>
      </c>
      <c r="J529" s="12" t="s">
        <v>2932</v>
      </c>
      <c r="K529" s="5"/>
      <c r="L529" s="5"/>
      <c r="M529" s="5"/>
    </row>
    <row r="530" ht="15.75" customHeight="1">
      <c r="A530" s="5">
        <v>2022.0</v>
      </c>
      <c r="B530" s="14" t="s">
        <v>12</v>
      </c>
      <c r="C530" s="73"/>
      <c r="D530" s="74" t="s">
        <v>2933</v>
      </c>
      <c r="E530" s="76" t="s">
        <v>2934</v>
      </c>
      <c r="F530" s="9" t="s">
        <v>2935</v>
      </c>
      <c r="G530" s="12" t="s">
        <v>2936</v>
      </c>
      <c r="H530" s="38" t="s">
        <v>2937</v>
      </c>
      <c r="I530" s="5" t="s">
        <v>1266</v>
      </c>
      <c r="J530" s="12" t="s">
        <v>2938</v>
      </c>
      <c r="K530" s="5"/>
      <c r="L530" s="5"/>
      <c r="M530" s="5"/>
    </row>
    <row r="531" ht="15.75" customHeight="1">
      <c r="A531" s="5">
        <v>2022.0</v>
      </c>
      <c r="B531" s="14" t="s">
        <v>12</v>
      </c>
      <c r="C531" s="73" t="s">
        <v>1000</v>
      </c>
      <c r="D531" s="74" t="s">
        <v>2939</v>
      </c>
      <c r="E531" s="76" t="s">
        <v>2940</v>
      </c>
      <c r="F531" s="9" t="s">
        <v>2941</v>
      </c>
      <c r="G531" s="12" t="s">
        <v>2942</v>
      </c>
      <c r="H531" s="38" t="s">
        <v>2943</v>
      </c>
      <c r="I531" s="5" t="s">
        <v>1266</v>
      </c>
      <c r="J531" s="12" t="s">
        <v>2944</v>
      </c>
      <c r="K531" s="5"/>
      <c r="L531" s="5"/>
      <c r="M531" s="5"/>
    </row>
    <row r="532" ht="15.75" customHeight="1">
      <c r="A532" s="5">
        <v>2022.0</v>
      </c>
      <c r="B532" s="14" t="s">
        <v>62</v>
      </c>
      <c r="C532" s="6"/>
      <c r="D532" s="74" t="s">
        <v>2945</v>
      </c>
      <c r="E532" s="76" t="s">
        <v>2946</v>
      </c>
      <c r="F532" s="9" t="s">
        <v>2947</v>
      </c>
      <c r="G532" s="12" t="s">
        <v>2948</v>
      </c>
      <c r="H532" s="38" t="s">
        <v>2949</v>
      </c>
      <c r="I532" s="5" t="s">
        <v>1266</v>
      </c>
      <c r="J532" s="12" t="s">
        <v>2950</v>
      </c>
      <c r="K532" s="5"/>
      <c r="L532" s="5"/>
      <c r="M532" s="5"/>
    </row>
    <row r="533" ht="15.75" customHeight="1">
      <c r="A533" s="5">
        <v>2022.0</v>
      </c>
      <c r="B533" s="14" t="s">
        <v>62</v>
      </c>
      <c r="C533" s="6"/>
      <c r="D533" s="74" t="s">
        <v>2951</v>
      </c>
      <c r="E533" s="76" t="s">
        <v>2952</v>
      </c>
      <c r="F533" s="9" t="s">
        <v>2953</v>
      </c>
      <c r="G533" s="12" t="s">
        <v>2954</v>
      </c>
      <c r="H533" s="38" t="s">
        <v>2955</v>
      </c>
      <c r="I533" s="5" t="s">
        <v>1266</v>
      </c>
      <c r="J533" s="12" t="s">
        <v>2956</v>
      </c>
      <c r="K533" s="5"/>
      <c r="L533" s="5"/>
      <c r="M533" s="5"/>
    </row>
    <row r="534" ht="15.75" customHeight="1">
      <c r="A534" s="5">
        <v>2022.0</v>
      </c>
      <c r="B534" s="14" t="s">
        <v>12</v>
      </c>
      <c r="C534" s="6"/>
      <c r="D534" s="74" t="s">
        <v>2957</v>
      </c>
      <c r="E534" s="76" t="s">
        <v>2958</v>
      </c>
      <c r="F534" s="9" t="s">
        <v>2959</v>
      </c>
      <c r="G534" s="12" t="s">
        <v>2960</v>
      </c>
      <c r="H534" s="38" t="s">
        <v>2961</v>
      </c>
      <c r="I534" s="5" t="s">
        <v>1266</v>
      </c>
      <c r="J534" s="12" t="s">
        <v>2962</v>
      </c>
      <c r="K534" s="5"/>
      <c r="L534" s="5"/>
      <c r="M534" s="5"/>
    </row>
    <row r="535" ht="15.75" customHeight="1">
      <c r="A535" s="5">
        <v>2022.0</v>
      </c>
      <c r="B535" s="6"/>
      <c r="C535" s="6"/>
      <c r="D535" s="74" t="s">
        <v>2963</v>
      </c>
      <c r="E535" s="76" t="s">
        <v>2964</v>
      </c>
      <c r="F535" s="82" t="s">
        <v>2965</v>
      </c>
      <c r="G535" s="12" t="s">
        <v>2966</v>
      </c>
      <c r="H535" s="38" t="s">
        <v>2967</v>
      </c>
      <c r="I535" s="5" t="s">
        <v>1266</v>
      </c>
      <c r="J535" s="12" t="s">
        <v>2968</v>
      </c>
      <c r="K535" s="5"/>
      <c r="L535" s="5"/>
      <c r="M535" s="5"/>
    </row>
    <row r="536" ht="15.75" customHeight="1">
      <c r="A536" s="5">
        <v>2022.0</v>
      </c>
      <c r="B536" s="14" t="s">
        <v>12</v>
      </c>
      <c r="C536" s="6"/>
      <c r="D536" s="74" t="s">
        <v>2969</v>
      </c>
      <c r="E536" s="76" t="s">
        <v>2970</v>
      </c>
      <c r="F536" s="82" t="s">
        <v>2971</v>
      </c>
      <c r="G536" s="12" t="s">
        <v>2966</v>
      </c>
      <c r="H536" s="38" t="s">
        <v>2972</v>
      </c>
      <c r="I536" s="5" t="s">
        <v>1266</v>
      </c>
      <c r="J536" s="12" t="s">
        <v>2973</v>
      </c>
      <c r="K536" s="5"/>
      <c r="L536" s="5"/>
      <c r="M536" s="5"/>
    </row>
    <row r="537" ht="15.75" customHeight="1">
      <c r="A537" s="5">
        <v>2022.0</v>
      </c>
      <c r="B537" s="14" t="s">
        <v>62</v>
      </c>
      <c r="C537" s="6"/>
      <c r="D537" s="74" t="s">
        <v>2974</v>
      </c>
      <c r="E537" s="76" t="s">
        <v>2975</v>
      </c>
      <c r="F537" s="82" t="s">
        <v>2976</v>
      </c>
      <c r="G537" s="12" t="s">
        <v>2977</v>
      </c>
      <c r="H537" s="38" t="s">
        <v>2978</v>
      </c>
      <c r="I537" s="5" t="s">
        <v>1266</v>
      </c>
      <c r="J537" s="12" t="s">
        <v>2979</v>
      </c>
      <c r="K537" s="5"/>
      <c r="L537" s="5"/>
      <c r="M537" s="5"/>
    </row>
    <row r="538" ht="15.75" customHeight="1">
      <c r="A538" s="5">
        <v>2022.0</v>
      </c>
      <c r="B538" s="6"/>
      <c r="C538" s="6"/>
      <c r="D538" s="74" t="s">
        <v>2980</v>
      </c>
      <c r="E538" s="76" t="s">
        <v>2981</v>
      </c>
      <c r="F538" s="82" t="s">
        <v>2982</v>
      </c>
      <c r="G538" s="12" t="s">
        <v>2983</v>
      </c>
      <c r="H538" s="38" t="s">
        <v>2984</v>
      </c>
      <c r="I538" s="5" t="s">
        <v>1266</v>
      </c>
      <c r="J538" s="12" t="s">
        <v>2985</v>
      </c>
      <c r="K538" s="5"/>
      <c r="L538" s="5"/>
      <c r="M538" s="5"/>
    </row>
    <row r="539" ht="15.75" customHeight="1">
      <c r="A539" s="5">
        <v>2022.0</v>
      </c>
      <c r="B539" s="14" t="s">
        <v>12</v>
      </c>
      <c r="C539" s="6"/>
      <c r="D539" s="74" t="s">
        <v>2986</v>
      </c>
      <c r="E539" s="76" t="s">
        <v>2987</v>
      </c>
      <c r="F539" s="82" t="s">
        <v>2988</v>
      </c>
      <c r="G539" s="12" t="s">
        <v>2989</v>
      </c>
      <c r="H539" s="38"/>
      <c r="I539" s="5" t="s">
        <v>1266</v>
      </c>
      <c r="J539" s="12"/>
      <c r="K539" s="5"/>
      <c r="L539" s="5"/>
      <c r="M539" s="5"/>
    </row>
    <row r="540" ht="15.75" customHeight="1">
      <c r="A540" s="5">
        <v>2022.0</v>
      </c>
      <c r="B540" s="14" t="s">
        <v>62</v>
      </c>
      <c r="C540" s="6"/>
      <c r="D540" s="74" t="s">
        <v>2990</v>
      </c>
      <c r="E540" s="76" t="s">
        <v>2991</v>
      </c>
      <c r="F540" s="82" t="s">
        <v>2992</v>
      </c>
      <c r="G540" s="12" t="s">
        <v>2993</v>
      </c>
      <c r="H540" s="38" t="s">
        <v>2994</v>
      </c>
      <c r="I540" s="5" t="s">
        <v>1266</v>
      </c>
      <c r="J540" s="12" t="s">
        <v>2995</v>
      </c>
      <c r="K540" s="5"/>
      <c r="L540" s="5"/>
      <c r="M540" s="5"/>
    </row>
    <row r="541" ht="15.75" customHeight="1">
      <c r="A541" s="5">
        <v>2022.0</v>
      </c>
      <c r="B541" s="14" t="s">
        <v>12</v>
      </c>
      <c r="C541" s="6"/>
      <c r="D541" s="74" t="s">
        <v>2996</v>
      </c>
      <c r="E541" s="76" t="s">
        <v>2997</v>
      </c>
      <c r="F541" s="82" t="s">
        <v>2998</v>
      </c>
      <c r="G541" s="12" t="s">
        <v>2999</v>
      </c>
      <c r="H541" s="38" t="s">
        <v>3000</v>
      </c>
      <c r="I541" s="5" t="s">
        <v>1266</v>
      </c>
      <c r="J541" s="12" t="s">
        <v>3001</v>
      </c>
      <c r="K541" s="5"/>
      <c r="L541" s="5"/>
      <c r="M541" s="5"/>
    </row>
    <row r="542" ht="15.75" customHeight="1">
      <c r="A542" s="5">
        <v>2022.0</v>
      </c>
      <c r="B542" s="14" t="s">
        <v>12</v>
      </c>
      <c r="C542" s="14" t="s">
        <v>204</v>
      </c>
      <c r="D542" s="74" t="s">
        <v>3002</v>
      </c>
      <c r="E542" s="76" t="s">
        <v>3003</v>
      </c>
      <c r="F542" s="82" t="s">
        <v>3004</v>
      </c>
      <c r="G542" s="12"/>
      <c r="H542" s="38" t="s">
        <v>3005</v>
      </c>
      <c r="I542" s="5" t="s">
        <v>1266</v>
      </c>
      <c r="J542" s="12" t="s">
        <v>3006</v>
      </c>
      <c r="K542" s="5"/>
      <c r="L542" s="5"/>
      <c r="M542" s="5"/>
    </row>
    <row r="543" ht="15.75" customHeight="1">
      <c r="A543" s="5">
        <v>2022.0</v>
      </c>
      <c r="B543" s="14" t="s">
        <v>12</v>
      </c>
      <c r="C543" s="6"/>
      <c r="D543" s="74" t="s">
        <v>3007</v>
      </c>
      <c r="E543" s="76" t="s">
        <v>3008</v>
      </c>
      <c r="F543" s="82" t="s">
        <v>3009</v>
      </c>
      <c r="G543" s="12" t="s">
        <v>3010</v>
      </c>
      <c r="H543" s="38" t="s">
        <v>3011</v>
      </c>
      <c r="I543" s="5" t="s">
        <v>1266</v>
      </c>
      <c r="J543" s="12" t="s">
        <v>3012</v>
      </c>
      <c r="K543" s="5"/>
      <c r="L543" s="5"/>
      <c r="M543" s="5"/>
    </row>
    <row r="544" ht="15.75" customHeight="1">
      <c r="A544" s="5">
        <v>2022.0</v>
      </c>
      <c r="B544" s="14" t="s">
        <v>12</v>
      </c>
      <c r="C544" s="14" t="s">
        <v>204</v>
      </c>
      <c r="D544" s="74" t="s">
        <v>3013</v>
      </c>
      <c r="E544" s="76" t="s">
        <v>3014</v>
      </c>
      <c r="F544" s="82" t="s">
        <v>3015</v>
      </c>
      <c r="G544" s="12" t="s">
        <v>1146</v>
      </c>
      <c r="H544" s="38" t="s">
        <v>3016</v>
      </c>
      <c r="I544" s="5" t="s">
        <v>1266</v>
      </c>
      <c r="J544" s="12"/>
      <c r="K544" s="5"/>
      <c r="L544" s="5"/>
      <c r="M544" s="5"/>
    </row>
    <row r="545" ht="15.75" customHeight="1">
      <c r="A545" s="5">
        <v>2022.0</v>
      </c>
      <c r="B545" s="14" t="s">
        <v>12</v>
      </c>
      <c r="C545" s="6"/>
      <c r="D545" s="74" t="s">
        <v>3017</v>
      </c>
      <c r="E545" s="76" t="s">
        <v>3018</v>
      </c>
      <c r="F545" s="82" t="s">
        <v>3019</v>
      </c>
      <c r="G545" s="12"/>
      <c r="H545" s="38" t="s">
        <v>3020</v>
      </c>
      <c r="I545" s="5" t="s">
        <v>1266</v>
      </c>
      <c r="J545" s="12" t="s">
        <v>3021</v>
      </c>
      <c r="K545" s="5"/>
      <c r="L545" s="5"/>
      <c r="M545" s="5"/>
    </row>
    <row r="546" ht="15.75" customHeight="1">
      <c r="A546" s="5">
        <v>2022.0</v>
      </c>
      <c r="B546" s="14" t="s">
        <v>12</v>
      </c>
      <c r="C546" s="14" t="s">
        <v>204</v>
      </c>
      <c r="D546" s="74" t="s">
        <v>3022</v>
      </c>
      <c r="E546" s="76" t="s">
        <v>3023</v>
      </c>
      <c r="F546" s="82" t="s">
        <v>3024</v>
      </c>
      <c r="G546" s="12" t="s">
        <v>3025</v>
      </c>
      <c r="H546" s="38" t="s">
        <v>3026</v>
      </c>
      <c r="I546" s="5" t="s">
        <v>1266</v>
      </c>
      <c r="J546" s="12" t="s">
        <v>3027</v>
      </c>
      <c r="K546" s="5"/>
      <c r="L546" s="5"/>
      <c r="M546" s="5"/>
    </row>
    <row r="547" ht="15.75" customHeight="1">
      <c r="A547" s="5">
        <v>2022.0</v>
      </c>
      <c r="B547" s="6"/>
      <c r="C547" s="6"/>
      <c r="D547" s="74" t="s">
        <v>3028</v>
      </c>
      <c r="E547" s="76" t="s">
        <v>3029</v>
      </c>
      <c r="F547" s="82" t="s">
        <v>3030</v>
      </c>
      <c r="G547" s="12" t="s">
        <v>3031</v>
      </c>
      <c r="H547" s="38" t="s">
        <v>3032</v>
      </c>
      <c r="I547" s="5" t="s">
        <v>1266</v>
      </c>
      <c r="J547" s="12" t="s">
        <v>3033</v>
      </c>
      <c r="K547" s="5"/>
      <c r="L547" s="5"/>
      <c r="M547" s="5"/>
    </row>
    <row r="548" ht="15.75" customHeight="1">
      <c r="A548" s="5">
        <v>2022.0</v>
      </c>
      <c r="B548" s="6" t="s">
        <v>259</v>
      </c>
      <c r="C548" s="6"/>
      <c r="D548" s="74" t="s">
        <v>3034</v>
      </c>
      <c r="E548" s="76" t="s">
        <v>3035</v>
      </c>
      <c r="F548" s="82" t="s">
        <v>3036</v>
      </c>
      <c r="G548" s="12"/>
      <c r="H548" s="38" t="s">
        <v>3037</v>
      </c>
      <c r="I548" s="5" t="s">
        <v>1266</v>
      </c>
      <c r="J548" s="12"/>
      <c r="K548" s="5"/>
      <c r="L548" s="5"/>
      <c r="M548" s="5"/>
    </row>
    <row r="549" ht="15.75" customHeight="1">
      <c r="A549" s="5">
        <v>2022.0</v>
      </c>
      <c r="B549" s="14" t="s">
        <v>62</v>
      </c>
      <c r="C549" s="14" t="s">
        <v>573</v>
      </c>
      <c r="D549" s="74" t="s">
        <v>3038</v>
      </c>
      <c r="E549" s="76" t="s">
        <v>3039</v>
      </c>
      <c r="F549" s="82" t="s">
        <v>3040</v>
      </c>
      <c r="G549" s="12" t="s">
        <v>2517</v>
      </c>
      <c r="H549" s="38" t="s">
        <v>3041</v>
      </c>
      <c r="I549" s="5" t="s">
        <v>1266</v>
      </c>
      <c r="J549" s="12" t="s">
        <v>3042</v>
      </c>
      <c r="K549" s="5"/>
      <c r="L549" s="5"/>
      <c r="M549" s="5"/>
    </row>
    <row r="550" ht="15.75" customHeight="1">
      <c r="A550" s="5">
        <v>2022.0</v>
      </c>
      <c r="B550" s="14" t="s">
        <v>12</v>
      </c>
      <c r="C550" s="83"/>
      <c r="D550" s="74" t="s">
        <v>3043</v>
      </c>
      <c r="E550" s="76" t="s">
        <v>3044</v>
      </c>
      <c r="F550" s="82" t="s">
        <v>3045</v>
      </c>
      <c r="G550" s="12" t="s">
        <v>3046</v>
      </c>
      <c r="H550" s="38" t="s">
        <v>3047</v>
      </c>
      <c r="I550" s="5" t="s">
        <v>1266</v>
      </c>
      <c r="J550" s="12" t="s">
        <v>3048</v>
      </c>
      <c r="K550" s="5"/>
      <c r="L550" s="5"/>
      <c r="M550" s="5"/>
    </row>
    <row r="551" ht="15.75" customHeight="1">
      <c r="A551" s="5">
        <v>2022.0</v>
      </c>
      <c r="B551" s="83"/>
      <c r="C551" s="83"/>
      <c r="D551" s="74" t="s">
        <v>3049</v>
      </c>
      <c r="E551" s="76" t="s">
        <v>3050</v>
      </c>
      <c r="F551" s="82" t="s">
        <v>3051</v>
      </c>
      <c r="G551" s="12" t="s">
        <v>3052</v>
      </c>
      <c r="H551" s="38" t="s">
        <v>3053</v>
      </c>
      <c r="I551" s="5" t="s">
        <v>1266</v>
      </c>
      <c r="J551" s="12" t="s">
        <v>3054</v>
      </c>
      <c r="K551" s="5"/>
      <c r="L551" s="5"/>
      <c r="M551" s="5"/>
    </row>
    <row r="552" ht="15.75" customHeight="1">
      <c r="A552" s="5">
        <v>2022.0</v>
      </c>
      <c r="B552" s="83"/>
      <c r="C552" s="83"/>
      <c r="D552" s="74" t="s">
        <v>3055</v>
      </c>
      <c r="E552" s="76" t="s">
        <v>3056</v>
      </c>
      <c r="F552" s="82" t="s">
        <v>3057</v>
      </c>
      <c r="G552" s="12" t="s">
        <v>3058</v>
      </c>
      <c r="H552" s="38" t="s">
        <v>3059</v>
      </c>
      <c r="I552" s="5" t="s">
        <v>1266</v>
      </c>
      <c r="J552" s="12" t="s">
        <v>3060</v>
      </c>
      <c r="K552" s="5"/>
      <c r="L552" s="5"/>
      <c r="M552" s="5"/>
    </row>
    <row r="553" ht="15.75" customHeight="1">
      <c r="A553" s="5">
        <v>2022.0</v>
      </c>
      <c r="B553" s="83" t="s">
        <v>62</v>
      </c>
      <c r="C553" s="83" t="s">
        <v>204</v>
      </c>
      <c r="D553" s="74" t="s">
        <v>3061</v>
      </c>
      <c r="E553" s="76" t="s">
        <v>3062</v>
      </c>
      <c r="F553" s="82" t="s">
        <v>3063</v>
      </c>
      <c r="G553" s="12" t="s">
        <v>3064</v>
      </c>
      <c r="H553" s="38"/>
      <c r="I553" s="5" t="s">
        <v>1266</v>
      </c>
      <c r="J553" s="12"/>
      <c r="K553" s="5"/>
      <c r="L553" s="5"/>
      <c r="M553" s="5"/>
    </row>
    <row r="554" ht="15.75" customHeight="1">
      <c r="A554" s="5">
        <v>2022.0</v>
      </c>
      <c r="B554" s="83" t="s">
        <v>62</v>
      </c>
      <c r="C554" s="83" t="s">
        <v>573</v>
      </c>
      <c r="D554" s="74" t="s">
        <v>3065</v>
      </c>
      <c r="E554" s="76" t="s">
        <v>3066</v>
      </c>
      <c r="F554" s="82" t="s">
        <v>3067</v>
      </c>
      <c r="G554" s="12" t="s">
        <v>3068</v>
      </c>
      <c r="H554" s="38" t="s">
        <v>3069</v>
      </c>
      <c r="I554" s="5" t="s">
        <v>1266</v>
      </c>
      <c r="J554" s="12" t="s">
        <v>3070</v>
      </c>
      <c r="K554" s="5"/>
      <c r="L554" s="5"/>
      <c r="M554" s="5"/>
    </row>
    <row r="555" ht="15.75" customHeight="1">
      <c r="A555" s="5">
        <v>2022.0</v>
      </c>
      <c r="B555" s="83" t="s">
        <v>12</v>
      </c>
      <c r="C555" s="83"/>
      <c r="D555" s="74" t="s">
        <v>3071</v>
      </c>
      <c r="E555" s="76" t="s">
        <v>3072</v>
      </c>
      <c r="F555" s="82" t="s">
        <v>3073</v>
      </c>
      <c r="G555" s="12"/>
      <c r="H555" s="38"/>
      <c r="I555" s="5" t="s">
        <v>1266</v>
      </c>
      <c r="J555" s="12"/>
      <c r="K555" s="5"/>
      <c r="L555" s="5"/>
      <c r="M555" s="5"/>
    </row>
    <row r="556" ht="15.75" customHeight="1">
      <c r="A556" s="5">
        <v>2022.0</v>
      </c>
      <c r="B556" s="83"/>
      <c r="C556" s="83"/>
      <c r="D556" s="74" t="s">
        <v>3074</v>
      </c>
      <c r="E556" s="76" t="s">
        <v>3075</v>
      </c>
      <c r="F556" s="82" t="s">
        <v>3076</v>
      </c>
      <c r="G556" s="12"/>
      <c r="H556" s="38"/>
      <c r="I556" s="5" t="s">
        <v>1266</v>
      </c>
      <c r="J556" s="12"/>
      <c r="K556" s="5"/>
      <c r="L556" s="5"/>
      <c r="M556" s="5"/>
    </row>
    <row r="557" ht="15.75" customHeight="1">
      <c r="A557" s="5">
        <v>2022.0</v>
      </c>
      <c r="B557" s="83" t="s">
        <v>62</v>
      </c>
      <c r="C557" s="83" t="s">
        <v>204</v>
      </c>
      <c r="D557" s="74" t="s">
        <v>3077</v>
      </c>
      <c r="E557" s="76" t="s">
        <v>3078</v>
      </c>
      <c r="F557" s="82" t="s">
        <v>3079</v>
      </c>
      <c r="G557" s="12"/>
      <c r="H557" s="38"/>
      <c r="I557" s="5" t="s">
        <v>1266</v>
      </c>
      <c r="J557" s="12" t="s">
        <v>3080</v>
      </c>
      <c r="K557" s="5"/>
      <c r="L557" s="5"/>
      <c r="M557" s="5"/>
    </row>
    <row r="558" ht="15.75" customHeight="1">
      <c r="A558" s="5">
        <v>2022.0</v>
      </c>
      <c r="B558" s="83" t="s">
        <v>12</v>
      </c>
      <c r="C558" s="83"/>
      <c r="D558" s="74" t="s">
        <v>3081</v>
      </c>
      <c r="E558" s="76" t="s">
        <v>3082</v>
      </c>
      <c r="F558" s="82" t="s">
        <v>3083</v>
      </c>
      <c r="G558" s="12" t="s">
        <v>3084</v>
      </c>
      <c r="H558" s="38" t="s">
        <v>3085</v>
      </c>
      <c r="I558" s="5" t="s">
        <v>1266</v>
      </c>
      <c r="J558" s="12"/>
      <c r="K558" s="5"/>
      <c r="L558" s="5"/>
      <c r="M558" s="5"/>
    </row>
    <row r="559" ht="15.75" customHeight="1">
      <c r="A559" s="5">
        <v>2022.0</v>
      </c>
      <c r="B559" s="14" t="s">
        <v>3086</v>
      </c>
      <c r="C559" s="83" t="s">
        <v>2843</v>
      </c>
      <c r="D559" s="84" t="s">
        <v>3087</v>
      </c>
      <c r="E559" s="76" t="s">
        <v>3088</v>
      </c>
      <c r="F559" s="82" t="s">
        <v>3089</v>
      </c>
      <c r="G559" s="12"/>
      <c r="H559" s="38"/>
      <c r="I559" s="5" t="s">
        <v>1266</v>
      </c>
      <c r="J559" s="12"/>
      <c r="K559" s="5"/>
      <c r="L559" s="5"/>
      <c r="M559" s="5"/>
    </row>
    <row r="560" ht="15.75" customHeight="1">
      <c r="A560" s="5">
        <v>2022.0</v>
      </c>
      <c r="B560" s="83" t="s">
        <v>12</v>
      </c>
      <c r="C560" s="83"/>
      <c r="D560" s="12" t="s">
        <v>3090</v>
      </c>
      <c r="E560" s="76" t="s">
        <v>3091</v>
      </c>
      <c r="F560" s="82" t="s">
        <v>3092</v>
      </c>
      <c r="G560" s="12"/>
      <c r="H560" s="38"/>
      <c r="I560" s="5" t="s">
        <v>1266</v>
      </c>
      <c r="J560" s="12"/>
      <c r="K560" s="5"/>
      <c r="L560" s="5"/>
      <c r="M560" s="5"/>
    </row>
    <row r="561" ht="15.75" customHeight="1">
      <c r="A561" s="5">
        <v>2022.0</v>
      </c>
      <c r="B561" s="6" t="s">
        <v>259</v>
      </c>
      <c r="C561" s="83"/>
      <c r="D561" s="12" t="s">
        <v>3093</v>
      </c>
      <c r="E561" s="76" t="s">
        <v>3094</v>
      </c>
      <c r="F561" s="82" t="s">
        <v>3095</v>
      </c>
      <c r="G561" s="12" t="s">
        <v>3096</v>
      </c>
      <c r="H561" s="38" t="s">
        <v>3097</v>
      </c>
      <c r="I561" s="5" t="s">
        <v>1266</v>
      </c>
      <c r="J561" s="12" t="s">
        <v>3098</v>
      </c>
      <c r="K561" s="5"/>
      <c r="L561" s="5"/>
      <c r="M561" s="5"/>
    </row>
    <row r="562" ht="15.75" customHeight="1">
      <c r="A562" s="5">
        <v>2022.0</v>
      </c>
      <c r="B562" s="83" t="s">
        <v>12</v>
      </c>
      <c r="C562" s="83"/>
      <c r="D562" s="12" t="s">
        <v>3099</v>
      </c>
      <c r="E562" s="76" t="s">
        <v>3100</v>
      </c>
      <c r="F562" s="82" t="s">
        <v>3101</v>
      </c>
      <c r="G562" s="12" t="s">
        <v>3102</v>
      </c>
      <c r="H562" s="38" t="s">
        <v>3103</v>
      </c>
      <c r="I562" s="5" t="s">
        <v>1266</v>
      </c>
      <c r="J562" s="12" t="s">
        <v>3104</v>
      </c>
      <c r="K562" s="5"/>
      <c r="L562" s="5"/>
      <c r="M562" s="5"/>
    </row>
    <row r="563" ht="15.75" customHeight="1">
      <c r="A563" s="5">
        <v>2022.0</v>
      </c>
      <c r="B563" s="83" t="s">
        <v>62</v>
      </c>
      <c r="C563" s="83"/>
      <c r="D563" s="12" t="s">
        <v>3105</v>
      </c>
      <c r="E563" s="76" t="s">
        <v>3106</v>
      </c>
      <c r="F563" s="82" t="s">
        <v>3107</v>
      </c>
      <c r="G563" s="12" t="s">
        <v>3108</v>
      </c>
      <c r="H563" s="38" t="s">
        <v>3109</v>
      </c>
      <c r="I563" s="5" t="s">
        <v>1266</v>
      </c>
      <c r="J563" s="12" t="s">
        <v>3110</v>
      </c>
      <c r="K563" s="5"/>
      <c r="L563" s="5"/>
      <c r="M563" s="5"/>
    </row>
    <row r="564" ht="15.75" customHeight="1">
      <c r="A564" s="5">
        <v>2022.0</v>
      </c>
      <c r="B564" s="83"/>
      <c r="C564" s="83"/>
      <c r="D564" s="12" t="s">
        <v>3111</v>
      </c>
      <c r="E564" s="76" t="s">
        <v>3112</v>
      </c>
      <c r="F564" s="82" t="s">
        <v>3113</v>
      </c>
      <c r="G564" s="12"/>
      <c r="H564" s="38" t="s">
        <v>3114</v>
      </c>
      <c r="I564" s="5" t="s">
        <v>1266</v>
      </c>
      <c r="J564" s="12" t="s">
        <v>3115</v>
      </c>
      <c r="K564" s="5"/>
      <c r="L564" s="5"/>
      <c r="M564" s="5"/>
    </row>
    <row r="565" ht="15.75" customHeight="1">
      <c r="A565" s="5">
        <v>2022.0</v>
      </c>
      <c r="B565" s="83"/>
      <c r="C565" s="83"/>
      <c r="D565" s="12" t="s">
        <v>3116</v>
      </c>
      <c r="E565" s="76" t="s">
        <v>3117</v>
      </c>
      <c r="F565" s="82" t="s">
        <v>3118</v>
      </c>
      <c r="G565" s="12" t="s">
        <v>3119</v>
      </c>
      <c r="H565" s="38" t="s">
        <v>3120</v>
      </c>
      <c r="I565" s="5" t="s">
        <v>1266</v>
      </c>
      <c r="J565" s="12" t="s">
        <v>3121</v>
      </c>
      <c r="K565" s="5"/>
      <c r="L565" s="5"/>
      <c r="M565" s="5"/>
    </row>
    <row r="566" ht="15.75" customHeight="1">
      <c r="A566" s="5">
        <v>2022.0</v>
      </c>
      <c r="B566" s="83" t="s">
        <v>62</v>
      </c>
      <c r="C566" s="83"/>
      <c r="D566" s="12" t="s">
        <v>3122</v>
      </c>
      <c r="E566" s="76" t="s">
        <v>3123</v>
      </c>
      <c r="F566" s="82" t="s">
        <v>3124</v>
      </c>
      <c r="G566" s="12"/>
      <c r="H566" s="38" t="s">
        <v>3125</v>
      </c>
      <c r="I566" s="5" t="s">
        <v>1266</v>
      </c>
      <c r="J566" s="12" t="s">
        <v>3126</v>
      </c>
      <c r="K566" s="5"/>
      <c r="L566" s="5"/>
      <c r="M566" s="5"/>
    </row>
    <row r="567" ht="15.75" customHeight="1">
      <c r="A567" s="5">
        <v>2022.0</v>
      </c>
      <c r="B567" s="83" t="s">
        <v>12</v>
      </c>
      <c r="C567" s="83"/>
      <c r="D567" s="12" t="s">
        <v>3127</v>
      </c>
      <c r="E567" s="76" t="s">
        <v>3128</v>
      </c>
      <c r="F567" s="82" t="s">
        <v>3129</v>
      </c>
      <c r="G567" s="12" t="s">
        <v>3130</v>
      </c>
      <c r="H567" s="38" t="s">
        <v>3131</v>
      </c>
      <c r="I567" s="5" t="s">
        <v>1266</v>
      </c>
      <c r="J567" s="12" t="s">
        <v>3132</v>
      </c>
      <c r="K567" s="5"/>
      <c r="L567" s="5"/>
      <c r="M567" s="5"/>
    </row>
    <row r="568" ht="15.75" customHeight="1">
      <c r="A568" s="5">
        <v>2022.0</v>
      </c>
      <c r="B568" s="6" t="s">
        <v>259</v>
      </c>
      <c r="C568" s="83"/>
      <c r="D568" s="12" t="s">
        <v>3133</v>
      </c>
      <c r="E568" s="76" t="s">
        <v>3134</v>
      </c>
      <c r="F568" s="82" t="s">
        <v>3135</v>
      </c>
      <c r="G568" s="12" t="s">
        <v>3136</v>
      </c>
      <c r="H568" s="38"/>
      <c r="I568" s="5" t="s">
        <v>1266</v>
      </c>
      <c r="J568" s="12" t="s">
        <v>3137</v>
      </c>
      <c r="K568" s="5"/>
      <c r="L568" s="5"/>
      <c r="M568" s="5"/>
    </row>
    <row r="569" ht="15.75" customHeight="1">
      <c r="A569" s="5">
        <v>2022.0</v>
      </c>
      <c r="B569" s="83" t="s">
        <v>62</v>
      </c>
      <c r="C569" s="83" t="s">
        <v>204</v>
      </c>
      <c r="D569" s="12" t="s">
        <v>3138</v>
      </c>
      <c r="E569" s="76" t="s">
        <v>3139</v>
      </c>
      <c r="F569" s="82" t="s">
        <v>3140</v>
      </c>
      <c r="G569" s="12" t="s">
        <v>3141</v>
      </c>
      <c r="H569" s="38"/>
      <c r="I569" s="5" t="s">
        <v>1266</v>
      </c>
      <c r="J569" s="12" t="s">
        <v>3142</v>
      </c>
      <c r="K569" s="5"/>
      <c r="L569" s="5"/>
      <c r="M569" s="5"/>
    </row>
    <row r="570" ht="15.75" customHeight="1">
      <c r="A570" s="5">
        <v>2022.0</v>
      </c>
      <c r="B570" s="83" t="s">
        <v>12</v>
      </c>
      <c r="C570" s="83" t="s">
        <v>2843</v>
      </c>
      <c r="D570" s="12" t="s">
        <v>3143</v>
      </c>
      <c r="E570" s="76" t="s">
        <v>3144</v>
      </c>
      <c r="F570" s="82" t="s">
        <v>3145</v>
      </c>
      <c r="G570" s="12" t="s">
        <v>3119</v>
      </c>
      <c r="H570" s="38" t="s">
        <v>3146</v>
      </c>
      <c r="I570" s="5" t="s">
        <v>1266</v>
      </c>
      <c r="J570" s="12" t="s">
        <v>3147</v>
      </c>
      <c r="K570" s="5"/>
      <c r="L570" s="5"/>
      <c r="M570" s="5"/>
    </row>
    <row r="571" ht="15.75" customHeight="1">
      <c r="A571" s="5">
        <v>2022.0</v>
      </c>
      <c r="B571" s="83" t="s">
        <v>12</v>
      </c>
      <c r="C571" s="83"/>
      <c r="D571" s="12" t="s">
        <v>3148</v>
      </c>
      <c r="E571" s="76" t="s">
        <v>3149</v>
      </c>
      <c r="F571" s="82" t="s">
        <v>3150</v>
      </c>
      <c r="G571" s="12"/>
      <c r="H571" s="38" t="s">
        <v>3151</v>
      </c>
      <c r="I571" s="5" t="s">
        <v>1266</v>
      </c>
      <c r="J571" s="12" t="s">
        <v>3152</v>
      </c>
      <c r="K571" s="5"/>
      <c r="L571" s="5"/>
      <c r="M571" s="5"/>
    </row>
    <row r="572" ht="15.75" customHeight="1">
      <c r="A572" s="5">
        <v>2022.0</v>
      </c>
      <c r="B572" s="83" t="s">
        <v>12</v>
      </c>
      <c r="C572" s="83" t="s">
        <v>204</v>
      </c>
      <c r="D572" s="12" t="s">
        <v>3153</v>
      </c>
      <c r="E572" s="76" t="s">
        <v>3154</v>
      </c>
      <c r="F572" s="82" t="s">
        <v>3155</v>
      </c>
      <c r="G572" s="12" t="s">
        <v>3156</v>
      </c>
      <c r="H572" s="38" t="s">
        <v>3157</v>
      </c>
      <c r="I572" s="5" t="s">
        <v>1266</v>
      </c>
      <c r="J572" s="12" t="s">
        <v>3158</v>
      </c>
      <c r="K572" s="5"/>
      <c r="L572" s="5"/>
      <c r="M572" s="5"/>
    </row>
    <row r="573" ht="15.75" customHeight="1">
      <c r="A573" s="5">
        <v>2022.0</v>
      </c>
      <c r="B573" s="83" t="s">
        <v>12</v>
      </c>
      <c r="C573" s="83" t="s">
        <v>204</v>
      </c>
      <c r="D573" s="12" t="s">
        <v>3159</v>
      </c>
      <c r="E573" s="76" t="s">
        <v>3160</v>
      </c>
      <c r="F573" s="82" t="s">
        <v>3161</v>
      </c>
      <c r="G573" s="12" t="s">
        <v>3162</v>
      </c>
      <c r="H573" s="38" t="s">
        <v>3163</v>
      </c>
      <c r="I573" s="5" t="s">
        <v>1266</v>
      </c>
      <c r="J573" s="12" t="s">
        <v>3164</v>
      </c>
      <c r="K573" s="5"/>
      <c r="L573" s="5"/>
      <c r="M573" s="5"/>
    </row>
    <row r="574" ht="15.75" customHeight="1">
      <c r="A574" s="5">
        <v>2022.0</v>
      </c>
      <c r="B574" s="83" t="s">
        <v>12</v>
      </c>
      <c r="C574" s="83"/>
      <c r="D574" s="12" t="s">
        <v>3165</v>
      </c>
      <c r="E574" s="76" t="s">
        <v>3166</v>
      </c>
      <c r="F574" s="82" t="s">
        <v>3167</v>
      </c>
      <c r="G574" s="85" t="s">
        <v>3168</v>
      </c>
      <c r="H574" s="38" t="s">
        <v>3169</v>
      </c>
      <c r="I574" s="5" t="s">
        <v>1266</v>
      </c>
      <c r="J574" s="12" t="s">
        <v>3170</v>
      </c>
      <c r="K574" s="5"/>
      <c r="L574" s="5"/>
      <c r="M574" s="5"/>
    </row>
    <row r="575" ht="15.75" customHeight="1">
      <c r="A575" s="5">
        <v>2022.0</v>
      </c>
      <c r="B575" s="20" t="str">
        <f>HYPERLINK("https://shop.openbci.com/collections/frontpage/products/ganglion-board","Ganglion")</f>
        <v>Ganglion</v>
      </c>
      <c r="C575" s="83"/>
      <c r="D575" s="12" t="s">
        <v>3171</v>
      </c>
      <c r="E575" s="76" t="s">
        <v>3172</v>
      </c>
      <c r="F575" s="82" t="s">
        <v>3173</v>
      </c>
      <c r="G575" s="85" t="s">
        <v>3174</v>
      </c>
      <c r="H575" s="38" t="s">
        <v>3175</v>
      </c>
      <c r="I575" s="5" t="s">
        <v>1266</v>
      </c>
      <c r="J575" s="12" t="s">
        <v>3176</v>
      </c>
      <c r="K575" s="5"/>
      <c r="L575" s="5"/>
      <c r="M575" s="5"/>
    </row>
    <row r="576" ht="15.75" customHeight="1">
      <c r="A576" s="5">
        <v>2022.0</v>
      </c>
      <c r="B576" s="83" t="s">
        <v>62</v>
      </c>
      <c r="C576" s="83" t="s">
        <v>573</v>
      </c>
      <c r="D576" s="12" t="s">
        <v>3177</v>
      </c>
      <c r="E576" s="12" t="s">
        <v>3178</v>
      </c>
      <c r="F576" s="82" t="s">
        <v>3179</v>
      </c>
      <c r="G576" s="85" t="s">
        <v>3180</v>
      </c>
      <c r="H576" s="38" t="s">
        <v>3181</v>
      </c>
      <c r="I576" s="5" t="s">
        <v>1266</v>
      </c>
      <c r="J576" s="12" t="s">
        <v>3182</v>
      </c>
      <c r="K576" s="5"/>
      <c r="L576" s="5"/>
      <c r="M576" s="5"/>
    </row>
    <row r="577" ht="15.75" customHeight="1">
      <c r="A577" s="5">
        <v>2022.0</v>
      </c>
      <c r="B577" s="83" t="s">
        <v>12</v>
      </c>
      <c r="C577" s="83" t="s">
        <v>204</v>
      </c>
      <c r="D577" s="12" t="s">
        <v>3183</v>
      </c>
      <c r="E577" s="12" t="s">
        <v>3184</v>
      </c>
      <c r="F577" s="82" t="s">
        <v>3185</v>
      </c>
      <c r="G577" s="85" t="s">
        <v>3186</v>
      </c>
      <c r="H577" s="38"/>
      <c r="I577" s="5" t="s">
        <v>1266</v>
      </c>
      <c r="J577" s="12" t="s">
        <v>3187</v>
      </c>
      <c r="K577" s="5"/>
      <c r="L577" s="5"/>
      <c r="M577" s="5"/>
    </row>
    <row r="578" ht="15.75" customHeight="1">
      <c r="A578" s="5">
        <v>2022.0</v>
      </c>
      <c r="B578" s="83" t="s">
        <v>12</v>
      </c>
      <c r="C578" s="83"/>
      <c r="D578" s="12" t="s">
        <v>3188</v>
      </c>
      <c r="E578" s="12" t="s">
        <v>3189</v>
      </c>
      <c r="F578" s="82" t="s">
        <v>3190</v>
      </c>
      <c r="G578" s="85" t="s">
        <v>3191</v>
      </c>
      <c r="H578" s="38" t="s">
        <v>3192</v>
      </c>
      <c r="I578" s="5" t="s">
        <v>1266</v>
      </c>
      <c r="J578" s="12" t="s">
        <v>3193</v>
      </c>
      <c r="K578" s="5"/>
      <c r="L578" s="5"/>
      <c r="M578" s="5"/>
    </row>
    <row r="579" ht="15.75" customHeight="1">
      <c r="A579" s="5">
        <v>2022.0</v>
      </c>
      <c r="B579" s="20" t="str">
        <f>HYPERLINK("https://shop.openbci.com/collections/frontpage/products/ganglion-board","Ganglion")</f>
        <v>Ganglion</v>
      </c>
      <c r="C579" s="83"/>
      <c r="D579" s="12" t="s">
        <v>3194</v>
      </c>
      <c r="E579" s="12" t="s">
        <v>3195</v>
      </c>
      <c r="F579" s="82" t="s">
        <v>3196</v>
      </c>
      <c r="G579" s="85" t="s">
        <v>3197</v>
      </c>
      <c r="H579" s="38" t="s">
        <v>3198</v>
      </c>
      <c r="I579" s="5" t="s">
        <v>1266</v>
      </c>
      <c r="J579" s="12" t="s">
        <v>3199</v>
      </c>
      <c r="K579" s="5"/>
      <c r="L579" s="5"/>
      <c r="M579" s="5"/>
    </row>
    <row r="580" ht="15.75" customHeight="1">
      <c r="A580" s="5">
        <v>2022.0</v>
      </c>
      <c r="B580" s="83" t="s">
        <v>12</v>
      </c>
      <c r="C580" s="83"/>
      <c r="D580" s="12" t="s">
        <v>3200</v>
      </c>
      <c r="E580" s="12" t="s">
        <v>3201</v>
      </c>
      <c r="F580" s="82" t="s">
        <v>3202</v>
      </c>
      <c r="G580" s="85" t="s">
        <v>3203</v>
      </c>
      <c r="H580" s="38" t="s">
        <v>3204</v>
      </c>
      <c r="I580" s="5" t="s">
        <v>1266</v>
      </c>
      <c r="J580" s="12" t="s">
        <v>3205</v>
      </c>
      <c r="K580" s="5"/>
      <c r="L580" s="5"/>
      <c r="M580" s="5"/>
    </row>
    <row r="581" ht="15.75" customHeight="1">
      <c r="A581" s="5">
        <v>2022.0</v>
      </c>
      <c r="B581" s="83" t="s">
        <v>62</v>
      </c>
      <c r="C581" s="83" t="s">
        <v>204</v>
      </c>
      <c r="D581" s="12" t="s">
        <v>3206</v>
      </c>
      <c r="E581" s="12" t="s">
        <v>3207</v>
      </c>
      <c r="F581" s="82" t="s">
        <v>3208</v>
      </c>
      <c r="G581" s="85" t="s">
        <v>238</v>
      </c>
      <c r="H581" s="38" t="s">
        <v>3209</v>
      </c>
      <c r="I581" s="5" t="s">
        <v>1266</v>
      </c>
      <c r="J581" s="12"/>
      <c r="K581" s="5"/>
      <c r="L581" s="5"/>
      <c r="M581" s="5"/>
    </row>
    <row r="582" ht="15.75" customHeight="1">
      <c r="A582" s="5">
        <v>2022.0</v>
      </c>
      <c r="B582" s="83" t="s">
        <v>12</v>
      </c>
      <c r="C582" s="83"/>
      <c r="D582" s="12" t="s">
        <v>3210</v>
      </c>
      <c r="E582" s="12" t="s">
        <v>3211</v>
      </c>
      <c r="F582" s="82" t="s">
        <v>3212</v>
      </c>
      <c r="G582" s="85"/>
      <c r="H582" s="38" t="s">
        <v>3213</v>
      </c>
      <c r="I582" s="5" t="s">
        <v>1266</v>
      </c>
      <c r="J582" s="12" t="s">
        <v>3214</v>
      </c>
      <c r="K582" s="5"/>
      <c r="L582" s="5"/>
      <c r="M582" s="5"/>
    </row>
    <row r="583" ht="15.75" customHeight="1">
      <c r="A583" s="5">
        <v>2022.0</v>
      </c>
      <c r="B583" s="83" t="s">
        <v>12</v>
      </c>
      <c r="C583" s="83" t="s">
        <v>204</v>
      </c>
      <c r="D583" s="12" t="s">
        <v>3215</v>
      </c>
      <c r="E583" s="12" t="s">
        <v>3216</v>
      </c>
      <c r="F583" s="82" t="s">
        <v>3217</v>
      </c>
      <c r="G583" s="85" t="s">
        <v>3218</v>
      </c>
      <c r="H583" s="38" t="s">
        <v>3219</v>
      </c>
      <c r="I583" s="5" t="s">
        <v>1266</v>
      </c>
      <c r="J583" s="12" t="s">
        <v>3220</v>
      </c>
      <c r="K583" s="5"/>
      <c r="L583" s="5"/>
      <c r="M583" s="5"/>
    </row>
    <row r="584" ht="15.75" customHeight="1">
      <c r="A584" s="5">
        <v>2022.0</v>
      </c>
      <c r="B584" s="83" t="s">
        <v>12</v>
      </c>
      <c r="C584" s="83"/>
      <c r="D584" s="12" t="s">
        <v>3221</v>
      </c>
      <c r="E584" s="12" t="s">
        <v>3222</v>
      </c>
      <c r="F584" s="82" t="s">
        <v>3223</v>
      </c>
      <c r="G584" s="85" t="s">
        <v>3224</v>
      </c>
      <c r="H584" s="38" t="s">
        <v>3225</v>
      </c>
      <c r="I584" s="5" t="s">
        <v>1266</v>
      </c>
      <c r="J584" s="12" t="s">
        <v>3226</v>
      </c>
      <c r="K584" s="5"/>
      <c r="L584" s="5"/>
      <c r="M584" s="5"/>
    </row>
    <row r="585" ht="15.75" customHeight="1">
      <c r="A585" s="5">
        <v>2022.0</v>
      </c>
      <c r="B585" s="83" t="s">
        <v>12</v>
      </c>
      <c r="C585" s="81" t="s">
        <v>2843</v>
      </c>
      <c r="D585" s="12" t="s">
        <v>3227</v>
      </c>
      <c r="E585" s="12" t="s">
        <v>3228</v>
      </c>
      <c r="F585" s="82" t="s">
        <v>3229</v>
      </c>
      <c r="G585" s="85"/>
      <c r="H585" s="38"/>
      <c r="I585" s="5" t="s">
        <v>1266</v>
      </c>
      <c r="J585" s="12" t="s">
        <v>3230</v>
      </c>
      <c r="K585" s="5"/>
      <c r="L585" s="5"/>
      <c r="M585" s="5"/>
    </row>
    <row r="586" ht="15.75" customHeight="1">
      <c r="A586" s="5">
        <v>2022.0</v>
      </c>
      <c r="B586" s="83"/>
      <c r="C586" s="73"/>
      <c r="D586" s="86" t="s">
        <v>3231</v>
      </c>
      <c r="E586" s="87" t="s">
        <v>3232</v>
      </c>
      <c r="F586" s="82" t="s">
        <v>3233</v>
      </c>
      <c r="G586" s="85" t="s">
        <v>3234</v>
      </c>
      <c r="H586" s="38" t="s">
        <v>3235</v>
      </c>
      <c r="I586" s="5" t="s">
        <v>1266</v>
      </c>
      <c r="J586" s="12" t="s">
        <v>3236</v>
      </c>
      <c r="K586" s="5"/>
      <c r="L586" s="5"/>
      <c r="M586" s="5"/>
    </row>
    <row r="587" ht="15.75" customHeight="1">
      <c r="A587" s="5">
        <v>2022.0</v>
      </c>
      <c r="B587" s="83" t="s">
        <v>12</v>
      </c>
      <c r="C587" s="73"/>
      <c r="D587" s="86" t="s">
        <v>3237</v>
      </c>
      <c r="E587" s="87" t="s">
        <v>3238</v>
      </c>
      <c r="F587" s="82" t="s">
        <v>3239</v>
      </c>
      <c r="G587" s="85" t="s">
        <v>495</v>
      </c>
      <c r="H587" s="38" t="s">
        <v>3240</v>
      </c>
      <c r="I587" s="5" t="s">
        <v>1266</v>
      </c>
      <c r="J587" s="12" t="s">
        <v>3241</v>
      </c>
      <c r="K587" s="5"/>
      <c r="L587" s="5"/>
      <c r="M587" s="5"/>
    </row>
    <row r="588" ht="15.75" customHeight="1">
      <c r="A588" s="5">
        <v>2022.0</v>
      </c>
      <c r="B588" s="83" t="s">
        <v>3242</v>
      </c>
      <c r="C588" s="73"/>
      <c r="D588" s="86" t="s">
        <v>3243</v>
      </c>
      <c r="E588" s="87" t="s">
        <v>3244</v>
      </c>
      <c r="F588" s="82" t="s">
        <v>3245</v>
      </c>
      <c r="G588" s="85" t="s">
        <v>3246</v>
      </c>
      <c r="H588" s="38" t="s">
        <v>3247</v>
      </c>
      <c r="I588" s="5" t="s">
        <v>1266</v>
      </c>
      <c r="J588" s="12" t="s">
        <v>3248</v>
      </c>
      <c r="K588" s="5"/>
      <c r="L588" s="5"/>
      <c r="M588" s="5"/>
    </row>
    <row r="589" ht="15.75" customHeight="1">
      <c r="A589" s="5">
        <v>2022.0</v>
      </c>
      <c r="B589" s="83" t="s">
        <v>12</v>
      </c>
      <c r="C589" s="73"/>
      <c r="D589" s="12" t="s">
        <v>3249</v>
      </c>
      <c r="E589" s="87" t="s">
        <v>3250</v>
      </c>
      <c r="F589" s="82" t="s">
        <v>3251</v>
      </c>
      <c r="G589" s="85" t="s">
        <v>3252</v>
      </c>
      <c r="H589" s="38" t="s">
        <v>3253</v>
      </c>
      <c r="I589" s="5" t="s">
        <v>1266</v>
      </c>
      <c r="J589" s="88" t="s">
        <v>3254</v>
      </c>
      <c r="K589" s="5"/>
      <c r="L589" s="5"/>
      <c r="M589" s="5"/>
    </row>
    <row r="590" ht="15.75" customHeight="1">
      <c r="A590" s="5">
        <v>2022.0</v>
      </c>
      <c r="B590" s="6" t="s">
        <v>259</v>
      </c>
      <c r="C590" s="73"/>
      <c r="D590" s="12" t="s">
        <v>3255</v>
      </c>
      <c r="E590" s="87" t="s">
        <v>3256</v>
      </c>
      <c r="F590" s="82" t="s">
        <v>3257</v>
      </c>
      <c r="G590" s="85" t="s">
        <v>3258</v>
      </c>
      <c r="H590" s="38" t="s">
        <v>3259</v>
      </c>
      <c r="I590" s="5" t="s">
        <v>1266</v>
      </c>
      <c r="J590" s="88" t="s">
        <v>3260</v>
      </c>
      <c r="K590" s="5"/>
      <c r="L590" s="5"/>
      <c r="M590" s="5"/>
    </row>
    <row r="591" ht="15.75" customHeight="1">
      <c r="A591" s="5">
        <v>2022.0</v>
      </c>
      <c r="B591" s="6" t="s">
        <v>259</v>
      </c>
      <c r="C591" s="73"/>
      <c r="D591" s="12" t="s">
        <v>3261</v>
      </c>
      <c r="E591" s="87" t="s">
        <v>3262</v>
      </c>
      <c r="F591" s="82" t="s">
        <v>3263</v>
      </c>
      <c r="G591" s="85" t="s">
        <v>3264</v>
      </c>
      <c r="H591" s="38"/>
      <c r="I591" s="5" t="s">
        <v>1266</v>
      </c>
      <c r="J591" s="88" t="s">
        <v>3265</v>
      </c>
      <c r="K591" s="5"/>
      <c r="L591" s="5"/>
      <c r="M591" s="5"/>
    </row>
    <row r="592" ht="15.75" customHeight="1">
      <c r="A592" s="5">
        <v>2021.0</v>
      </c>
      <c r="B592" s="14" t="s">
        <v>12</v>
      </c>
      <c r="C592" s="6"/>
      <c r="D592" s="74" t="s">
        <v>3266</v>
      </c>
      <c r="E592" s="76" t="s">
        <v>3267</v>
      </c>
      <c r="F592" s="82" t="s">
        <v>3268</v>
      </c>
      <c r="G592" s="12" t="s">
        <v>3269</v>
      </c>
      <c r="H592" s="38" t="s">
        <v>3270</v>
      </c>
      <c r="I592" s="5" t="s">
        <v>3271</v>
      </c>
      <c r="J592" s="12" t="s">
        <v>3272</v>
      </c>
      <c r="K592" s="5"/>
      <c r="L592" s="5"/>
      <c r="M592" s="5"/>
    </row>
    <row r="593" ht="15.75" customHeight="1">
      <c r="A593" s="5">
        <v>2021.0</v>
      </c>
      <c r="B593" s="83" t="s">
        <v>12</v>
      </c>
      <c r="C593" s="83"/>
      <c r="D593" s="12" t="s">
        <v>3273</v>
      </c>
      <c r="E593" s="12" t="s">
        <v>3274</v>
      </c>
      <c r="F593" s="82" t="s">
        <v>3275</v>
      </c>
      <c r="G593" s="85" t="s">
        <v>3276</v>
      </c>
      <c r="H593" s="38" t="s">
        <v>3277</v>
      </c>
      <c r="I593" s="5" t="s">
        <v>1266</v>
      </c>
      <c r="J593" s="12" t="s">
        <v>3278</v>
      </c>
      <c r="K593" s="5"/>
      <c r="L593" s="5"/>
      <c r="M593" s="5"/>
    </row>
    <row r="594" ht="15.75" customHeight="1">
      <c r="A594" s="5">
        <v>2021.0</v>
      </c>
      <c r="B594" s="83" t="s">
        <v>12</v>
      </c>
      <c r="C594" s="83"/>
      <c r="D594" s="12" t="s">
        <v>3279</v>
      </c>
      <c r="E594" s="12" t="s">
        <v>3280</v>
      </c>
      <c r="F594" s="82" t="s">
        <v>3281</v>
      </c>
      <c r="G594" s="85" t="s">
        <v>3276</v>
      </c>
      <c r="H594" s="38" t="s">
        <v>3282</v>
      </c>
      <c r="I594" s="5" t="s">
        <v>1266</v>
      </c>
      <c r="J594" s="12" t="s">
        <v>3283</v>
      </c>
      <c r="K594" s="5"/>
      <c r="L594" s="5"/>
      <c r="M594" s="5"/>
    </row>
    <row r="595" ht="15.75" customHeight="1">
      <c r="A595" s="5">
        <v>2021.0</v>
      </c>
      <c r="B595" s="83" t="s">
        <v>12</v>
      </c>
      <c r="C595" s="83"/>
      <c r="D595" s="12" t="s">
        <v>3284</v>
      </c>
      <c r="E595" s="12" t="s">
        <v>3285</v>
      </c>
      <c r="F595" s="82" t="s">
        <v>3286</v>
      </c>
      <c r="G595" s="85" t="s">
        <v>3276</v>
      </c>
      <c r="H595" s="38" t="s">
        <v>3287</v>
      </c>
      <c r="I595" s="5" t="s">
        <v>1266</v>
      </c>
      <c r="J595" s="12" t="s">
        <v>3288</v>
      </c>
      <c r="K595" s="5"/>
      <c r="L595" s="5"/>
      <c r="M595" s="5"/>
    </row>
    <row r="596" ht="15.75" customHeight="1">
      <c r="A596" s="5">
        <v>2021.0</v>
      </c>
      <c r="B596" s="83" t="s">
        <v>12</v>
      </c>
      <c r="C596" s="83" t="s">
        <v>204</v>
      </c>
      <c r="D596" s="12" t="s">
        <v>3289</v>
      </c>
      <c r="E596" s="12" t="s">
        <v>3290</v>
      </c>
      <c r="F596" s="82" t="s">
        <v>3291</v>
      </c>
      <c r="G596" s="85" t="s">
        <v>3292</v>
      </c>
      <c r="H596" s="38" t="s">
        <v>3293</v>
      </c>
      <c r="I596" s="5" t="s">
        <v>1266</v>
      </c>
      <c r="J596" s="12" t="s">
        <v>3294</v>
      </c>
      <c r="K596" s="5"/>
      <c r="L596" s="5"/>
      <c r="M596" s="5"/>
    </row>
    <row r="597" ht="15.75" customHeight="1">
      <c r="A597" s="5">
        <v>2021.0</v>
      </c>
      <c r="B597" s="83" t="s">
        <v>12</v>
      </c>
      <c r="C597" s="83" t="s">
        <v>204</v>
      </c>
      <c r="D597" s="12" t="s">
        <v>3295</v>
      </c>
      <c r="E597" s="12" t="s">
        <v>3296</v>
      </c>
      <c r="F597" s="82" t="s">
        <v>3297</v>
      </c>
      <c r="G597" s="85" t="s">
        <v>3298</v>
      </c>
      <c r="H597" s="38"/>
      <c r="I597" s="5" t="s">
        <v>1266</v>
      </c>
      <c r="J597" s="12" t="s">
        <v>3299</v>
      </c>
      <c r="K597" s="5"/>
      <c r="L597" s="5"/>
      <c r="M597" s="5"/>
    </row>
    <row r="598" ht="15.75" customHeight="1">
      <c r="A598" s="5">
        <v>2021.0</v>
      </c>
      <c r="B598" s="83" t="s">
        <v>12</v>
      </c>
      <c r="C598" s="73"/>
      <c r="D598" s="86" t="s">
        <v>3300</v>
      </c>
      <c r="E598" s="87" t="s">
        <v>3301</v>
      </c>
      <c r="F598" s="82" t="s">
        <v>3302</v>
      </c>
      <c r="G598" s="85"/>
      <c r="H598" s="38"/>
      <c r="I598" s="5" t="s">
        <v>1266</v>
      </c>
      <c r="J598" s="12"/>
      <c r="K598" s="5"/>
      <c r="L598" s="5"/>
      <c r="M598" s="5"/>
    </row>
    <row r="599" ht="15.75" customHeight="1">
      <c r="A599" s="5">
        <v>2021.0</v>
      </c>
      <c r="B599" s="83" t="s">
        <v>12</v>
      </c>
      <c r="C599" s="73"/>
      <c r="D599" s="12" t="s">
        <v>3303</v>
      </c>
      <c r="E599" s="87" t="s">
        <v>3304</v>
      </c>
      <c r="F599" s="82" t="s">
        <v>3305</v>
      </c>
      <c r="G599" s="85" t="s">
        <v>3306</v>
      </c>
      <c r="H599" s="38"/>
      <c r="I599" s="5" t="s">
        <v>1266</v>
      </c>
      <c r="J599" s="12" t="s">
        <v>3307</v>
      </c>
      <c r="K599" s="5"/>
      <c r="L599" s="5"/>
      <c r="M599" s="5"/>
    </row>
    <row r="600" ht="15.75" customHeight="1">
      <c r="A600" s="5">
        <v>2021.0</v>
      </c>
      <c r="B600" s="14" t="str">
        <f>HYPERLINK("https://shop.openbci.com/collections/frontpage/products/ganglion-board","Ganglion")</f>
        <v>Ganglion</v>
      </c>
      <c r="C600" s="73" t="s">
        <v>1000</v>
      </c>
      <c r="D600" s="89" t="s">
        <v>3308</v>
      </c>
      <c r="E600" s="87" t="s">
        <v>3309</v>
      </c>
      <c r="F600" s="82" t="s">
        <v>3310</v>
      </c>
      <c r="G600" s="85" t="s">
        <v>3311</v>
      </c>
      <c r="H600" s="38" t="s">
        <v>3312</v>
      </c>
      <c r="I600" s="5" t="s">
        <v>1266</v>
      </c>
      <c r="J600" s="12" t="s">
        <v>3313</v>
      </c>
      <c r="K600" s="5"/>
      <c r="L600" s="5"/>
      <c r="M600" s="5"/>
    </row>
    <row r="601" ht="15.75" customHeight="1">
      <c r="A601" s="5">
        <v>2021.0</v>
      </c>
      <c r="B601" s="14" t="s">
        <v>12</v>
      </c>
      <c r="C601" s="14" t="s">
        <v>3314</v>
      </c>
      <c r="D601" s="74" t="s">
        <v>3315</v>
      </c>
      <c r="E601" s="76" t="s">
        <v>3316</v>
      </c>
      <c r="F601" s="9" t="s">
        <v>3317</v>
      </c>
      <c r="G601" s="12" t="s">
        <v>3318</v>
      </c>
      <c r="H601" s="38" t="s">
        <v>3319</v>
      </c>
      <c r="I601" s="5" t="s">
        <v>1266</v>
      </c>
      <c r="J601" s="12" t="s">
        <v>3320</v>
      </c>
      <c r="K601" s="5"/>
      <c r="L601" s="5"/>
      <c r="M601" s="5"/>
    </row>
    <row r="602" ht="15.75" customHeight="1">
      <c r="A602" s="5">
        <v>2021.0</v>
      </c>
      <c r="B602" s="90" t="s">
        <v>12</v>
      </c>
      <c r="C602" s="73" t="s">
        <v>3321</v>
      </c>
      <c r="D602" s="91" t="s">
        <v>3322</v>
      </c>
      <c r="E602" s="35" t="s">
        <v>3323</v>
      </c>
      <c r="F602" s="82" t="s">
        <v>3324</v>
      </c>
      <c r="G602" s="85" t="s">
        <v>3325</v>
      </c>
      <c r="H602" s="38" t="s">
        <v>3326</v>
      </c>
      <c r="I602" s="5" t="s">
        <v>1266</v>
      </c>
      <c r="J602" s="12" t="s">
        <v>3327</v>
      </c>
      <c r="K602" s="5"/>
      <c r="L602" s="5"/>
      <c r="M602" s="5"/>
    </row>
    <row r="603" ht="15.75" customHeight="1">
      <c r="A603" s="5">
        <v>2021.0</v>
      </c>
      <c r="B603" s="83" t="s">
        <v>12</v>
      </c>
      <c r="C603" s="83" t="s">
        <v>573</v>
      </c>
      <c r="D603" s="12" t="s">
        <v>3328</v>
      </c>
      <c r="E603" s="12" t="s">
        <v>3329</v>
      </c>
      <c r="F603" s="82" t="s">
        <v>3330</v>
      </c>
      <c r="G603" s="85"/>
      <c r="H603" s="38" t="s">
        <v>3331</v>
      </c>
      <c r="I603" s="5" t="s">
        <v>1266</v>
      </c>
      <c r="J603" s="12" t="s">
        <v>3332</v>
      </c>
      <c r="K603" s="5"/>
      <c r="L603" s="5"/>
      <c r="M603" s="5"/>
    </row>
    <row r="604" ht="15.75" customHeight="1">
      <c r="A604" s="5">
        <v>2021.0</v>
      </c>
      <c r="B604" s="83" t="s">
        <v>62</v>
      </c>
      <c r="C604" s="83" t="s">
        <v>204</v>
      </c>
      <c r="D604" s="12" t="s">
        <v>3333</v>
      </c>
      <c r="E604" s="12" t="s">
        <v>3334</v>
      </c>
      <c r="F604" s="92" t="s">
        <v>3335</v>
      </c>
      <c r="G604" s="85" t="s">
        <v>3336</v>
      </c>
      <c r="H604" s="38" t="s">
        <v>3337</v>
      </c>
      <c r="I604" s="5" t="s">
        <v>1266</v>
      </c>
      <c r="J604" s="12" t="s">
        <v>3338</v>
      </c>
      <c r="K604" s="5"/>
      <c r="L604" s="13" t="s">
        <v>3339</v>
      </c>
      <c r="M604" s="5"/>
    </row>
    <row r="605" ht="15.75" customHeight="1">
      <c r="A605" s="5">
        <v>2021.0</v>
      </c>
      <c r="B605" s="83" t="s">
        <v>12</v>
      </c>
      <c r="C605" s="83"/>
      <c r="D605" s="12" t="s">
        <v>3340</v>
      </c>
      <c r="E605" s="12" t="s">
        <v>3341</v>
      </c>
      <c r="F605" s="92" t="s">
        <v>3342</v>
      </c>
      <c r="G605" s="85" t="s">
        <v>3343</v>
      </c>
      <c r="H605" s="38" t="s">
        <v>3344</v>
      </c>
      <c r="I605" s="5" t="s">
        <v>1266</v>
      </c>
      <c r="J605" s="12" t="s">
        <v>3345</v>
      </c>
      <c r="K605" s="5"/>
      <c r="L605" s="5"/>
      <c r="M605" s="5"/>
    </row>
    <row r="606" ht="15.75" customHeight="1">
      <c r="A606" s="5">
        <v>2021.0</v>
      </c>
      <c r="B606" s="83" t="s">
        <v>12</v>
      </c>
      <c r="C606" s="93" t="s">
        <v>3346</v>
      </c>
      <c r="D606" s="12" t="s">
        <v>3347</v>
      </c>
      <c r="E606" s="12" t="s">
        <v>3348</v>
      </c>
      <c r="F606" s="92" t="s">
        <v>3349</v>
      </c>
      <c r="G606" s="85" t="s">
        <v>280</v>
      </c>
      <c r="H606" s="38" t="s">
        <v>3350</v>
      </c>
      <c r="I606" s="5" t="s">
        <v>1266</v>
      </c>
      <c r="J606" s="12" t="s">
        <v>3351</v>
      </c>
      <c r="K606" s="5"/>
      <c r="L606" s="5"/>
      <c r="M606" s="5"/>
    </row>
    <row r="607" ht="15.75" customHeight="1">
      <c r="A607" s="5">
        <v>2021.0</v>
      </c>
      <c r="B607" s="83" t="s">
        <v>12</v>
      </c>
      <c r="C607" s="83"/>
      <c r="D607" s="12" t="s">
        <v>3352</v>
      </c>
      <c r="E607" s="12" t="s">
        <v>3353</v>
      </c>
      <c r="F607" s="92" t="s">
        <v>3354</v>
      </c>
      <c r="G607" s="85" t="s">
        <v>1220</v>
      </c>
      <c r="H607" s="38" t="s">
        <v>3355</v>
      </c>
      <c r="I607" s="5" t="s">
        <v>1266</v>
      </c>
      <c r="J607" s="12" t="s">
        <v>3356</v>
      </c>
      <c r="K607" s="5"/>
      <c r="L607" s="5"/>
      <c r="M607" s="5"/>
    </row>
    <row r="608" ht="15.75" customHeight="1">
      <c r="A608" s="5">
        <v>2021.0</v>
      </c>
      <c r="B608" s="83" t="s">
        <v>12</v>
      </c>
      <c r="C608" s="83" t="s">
        <v>204</v>
      </c>
      <c r="D608" s="12" t="s">
        <v>3357</v>
      </c>
      <c r="E608" s="12" t="s">
        <v>3358</v>
      </c>
      <c r="F608" s="92" t="s">
        <v>3359</v>
      </c>
      <c r="G608" s="85" t="s">
        <v>3360</v>
      </c>
      <c r="H608" s="38" t="s">
        <v>3361</v>
      </c>
      <c r="I608" s="5" t="s">
        <v>1266</v>
      </c>
      <c r="J608" s="12" t="s">
        <v>3362</v>
      </c>
      <c r="K608" s="5"/>
      <c r="L608" s="5"/>
      <c r="M608" s="5"/>
    </row>
    <row r="609" ht="15.75" customHeight="1">
      <c r="A609" s="5">
        <v>2021.0</v>
      </c>
      <c r="B609" s="83" t="s">
        <v>12</v>
      </c>
      <c r="C609" s="81" t="str">
        <f>HYPERLINK("https://shop.openbci.com/collections/frontpage/products/skintact-f301-pediatric-foam-solid-gel-electrodes-30-pack?variant=29467659395","Skintact Foam Electrodes")</f>
        <v>Skintact Foam Electrodes</v>
      </c>
      <c r="D609" s="12" t="s">
        <v>3363</v>
      </c>
      <c r="E609" s="12" t="s">
        <v>3364</v>
      </c>
      <c r="F609" s="92" t="s">
        <v>3365</v>
      </c>
      <c r="G609" s="85" t="s">
        <v>3366</v>
      </c>
      <c r="H609" s="38"/>
      <c r="I609" s="5" t="s">
        <v>1266</v>
      </c>
      <c r="J609" s="12" t="s">
        <v>3367</v>
      </c>
      <c r="K609" s="5"/>
      <c r="L609" s="5"/>
      <c r="M609" s="5"/>
    </row>
    <row r="610" ht="15.75" customHeight="1">
      <c r="A610" s="5">
        <v>2021.0</v>
      </c>
      <c r="B610" s="83" t="s">
        <v>12</v>
      </c>
      <c r="C610" s="83" t="s">
        <v>204</v>
      </c>
      <c r="D610" s="12" t="s">
        <v>3368</v>
      </c>
      <c r="E610" s="12" t="s">
        <v>3369</v>
      </c>
      <c r="F610" s="92" t="s">
        <v>3370</v>
      </c>
      <c r="G610" s="85" t="s">
        <v>3371</v>
      </c>
      <c r="H610" s="38" t="s">
        <v>3372</v>
      </c>
      <c r="I610" s="5" t="s">
        <v>1266</v>
      </c>
      <c r="J610" s="12" t="s">
        <v>3373</v>
      </c>
      <c r="K610" s="5"/>
      <c r="L610" s="5"/>
      <c r="M610" s="5"/>
    </row>
    <row r="611" ht="15.75" customHeight="1">
      <c r="A611" s="5">
        <v>2021.0</v>
      </c>
      <c r="B611" s="83" t="s">
        <v>12</v>
      </c>
      <c r="C611" s="83" t="s">
        <v>204</v>
      </c>
      <c r="D611" s="12" t="s">
        <v>3374</v>
      </c>
      <c r="E611" s="12" t="s">
        <v>3375</v>
      </c>
      <c r="F611" s="92" t="s">
        <v>3376</v>
      </c>
      <c r="G611" s="94" t="s">
        <v>3377</v>
      </c>
      <c r="H611" s="38" t="s">
        <v>3378</v>
      </c>
      <c r="I611" s="5" t="s">
        <v>1266</v>
      </c>
      <c r="J611" s="12" t="s">
        <v>3379</v>
      </c>
      <c r="K611" s="5"/>
      <c r="L611" s="5"/>
      <c r="M611" s="5"/>
    </row>
    <row r="612" ht="15.75" customHeight="1">
      <c r="A612" s="5">
        <v>2021.0</v>
      </c>
      <c r="B612" s="83" t="s">
        <v>12</v>
      </c>
      <c r="C612" s="83" t="s">
        <v>204</v>
      </c>
      <c r="D612" s="12" t="s">
        <v>3380</v>
      </c>
      <c r="E612" s="12" t="s">
        <v>3381</v>
      </c>
      <c r="F612" s="92" t="s">
        <v>3382</v>
      </c>
      <c r="G612" s="85" t="s">
        <v>3383</v>
      </c>
      <c r="H612" s="38" t="s">
        <v>3384</v>
      </c>
      <c r="I612" s="5" t="s">
        <v>1266</v>
      </c>
      <c r="J612" s="12" t="s">
        <v>3385</v>
      </c>
      <c r="K612" s="5"/>
      <c r="L612" s="5"/>
      <c r="M612" s="5"/>
    </row>
    <row r="613" ht="15.75" customHeight="1">
      <c r="A613" s="5">
        <v>2021.0</v>
      </c>
      <c r="B613" s="83" t="s">
        <v>12</v>
      </c>
      <c r="C613" s="81" t="str">
        <f>HYPERLINK("https://shop.openbci.com/collections/frontpage/products/skintact-f301-pediatric-foam-solid-gel-electrodes-30-pack?variant=29467659395","Skintact Foam Electrodes")</f>
        <v>Skintact Foam Electrodes</v>
      </c>
      <c r="D613" s="12" t="s">
        <v>3386</v>
      </c>
      <c r="E613" s="12" t="s">
        <v>3387</v>
      </c>
      <c r="F613" s="92" t="s">
        <v>3388</v>
      </c>
      <c r="G613" s="85" t="s">
        <v>3389</v>
      </c>
      <c r="H613" s="38" t="s">
        <v>3390</v>
      </c>
      <c r="I613" s="5" t="s">
        <v>1266</v>
      </c>
      <c r="J613" s="12" t="s">
        <v>3391</v>
      </c>
      <c r="K613" s="5"/>
      <c r="L613" s="5"/>
      <c r="M613" s="5"/>
    </row>
    <row r="614" ht="15.75" customHeight="1">
      <c r="A614" s="5">
        <v>2021.0</v>
      </c>
      <c r="B614" s="83" t="s">
        <v>12</v>
      </c>
      <c r="C614" s="83"/>
      <c r="D614" s="12" t="s">
        <v>3392</v>
      </c>
      <c r="E614" s="12" t="s">
        <v>3393</v>
      </c>
      <c r="F614" s="92" t="s">
        <v>3394</v>
      </c>
      <c r="G614" s="12" t="s">
        <v>3395</v>
      </c>
      <c r="H614" s="38" t="s">
        <v>3396</v>
      </c>
      <c r="I614" s="5" t="s">
        <v>1266</v>
      </c>
      <c r="J614" s="12" t="s">
        <v>3397</v>
      </c>
      <c r="K614" s="5"/>
      <c r="L614" s="5"/>
      <c r="M614" s="5"/>
    </row>
    <row r="615" ht="15.75" customHeight="1">
      <c r="A615" s="12">
        <v>2021.0</v>
      </c>
      <c r="B615" s="14" t="str">
        <f>HYPERLINK("https://shop.openbci.com/collections/frontpage/products/ganglion-board","Ganglion")</f>
        <v>Ganglion</v>
      </c>
      <c r="C615" s="78"/>
      <c r="D615" s="12" t="s">
        <v>3398</v>
      </c>
      <c r="E615" s="12" t="s">
        <v>3399</v>
      </c>
      <c r="F615" s="82" t="s">
        <v>3400</v>
      </c>
      <c r="G615" s="12" t="s">
        <v>3401</v>
      </c>
      <c r="H615" s="38" t="s">
        <v>3402</v>
      </c>
      <c r="I615" s="5" t="s">
        <v>1266</v>
      </c>
      <c r="J615" s="12" t="s">
        <v>3403</v>
      </c>
      <c r="K615" s="78"/>
      <c r="L615" s="78"/>
      <c r="M615" s="78"/>
    </row>
    <row r="616">
      <c r="A616" s="12">
        <v>2021.0</v>
      </c>
      <c r="B616" s="90" t="s">
        <v>62</v>
      </c>
      <c r="C616" s="81" t="s">
        <v>573</v>
      </c>
      <c r="D616" s="12" t="s">
        <v>3404</v>
      </c>
      <c r="E616" s="93" t="s">
        <v>3405</v>
      </c>
      <c r="F616" s="82" t="s">
        <v>3406</v>
      </c>
      <c r="G616" s="12" t="s">
        <v>3407</v>
      </c>
      <c r="H616" s="38" t="s">
        <v>3408</v>
      </c>
      <c r="I616" s="5" t="s">
        <v>1266</v>
      </c>
      <c r="J616" s="78"/>
      <c r="K616" s="78"/>
      <c r="L616" s="78"/>
      <c r="M616" s="78"/>
    </row>
    <row r="617">
      <c r="A617" s="5">
        <v>2021.0</v>
      </c>
      <c r="B617" s="14" t="str">
        <f t="shared" ref="B617:B618" si="1">HYPERLINK("https://shop.openbci.com/collections/frontpage/products/ganglion-board","Ganglion")</f>
        <v>Ganglion</v>
      </c>
      <c r="C617" s="83"/>
      <c r="D617" s="12" t="s">
        <v>3409</v>
      </c>
      <c r="E617" s="12" t="s">
        <v>3410</v>
      </c>
      <c r="F617" s="92" t="s">
        <v>3411</v>
      </c>
      <c r="G617" s="12" t="s">
        <v>3412</v>
      </c>
      <c r="H617" s="38"/>
      <c r="I617" s="5" t="s">
        <v>1266</v>
      </c>
      <c r="J617" s="12" t="s">
        <v>3413</v>
      </c>
      <c r="K617" s="5"/>
      <c r="L617" s="5"/>
      <c r="M617" s="5"/>
    </row>
    <row r="618" ht="15.75" customHeight="1">
      <c r="A618" s="5">
        <v>2021.0</v>
      </c>
      <c r="B618" s="20" t="str">
        <f t="shared" si="1"/>
        <v>Ganglion</v>
      </c>
      <c r="C618" s="83"/>
      <c r="D618" s="12" t="s">
        <v>3414</v>
      </c>
      <c r="E618" s="12" t="s">
        <v>3415</v>
      </c>
      <c r="F618" s="92" t="s">
        <v>3416</v>
      </c>
      <c r="G618" s="12" t="s">
        <v>437</v>
      </c>
      <c r="H618" s="38" t="s">
        <v>3417</v>
      </c>
      <c r="I618" s="5" t="s">
        <v>1266</v>
      </c>
      <c r="J618" s="12" t="s">
        <v>3418</v>
      </c>
      <c r="K618" s="5"/>
      <c r="L618" s="5"/>
      <c r="M618" s="5"/>
    </row>
    <row r="619" ht="15.75" customHeight="1">
      <c r="A619" s="5">
        <v>2021.0</v>
      </c>
      <c r="B619" s="83" t="s">
        <v>12</v>
      </c>
      <c r="C619" s="83"/>
      <c r="D619" s="12" t="s">
        <v>3419</v>
      </c>
      <c r="E619" s="12" t="s">
        <v>3420</v>
      </c>
      <c r="F619" s="92" t="s">
        <v>3421</v>
      </c>
      <c r="G619" s="12" t="s">
        <v>3422</v>
      </c>
      <c r="H619" s="38" t="s">
        <v>3423</v>
      </c>
      <c r="I619" s="5" t="s">
        <v>1266</v>
      </c>
      <c r="J619" s="12" t="s">
        <v>3424</v>
      </c>
      <c r="K619" s="5"/>
      <c r="L619" s="5"/>
      <c r="M619" s="5"/>
    </row>
    <row r="620" ht="15.75" customHeight="1">
      <c r="A620" s="5">
        <v>2021.0</v>
      </c>
      <c r="B620" s="90" t="s">
        <v>12</v>
      </c>
      <c r="C620" s="81" t="s">
        <v>3425</v>
      </c>
      <c r="D620" s="12" t="s">
        <v>3426</v>
      </c>
      <c r="E620" s="12" t="s">
        <v>3427</v>
      </c>
      <c r="F620" s="92" t="s">
        <v>3428</v>
      </c>
      <c r="G620" s="95" t="s">
        <v>3429</v>
      </c>
      <c r="H620" s="38" t="s">
        <v>3430</v>
      </c>
      <c r="I620" s="5" t="s">
        <v>1266</v>
      </c>
      <c r="J620" s="12" t="s">
        <v>3431</v>
      </c>
      <c r="K620" s="5"/>
      <c r="L620" s="5"/>
      <c r="M620" s="5"/>
    </row>
    <row r="621" ht="15.75" customHeight="1">
      <c r="A621" s="5">
        <v>2021.0</v>
      </c>
      <c r="B621" s="83" t="s">
        <v>62</v>
      </c>
      <c r="C621" s="83" t="s">
        <v>204</v>
      </c>
      <c r="D621" s="12" t="s">
        <v>3432</v>
      </c>
      <c r="E621" s="12" t="s">
        <v>3433</v>
      </c>
      <c r="F621" s="92" t="s">
        <v>3434</v>
      </c>
      <c r="G621" s="95" t="s">
        <v>3435</v>
      </c>
      <c r="H621" s="38" t="s">
        <v>3436</v>
      </c>
      <c r="I621" s="5" t="s">
        <v>1266</v>
      </c>
      <c r="J621" s="12" t="s">
        <v>3437</v>
      </c>
      <c r="K621" s="5"/>
      <c r="L621" s="5"/>
      <c r="M621" s="5"/>
    </row>
    <row r="622" ht="15.75" customHeight="1">
      <c r="A622" s="5">
        <v>2021.0</v>
      </c>
      <c r="B622" s="83" t="s">
        <v>12</v>
      </c>
      <c r="C622" s="83" t="s">
        <v>204</v>
      </c>
      <c r="D622" s="12" t="s">
        <v>3438</v>
      </c>
      <c r="E622" s="12" t="s">
        <v>3439</v>
      </c>
      <c r="F622" s="92" t="s">
        <v>3440</v>
      </c>
      <c r="G622" s="95" t="s">
        <v>3441</v>
      </c>
      <c r="H622" s="38"/>
      <c r="I622" s="5" t="s">
        <v>1266</v>
      </c>
      <c r="J622" s="12" t="s">
        <v>3442</v>
      </c>
      <c r="K622" s="5"/>
      <c r="L622" s="5"/>
      <c r="M622" s="5"/>
    </row>
    <row r="623" ht="15.75" customHeight="1">
      <c r="A623" s="5">
        <v>2021.0</v>
      </c>
      <c r="B623" s="83" t="s">
        <v>62</v>
      </c>
      <c r="C623" s="83" t="s">
        <v>204</v>
      </c>
      <c r="D623" s="12" t="s">
        <v>3443</v>
      </c>
      <c r="E623" s="12" t="s">
        <v>3444</v>
      </c>
      <c r="F623" s="92" t="s">
        <v>3445</v>
      </c>
      <c r="G623" s="12" t="s">
        <v>3446</v>
      </c>
      <c r="H623" s="38" t="s">
        <v>3447</v>
      </c>
      <c r="I623" s="5" t="s">
        <v>1266</v>
      </c>
      <c r="J623" s="12" t="s">
        <v>3448</v>
      </c>
      <c r="K623" s="5"/>
      <c r="L623" s="5"/>
      <c r="M623" s="5"/>
    </row>
    <row r="624" ht="15.75" customHeight="1">
      <c r="A624" s="5">
        <v>2021.0</v>
      </c>
      <c r="B624" s="83" t="s">
        <v>3449</v>
      </c>
      <c r="C624" s="93"/>
      <c r="D624" s="12" t="s">
        <v>3450</v>
      </c>
      <c r="E624" s="12" t="s">
        <v>3451</v>
      </c>
      <c r="F624" s="92" t="s">
        <v>3452</v>
      </c>
      <c r="G624" s="12" t="s">
        <v>3453</v>
      </c>
      <c r="H624" s="38" t="s">
        <v>3454</v>
      </c>
      <c r="I624" s="5" t="s">
        <v>1266</v>
      </c>
      <c r="J624" s="12"/>
      <c r="K624" s="5"/>
      <c r="L624" s="5"/>
      <c r="M624" s="5"/>
    </row>
    <row r="625" ht="15.75" customHeight="1">
      <c r="A625" s="5">
        <v>2021.0</v>
      </c>
      <c r="B625" s="83" t="s">
        <v>12</v>
      </c>
      <c r="C625" s="93"/>
      <c r="D625" s="12" t="s">
        <v>3455</v>
      </c>
      <c r="E625" s="12" t="s">
        <v>3456</v>
      </c>
      <c r="F625" s="92" t="s">
        <v>3457</v>
      </c>
      <c r="G625" s="12"/>
      <c r="H625" s="38" t="s">
        <v>3458</v>
      </c>
      <c r="I625" s="5" t="s">
        <v>1266</v>
      </c>
      <c r="J625" s="12" t="s">
        <v>3459</v>
      </c>
      <c r="K625" s="5"/>
      <c r="L625" s="5"/>
      <c r="M625" s="5"/>
    </row>
    <row r="626" ht="15.75" customHeight="1">
      <c r="A626" s="5">
        <v>2021.0</v>
      </c>
      <c r="B626" s="93" t="s">
        <v>3460</v>
      </c>
      <c r="C626" s="93"/>
      <c r="D626" s="12" t="s">
        <v>3461</v>
      </c>
      <c r="E626" s="12" t="s">
        <v>3462</v>
      </c>
      <c r="F626" s="92" t="s">
        <v>3463</v>
      </c>
      <c r="G626" s="96" t="s">
        <v>3464</v>
      </c>
      <c r="H626" s="38" t="s">
        <v>3465</v>
      </c>
      <c r="I626" s="5" t="s">
        <v>1266</v>
      </c>
      <c r="J626" s="12" t="s">
        <v>3466</v>
      </c>
      <c r="K626" s="97"/>
      <c r="L626" s="97"/>
      <c r="M626" s="97"/>
    </row>
    <row r="627" ht="15.75" customHeight="1">
      <c r="A627" s="5">
        <v>2021.0</v>
      </c>
      <c r="B627" s="6" t="s">
        <v>3460</v>
      </c>
      <c r="C627" s="83"/>
      <c r="D627" s="12" t="s">
        <v>3467</v>
      </c>
      <c r="E627" s="12" t="s">
        <v>3468</v>
      </c>
      <c r="F627" s="92" t="s">
        <v>3469</v>
      </c>
      <c r="G627" s="12" t="s">
        <v>3470</v>
      </c>
      <c r="H627" s="38" t="s">
        <v>3471</v>
      </c>
      <c r="I627" s="5" t="s">
        <v>1266</v>
      </c>
      <c r="J627" s="12"/>
      <c r="K627" s="5"/>
      <c r="L627" s="5"/>
      <c r="M627" s="5"/>
    </row>
    <row r="628" ht="15.75" customHeight="1">
      <c r="A628" s="5">
        <v>2021.0</v>
      </c>
      <c r="B628" s="6" t="s">
        <v>3460</v>
      </c>
      <c r="C628" s="83"/>
      <c r="D628" s="12" t="s">
        <v>3472</v>
      </c>
      <c r="E628" s="12" t="s">
        <v>3473</v>
      </c>
      <c r="F628" s="92" t="s">
        <v>3474</v>
      </c>
      <c r="G628" s="12" t="s">
        <v>3475</v>
      </c>
      <c r="H628" s="38" t="s">
        <v>3476</v>
      </c>
      <c r="I628" s="5" t="s">
        <v>3477</v>
      </c>
      <c r="J628" s="12" t="s">
        <v>3478</v>
      </c>
      <c r="K628" s="5"/>
      <c r="L628" s="5"/>
      <c r="M628" s="5"/>
    </row>
    <row r="629" ht="15.75" customHeight="1">
      <c r="A629" s="5">
        <v>2021.0</v>
      </c>
      <c r="B629" s="83" t="s">
        <v>12</v>
      </c>
      <c r="C629" s="93"/>
      <c r="D629" s="12" t="s">
        <v>3479</v>
      </c>
      <c r="E629" s="12" t="s">
        <v>3480</v>
      </c>
      <c r="F629" s="92" t="s">
        <v>3481</v>
      </c>
      <c r="G629" s="96" t="s">
        <v>3482</v>
      </c>
      <c r="H629" s="38" t="s">
        <v>3483</v>
      </c>
      <c r="I629" s="5" t="s">
        <v>1266</v>
      </c>
      <c r="J629" s="12" t="s">
        <v>3484</v>
      </c>
      <c r="K629" s="97"/>
      <c r="L629" s="97"/>
      <c r="M629" s="97"/>
    </row>
    <row r="630" ht="15.75" customHeight="1">
      <c r="A630" s="5">
        <v>2021.0</v>
      </c>
      <c r="B630" s="83" t="s">
        <v>12</v>
      </c>
      <c r="C630" s="93" t="s">
        <v>3485</v>
      </c>
      <c r="D630" s="12" t="s">
        <v>3486</v>
      </c>
      <c r="E630" s="12" t="s">
        <v>3487</v>
      </c>
      <c r="F630" s="92" t="s">
        <v>3488</v>
      </c>
      <c r="G630" s="96" t="s">
        <v>285</v>
      </c>
      <c r="H630" s="38" t="s">
        <v>3489</v>
      </c>
      <c r="I630" s="5" t="s">
        <v>1266</v>
      </c>
      <c r="J630" s="12" t="s">
        <v>3490</v>
      </c>
      <c r="K630" s="97"/>
      <c r="L630" s="97"/>
      <c r="M630" s="97"/>
    </row>
    <row r="631" ht="15.75" customHeight="1">
      <c r="A631" s="5">
        <v>2021.0</v>
      </c>
      <c r="B631" s="83" t="s">
        <v>12</v>
      </c>
      <c r="C631" s="83"/>
      <c r="D631" s="12" t="s">
        <v>3491</v>
      </c>
      <c r="E631" s="12" t="s">
        <v>3492</v>
      </c>
      <c r="F631" s="92" t="s">
        <v>3493</v>
      </c>
      <c r="G631" s="96" t="s">
        <v>3494</v>
      </c>
      <c r="H631" s="38" t="s">
        <v>3495</v>
      </c>
      <c r="I631" s="5" t="s">
        <v>1266</v>
      </c>
      <c r="J631" s="78"/>
      <c r="K631" s="97"/>
      <c r="L631" s="97"/>
      <c r="M631" s="97"/>
    </row>
    <row r="632" ht="15.75" customHeight="1">
      <c r="A632" s="5">
        <v>2021.0</v>
      </c>
      <c r="B632" s="83" t="s">
        <v>12</v>
      </c>
      <c r="C632" s="83"/>
      <c r="D632" s="12" t="s">
        <v>3496</v>
      </c>
      <c r="E632" s="12" t="s">
        <v>3497</v>
      </c>
      <c r="F632" s="92" t="s">
        <v>3498</v>
      </c>
      <c r="G632" s="96" t="s">
        <v>3499</v>
      </c>
      <c r="H632" s="38" t="s">
        <v>3500</v>
      </c>
      <c r="I632" s="5" t="s">
        <v>1266</v>
      </c>
      <c r="J632" s="12" t="s">
        <v>3501</v>
      </c>
      <c r="K632" s="97"/>
      <c r="L632" s="97"/>
      <c r="M632" s="97"/>
    </row>
    <row r="633" ht="15.75" customHeight="1">
      <c r="A633" s="5">
        <v>2021.0</v>
      </c>
      <c r="B633" s="83" t="s">
        <v>12</v>
      </c>
      <c r="C633" s="83" t="s">
        <v>204</v>
      </c>
      <c r="D633" s="12" t="s">
        <v>3502</v>
      </c>
      <c r="E633" s="12" t="s">
        <v>3503</v>
      </c>
      <c r="F633" s="92" t="s">
        <v>3504</v>
      </c>
      <c r="G633" s="96" t="s">
        <v>3505</v>
      </c>
      <c r="H633" s="38" t="s">
        <v>3506</v>
      </c>
      <c r="I633" s="5" t="s">
        <v>1266</v>
      </c>
      <c r="J633" s="12" t="s">
        <v>3507</v>
      </c>
      <c r="K633" s="97"/>
      <c r="L633" s="97"/>
      <c r="M633" s="97"/>
    </row>
    <row r="634" ht="15.75" customHeight="1">
      <c r="A634" s="5">
        <v>2021.0</v>
      </c>
      <c r="B634" s="83" t="s">
        <v>12</v>
      </c>
      <c r="C634" s="83"/>
      <c r="D634" s="12" t="s">
        <v>3508</v>
      </c>
      <c r="E634" s="12" t="s">
        <v>3509</v>
      </c>
      <c r="F634" s="92" t="s">
        <v>3510</v>
      </c>
      <c r="G634" s="96" t="s">
        <v>280</v>
      </c>
      <c r="H634" s="38" t="s">
        <v>3511</v>
      </c>
      <c r="I634" s="5" t="s">
        <v>1266</v>
      </c>
      <c r="J634" s="12" t="s">
        <v>3512</v>
      </c>
      <c r="K634" s="97"/>
      <c r="L634" s="97"/>
      <c r="M634" s="97"/>
    </row>
    <row r="635" ht="15.75" customHeight="1">
      <c r="A635" s="5">
        <v>2021.0</v>
      </c>
      <c r="B635" s="83"/>
      <c r="C635" s="83" t="s">
        <v>204</v>
      </c>
      <c r="D635" s="12" t="s">
        <v>3513</v>
      </c>
      <c r="E635" s="12" t="s">
        <v>3514</v>
      </c>
      <c r="F635" s="92" t="s">
        <v>3515</v>
      </c>
      <c r="G635" s="96" t="s">
        <v>3516</v>
      </c>
      <c r="H635" s="38" t="s">
        <v>3517</v>
      </c>
      <c r="I635" s="5" t="s">
        <v>1266</v>
      </c>
      <c r="J635" s="12" t="s">
        <v>3518</v>
      </c>
      <c r="K635" s="5"/>
      <c r="L635" s="5"/>
      <c r="M635" s="5"/>
    </row>
    <row r="636" ht="15.75" customHeight="1">
      <c r="A636" s="5">
        <v>2021.0</v>
      </c>
      <c r="B636" s="83" t="s">
        <v>12</v>
      </c>
      <c r="C636" s="83" t="s">
        <v>3519</v>
      </c>
      <c r="D636" s="12" t="s">
        <v>3520</v>
      </c>
      <c r="E636" s="12" t="s">
        <v>3521</v>
      </c>
      <c r="F636" s="92" t="s">
        <v>3522</v>
      </c>
      <c r="G636" s="96" t="s">
        <v>3523</v>
      </c>
      <c r="H636" s="38"/>
      <c r="I636" s="5" t="s">
        <v>1266</v>
      </c>
      <c r="J636" s="12" t="s">
        <v>3524</v>
      </c>
      <c r="K636" s="5"/>
      <c r="L636" s="5" t="s">
        <v>3525</v>
      </c>
      <c r="M636" s="5"/>
    </row>
    <row r="637" ht="15.75" customHeight="1">
      <c r="A637" s="5">
        <v>2021.0</v>
      </c>
      <c r="B637" s="83" t="s">
        <v>62</v>
      </c>
      <c r="C637" s="83" t="s">
        <v>204</v>
      </c>
      <c r="D637" s="12" t="s">
        <v>3526</v>
      </c>
      <c r="E637" s="12" t="s">
        <v>3527</v>
      </c>
      <c r="F637" s="92" t="s">
        <v>3528</v>
      </c>
      <c r="G637" s="96" t="s">
        <v>3529</v>
      </c>
      <c r="H637" s="38" t="s">
        <v>3530</v>
      </c>
      <c r="I637" s="5" t="s">
        <v>1266</v>
      </c>
      <c r="J637" s="12" t="s">
        <v>3531</v>
      </c>
      <c r="K637" s="97"/>
      <c r="L637" s="97"/>
      <c r="M637" s="97"/>
    </row>
    <row r="638" ht="15.75" customHeight="1">
      <c r="A638" s="5">
        <v>2021.0</v>
      </c>
      <c r="B638" s="83" t="s">
        <v>12</v>
      </c>
      <c r="C638" s="81"/>
      <c r="D638" s="98" t="s">
        <v>3532</v>
      </c>
      <c r="E638" s="12" t="s">
        <v>3533</v>
      </c>
      <c r="F638" s="92" t="s">
        <v>3534</v>
      </c>
      <c r="G638" s="96" t="s">
        <v>280</v>
      </c>
      <c r="H638" s="38" t="s">
        <v>3535</v>
      </c>
      <c r="I638" s="5" t="s">
        <v>1266</v>
      </c>
      <c r="J638" s="12" t="s">
        <v>3536</v>
      </c>
      <c r="K638" s="97"/>
      <c r="L638" s="97"/>
      <c r="M638" s="97"/>
    </row>
    <row r="639" ht="15.75" customHeight="1">
      <c r="A639" s="5">
        <v>2021.0</v>
      </c>
      <c r="B639" s="99" t="s">
        <v>3537</v>
      </c>
      <c r="C639" s="81" t="str">
        <f>HYPERLINK("https://shop.openbci.com/collections/frontpage/products/skintact-f301-pediatric-foam-solid-gel-electrodes-30-pack?variant=29467659395","Skintact Foam Electrodes")</f>
        <v>Skintact Foam Electrodes</v>
      </c>
      <c r="D639" s="12" t="s">
        <v>3538</v>
      </c>
      <c r="E639" s="12" t="s">
        <v>3539</v>
      </c>
      <c r="F639" s="92" t="s">
        <v>3540</v>
      </c>
      <c r="G639" s="96" t="s">
        <v>3541</v>
      </c>
      <c r="H639" s="38" t="s">
        <v>3542</v>
      </c>
      <c r="I639" s="5" t="s">
        <v>1266</v>
      </c>
      <c r="J639" s="12" t="s">
        <v>3543</v>
      </c>
      <c r="K639" s="97"/>
      <c r="L639" s="97"/>
      <c r="M639" s="97"/>
    </row>
    <row r="640" ht="15.75" customHeight="1">
      <c r="A640" s="5">
        <v>2021.0</v>
      </c>
      <c r="B640" s="90"/>
      <c r="C640" s="83"/>
      <c r="D640" s="12" t="s">
        <v>3544</v>
      </c>
      <c r="E640" s="12" t="s">
        <v>3545</v>
      </c>
      <c r="F640" s="92" t="s">
        <v>3546</v>
      </c>
      <c r="G640" s="96" t="s">
        <v>3547</v>
      </c>
      <c r="H640" s="38" t="s">
        <v>3548</v>
      </c>
      <c r="I640" s="5" t="s">
        <v>1266</v>
      </c>
      <c r="J640" s="12" t="s">
        <v>3549</v>
      </c>
      <c r="K640" s="97"/>
      <c r="L640" s="97"/>
      <c r="M640" s="97"/>
    </row>
    <row r="641" ht="15.75" customHeight="1">
      <c r="A641" s="93">
        <v>2021.0</v>
      </c>
      <c r="B641" s="100" t="str">
        <f t="shared" ref="B641:B643" si="2">HYPERLINK("https://shop.openbci.com/collections/frontpage/products/cyton-biosensing-board-8-channel","Cyton Board")</f>
        <v>Cyton Board</v>
      </c>
      <c r="C641" s="78"/>
      <c r="D641" s="93" t="s">
        <v>3550</v>
      </c>
      <c r="E641" s="93" t="s">
        <v>3551</v>
      </c>
      <c r="F641" s="100" t="s">
        <v>3552</v>
      </c>
      <c r="G641" s="93" t="s">
        <v>3553</v>
      </c>
      <c r="H641" s="38" t="s">
        <v>3554</v>
      </c>
      <c r="I641" s="93" t="s">
        <v>1266</v>
      </c>
      <c r="J641" s="93" t="s">
        <v>3555</v>
      </c>
      <c r="K641" s="101"/>
      <c r="L641" s="101" t="s">
        <v>13</v>
      </c>
      <c r="M641" s="101"/>
    </row>
    <row r="642" ht="15.75" customHeight="1">
      <c r="A642" s="93">
        <v>2021.0</v>
      </c>
      <c r="B642" s="100" t="str">
        <f t="shared" si="2"/>
        <v>Cyton Board</v>
      </c>
      <c r="C642" s="12" t="s">
        <v>13</v>
      </c>
      <c r="D642" s="100" t="s">
        <v>3556</v>
      </c>
      <c r="E642" s="93" t="s">
        <v>3557</v>
      </c>
      <c r="F642" s="79" t="s">
        <v>3558</v>
      </c>
      <c r="G642" s="93" t="s">
        <v>3559</v>
      </c>
      <c r="H642" s="38" t="s">
        <v>3560</v>
      </c>
      <c r="I642" s="93" t="s">
        <v>1266</v>
      </c>
      <c r="J642" s="93" t="s">
        <v>3561</v>
      </c>
      <c r="K642" s="101"/>
      <c r="L642" s="101" t="s">
        <v>13</v>
      </c>
      <c r="M642" s="101"/>
    </row>
    <row r="643" ht="15.75" customHeight="1">
      <c r="A643" s="93">
        <v>2021.0</v>
      </c>
      <c r="B643" s="100" t="str">
        <f t="shared" si="2"/>
        <v>Cyton Board</v>
      </c>
      <c r="C643" s="78"/>
      <c r="D643" s="93" t="s">
        <v>3562</v>
      </c>
      <c r="E643" s="93" t="s">
        <v>3563</v>
      </c>
      <c r="F643" s="100" t="s">
        <v>3564</v>
      </c>
      <c r="G643" s="93" t="s">
        <v>3565</v>
      </c>
      <c r="H643" s="38" t="s">
        <v>3566</v>
      </c>
      <c r="I643" s="93" t="s">
        <v>1266</v>
      </c>
      <c r="J643" s="93" t="s">
        <v>3567</v>
      </c>
      <c r="K643" s="101"/>
      <c r="L643" s="101" t="s">
        <v>13</v>
      </c>
      <c r="M643" s="101"/>
    </row>
    <row r="644" ht="15.75" customHeight="1">
      <c r="A644" s="93">
        <v>2021.0</v>
      </c>
      <c r="B644" s="100" t="s">
        <v>62</v>
      </c>
      <c r="C644" s="12" t="s">
        <v>1000</v>
      </c>
      <c r="D644" s="93" t="s">
        <v>3568</v>
      </c>
      <c r="E644" s="93" t="s">
        <v>3569</v>
      </c>
      <c r="F644" s="79" t="s">
        <v>3570</v>
      </c>
      <c r="G644" s="93" t="s">
        <v>3523</v>
      </c>
      <c r="H644" s="38" t="s">
        <v>3571</v>
      </c>
      <c r="I644" s="93" t="s">
        <v>1266</v>
      </c>
      <c r="J644" s="93" t="s">
        <v>3572</v>
      </c>
      <c r="K644" s="101"/>
      <c r="L644" s="101" t="s">
        <v>13</v>
      </c>
      <c r="M644" s="101"/>
    </row>
    <row r="645" ht="15.75" customHeight="1">
      <c r="A645" s="93">
        <v>2021.0</v>
      </c>
      <c r="B645" s="93" t="s">
        <v>988</v>
      </c>
      <c r="C645" s="78"/>
      <c r="D645" s="93" t="s">
        <v>3573</v>
      </c>
      <c r="E645" s="93" t="s">
        <v>3574</v>
      </c>
      <c r="F645" s="100" t="s">
        <v>3575</v>
      </c>
      <c r="G645" s="93" t="s">
        <v>2926</v>
      </c>
      <c r="H645" s="38" t="s">
        <v>3576</v>
      </c>
      <c r="I645" s="93" t="s">
        <v>1266</v>
      </c>
      <c r="J645" s="93" t="s">
        <v>3577</v>
      </c>
      <c r="K645" s="101"/>
      <c r="L645" s="101" t="s">
        <v>13</v>
      </c>
      <c r="M645" s="101"/>
    </row>
    <row r="646" ht="15.75" customHeight="1">
      <c r="A646" s="93">
        <v>2021.0</v>
      </c>
      <c r="B646" s="100" t="str">
        <f>HYPERLINK("https://shop.openbci.com/collections/frontpage/products/cyton-biosensing-board-8-channel","Cyton Board")</f>
        <v>Cyton Board</v>
      </c>
      <c r="C646" s="78"/>
      <c r="D646" s="93" t="s">
        <v>3578</v>
      </c>
      <c r="E646" s="93" t="s">
        <v>3579</v>
      </c>
      <c r="F646" s="100" t="s">
        <v>3580</v>
      </c>
      <c r="G646" s="93" t="s">
        <v>3581</v>
      </c>
      <c r="H646" s="38" t="s">
        <v>3582</v>
      </c>
      <c r="I646" s="93" t="s">
        <v>1266</v>
      </c>
      <c r="J646" s="93"/>
      <c r="K646" s="101"/>
      <c r="L646" s="101" t="s">
        <v>13</v>
      </c>
      <c r="M646" s="101"/>
    </row>
    <row r="647" ht="15.75" customHeight="1">
      <c r="A647" s="101">
        <v>2021.0</v>
      </c>
      <c r="B647" s="100" t="s">
        <v>62</v>
      </c>
      <c r="C647" s="102"/>
      <c r="D647" s="9" t="s">
        <v>3583</v>
      </c>
      <c r="E647" s="12" t="s">
        <v>3584</v>
      </c>
      <c r="F647" s="103" t="s">
        <v>3585</v>
      </c>
      <c r="G647" s="12" t="s">
        <v>3586</v>
      </c>
      <c r="H647" s="38" t="s">
        <v>3587</v>
      </c>
      <c r="I647" s="101" t="s">
        <v>1266</v>
      </c>
      <c r="J647" s="12" t="s">
        <v>3588</v>
      </c>
      <c r="K647" s="101"/>
      <c r="L647" s="101" t="s">
        <v>13</v>
      </c>
      <c r="M647" s="101"/>
    </row>
    <row r="648" ht="15.75" customHeight="1">
      <c r="A648" s="101">
        <v>2021.0</v>
      </c>
      <c r="B648" s="104" t="s">
        <v>62</v>
      </c>
      <c r="C648" s="102"/>
      <c r="D648" s="100" t="s">
        <v>3589</v>
      </c>
      <c r="E648" s="12" t="s">
        <v>3590</v>
      </c>
      <c r="F648" s="92" t="s">
        <v>3591</v>
      </c>
      <c r="G648" s="101" t="s">
        <v>3592</v>
      </c>
      <c r="H648" s="38" t="s">
        <v>3593</v>
      </c>
      <c r="I648" s="101" t="s">
        <v>1266</v>
      </c>
      <c r="J648" s="101" t="s">
        <v>3594</v>
      </c>
      <c r="K648" s="101"/>
      <c r="L648" s="101" t="s">
        <v>13</v>
      </c>
      <c r="M648" s="101"/>
    </row>
    <row r="649" ht="15.75" customHeight="1">
      <c r="A649" s="101">
        <v>2021.0</v>
      </c>
      <c r="B649" s="100" t="str">
        <f t="shared" ref="B649:B650" si="3">HYPERLINK("https://shop.openbci.com/collections/frontpage/products/cyton-biosensing-board-8-channel","Cyton Board")</f>
        <v>Cyton Board</v>
      </c>
      <c r="C649" s="102"/>
      <c r="D649" s="105" t="s">
        <v>3595</v>
      </c>
      <c r="E649" s="93" t="s">
        <v>3596</v>
      </c>
      <c r="F649" s="103" t="s">
        <v>3597</v>
      </c>
      <c r="G649" s="100" t="s">
        <v>3598</v>
      </c>
      <c r="H649" s="38" t="s">
        <v>3599</v>
      </c>
      <c r="I649" s="101" t="s">
        <v>1266</v>
      </c>
      <c r="J649" s="101" t="s">
        <v>3600</v>
      </c>
      <c r="K649" s="101"/>
      <c r="L649" s="101"/>
      <c r="M649" s="101"/>
    </row>
    <row r="650" ht="15.75" customHeight="1">
      <c r="A650" s="101">
        <v>2021.0</v>
      </c>
      <c r="B650" s="100" t="str">
        <f t="shared" si="3"/>
        <v>Cyton Board</v>
      </c>
      <c r="C650" s="102"/>
      <c r="D650" s="105" t="s">
        <v>3601</v>
      </c>
      <c r="E650" s="93" t="s">
        <v>3602</v>
      </c>
      <c r="F650" s="92" t="s">
        <v>3603</v>
      </c>
      <c r="G650" s="100" t="s">
        <v>3604</v>
      </c>
      <c r="H650" s="38" t="s">
        <v>3605</v>
      </c>
      <c r="I650" s="101" t="s">
        <v>1266</v>
      </c>
      <c r="J650" s="101" t="s">
        <v>3606</v>
      </c>
      <c r="K650" s="101"/>
      <c r="L650" s="101"/>
      <c r="M650" s="101"/>
    </row>
    <row r="651" ht="15.75" customHeight="1">
      <c r="A651" s="101">
        <v>2021.0</v>
      </c>
      <c r="B651" s="100" t="s">
        <v>62</v>
      </c>
      <c r="C651" s="102"/>
      <c r="D651" s="105" t="s">
        <v>3607</v>
      </c>
      <c r="E651" s="93" t="s">
        <v>3608</v>
      </c>
      <c r="F651" s="92" t="s">
        <v>3609</v>
      </c>
      <c r="G651" s="100" t="s">
        <v>3610</v>
      </c>
      <c r="H651" s="38" t="s">
        <v>3611</v>
      </c>
      <c r="I651" s="101" t="s">
        <v>1266</v>
      </c>
      <c r="J651" s="101" t="s">
        <v>3612</v>
      </c>
      <c r="K651" s="101"/>
      <c r="L651" s="101"/>
      <c r="M651" s="101"/>
    </row>
    <row r="652" ht="15.75" customHeight="1">
      <c r="A652" s="101">
        <v>2021.0</v>
      </c>
      <c r="B652" s="100" t="str">
        <f>HYPERLINK("https://shop.openbci.com/collections/frontpage/products/cyton-biosensing-board-8-channel","Cyton Board")</f>
        <v>Cyton Board</v>
      </c>
      <c r="C652" s="102"/>
      <c r="D652" s="101" t="s">
        <v>3613</v>
      </c>
      <c r="E652" s="93" t="s">
        <v>3614</v>
      </c>
      <c r="F652" s="103" t="s">
        <v>3615</v>
      </c>
      <c r="G652" s="101" t="s">
        <v>3616</v>
      </c>
      <c r="H652" s="38" t="s">
        <v>3617</v>
      </c>
      <c r="I652" s="101" t="s">
        <v>1266</v>
      </c>
      <c r="J652" s="101" t="s">
        <v>3618</v>
      </c>
      <c r="K652" s="101"/>
      <c r="L652" s="101"/>
      <c r="M652" s="101"/>
    </row>
    <row r="653" ht="15.75" customHeight="1">
      <c r="A653" s="101">
        <v>2021.0</v>
      </c>
      <c r="B653" s="83" t="s">
        <v>12</v>
      </c>
      <c r="C653" s="83" t="s">
        <v>204</v>
      </c>
      <c r="D653" s="93" t="s">
        <v>3619</v>
      </c>
      <c r="E653" s="93" t="s">
        <v>3620</v>
      </c>
      <c r="F653" s="100" t="s">
        <v>3621</v>
      </c>
      <c r="G653" s="93" t="s">
        <v>3622</v>
      </c>
      <c r="H653" s="38" t="s">
        <v>3623</v>
      </c>
      <c r="I653" s="93" t="s">
        <v>1266</v>
      </c>
      <c r="J653" s="93" t="s">
        <v>3624</v>
      </c>
      <c r="K653" s="101"/>
      <c r="L653" s="101"/>
      <c r="M653" s="101"/>
    </row>
    <row r="654" ht="15.75" customHeight="1">
      <c r="A654" s="101">
        <v>2021.0</v>
      </c>
      <c r="B654" s="100" t="str">
        <f>HYPERLINK("https://shop.openbci.com/collections/frontpage/products/cyton-biosensing-board-8-channel","Cyton Board")</f>
        <v>Cyton Board</v>
      </c>
      <c r="C654" s="78"/>
      <c r="D654" s="93" t="s">
        <v>3625</v>
      </c>
      <c r="E654" s="93" t="s">
        <v>3626</v>
      </c>
      <c r="F654" s="100" t="s">
        <v>3627</v>
      </c>
      <c r="G654" s="93" t="s">
        <v>3628</v>
      </c>
      <c r="H654" s="38" t="s">
        <v>3629</v>
      </c>
      <c r="I654" s="93" t="s">
        <v>1266</v>
      </c>
      <c r="J654" s="93" t="s">
        <v>3630</v>
      </c>
      <c r="K654" s="101"/>
      <c r="L654" s="101"/>
      <c r="M654" s="101"/>
    </row>
    <row r="655" ht="15.75" customHeight="1">
      <c r="A655" s="101">
        <v>2021.0</v>
      </c>
      <c r="B655" s="20" t="str">
        <f>HYPERLINK("https://shop.openbci.com/collections/frontpage/products/ganglion-board","Ganglion")</f>
        <v>Ganglion</v>
      </c>
      <c r="C655" s="78"/>
      <c r="D655" s="93" t="s">
        <v>3631</v>
      </c>
      <c r="E655" s="93" t="s">
        <v>3632</v>
      </c>
      <c r="F655" s="100" t="s">
        <v>3633</v>
      </c>
      <c r="G655" s="93" t="s">
        <v>3634</v>
      </c>
      <c r="H655" s="38" t="s">
        <v>3635</v>
      </c>
      <c r="I655" s="93" t="s">
        <v>3636</v>
      </c>
      <c r="J655" s="93" t="s">
        <v>3637</v>
      </c>
      <c r="K655" s="101"/>
      <c r="L655" s="101"/>
      <c r="M655" s="101"/>
    </row>
    <row r="656" ht="15.75" customHeight="1">
      <c r="A656" s="101">
        <v>2021.0</v>
      </c>
      <c r="B656" s="100" t="s">
        <v>62</v>
      </c>
      <c r="C656" s="78"/>
      <c r="D656" s="93" t="s">
        <v>3638</v>
      </c>
      <c r="E656" s="93" t="s">
        <v>3639</v>
      </c>
      <c r="F656" s="100" t="s">
        <v>3640</v>
      </c>
      <c r="G656" s="100" t="s">
        <v>707</v>
      </c>
      <c r="H656" s="38" t="s">
        <v>3641</v>
      </c>
      <c r="I656" s="93" t="s">
        <v>1266</v>
      </c>
      <c r="J656" s="93" t="s">
        <v>3642</v>
      </c>
      <c r="K656" s="101"/>
      <c r="L656" s="101"/>
      <c r="M656" s="101"/>
    </row>
    <row r="657" ht="15.75" customHeight="1">
      <c r="A657" s="101">
        <v>2021.0</v>
      </c>
      <c r="B657" s="100" t="str">
        <f>HYPERLINK("https://shop.openbci.com/collections/frontpage/products/cyton-biosensing-board-8-channel","Cyton Board")</f>
        <v>Cyton Board</v>
      </c>
      <c r="C657" s="78"/>
      <c r="D657" s="93" t="s">
        <v>3643</v>
      </c>
      <c r="E657" s="93" t="s">
        <v>3644</v>
      </c>
      <c r="F657" s="106" t="s">
        <v>3645</v>
      </c>
      <c r="G657" s="100" t="s">
        <v>3646</v>
      </c>
      <c r="H657" s="38"/>
      <c r="I657" s="93" t="s">
        <v>1266</v>
      </c>
      <c r="J657" s="78"/>
      <c r="K657" s="101"/>
      <c r="L657" s="101"/>
      <c r="M657" s="101"/>
    </row>
    <row r="658" ht="15.75" customHeight="1">
      <c r="A658" s="101">
        <v>2021.0</v>
      </c>
      <c r="B658" s="14" t="str">
        <f>HYPERLINK("https://shop.openbci.com/collections/frontpage/products/ganglion-board","Ganglion")</f>
        <v>Ganglion</v>
      </c>
      <c r="C658" s="78"/>
      <c r="D658" s="93" t="s">
        <v>3647</v>
      </c>
      <c r="E658" s="93" t="s">
        <v>3648</v>
      </c>
      <c r="F658" s="100" t="s">
        <v>3649</v>
      </c>
      <c r="G658" s="100" t="s">
        <v>3650</v>
      </c>
      <c r="H658" s="38" t="s">
        <v>3651</v>
      </c>
      <c r="I658" s="93" t="s">
        <v>1266</v>
      </c>
      <c r="J658" s="93" t="s">
        <v>3652</v>
      </c>
      <c r="K658" s="101"/>
      <c r="L658" s="101"/>
      <c r="M658" s="101"/>
    </row>
    <row r="659" ht="15.75" customHeight="1">
      <c r="A659" s="101">
        <v>2021.0</v>
      </c>
      <c r="B659" s="100" t="str">
        <f t="shared" ref="B659:B661" si="4">HYPERLINK("https://shop.openbci.com/collections/frontpage/products/cyton-biosensing-board-8-channel","Cyton Board")</f>
        <v>Cyton Board</v>
      </c>
      <c r="C659" s="102"/>
      <c r="D659" s="93" t="s">
        <v>3653</v>
      </c>
      <c r="E659" s="93" t="s">
        <v>3654</v>
      </c>
      <c r="F659" s="100" t="s">
        <v>3655</v>
      </c>
      <c r="G659" s="100" t="s">
        <v>3656</v>
      </c>
      <c r="H659" s="38" t="s">
        <v>3657</v>
      </c>
      <c r="I659" s="93" t="s">
        <v>1266</v>
      </c>
      <c r="J659" s="93" t="s">
        <v>3658</v>
      </c>
      <c r="K659" s="101"/>
      <c r="L659" s="101"/>
      <c r="M659" s="101"/>
    </row>
    <row r="660" ht="15.75" customHeight="1">
      <c r="A660" s="101">
        <v>2021.0</v>
      </c>
      <c r="B660" s="100" t="str">
        <f t="shared" si="4"/>
        <v>Cyton Board</v>
      </c>
      <c r="C660" s="102"/>
      <c r="D660" s="93" t="s">
        <v>3659</v>
      </c>
      <c r="E660" s="93" t="s">
        <v>3660</v>
      </c>
      <c r="F660" s="100" t="s">
        <v>3661</v>
      </c>
      <c r="G660" s="93" t="s">
        <v>3662</v>
      </c>
      <c r="H660" s="38" t="s">
        <v>3663</v>
      </c>
      <c r="I660" s="93" t="s">
        <v>1266</v>
      </c>
      <c r="J660" s="93" t="s">
        <v>3664</v>
      </c>
      <c r="K660" s="101"/>
      <c r="L660" s="101"/>
      <c r="M660" s="101"/>
    </row>
    <row r="661" ht="15.75" customHeight="1">
      <c r="A661" s="101">
        <v>2021.0</v>
      </c>
      <c r="B661" s="104" t="str">
        <f t="shared" si="4"/>
        <v>Cyton Board</v>
      </c>
      <c r="C661" s="102"/>
      <c r="D661" s="101" t="s">
        <v>3665</v>
      </c>
      <c r="E661" s="93" t="s">
        <v>3375</v>
      </c>
      <c r="F661" s="103" t="s">
        <v>3666</v>
      </c>
      <c r="G661" s="93" t="s">
        <v>3377</v>
      </c>
      <c r="H661" s="38" t="s">
        <v>3378</v>
      </c>
      <c r="I661" s="101" t="s">
        <v>1266</v>
      </c>
      <c r="J661" s="101" t="s">
        <v>3667</v>
      </c>
      <c r="K661" s="101"/>
      <c r="L661" s="101"/>
      <c r="M661" s="101"/>
    </row>
    <row r="662" ht="15.75" customHeight="1">
      <c r="A662" s="101">
        <v>2021.0</v>
      </c>
      <c r="B662" s="104" t="s">
        <v>62</v>
      </c>
      <c r="C662" s="102"/>
      <c r="D662" s="100" t="s">
        <v>3374</v>
      </c>
      <c r="E662" s="93" t="s">
        <v>3668</v>
      </c>
      <c r="F662" s="103" t="s">
        <v>3669</v>
      </c>
      <c r="G662" s="93" t="s">
        <v>3670</v>
      </c>
      <c r="H662" s="38" t="s">
        <v>3671</v>
      </c>
      <c r="I662" s="101" t="s">
        <v>1266</v>
      </c>
      <c r="J662" s="101" t="s">
        <v>3672</v>
      </c>
      <c r="K662" s="101"/>
      <c r="L662" s="101"/>
      <c r="M662" s="101"/>
    </row>
    <row r="663" ht="15.75" customHeight="1">
      <c r="A663" s="101">
        <v>2021.0</v>
      </c>
      <c r="B663" s="100" t="str">
        <f>HYPERLINK("https://shop.openbci.com/collections/frontpage/products/cyton-biosensing-board-8-channel","Cyton Board")</f>
        <v>Cyton Board</v>
      </c>
      <c r="C663" s="102"/>
      <c r="D663" s="101" t="s">
        <v>3673</v>
      </c>
      <c r="E663" s="93" t="s">
        <v>3674</v>
      </c>
      <c r="F663" s="103" t="s">
        <v>3675</v>
      </c>
      <c r="G663" s="93" t="s">
        <v>3676</v>
      </c>
      <c r="H663" s="38" t="s">
        <v>3677</v>
      </c>
      <c r="I663" s="101" t="s">
        <v>1266</v>
      </c>
      <c r="J663" s="102"/>
      <c r="K663" s="101"/>
      <c r="L663" s="101"/>
      <c r="M663" s="101"/>
    </row>
    <row r="664" ht="15.75" customHeight="1">
      <c r="A664" s="5">
        <v>2020.0</v>
      </c>
      <c r="B664" s="14" t="s">
        <v>12</v>
      </c>
      <c r="C664" s="14" t="s">
        <v>204</v>
      </c>
      <c r="D664" s="74" t="s">
        <v>3678</v>
      </c>
      <c r="E664" s="76" t="s">
        <v>3679</v>
      </c>
      <c r="F664" s="82" t="s">
        <v>3680</v>
      </c>
      <c r="G664" s="12" t="s">
        <v>3681</v>
      </c>
      <c r="H664" s="38" t="s">
        <v>3682</v>
      </c>
      <c r="I664" s="5" t="s">
        <v>1266</v>
      </c>
      <c r="J664" s="12" t="s">
        <v>3683</v>
      </c>
      <c r="K664" s="5"/>
      <c r="L664" s="5"/>
      <c r="M664" s="5"/>
    </row>
    <row r="665" ht="15.75" customHeight="1">
      <c r="A665" s="5">
        <v>2020.0</v>
      </c>
      <c r="B665" s="83" t="s">
        <v>12</v>
      </c>
      <c r="C665" s="83" t="s">
        <v>204</v>
      </c>
      <c r="D665" s="12" t="s">
        <v>3684</v>
      </c>
      <c r="E665" s="12" t="s">
        <v>3685</v>
      </c>
      <c r="F665" s="92" t="s">
        <v>3686</v>
      </c>
      <c r="G665" s="96" t="s">
        <v>3687</v>
      </c>
      <c r="H665" s="38" t="s">
        <v>3688</v>
      </c>
      <c r="I665" s="5" t="s">
        <v>1266</v>
      </c>
      <c r="J665" s="12" t="s">
        <v>3689</v>
      </c>
      <c r="K665" s="97"/>
      <c r="L665" s="97"/>
      <c r="M665" s="97"/>
    </row>
    <row r="666" ht="15.75" customHeight="1">
      <c r="A666" s="5">
        <v>2020.0</v>
      </c>
      <c r="B666" s="83" t="s">
        <v>12</v>
      </c>
      <c r="C666" s="83"/>
      <c r="D666" s="12" t="s">
        <v>3690</v>
      </c>
      <c r="E666" s="12" t="s">
        <v>3691</v>
      </c>
      <c r="F666" s="92" t="s">
        <v>3692</v>
      </c>
      <c r="G666" s="96" t="s">
        <v>3693</v>
      </c>
      <c r="H666" s="38" t="s">
        <v>3694</v>
      </c>
      <c r="I666" s="5" t="s">
        <v>1266</v>
      </c>
      <c r="J666" s="12" t="s">
        <v>3695</v>
      </c>
      <c r="K666" s="97"/>
      <c r="L666" s="97"/>
      <c r="M666" s="97"/>
    </row>
    <row r="667" ht="15.75" customHeight="1">
      <c r="A667" s="5">
        <v>2020.0</v>
      </c>
      <c r="B667" s="90" t="s">
        <v>12</v>
      </c>
      <c r="C667" s="81" t="s">
        <v>573</v>
      </c>
      <c r="D667" s="12" t="s">
        <v>3696</v>
      </c>
      <c r="E667" s="12" t="s">
        <v>3697</v>
      </c>
      <c r="F667" s="92" t="s">
        <v>3698</v>
      </c>
      <c r="G667" s="96" t="s">
        <v>3699</v>
      </c>
      <c r="H667" s="38" t="s">
        <v>3700</v>
      </c>
      <c r="I667" s="5" t="s">
        <v>1266</v>
      </c>
      <c r="J667" s="12" t="s">
        <v>3701</v>
      </c>
      <c r="K667" s="97"/>
      <c r="L667" s="97"/>
      <c r="M667" s="97"/>
    </row>
    <row r="668" ht="15.75" customHeight="1">
      <c r="A668" s="5">
        <v>2020.0</v>
      </c>
      <c r="B668" s="83" t="s">
        <v>12</v>
      </c>
      <c r="C668" s="83" t="s">
        <v>204</v>
      </c>
      <c r="D668" s="12" t="s">
        <v>3702</v>
      </c>
      <c r="E668" s="12" t="s">
        <v>3703</v>
      </c>
      <c r="F668" s="92" t="s">
        <v>3704</v>
      </c>
      <c r="G668" s="96" t="s">
        <v>3693</v>
      </c>
      <c r="H668" s="38" t="s">
        <v>3705</v>
      </c>
      <c r="I668" s="5" t="s">
        <v>1266</v>
      </c>
      <c r="J668" s="12" t="s">
        <v>3706</v>
      </c>
      <c r="K668" s="97"/>
      <c r="L668" s="97"/>
      <c r="M668" s="97"/>
    </row>
    <row r="669" ht="15.75" customHeight="1">
      <c r="A669" s="5">
        <v>2020.0</v>
      </c>
      <c r="B669" s="83" t="s">
        <v>12</v>
      </c>
      <c r="C669" s="83" t="s">
        <v>204</v>
      </c>
      <c r="D669" s="12" t="s">
        <v>3707</v>
      </c>
      <c r="E669" s="12" t="s">
        <v>3708</v>
      </c>
      <c r="F669" s="92" t="s">
        <v>3709</v>
      </c>
      <c r="G669" s="96" t="s">
        <v>3710</v>
      </c>
      <c r="H669" s="38" t="s">
        <v>3711</v>
      </c>
      <c r="I669" s="5" t="s">
        <v>1266</v>
      </c>
      <c r="J669" s="12" t="s">
        <v>3712</v>
      </c>
      <c r="K669" s="97"/>
      <c r="L669" s="97"/>
      <c r="M669" s="97"/>
    </row>
    <row r="670" ht="15.75" customHeight="1">
      <c r="A670" s="5">
        <v>2020.0</v>
      </c>
      <c r="B670" s="14" t="str">
        <f>HYPERLINK("https://shop.openbci.com/collections/frontpage/products/ganglion-board","Ganglion")</f>
        <v>Ganglion</v>
      </c>
      <c r="C670" s="83"/>
      <c r="D670" s="12" t="s">
        <v>3713</v>
      </c>
      <c r="E670" s="12" t="s">
        <v>3714</v>
      </c>
      <c r="F670" s="92" t="s">
        <v>3715</v>
      </c>
      <c r="G670" s="96" t="s">
        <v>3523</v>
      </c>
      <c r="H670" s="38" t="s">
        <v>3716</v>
      </c>
      <c r="I670" s="5" t="s">
        <v>1266</v>
      </c>
      <c r="J670" s="12" t="s">
        <v>3717</v>
      </c>
      <c r="K670" s="97"/>
      <c r="L670" s="97"/>
      <c r="M670" s="97"/>
    </row>
    <row r="671" ht="15.75" customHeight="1">
      <c r="A671" s="5">
        <v>2020.0</v>
      </c>
      <c r="B671" s="90"/>
      <c r="C671" s="83"/>
      <c r="D671" s="12" t="s">
        <v>3718</v>
      </c>
      <c r="E671" s="12" t="s">
        <v>3719</v>
      </c>
      <c r="F671" s="92" t="s">
        <v>3720</v>
      </c>
      <c r="G671" s="12" t="s">
        <v>3721</v>
      </c>
      <c r="H671" s="38" t="s">
        <v>3722</v>
      </c>
      <c r="I671" s="5" t="s">
        <v>1266</v>
      </c>
      <c r="J671" s="12" t="s">
        <v>3723</v>
      </c>
      <c r="K671" s="97"/>
      <c r="L671" s="97"/>
      <c r="M671" s="97"/>
    </row>
    <row r="672" ht="15.75" customHeight="1">
      <c r="A672" s="5">
        <v>2020.0</v>
      </c>
      <c r="B672" s="83" t="s">
        <v>12</v>
      </c>
      <c r="C672" s="83"/>
      <c r="D672" s="12" t="s">
        <v>3724</v>
      </c>
      <c r="E672" s="12" t="s">
        <v>3725</v>
      </c>
      <c r="F672" s="92" t="s">
        <v>3726</v>
      </c>
      <c r="G672" s="12" t="s">
        <v>3727</v>
      </c>
      <c r="H672" s="38" t="s">
        <v>3728</v>
      </c>
      <c r="I672" s="5" t="s">
        <v>1266</v>
      </c>
      <c r="J672" s="12" t="s">
        <v>3729</v>
      </c>
      <c r="K672" s="97"/>
      <c r="L672" s="97"/>
      <c r="M672" s="97"/>
    </row>
    <row r="673" ht="15.75" customHeight="1">
      <c r="A673" s="5">
        <v>2020.0</v>
      </c>
      <c r="B673" s="83" t="s">
        <v>12</v>
      </c>
      <c r="C673" s="83" t="s">
        <v>3730</v>
      </c>
      <c r="D673" s="12" t="s">
        <v>3731</v>
      </c>
      <c r="E673" s="12" t="s">
        <v>3732</v>
      </c>
      <c r="F673" s="92" t="s">
        <v>3733</v>
      </c>
      <c r="G673" s="12" t="s">
        <v>3734</v>
      </c>
      <c r="H673" s="38" t="s">
        <v>3735</v>
      </c>
      <c r="I673" s="5" t="s">
        <v>1266</v>
      </c>
      <c r="J673" s="12"/>
      <c r="K673" s="97"/>
      <c r="L673" s="97"/>
      <c r="M673" s="97"/>
    </row>
    <row r="674" ht="15.75" customHeight="1">
      <c r="A674" s="5">
        <v>2020.0</v>
      </c>
      <c r="B674" s="83" t="s">
        <v>12</v>
      </c>
      <c r="C674" s="83"/>
      <c r="D674" s="12" t="s">
        <v>3736</v>
      </c>
      <c r="E674" s="107" t="s">
        <v>3737</v>
      </c>
      <c r="F674" s="92" t="s">
        <v>3738</v>
      </c>
      <c r="G674" s="108" t="s">
        <v>3739</v>
      </c>
      <c r="H674" s="38" t="s">
        <v>3740</v>
      </c>
      <c r="I674" s="5" t="s">
        <v>1266</v>
      </c>
      <c r="J674" s="109" t="s">
        <v>3741</v>
      </c>
      <c r="K674" s="97"/>
      <c r="L674" s="97"/>
      <c r="M674" s="97"/>
    </row>
    <row r="675" ht="15.75" customHeight="1">
      <c r="A675" s="5">
        <v>2020.0</v>
      </c>
      <c r="B675" s="83" t="s">
        <v>12</v>
      </c>
      <c r="C675" s="83" t="s">
        <v>741</v>
      </c>
      <c r="D675" s="12" t="s">
        <v>3742</v>
      </c>
      <c r="E675" s="12" t="s">
        <v>3743</v>
      </c>
      <c r="F675" s="92" t="s">
        <v>3744</v>
      </c>
      <c r="G675" s="12" t="s">
        <v>3745</v>
      </c>
      <c r="H675" s="38" t="s">
        <v>3746</v>
      </c>
      <c r="I675" s="5" t="s">
        <v>1266</v>
      </c>
      <c r="J675" s="12" t="s">
        <v>3747</v>
      </c>
      <c r="K675" s="97"/>
      <c r="L675" s="97"/>
      <c r="M675" s="97"/>
    </row>
    <row r="676" ht="15.75" customHeight="1">
      <c r="A676" s="5">
        <v>2020.0</v>
      </c>
      <c r="B676" s="83"/>
      <c r="C676" s="81" t="s">
        <v>2843</v>
      </c>
      <c r="D676" s="12" t="s">
        <v>3748</v>
      </c>
      <c r="E676" s="12" t="s">
        <v>3749</v>
      </c>
      <c r="F676" s="92" t="s">
        <v>3750</v>
      </c>
      <c r="G676" s="96" t="s">
        <v>3751</v>
      </c>
      <c r="H676" s="38"/>
      <c r="I676" s="5" t="s">
        <v>1266</v>
      </c>
      <c r="J676" s="12" t="s">
        <v>3752</v>
      </c>
      <c r="K676" s="97"/>
      <c r="L676" s="97"/>
      <c r="M676" s="97"/>
    </row>
    <row r="677" ht="15.75" customHeight="1">
      <c r="A677" s="5">
        <v>2020.0</v>
      </c>
      <c r="B677" s="90" t="s">
        <v>62</v>
      </c>
      <c r="C677" s="83" t="s">
        <v>204</v>
      </c>
      <c r="D677" s="12" t="s">
        <v>3753</v>
      </c>
      <c r="E677" s="12" t="s">
        <v>3754</v>
      </c>
      <c r="F677" s="92" t="s">
        <v>3755</v>
      </c>
      <c r="G677" s="96" t="s">
        <v>3756</v>
      </c>
      <c r="H677" s="38" t="s">
        <v>3757</v>
      </c>
      <c r="I677" s="5" t="s">
        <v>1266</v>
      </c>
      <c r="J677" s="12" t="s">
        <v>3758</v>
      </c>
      <c r="K677" s="97"/>
      <c r="L677" s="97"/>
      <c r="M677" s="97"/>
    </row>
    <row r="678" ht="15.75" customHeight="1">
      <c r="A678" s="5">
        <v>2020.0</v>
      </c>
      <c r="B678" s="83" t="s">
        <v>12</v>
      </c>
      <c r="C678" s="83" t="s">
        <v>204</v>
      </c>
      <c r="D678" s="12" t="s">
        <v>3759</v>
      </c>
      <c r="E678" s="12" t="s">
        <v>3614</v>
      </c>
      <c r="F678" s="92" t="s">
        <v>3760</v>
      </c>
      <c r="G678" s="96" t="s">
        <v>3761</v>
      </c>
      <c r="H678" s="38" t="s">
        <v>3762</v>
      </c>
      <c r="I678" s="5" t="s">
        <v>1266</v>
      </c>
      <c r="J678" s="12" t="s">
        <v>3763</v>
      </c>
      <c r="K678" s="97"/>
      <c r="L678" s="97"/>
      <c r="M678" s="97"/>
    </row>
    <row r="679" ht="15.75" customHeight="1">
      <c r="A679" s="5">
        <v>2020.0</v>
      </c>
      <c r="B679" s="83" t="s">
        <v>12</v>
      </c>
      <c r="C679" s="93" t="s">
        <v>3764</v>
      </c>
      <c r="D679" s="12" t="s">
        <v>3765</v>
      </c>
      <c r="E679" s="12" t="s">
        <v>3766</v>
      </c>
      <c r="F679" s="92" t="s">
        <v>3767</v>
      </c>
      <c r="G679" s="96" t="s">
        <v>3768</v>
      </c>
      <c r="H679" s="38" t="s">
        <v>3769</v>
      </c>
      <c r="I679" s="5" t="s">
        <v>1266</v>
      </c>
      <c r="J679" s="12" t="s">
        <v>3770</v>
      </c>
      <c r="K679" s="97"/>
      <c r="L679" s="97"/>
      <c r="M679" s="97"/>
    </row>
    <row r="680" ht="15.75" customHeight="1">
      <c r="A680" s="5">
        <v>2020.0</v>
      </c>
      <c r="B680" s="83" t="s">
        <v>12</v>
      </c>
      <c r="C680" s="81"/>
      <c r="D680" s="12" t="s">
        <v>3771</v>
      </c>
      <c r="E680" s="12" t="s">
        <v>3772</v>
      </c>
      <c r="F680" s="92" t="s">
        <v>3773</v>
      </c>
      <c r="G680" s="96" t="s">
        <v>3774</v>
      </c>
      <c r="H680" s="38" t="s">
        <v>3775</v>
      </c>
      <c r="I680" s="5" t="s">
        <v>1266</v>
      </c>
      <c r="J680" s="12" t="s">
        <v>3776</v>
      </c>
      <c r="K680" s="97"/>
      <c r="L680" s="97"/>
      <c r="M680" s="97"/>
    </row>
    <row r="681" ht="15.75" customHeight="1">
      <c r="A681" s="5">
        <v>2020.0</v>
      </c>
      <c r="B681" s="83" t="s">
        <v>12</v>
      </c>
      <c r="C681" s="81" t="str">
        <f>HYPERLINK("https://shop.openbci.com/collections/frontpage/products/skintact-f301-pediatric-foam-solid-gel-electrodes-30-pack?variant=29467659395","Skintact Foam Electrodes")</f>
        <v>Skintact Foam Electrodes</v>
      </c>
      <c r="D681" s="12" t="s">
        <v>3777</v>
      </c>
      <c r="E681" s="12" t="s">
        <v>3778</v>
      </c>
      <c r="F681" s="92" t="s">
        <v>3779</v>
      </c>
      <c r="G681" s="96" t="s">
        <v>3780</v>
      </c>
      <c r="H681" s="38" t="s">
        <v>3781</v>
      </c>
      <c r="I681" s="5" t="s">
        <v>1266</v>
      </c>
      <c r="J681" s="12" t="s">
        <v>3782</v>
      </c>
      <c r="K681" s="97"/>
      <c r="L681" s="97"/>
      <c r="M681" s="97"/>
    </row>
    <row r="682" ht="15.75" customHeight="1">
      <c r="A682" s="5">
        <v>2020.0</v>
      </c>
      <c r="B682" s="83" t="s">
        <v>12</v>
      </c>
      <c r="C682" s="83"/>
      <c r="D682" s="12" t="s">
        <v>3783</v>
      </c>
      <c r="E682" s="12" t="s">
        <v>3784</v>
      </c>
      <c r="F682" s="92" t="s">
        <v>3785</v>
      </c>
      <c r="G682" s="12" t="s">
        <v>3786</v>
      </c>
      <c r="H682" s="38" t="s">
        <v>3787</v>
      </c>
      <c r="I682" s="5" t="s">
        <v>1266</v>
      </c>
      <c r="J682" s="12" t="s">
        <v>3788</v>
      </c>
      <c r="K682" s="97"/>
      <c r="L682" s="97"/>
      <c r="M682" s="97"/>
    </row>
    <row r="683" ht="15.75" customHeight="1">
      <c r="A683" s="5">
        <v>2020.0</v>
      </c>
      <c r="B683" s="83" t="s">
        <v>62</v>
      </c>
      <c r="C683" s="83" t="s">
        <v>204</v>
      </c>
      <c r="D683" s="12" t="s">
        <v>3789</v>
      </c>
      <c r="E683" s="12" t="s">
        <v>3790</v>
      </c>
      <c r="F683" s="92" t="s">
        <v>3791</v>
      </c>
      <c r="G683" s="12" t="s">
        <v>3786</v>
      </c>
      <c r="H683" s="38" t="s">
        <v>3792</v>
      </c>
      <c r="I683" s="5" t="s">
        <v>1266</v>
      </c>
      <c r="J683" s="12" t="s">
        <v>3793</v>
      </c>
      <c r="K683" s="97"/>
      <c r="L683" s="97"/>
      <c r="M683" s="97"/>
    </row>
    <row r="684" ht="15.75" customHeight="1">
      <c r="A684" s="5">
        <v>2020.0</v>
      </c>
      <c r="B684" s="83" t="s">
        <v>12</v>
      </c>
      <c r="C684" s="83" t="s">
        <v>204</v>
      </c>
      <c r="D684" s="12" t="s">
        <v>3794</v>
      </c>
      <c r="E684" s="12" t="s">
        <v>3795</v>
      </c>
      <c r="F684" s="92" t="s">
        <v>3796</v>
      </c>
      <c r="G684" s="96" t="s">
        <v>3797</v>
      </c>
      <c r="H684" s="38" t="s">
        <v>3798</v>
      </c>
      <c r="I684" s="5" t="s">
        <v>1266</v>
      </c>
      <c r="J684" s="12" t="s">
        <v>3799</v>
      </c>
      <c r="K684" s="97"/>
      <c r="L684" s="97"/>
      <c r="M684" s="97"/>
    </row>
    <row r="685" ht="15.75" customHeight="1">
      <c r="A685" s="5">
        <v>2020.0</v>
      </c>
      <c r="B685" s="83" t="s">
        <v>62</v>
      </c>
      <c r="C685" s="83" t="s">
        <v>204</v>
      </c>
      <c r="D685" s="12" t="s">
        <v>3800</v>
      </c>
      <c r="E685" s="12" t="s">
        <v>3801</v>
      </c>
      <c r="F685" s="92" t="s">
        <v>3802</v>
      </c>
      <c r="G685" s="96" t="s">
        <v>3803</v>
      </c>
      <c r="H685" s="38" t="s">
        <v>3804</v>
      </c>
      <c r="I685" s="5" t="s">
        <v>1266</v>
      </c>
      <c r="J685" s="12" t="s">
        <v>3805</v>
      </c>
      <c r="K685" s="97"/>
      <c r="L685" s="97"/>
      <c r="M685" s="97"/>
    </row>
    <row r="686" ht="15.75" customHeight="1">
      <c r="A686" s="5">
        <v>2020.0</v>
      </c>
      <c r="B686" s="83" t="s">
        <v>12</v>
      </c>
      <c r="C686" s="81"/>
      <c r="D686" s="12" t="s">
        <v>3806</v>
      </c>
      <c r="E686" s="12" t="s">
        <v>3807</v>
      </c>
      <c r="F686" s="92" t="s">
        <v>3808</v>
      </c>
      <c r="G686" s="96" t="s">
        <v>3809</v>
      </c>
      <c r="H686" s="38" t="s">
        <v>3810</v>
      </c>
      <c r="I686" s="5" t="s">
        <v>1266</v>
      </c>
      <c r="J686" s="12" t="s">
        <v>3811</v>
      </c>
      <c r="K686" s="97"/>
      <c r="L686" s="97"/>
      <c r="M686" s="97"/>
    </row>
    <row r="687" ht="15.75" customHeight="1">
      <c r="A687" s="5">
        <v>2020.0</v>
      </c>
      <c r="B687" s="83"/>
      <c r="C687" s="81"/>
      <c r="D687" s="12" t="s">
        <v>3812</v>
      </c>
      <c r="E687" s="12" t="s">
        <v>3813</v>
      </c>
      <c r="F687" s="92" t="s">
        <v>3814</v>
      </c>
      <c r="G687" s="96" t="s">
        <v>3815</v>
      </c>
      <c r="H687" s="38" t="s">
        <v>3816</v>
      </c>
      <c r="I687" s="5" t="s">
        <v>1266</v>
      </c>
      <c r="J687" s="12" t="s">
        <v>3817</v>
      </c>
      <c r="K687" s="97"/>
      <c r="L687" s="97"/>
      <c r="M687" s="97"/>
    </row>
    <row r="688" ht="15.75" customHeight="1">
      <c r="A688" s="5">
        <v>2020.0</v>
      </c>
      <c r="B688" s="90" t="s">
        <v>12</v>
      </c>
      <c r="C688" s="93" t="s">
        <v>3818</v>
      </c>
      <c r="D688" s="12" t="s">
        <v>3819</v>
      </c>
      <c r="E688" s="12" t="s">
        <v>3820</v>
      </c>
      <c r="F688" s="92" t="s">
        <v>3821</v>
      </c>
      <c r="G688" s="96" t="s">
        <v>3822</v>
      </c>
      <c r="H688" s="38" t="s">
        <v>3823</v>
      </c>
      <c r="I688" s="5" t="s">
        <v>1266</v>
      </c>
      <c r="J688" s="12" t="s">
        <v>3824</v>
      </c>
      <c r="K688" s="97"/>
      <c r="L688" s="97"/>
      <c r="M688" s="97"/>
    </row>
    <row r="689" ht="15.75" customHeight="1">
      <c r="A689" s="5">
        <v>2020.0</v>
      </c>
      <c r="B689" s="90" t="s">
        <v>62</v>
      </c>
      <c r="C689" s="81" t="s">
        <v>573</v>
      </c>
      <c r="D689" s="12" t="s">
        <v>3825</v>
      </c>
      <c r="E689" s="12" t="s">
        <v>3826</v>
      </c>
      <c r="F689" s="92" t="s">
        <v>3827</v>
      </c>
      <c r="G689" s="96" t="s">
        <v>3828</v>
      </c>
      <c r="H689" s="38" t="s">
        <v>3829</v>
      </c>
      <c r="I689" s="5" t="s">
        <v>1266</v>
      </c>
      <c r="J689" s="12" t="s">
        <v>2310</v>
      </c>
      <c r="K689" s="97"/>
      <c r="L689" s="97"/>
      <c r="M689" s="97"/>
    </row>
    <row r="690" ht="15.75" customHeight="1">
      <c r="A690" s="5">
        <v>2020.0</v>
      </c>
      <c r="B690" s="90" t="s">
        <v>12</v>
      </c>
      <c r="C690" s="81" t="s">
        <v>573</v>
      </c>
      <c r="D690" s="12" t="s">
        <v>3830</v>
      </c>
      <c r="E690" s="12" t="s">
        <v>3831</v>
      </c>
      <c r="F690" s="92" t="s">
        <v>3832</v>
      </c>
      <c r="G690" s="96" t="s">
        <v>3833</v>
      </c>
      <c r="H690" s="38"/>
      <c r="I690" s="5" t="s">
        <v>1266</v>
      </c>
      <c r="J690" s="12" t="s">
        <v>3834</v>
      </c>
      <c r="K690" s="97"/>
      <c r="L690" s="97"/>
      <c r="M690" s="97"/>
    </row>
    <row r="691" ht="15.75" customHeight="1">
      <c r="A691" s="5">
        <v>2020.0</v>
      </c>
      <c r="B691" s="90" t="s">
        <v>12</v>
      </c>
      <c r="C691" s="81"/>
      <c r="D691" s="12" t="s">
        <v>3835</v>
      </c>
      <c r="E691" s="12" t="s">
        <v>3836</v>
      </c>
      <c r="F691" s="92" t="s">
        <v>3837</v>
      </c>
      <c r="G691" s="96" t="s">
        <v>3838</v>
      </c>
      <c r="H691" s="38" t="s">
        <v>3839</v>
      </c>
      <c r="I691" s="5" t="s">
        <v>1266</v>
      </c>
      <c r="J691" s="12" t="s">
        <v>3840</v>
      </c>
      <c r="K691" s="97"/>
      <c r="L691" s="97"/>
      <c r="M691" s="97"/>
    </row>
    <row r="692" ht="15.75" customHeight="1">
      <c r="A692" s="5">
        <v>2020.0</v>
      </c>
      <c r="B692" s="6"/>
      <c r="C692" s="81"/>
      <c r="D692" s="12" t="s">
        <v>3841</v>
      </c>
      <c r="E692" s="12" t="s">
        <v>3842</v>
      </c>
      <c r="F692" s="92" t="s">
        <v>3843</v>
      </c>
      <c r="G692" s="96" t="s">
        <v>3844</v>
      </c>
      <c r="H692" s="38" t="s">
        <v>3845</v>
      </c>
      <c r="I692" s="5" t="s">
        <v>1266</v>
      </c>
      <c r="J692" s="12" t="s">
        <v>3846</v>
      </c>
      <c r="K692" s="97"/>
      <c r="L692" s="97"/>
      <c r="M692" s="97"/>
    </row>
    <row r="693" ht="15.75" customHeight="1">
      <c r="A693" s="5">
        <v>2020.0</v>
      </c>
      <c r="B693" s="20" t="str">
        <f>HYPERLINK("https://shop.openbci.com/collections/frontpage/products/ganglion-board","Ganglion")</f>
        <v>Ganglion</v>
      </c>
      <c r="C693" s="81" t="s">
        <v>2843</v>
      </c>
      <c r="D693" s="12" t="s">
        <v>3847</v>
      </c>
      <c r="E693" s="12" t="s">
        <v>3848</v>
      </c>
      <c r="F693" s="103" t="s">
        <v>3849</v>
      </c>
      <c r="G693" s="96"/>
      <c r="H693" s="38"/>
      <c r="I693" s="5" t="s">
        <v>1266</v>
      </c>
      <c r="J693" s="12" t="s">
        <v>3850</v>
      </c>
      <c r="K693" s="97"/>
      <c r="L693" s="97"/>
      <c r="M693" s="97"/>
    </row>
    <row r="694" ht="15.75" customHeight="1">
      <c r="A694" s="5">
        <v>2020.0</v>
      </c>
      <c r="B694" s="90" t="s">
        <v>12</v>
      </c>
      <c r="C694" s="81" t="str">
        <f t="shared" ref="C694:C695" si="5">HYPERLINK("https://shop.openbci.com/collections/frontpage/products/skintact-f301-pediatric-foam-solid-gel-electrodes-30-pack?variant=29467659395","Skintact Foam Electrodes")</f>
        <v>Skintact Foam Electrodes</v>
      </c>
      <c r="D694" s="53" t="s">
        <v>3851</v>
      </c>
      <c r="E694" s="53" t="s">
        <v>3852</v>
      </c>
      <c r="F694" s="103" t="s">
        <v>3853</v>
      </c>
      <c r="G694" s="96" t="s">
        <v>3854</v>
      </c>
      <c r="H694" s="38"/>
      <c r="I694" s="5" t="s">
        <v>1266</v>
      </c>
      <c r="J694" s="12" t="s">
        <v>3855</v>
      </c>
      <c r="K694" s="97"/>
      <c r="L694" s="97"/>
      <c r="M694" s="97"/>
    </row>
    <row r="695" ht="15.75" customHeight="1">
      <c r="A695" s="5">
        <v>2020.0</v>
      </c>
      <c r="B695" s="90" t="s">
        <v>12</v>
      </c>
      <c r="C695" s="81" t="str">
        <f t="shared" si="5"/>
        <v>Skintact Foam Electrodes</v>
      </c>
      <c r="D695" s="12" t="s">
        <v>3856</v>
      </c>
      <c r="E695" s="12" t="s">
        <v>3857</v>
      </c>
      <c r="F695" s="103" t="s">
        <v>3858</v>
      </c>
      <c r="G695" s="96" t="s">
        <v>3859</v>
      </c>
      <c r="H695" s="38" t="s">
        <v>3860</v>
      </c>
      <c r="I695" s="5" t="s">
        <v>1266</v>
      </c>
      <c r="J695" s="12" t="s">
        <v>3861</v>
      </c>
      <c r="K695" s="97"/>
      <c r="L695" s="97"/>
      <c r="M695" s="97"/>
    </row>
    <row r="696" ht="15.75" customHeight="1">
      <c r="A696" s="5">
        <v>2020.0</v>
      </c>
      <c r="B696" s="90" t="s">
        <v>12</v>
      </c>
      <c r="C696" s="83" t="s">
        <v>204</v>
      </c>
      <c r="D696" s="12" t="s">
        <v>3862</v>
      </c>
      <c r="E696" s="12" t="s">
        <v>3863</v>
      </c>
      <c r="F696" s="103" t="s">
        <v>3864</v>
      </c>
      <c r="G696" s="96" t="s">
        <v>3865</v>
      </c>
      <c r="H696" s="38" t="s">
        <v>3866</v>
      </c>
      <c r="I696" s="5" t="s">
        <v>1266</v>
      </c>
      <c r="J696" s="12" t="s">
        <v>3867</v>
      </c>
      <c r="K696" s="97"/>
      <c r="L696" s="97"/>
      <c r="M696" s="97"/>
    </row>
    <row r="697" ht="15.75" customHeight="1">
      <c r="A697" s="5">
        <v>2020.0</v>
      </c>
      <c r="B697" s="83" t="s">
        <v>12</v>
      </c>
      <c r="C697" s="81" t="s">
        <v>573</v>
      </c>
      <c r="D697" s="12" t="s">
        <v>3868</v>
      </c>
      <c r="E697" s="12" t="s">
        <v>3869</v>
      </c>
      <c r="F697" s="103" t="s">
        <v>3870</v>
      </c>
      <c r="G697" s="110" t="s">
        <v>3871</v>
      </c>
      <c r="H697" s="38" t="s">
        <v>3872</v>
      </c>
      <c r="I697" s="5" t="s">
        <v>1266</v>
      </c>
      <c r="J697" s="12" t="s">
        <v>3873</v>
      </c>
      <c r="K697" s="97"/>
      <c r="L697" s="97"/>
      <c r="M697" s="97"/>
    </row>
    <row r="698" ht="15.75" customHeight="1">
      <c r="A698" s="5">
        <v>2020.0</v>
      </c>
      <c r="B698" s="90"/>
      <c r="C698" s="83"/>
      <c r="D698" s="12" t="s">
        <v>3874</v>
      </c>
      <c r="E698" s="12" t="s">
        <v>3875</v>
      </c>
      <c r="F698" s="103" t="s">
        <v>3876</v>
      </c>
      <c r="G698" s="53" t="s">
        <v>3877</v>
      </c>
      <c r="H698" s="38"/>
      <c r="I698" s="5" t="s">
        <v>1266</v>
      </c>
      <c r="J698" s="12" t="s">
        <v>3878</v>
      </c>
      <c r="K698" s="97"/>
      <c r="L698" s="97"/>
      <c r="M698" s="97"/>
    </row>
    <row r="699" ht="15.75" customHeight="1">
      <c r="A699" s="5">
        <v>2020.0</v>
      </c>
      <c r="B699" s="20" t="str">
        <f>HYPERLINK("https://shop.openbci.com/collections/frontpage/products/ganglion-board","Ganglion")</f>
        <v>Ganglion</v>
      </c>
      <c r="C699" s="81" t="s">
        <v>1000</v>
      </c>
      <c r="D699" s="12" t="s">
        <v>3879</v>
      </c>
      <c r="E699" s="12" t="s">
        <v>3714</v>
      </c>
      <c r="F699" s="103" t="s">
        <v>3880</v>
      </c>
      <c r="G699" s="53" t="s">
        <v>3881</v>
      </c>
      <c r="H699" s="38"/>
      <c r="I699" s="5" t="s">
        <v>1266</v>
      </c>
      <c r="J699" s="12" t="s">
        <v>3882</v>
      </c>
      <c r="K699" s="97"/>
      <c r="L699" s="97"/>
      <c r="M699" s="97"/>
    </row>
    <row r="700" ht="15.75" customHeight="1">
      <c r="A700" s="5">
        <v>2020.0</v>
      </c>
      <c r="B700" s="90" t="s">
        <v>12</v>
      </c>
      <c r="C700" s="81"/>
      <c r="D700" s="12" t="s">
        <v>3883</v>
      </c>
      <c r="E700" s="12" t="s">
        <v>3884</v>
      </c>
      <c r="F700" s="103" t="s">
        <v>3885</v>
      </c>
      <c r="G700" s="53" t="s">
        <v>3886</v>
      </c>
      <c r="H700" s="38"/>
      <c r="I700" s="5" t="s">
        <v>1266</v>
      </c>
      <c r="J700" s="5" t="s">
        <v>3887</v>
      </c>
      <c r="K700" s="97"/>
      <c r="L700" s="97"/>
      <c r="M700" s="97"/>
    </row>
    <row r="701" ht="15.75" customHeight="1">
      <c r="A701" s="5">
        <v>2020.0</v>
      </c>
      <c r="B701" s="90" t="s">
        <v>12</v>
      </c>
      <c r="C701" s="81" t="s">
        <v>1000</v>
      </c>
      <c r="D701" s="12" t="s">
        <v>3888</v>
      </c>
      <c r="E701" s="5" t="s">
        <v>3889</v>
      </c>
      <c r="F701" s="103" t="s">
        <v>3890</v>
      </c>
      <c r="G701" s="111" t="s">
        <v>3891</v>
      </c>
      <c r="H701" s="38"/>
      <c r="I701" s="5" t="s">
        <v>1266</v>
      </c>
      <c r="J701" s="5" t="s">
        <v>3892</v>
      </c>
      <c r="K701" s="97"/>
      <c r="L701" s="97"/>
      <c r="M701" s="97"/>
    </row>
    <row r="702" ht="15.75" customHeight="1">
      <c r="A702" s="5">
        <v>2020.0</v>
      </c>
      <c r="B702" s="90" t="s">
        <v>12</v>
      </c>
      <c r="C702" s="83" t="s">
        <v>3893</v>
      </c>
      <c r="D702" s="12" t="s">
        <v>3894</v>
      </c>
      <c r="E702" s="112" t="s">
        <v>3895</v>
      </c>
      <c r="F702" s="103" t="s">
        <v>3896</v>
      </c>
      <c r="G702" s="113" t="s">
        <v>3897</v>
      </c>
      <c r="H702" s="38"/>
      <c r="I702" s="5" t="s">
        <v>1266</v>
      </c>
      <c r="J702" s="5" t="s">
        <v>3898</v>
      </c>
      <c r="K702" s="97"/>
      <c r="L702" s="97"/>
      <c r="M702" s="97"/>
    </row>
    <row r="703" ht="15.75" customHeight="1">
      <c r="A703" s="5">
        <v>2020.0</v>
      </c>
      <c r="B703" s="90" t="s">
        <v>12</v>
      </c>
      <c r="C703" s="83" t="s">
        <v>204</v>
      </c>
      <c r="D703" s="12" t="s">
        <v>3899</v>
      </c>
      <c r="E703" s="12" t="s">
        <v>3900</v>
      </c>
      <c r="F703" s="103" t="s">
        <v>3901</v>
      </c>
      <c r="G703" s="12" t="s">
        <v>3902</v>
      </c>
      <c r="H703" s="38" t="s">
        <v>3903</v>
      </c>
      <c r="I703" s="5" t="s">
        <v>1266</v>
      </c>
      <c r="J703" s="5" t="s">
        <v>3904</v>
      </c>
      <c r="K703" s="97"/>
      <c r="L703" s="97"/>
      <c r="M703" s="97"/>
    </row>
    <row r="704" ht="15.75" customHeight="1">
      <c r="A704" s="5">
        <v>2020.0</v>
      </c>
      <c r="B704" s="90" t="s">
        <v>12</v>
      </c>
      <c r="C704" s="83"/>
      <c r="D704" s="101" t="s">
        <v>3905</v>
      </c>
      <c r="E704" s="101" t="s">
        <v>3906</v>
      </c>
      <c r="F704" s="103" t="s">
        <v>3907</v>
      </c>
      <c r="G704" s="101" t="s">
        <v>3908</v>
      </c>
      <c r="H704" s="38" t="s">
        <v>3909</v>
      </c>
      <c r="I704" s="5" t="s">
        <v>1266</v>
      </c>
      <c r="J704" s="101" t="s">
        <v>3910</v>
      </c>
      <c r="K704" s="97"/>
      <c r="L704" s="97"/>
      <c r="M704" s="97"/>
    </row>
    <row r="705" ht="15.75" customHeight="1">
      <c r="A705" s="5">
        <v>2020.0</v>
      </c>
      <c r="B705" s="90" t="s">
        <v>12</v>
      </c>
      <c r="C705" s="83" t="s">
        <v>204</v>
      </c>
      <c r="D705" s="101" t="s">
        <v>3911</v>
      </c>
      <c r="E705" s="101" t="s">
        <v>3912</v>
      </c>
      <c r="F705" s="103" t="s">
        <v>3913</v>
      </c>
      <c r="G705" s="101" t="s">
        <v>3914</v>
      </c>
      <c r="H705" s="38" t="s">
        <v>3915</v>
      </c>
      <c r="I705" s="5" t="s">
        <v>1266</v>
      </c>
      <c r="J705" s="101" t="s">
        <v>3916</v>
      </c>
      <c r="K705" s="97"/>
      <c r="L705" s="97"/>
      <c r="M705" s="97"/>
    </row>
    <row r="706" ht="15.75" customHeight="1">
      <c r="A706" s="5">
        <v>2020.0</v>
      </c>
      <c r="B706" s="90" t="s">
        <v>12</v>
      </c>
      <c r="C706" s="83" t="s">
        <v>1000</v>
      </c>
      <c r="D706" s="68" t="s">
        <v>3917</v>
      </c>
      <c r="E706" s="5" t="s">
        <v>3918</v>
      </c>
      <c r="F706" s="103" t="s">
        <v>3919</v>
      </c>
      <c r="G706" s="114" t="s">
        <v>333</v>
      </c>
      <c r="H706" s="38" t="s">
        <v>3920</v>
      </c>
      <c r="I706" s="5" t="s">
        <v>1266</v>
      </c>
      <c r="J706" s="5" t="s">
        <v>3921</v>
      </c>
      <c r="K706" s="97"/>
      <c r="L706" s="97"/>
      <c r="M706" s="97"/>
    </row>
    <row r="707" ht="15.75" customHeight="1">
      <c r="A707" s="5">
        <v>2020.0</v>
      </c>
      <c r="B707" s="90"/>
      <c r="C707" s="83" t="s">
        <v>204</v>
      </c>
      <c r="D707" s="68" t="s">
        <v>3922</v>
      </c>
      <c r="E707" s="5" t="s">
        <v>3923</v>
      </c>
      <c r="F707" s="103" t="s">
        <v>3924</v>
      </c>
      <c r="G707" s="114" t="s">
        <v>3925</v>
      </c>
      <c r="H707" s="38" t="s">
        <v>3926</v>
      </c>
      <c r="I707" s="5" t="s">
        <v>1266</v>
      </c>
      <c r="J707" s="115" t="s">
        <v>3927</v>
      </c>
      <c r="K707" s="97"/>
      <c r="L707" s="97"/>
      <c r="M707" s="97"/>
    </row>
    <row r="708" ht="15.75" customHeight="1">
      <c r="A708" s="5">
        <v>2020.0</v>
      </c>
      <c r="B708" s="90" t="s">
        <v>12</v>
      </c>
      <c r="C708" s="81"/>
      <c r="D708" s="68" t="s">
        <v>3928</v>
      </c>
      <c r="E708" s="116" t="s">
        <v>3929</v>
      </c>
      <c r="F708" s="79" t="s">
        <v>3930</v>
      </c>
      <c r="G708" s="117" t="s">
        <v>3931</v>
      </c>
      <c r="H708" s="38" t="s">
        <v>3932</v>
      </c>
      <c r="I708" s="118" t="s">
        <v>1266</v>
      </c>
      <c r="J708" s="116" t="s">
        <v>3933</v>
      </c>
      <c r="K708" s="119"/>
      <c r="L708" s="119"/>
      <c r="M708" s="119"/>
    </row>
    <row r="709" ht="15.75" customHeight="1">
      <c r="A709" s="5">
        <v>2020.0</v>
      </c>
      <c r="B709" s="90" t="s">
        <v>12</v>
      </c>
      <c r="C709" s="81" t="s">
        <v>204</v>
      </c>
      <c r="D709" s="68" t="s">
        <v>3934</v>
      </c>
      <c r="E709" s="74" t="s">
        <v>3935</v>
      </c>
      <c r="F709" s="82" t="s">
        <v>3936</v>
      </c>
      <c r="G709" s="117" t="s">
        <v>17</v>
      </c>
      <c r="H709" s="38" t="s">
        <v>3937</v>
      </c>
      <c r="I709" s="118" t="s">
        <v>1266</v>
      </c>
      <c r="J709" s="12" t="s">
        <v>3938</v>
      </c>
      <c r="K709" s="119"/>
      <c r="L709" s="119"/>
      <c r="M709" s="119"/>
    </row>
    <row r="710" ht="15.75" customHeight="1">
      <c r="A710" s="5">
        <v>2020.0</v>
      </c>
      <c r="B710" s="90" t="s">
        <v>62</v>
      </c>
      <c r="C710" s="81" t="str">
        <f>HYPERLINK("https://shop.openbci.com/collections/frontpage/products/skintact-f301-pediatric-foam-solid-gel-electrodes-30-pack?variant=29467659395","Skintact Foam Electrodes")</f>
        <v>Skintact Foam Electrodes</v>
      </c>
      <c r="D710" s="68" t="s">
        <v>3939</v>
      </c>
      <c r="E710" s="74" t="s">
        <v>3940</v>
      </c>
      <c r="F710" s="82" t="s">
        <v>3941</v>
      </c>
      <c r="G710" s="117" t="s">
        <v>3942</v>
      </c>
      <c r="H710" s="38" t="s">
        <v>3943</v>
      </c>
      <c r="I710" s="118" t="s">
        <v>1266</v>
      </c>
      <c r="J710" s="12" t="s">
        <v>3944</v>
      </c>
      <c r="K710" s="119"/>
      <c r="L710" s="119"/>
      <c r="M710" s="119"/>
    </row>
    <row r="711" ht="15.75" customHeight="1">
      <c r="A711" s="5">
        <v>2020.0</v>
      </c>
      <c r="B711" s="20" t="str">
        <f>HYPERLINK("https://shop.openbci.com/collections/frontpage/products/cyton-biosensing-board-8-channel","Cyton Board")</f>
        <v>Cyton Board</v>
      </c>
      <c r="C711" s="81" t="s">
        <v>204</v>
      </c>
      <c r="D711" s="68" t="s">
        <v>3945</v>
      </c>
      <c r="E711" s="120" t="s">
        <v>3946</v>
      </c>
      <c r="F711" s="79" t="s">
        <v>3947</v>
      </c>
      <c r="G711" s="117" t="s">
        <v>3948</v>
      </c>
      <c r="H711" s="38" t="s">
        <v>3949</v>
      </c>
      <c r="I711" s="118" t="s">
        <v>1266</v>
      </c>
      <c r="J711" s="12" t="s">
        <v>3950</v>
      </c>
      <c r="K711" s="119"/>
      <c r="L711" s="119"/>
      <c r="M711" s="119"/>
    </row>
    <row r="712" ht="15.75" customHeight="1">
      <c r="A712" s="5">
        <v>2020.0</v>
      </c>
      <c r="B712" s="20" t="str">
        <f>HYPERLINK("https://shop.openbci.com/collections/frontpage/products/ganglion-board","Ganglion")</f>
        <v>Ganglion</v>
      </c>
      <c r="C712" s="81" t="s">
        <v>2843</v>
      </c>
      <c r="D712" s="33" t="s">
        <v>3951</v>
      </c>
      <c r="E712" s="33" t="s">
        <v>3952</v>
      </c>
      <c r="F712" s="82" t="s">
        <v>3953</v>
      </c>
      <c r="G712" s="33" t="s">
        <v>3954</v>
      </c>
      <c r="H712" s="38" t="s">
        <v>3955</v>
      </c>
      <c r="I712" s="118" t="s">
        <v>1266</v>
      </c>
      <c r="J712" s="12" t="s">
        <v>3956</v>
      </c>
      <c r="K712" s="119"/>
      <c r="L712" s="119"/>
      <c r="M712" s="119"/>
    </row>
    <row r="713" ht="15.75" customHeight="1">
      <c r="A713" s="5">
        <v>2020.0</v>
      </c>
      <c r="B713" s="20" t="str">
        <f>HYPERLINK("https://shop.openbci.com/collections/frontpage/products/cyton-biosensing-board-8-channel","Cyton Board")</f>
        <v>Cyton Board</v>
      </c>
      <c r="C713" s="81" t="s">
        <v>573</v>
      </c>
      <c r="D713" s="33" t="s">
        <v>3957</v>
      </c>
      <c r="E713" s="33" t="s">
        <v>3958</v>
      </c>
      <c r="F713" s="82" t="s">
        <v>3959</v>
      </c>
      <c r="G713" s="33" t="s">
        <v>3960</v>
      </c>
      <c r="H713" s="38"/>
      <c r="I713" s="118" t="s">
        <v>1266</v>
      </c>
      <c r="J713" s="12"/>
      <c r="K713" s="119"/>
      <c r="L713" s="119"/>
      <c r="M713" s="119"/>
    </row>
    <row r="714" ht="15.75" customHeight="1">
      <c r="A714" s="5">
        <v>2020.0</v>
      </c>
      <c r="B714" s="6"/>
      <c r="C714" s="81" t="s">
        <v>204</v>
      </c>
      <c r="D714" s="121" t="s">
        <v>3961</v>
      </c>
      <c r="E714" s="121" t="s">
        <v>3962</v>
      </c>
      <c r="F714" s="79" t="s">
        <v>3963</v>
      </c>
      <c r="G714" s="121" t="s">
        <v>3964</v>
      </c>
      <c r="H714" s="38" t="s">
        <v>3965</v>
      </c>
      <c r="I714" s="118" t="s">
        <v>1266</v>
      </c>
      <c r="J714" s="12" t="s">
        <v>3966</v>
      </c>
      <c r="K714" s="119"/>
      <c r="L714" s="119"/>
      <c r="M714" s="119"/>
    </row>
    <row r="715" ht="15.75" customHeight="1">
      <c r="A715" s="5">
        <v>2020.0</v>
      </c>
      <c r="B715" s="20" t="str">
        <f t="shared" ref="B715:B716" si="6">HYPERLINK("https://shop.openbci.com/collections/frontpage/products/cyton-biosensing-board-8-channel","Cyton Board")</f>
        <v>Cyton Board</v>
      </c>
      <c r="C715" s="81" t="s">
        <v>204</v>
      </c>
      <c r="D715" s="118" t="s">
        <v>3967</v>
      </c>
      <c r="E715" s="122" t="s">
        <v>3968</v>
      </c>
      <c r="F715" s="79" t="s">
        <v>3969</v>
      </c>
      <c r="G715" s="123" t="s">
        <v>3970</v>
      </c>
      <c r="H715" s="38" t="s">
        <v>3971</v>
      </c>
      <c r="I715" s="118" t="s">
        <v>1266</v>
      </c>
      <c r="J715" s="12" t="s">
        <v>3972</v>
      </c>
      <c r="K715" s="119"/>
      <c r="L715" s="119"/>
      <c r="M715" s="119"/>
    </row>
    <row r="716" ht="15.75" customHeight="1">
      <c r="A716" s="5">
        <v>2020.0</v>
      </c>
      <c r="B716" s="20" t="str">
        <f t="shared" si="6"/>
        <v>Cyton Board</v>
      </c>
      <c r="C716" s="81"/>
      <c r="D716" s="118" t="s">
        <v>3973</v>
      </c>
      <c r="E716" s="74" t="s">
        <v>3974</v>
      </c>
      <c r="F716" s="81" t="s">
        <v>3975</v>
      </c>
      <c r="G716" s="74" t="s">
        <v>3976</v>
      </c>
      <c r="H716" s="38" t="s">
        <v>3977</v>
      </c>
      <c r="I716" s="118" t="s">
        <v>1266</v>
      </c>
      <c r="J716" s="118" t="s">
        <v>3978</v>
      </c>
      <c r="K716" s="119"/>
      <c r="L716" s="119"/>
      <c r="M716" s="119"/>
    </row>
    <row r="717" ht="15.75" customHeight="1">
      <c r="A717" s="5">
        <v>2020.0</v>
      </c>
      <c r="B717" s="90" t="s">
        <v>62</v>
      </c>
      <c r="C717" s="81"/>
      <c r="D717" s="118" t="s">
        <v>3979</v>
      </c>
      <c r="E717" s="74" t="s">
        <v>3980</v>
      </c>
      <c r="F717" s="124" t="s">
        <v>3981</v>
      </c>
      <c r="G717" s="74" t="s">
        <v>3982</v>
      </c>
      <c r="H717" s="38" t="s">
        <v>3983</v>
      </c>
      <c r="I717" s="118" t="s">
        <v>1266</v>
      </c>
      <c r="J717" s="118" t="s">
        <v>3984</v>
      </c>
      <c r="K717" s="119"/>
      <c r="L717" s="119"/>
      <c r="M717" s="119"/>
    </row>
    <row r="718" ht="15.75" customHeight="1">
      <c r="A718" s="5">
        <v>2020.0</v>
      </c>
      <c r="B718" s="20" t="str">
        <f>HYPERLINK("https://shop.openbci.com/collections/frontpage/products/cyton-biosensing-board-8-channel","Cyton Board")</f>
        <v>Cyton Board</v>
      </c>
      <c r="C718" s="81" t="s">
        <v>204</v>
      </c>
      <c r="D718" s="118" t="s">
        <v>3985</v>
      </c>
      <c r="E718" s="118" t="s">
        <v>3986</v>
      </c>
      <c r="F718" s="124" t="s">
        <v>3987</v>
      </c>
      <c r="G718" s="118" t="s">
        <v>3988</v>
      </c>
      <c r="H718" s="38" t="s">
        <v>13</v>
      </c>
      <c r="I718" s="118" t="s">
        <v>1266</v>
      </c>
      <c r="J718" s="118" t="s">
        <v>3989</v>
      </c>
      <c r="K718" s="119"/>
      <c r="L718" s="119"/>
      <c r="M718" s="119"/>
    </row>
    <row r="719" ht="15.75" customHeight="1">
      <c r="A719" s="5">
        <v>2020.0</v>
      </c>
      <c r="B719" s="125"/>
      <c r="C719" s="81" t="s">
        <v>204</v>
      </c>
      <c r="D719" s="118" t="s">
        <v>3990</v>
      </c>
      <c r="E719" s="118" t="s">
        <v>3991</v>
      </c>
      <c r="F719" s="124" t="s">
        <v>3992</v>
      </c>
      <c r="G719" s="118" t="s">
        <v>3993</v>
      </c>
      <c r="H719" s="38"/>
      <c r="I719" s="118" t="s">
        <v>1266</v>
      </c>
      <c r="J719" s="118" t="s">
        <v>3994</v>
      </c>
      <c r="K719" s="119"/>
      <c r="L719" s="119"/>
      <c r="M719" s="119"/>
    </row>
    <row r="720" ht="15.75" customHeight="1">
      <c r="A720" s="5">
        <v>2020.0</v>
      </c>
      <c r="B720" s="20" t="str">
        <f>HYPERLINK("https://shop.openbci.com/collections/frontpage/products/cyton-biosensing-board-8-channel","Cyton Board")</f>
        <v>Cyton Board</v>
      </c>
      <c r="C720" s="81" t="s">
        <v>3995</v>
      </c>
      <c r="D720" s="126" t="s">
        <v>3996</v>
      </c>
      <c r="E720" s="127" t="s">
        <v>3997</v>
      </c>
      <c r="F720" s="81" t="s">
        <v>3680</v>
      </c>
      <c r="G720" s="118" t="s">
        <v>3998</v>
      </c>
      <c r="H720" s="38" t="s">
        <v>3682</v>
      </c>
      <c r="I720" s="118" t="s">
        <v>1266</v>
      </c>
      <c r="J720" s="118" t="s">
        <v>3999</v>
      </c>
      <c r="K720" s="119"/>
      <c r="L720" s="119"/>
      <c r="M720" s="119"/>
    </row>
    <row r="721" ht="15.75" customHeight="1">
      <c r="A721" s="5">
        <v>2020.0</v>
      </c>
      <c r="B721" s="90" t="s">
        <v>62</v>
      </c>
      <c r="C721" s="81" t="s">
        <v>204</v>
      </c>
      <c r="D721" s="118" t="s">
        <v>4000</v>
      </c>
      <c r="E721" s="118" t="s">
        <v>4001</v>
      </c>
      <c r="F721" s="81" t="s">
        <v>4002</v>
      </c>
      <c r="G721" s="118" t="s">
        <v>4003</v>
      </c>
      <c r="H721" s="38" t="s">
        <v>4004</v>
      </c>
      <c r="I721" s="118" t="s">
        <v>1266</v>
      </c>
      <c r="J721" s="118" t="s">
        <v>4005</v>
      </c>
      <c r="K721" s="119"/>
      <c r="L721" s="119"/>
      <c r="M721" s="119"/>
    </row>
    <row r="722" ht="15.75" customHeight="1">
      <c r="A722" s="5">
        <v>2020.0</v>
      </c>
      <c r="B722" s="20" t="str">
        <f t="shared" ref="B722:B729" si="7">HYPERLINK("https://shop.openbci.com/collections/frontpage/products/cyton-biosensing-board-8-channel","Cyton Board")</f>
        <v>Cyton Board</v>
      </c>
      <c r="C722" s="128" t="s">
        <v>4006</v>
      </c>
      <c r="D722" s="118" t="s">
        <v>4007</v>
      </c>
      <c r="E722" s="118" t="s">
        <v>4008</v>
      </c>
      <c r="F722" s="81" t="s">
        <v>4009</v>
      </c>
      <c r="G722" s="118" t="s">
        <v>4010</v>
      </c>
      <c r="H722" s="38"/>
      <c r="I722" s="118" t="s">
        <v>1266</v>
      </c>
      <c r="J722" s="118" t="s">
        <v>4011</v>
      </c>
      <c r="K722" s="119"/>
      <c r="L722" s="119"/>
      <c r="M722" s="119"/>
    </row>
    <row r="723" ht="15.75" customHeight="1">
      <c r="A723" s="5">
        <v>2020.0</v>
      </c>
      <c r="B723" s="20" t="str">
        <f t="shared" si="7"/>
        <v>Cyton Board</v>
      </c>
      <c r="C723" s="81" t="s">
        <v>573</v>
      </c>
      <c r="D723" s="118" t="s">
        <v>4012</v>
      </c>
      <c r="E723" s="118" t="s">
        <v>4013</v>
      </c>
      <c r="F723" s="81" t="s">
        <v>4014</v>
      </c>
      <c r="G723" s="118" t="s">
        <v>333</v>
      </c>
      <c r="H723" s="38" t="s">
        <v>4015</v>
      </c>
      <c r="I723" s="118" t="s">
        <v>1266</v>
      </c>
      <c r="J723" s="118" t="s">
        <v>4016</v>
      </c>
      <c r="K723" s="119"/>
      <c r="L723" s="119"/>
      <c r="M723" s="119"/>
    </row>
    <row r="724" ht="15.75" customHeight="1">
      <c r="A724" s="5">
        <v>2020.0</v>
      </c>
      <c r="B724" s="20" t="str">
        <f t="shared" si="7"/>
        <v>Cyton Board</v>
      </c>
      <c r="C724" s="81" t="s">
        <v>1000</v>
      </c>
      <c r="D724" s="118" t="s">
        <v>4017</v>
      </c>
      <c r="E724" s="118" t="s">
        <v>4018</v>
      </c>
      <c r="F724" s="81" t="s">
        <v>4019</v>
      </c>
      <c r="G724" s="118" t="s">
        <v>4020</v>
      </c>
      <c r="H724" s="38" t="s">
        <v>4021</v>
      </c>
      <c r="I724" s="118" t="s">
        <v>1266</v>
      </c>
      <c r="J724" s="118" t="s">
        <v>4022</v>
      </c>
      <c r="K724" s="119"/>
      <c r="L724" s="119"/>
      <c r="M724" s="119"/>
    </row>
    <row r="725" ht="15.75" customHeight="1">
      <c r="A725" s="5">
        <v>2020.0</v>
      </c>
      <c r="B725" s="20" t="str">
        <f t="shared" si="7"/>
        <v>Cyton Board</v>
      </c>
      <c r="C725" s="118"/>
      <c r="D725" s="118" t="s">
        <v>4023</v>
      </c>
      <c r="E725" s="118" t="s">
        <v>4024</v>
      </c>
      <c r="F725" s="81" t="s">
        <v>4025</v>
      </c>
      <c r="G725" s="118" t="s">
        <v>4026</v>
      </c>
      <c r="H725" s="38" t="s">
        <v>4027</v>
      </c>
      <c r="I725" s="118" t="s">
        <v>1266</v>
      </c>
      <c r="J725" s="118" t="s">
        <v>4028</v>
      </c>
      <c r="K725" s="119"/>
      <c r="L725" s="119"/>
      <c r="M725" s="119"/>
    </row>
    <row r="726" ht="15.75" customHeight="1">
      <c r="A726" s="5">
        <v>2020.0</v>
      </c>
      <c r="B726" s="20" t="str">
        <f t="shared" si="7"/>
        <v>Cyton Board</v>
      </c>
      <c r="C726" s="118"/>
      <c r="D726" s="118" t="s">
        <v>4029</v>
      </c>
      <c r="E726" s="118" t="s">
        <v>4030</v>
      </c>
      <c r="F726" s="81" t="s">
        <v>4031</v>
      </c>
      <c r="G726" s="118" t="s">
        <v>4032</v>
      </c>
      <c r="H726" s="38" t="s">
        <v>4033</v>
      </c>
      <c r="I726" s="118" t="s">
        <v>1266</v>
      </c>
      <c r="J726" s="118" t="s">
        <v>4034</v>
      </c>
      <c r="K726" s="119"/>
      <c r="L726" s="119"/>
      <c r="M726" s="119"/>
    </row>
    <row r="727" ht="15.75" customHeight="1">
      <c r="A727" s="5">
        <v>2020.0</v>
      </c>
      <c r="B727" s="20" t="str">
        <f t="shared" si="7"/>
        <v>Cyton Board</v>
      </c>
      <c r="C727" s="118"/>
      <c r="D727" s="118" t="s">
        <v>4035</v>
      </c>
      <c r="E727" s="118" t="s">
        <v>4036</v>
      </c>
      <c r="F727" s="81" t="s">
        <v>4037</v>
      </c>
      <c r="G727" s="118" t="s">
        <v>4038</v>
      </c>
      <c r="H727" s="38" t="s">
        <v>4039</v>
      </c>
      <c r="I727" s="118" t="s">
        <v>1266</v>
      </c>
      <c r="J727" s="118" t="s">
        <v>4040</v>
      </c>
      <c r="K727" s="119"/>
      <c r="L727" s="119"/>
      <c r="M727" s="119"/>
    </row>
    <row r="728" ht="15.75" customHeight="1">
      <c r="A728" s="5">
        <v>2020.0</v>
      </c>
      <c r="B728" s="20" t="str">
        <f t="shared" si="7"/>
        <v>Cyton Board</v>
      </c>
      <c r="C728" s="81" t="s">
        <v>2843</v>
      </c>
      <c r="D728" s="118" t="s">
        <v>4041</v>
      </c>
      <c r="E728" s="118" t="s">
        <v>4042</v>
      </c>
      <c r="F728" s="81" t="s">
        <v>4043</v>
      </c>
      <c r="G728" s="118" t="s">
        <v>4044</v>
      </c>
      <c r="H728" s="38" t="s">
        <v>4027</v>
      </c>
      <c r="I728" s="118" t="s">
        <v>1266</v>
      </c>
      <c r="J728" s="118" t="s">
        <v>4045</v>
      </c>
      <c r="K728" s="118"/>
      <c r="L728" s="118"/>
      <c r="M728" s="118"/>
    </row>
    <row r="729" ht="15.75" customHeight="1">
      <c r="A729" s="5">
        <v>2020.0</v>
      </c>
      <c r="B729" s="20" t="str">
        <f t="shared" si="7"/>
        <v>Cyton Board</v>
      </c>
      <c r="C729" s="118"/>
      <c r="D729" s="118" t="s">
        <v>4046</v>
      </c>
      <c r="E729" s="118" t="s">
        <v>4047</v>
      </c>
      <c r="F729" s="124" t="s">
        <v>4048</v>
      </c>
      <c r="G729" s="118" t="s">
        <v>4049</v>
      </c>
      <c r="H729" s="38"/>
      <c r="I729" s="118" t="s">
        <v>1266</v>
      </c>
      <c r="J729" s="118" t="s">
        <v>4050</v>
      </c>
      <c r="K729" s="118"/>
      <c r="L729" s="118" t="s">
        <v>4051</v>
      </c>
      <c r="M729" s="118"/>
    </row>
    <row r="730" ht="15.75" customHeight="1">
      <c r="A730" s="5">
        <v>2020.0</v>
      </c>
      <c r="B730" s="20" t="str">
        <f>HYPERLINK("https://shop.openbci.com/collections/frontpage/products/cyton-daisy-biosensing-boards-16-channel?variant=38959256526","Cyton+Daisy")</f>
        <v>Cyton+Daisy</v>
      </c>
      <c r="C730" s="118"/>
      <c r="D730" s="118" t="s">
        <v>4052</v>
      </c>
      <c r="E730" s="118" t="s">
        <v>4053</v>
      </c>
      <c r="F730" s="124" t="s">
        <v>4054</v>
      </c>
      <c r="G730" s="118" t="s">
        <v>4055</v>
      </c>
      <c r="H730" s="38" t="s">
        <v>4056</v>
      </c>
      <c r="I730" s="118" t="s">
        <v>1266</v>
      </c>
      <c r="J730" s="118" t="s">
        <v>4057</v>
      </c>
      <c r="K730" s="119"/>
      <c r="L730" s="119"/>
      <c r="M730" s="119"/>
    </row>
    <row r="731" ht="15.75" customHeight="1">
      <c r="A731" s="5">
        <v>2020.0</v>
      </c>
      <c r="B731" s="20" t="str">
        <f t="shared" ref="B731:B737" si="8">HYPERLINK("https://shop.openbci.com/collections/frontpage/products/cyton-biosensing-board-8-channel","Cyton Board")</f>
        <v>Cyton Board</v>
      </c>
      <c r="C731" s="118"/>
      <c r="D731" s="118" t="s">
        <v>4058</v>
      </c>
      <c r="E731" s="118" t="s">
        <v>4059</v>
      </c>
      <c r="F731" s="124" t="s">
        <v>4060</v>
      </c>
      <c r="G731" s="118" t="s">
        <v>4061</v>
      </c>
      <c r="H731" s="38" t="s">
        <v>4062</v>
      </c>
      <c r="I731" s="118" t="s">
        <v>1266</v>
      </c>
      <c r="J731" s="118"/>
      <c r="K731" s="118"/>
      <c r="L731" s="118"/>
      <c r="M731" s="118"/>
    </row>
    <row r="732" ht="15.75" customHeight="1">
      <c r="A732" s="5">
        <v>2020.0</v>
      </c>
      <c r="B732" s="20" t="str">
        <f t="shared" si="8"/>
        <v>Cyton Board</v>
      </c>
      <c r="C732" s="118"/>
      <c r="D732" s="118" t="s">
        <v>4063</v>
      </c>
      <c r="E732" s="118" t="s">
        <v>4064</v>
      </c>
      <c r="F732" s="124" t="s">
        <v>4065</v>
      </c>
      <c r="G732" s="118" t="s">
        <v>4066</v>
      </c>
      <c r="H732" s="38" t="s">
        <v>4067</v>
      </c>
      <c r="I732" s="118" t="s">
        <v>1266</v>
      </c>
      <c r="J732" s="118" t="s">
        <v>4068</v>
      </c>
      <c r="K732" s="118"/>
      <c r="L732" s="118"/>
      <c r="M732" s="118"/>
    </row>
    <row r="733" ht="15.75" customHeight="1">
      <c r="A733" s="5">
        <v>2020.0</v>
      </c>
      <c r="B733" s="20" t="str">
        <f t="shared" si="8"/>
        <v>Cyton Board</v>
      </c>
      <c r="C733" s="118"/>
      <c r="D733" s="118" t="s">
        <v>4069</v>
      </c>
      <c r="E733" s="118" t="s">
        <v>4070</v>
      </c>
      <c r="F733" s="124" t="s">
        <v>4071</v>
      </c>
      <c r="G733" s="118" t="s">
        <v>4072</v>
      </c>
      <c r="H733" s="38" t="s">
        <v>4073</v>
      </c>
      <c r="I733" s="118" t="s">
        <v>1266</v>
      </c>
      <c r="J733" s="118" t="s">
        <v>4074</v>
      </c>
      <c r="K733" s="118"/>
      <c r="L733" s="118"/>
      <c r="M733" s="118"/>
    </row>
    <row r="734" ht="15.75" customHeight="1">
      <c r="A734" s="5">
        <v>2020.0</v>
      </c>
      <c r="B734" s="20" t="str">
        <f t="shared" si="8"/>
        <v>Cyton Board</v>
      </c>
      <c r="C734" s="118"/>
      <c r="D734" s="118" t="s">
        <v>4075</v>
      </c>
      <c r="E734" s="118" t="s">
        <v>4076</v>
      </c>
      <c r="F734" s="124" t="s">
        <v>4077</v>
      </c>
      <c r="G734" s="118" t="s">
        <v>4078</v>
      </c>
      <c r="H734" s="38" t="s">
        <v>4079</v>
      </c>
      <c r="I734" s="118" t="s">
        <v>1266</v>
      </c>
      <c r="J734" s="118" t="s">
        <v>4080</v>
      </c>
      <c r="K734" s="118"/>
      <c r="L734" s="118"/>
      <c r="M734" s="118"/>
    </row>
    <row r="735" ht="15.75" customHeight="1">
      <c r="A735" s="5">
        <v>2020.0</v>
      </c>
      <c r="B735" s="20" t="str">
        <f t="shared" si="8"/>
        <v>Cyton Board</v>
      </c>
      <c r="C735" s="81" t="s">
        <v>573</v>
      </c>
      <c r="D735" s="118" t="s">
        <v>4081</v>
      </c>
      <c r="E735" s="118" t="s">
        <v>4082</v>
      </c>
      <c r="F735" s="124" t="s">
        <v>4083</v>
      </c>
      <c r="G735" s="118" t="s">
        <v>4084</v>
      </c>
      <c r="H735" s="38" t="s">
        <v>4085</v>
      </c>
      <c r="I735" s="118" t="s">
        <v>1266</v>
      </c>
      <c r="J735" s="118" t="s">
        <v>4086</v>
      </c>
      <c r="K735" s="118"/>
      <c r="L735" s="124" t="s">
        <v>4087</v>
      </c>
      <c r="M735" s="118"/>
    </row>
    <row r="736" ht="15.75" customHeight="1">
      <c r="A736" s="5">
        <v>2020.0</v>
      </c>
      <c r="B736" s="20" t="str">
        <f t="shared" si="8"/>
        <v>Cyton Board</v>
      </c>
      <c r="C736" s="118"/>
      <c r="D736" s="118" t="s">
        <v>4088</v>
      </c>
      <c r="E736" s="118" t="s">
        <v>4089</v>
      </c>
      <c r="F736" s="124" t="s">
        <v>4090</v>
      </c>
      <c r="G736" s="118" t="s">
        <v>4091</v>
      </c>
      <c r="H736" s="38" t="s">
        <v>4092</v>
      </c>
      <c r="I736" s="118" t="s">
        <v>1266</v>
      </c>
      <c r="J736" s="118" t="s">
        <v>4093</v>
      </c>
      <c r="K736" s="119"/>
      <c r="L736" s="119"/>
      <c r="M736" s="119"/>
    </row>
    <row r="737" ht="15.75" customHeight="1">
      <c r="A737" s="5">
        <v>2020.0</v>
      </c>
      <c r="B737" s="20" t="str">
        <f t="shared" si="8"/>
        <v>Cyton Board</v>
      </c>
      <c r="C737" s="118"/>
      <c r="D737" s="118" t="s">
        <v>4094</v>
      </c>
      <c r="E737" s="118" t="s">
        <v>4059</v>
      </c>
      <c r="F737" s="124" t="s">
        <v>4060</v>
      </c>
      <c r="G737" s="118" t="s">
        <v>4095</v>
      </c>
      <c r="H737" s="38" t="s">
        <v>4062</v>
      </c>
      <c r="I737" s="118" t="s">
        <v>1266</v>
      </c>
      <c r="J737" s="118"/>
      <c r="K737" s="119"/>
      <c r="L737" s="119"/>
      <c r="M737" s="119"/>
    </row>
    <row r="738" ht="15.75" customHeight="1">
      <c r="A738" s="5">
        <v>2020.0</v>
      </c>
      <c r="B738" s="20" t="str">
        <f t="shared" ref="B738:B739" si="9">HYPERLINK("https://shop.openbci.com/collections/frontpage/products/ganglion-board","Ganglion")</f>
        <v>Ganglion</v>
      </c>
      <c r="C738" s="118"/>
      <c r="D738" s="118" t="s">
        <v>4096</v>
      </c>
      <c r="E738" s="118" t="s">
        <v>4097</v>
      </c>
      <c r="F738" s="124" t="s">
        <v>4098</v>
      </c>
      <c r="G738" s="118" t="s">
        <v>4099</v>
      </c>
      <c r="H738" s="38" t="s">
        <v>4100</v>
      </c>
      <c r="I738" s="118" t="s">
        <v>1266</v>
      </c>
      <c r="J738" s="118" t="s">
        <v>4101</v>
      </c>
      <c r="K738" s="119"/>
      <c r="L738" s="119"/>
      <c r="M738" s="119"/>
    </row>
    <row r="739" ht="15.75" customHeight="1">
      <c r="A739" s="5">
        <v>2020.0</v>
      </c>
      <c r="B739" s="20" t="str">
        <f t="shared" si="9"/>
        <v>Ganglion</v>
      </c>
      <c r="C739" s="118"/>
      <c r="D739" s="118" t="s">
        <v>4102</v>
      </c>
      <c r="E739" s="118" t="s">
        <v>4103</v>
      </c>
      <c r="F739" s="124" t="s">
        <v>4104</v>
      </c>
      <c r="G739" s="118" t="s">
        <v>4105</v>
      </c>
      <c r="H739" s="38" t="s">
        <v>4106</v>
      </c>
      <c r="I739" s="118" t="s">
        <v>1266</v>
      </c>
      <c r="J739" s="118" t="s">
        <v>4107</v>
      </c>
      <c r="K739" s="119"/>
      <c r="L739" s="119"/>
      <c r="M739" s="119"/>
    </row>
    <row r="740" ht="15.75" customHeight="1">
      <c r="A740" s="5">
        <v>2020.0</v>
      </c>
      <c r="B740" s="20" t="str">
        <f t="shared" ref="B740:B743" si="10">HYPERLINK("https://shop.openbci.com/collections/frontpage/products/cyton-biosensing-board-8-channel","Cyton Board")</f>
        <v>Cyton Board</v>
      </c>
      <c r="C740" s="81" t="s">
        <v>4108</v>
      </c>
      <c r="D740" s="118" t="s">
        <v>4109</v>
      </c>
      <c r="E740" s="118" t="s">
        <v>4110</v>
      </c>
      <c r="F740" s="124" t="s">
        <v>4111</v>
      </c>
      <c r="G740" s="118" t="s">
        <v>4112</v>
      </c>
      <c r="H740" s="38" t="s">
        <v>4113</v>
      </c>
      <c r="I740" s="118" t="s">
        <v>1266</v>
      </c>
      <c r="J740" s="118" t="s">
        <v>4114</v>
      </c>
      <c r="K740" s="119"/>
      <c r="L740" s="119"/>
      <c r="M740" s="119"/>
    </row>
    <row r="741" ht="15.75" customHeight="1">
      <c r="A741" s="5">
        <v>2020.0</v>
      </c>
      <c r="B741" s="20" t="str">
        <f t="shared" si="10"/>
        <v>Cyton Board</v>
      </c>
      <c r="C741" s="118"/>
      <c r="D741" s="118" t="s">
        <v>4115</v>
      </c>
      <c r="E741" s="118" t="s">
        <v>4116</v>
      </c>
      <c r="F741" s="124" t="s">
        <v>4117</v>
      </c>
      <c r="G741" s="118"/>
      <c r="H741" s="38"/>
      <c r="I741" s="118" t="s">
        <v>1266</v>
      </c>
      <c r="J741" s="118" t="s">
        <v>4118</v>
      </c>
      <c r="K741" s="119"/>
      <c r="L741" s="119"/>
      <c r="M741" s="119"/>
    </row>
    <row r="742" ht="15.75" customHeight="1">
      <c r="A742" s="5">
        <v>2020.0</v>
      </c>
      <c r="B742" s="20" t="str">
        <f t="shared" si="10"/>
        <v>Cyton Board</v>
      </c>
      <c r="C742" s="118"/>
      <c r="D742" s="118" t="s">
        <v>4119</v>
      </c>
      <c r="E742" s="118" t="s">
        <v>4120</v>
      </c>
      <c r="F742" s="124" t="s">
        <v>4121</v>
      </c>
      <c r="G742" s="118" t="s">
        <v>4122</v>
      </c>
      <c r="H742" s="38" t="s">
        <v>4123</v>
      </c>
      <c r="I742" s="118" t="s">
        <v>1266</v>
      </c>
      <c r="J742" s="118" t="s">
        <v>4124</v>
      </c>
      <c r="K742" s="119"/>
      <c r="L742" s="119"/>
      <c r="M742" s="119"/>
    </row>
    <row r="743" ht="15.75" customHeight="1">
      <c r="A743" s="5">
        <v>2020.0</v>
      </c>
      <c r="B743" s="20" t="str">
        <f t="shared" si="10"/>
        <v>Cyton Board</v>
      </c>
      <c r="C743" s="118"/>
      <c r="D743" s="118" t="s">
        <v>4125</v>
      </c>
      <c r="E743" s="118" t="s">
        <v>4126</v>
      </c>
      <c r="F743" s="124" t="s">
        <v>4127</v>
      </c>
      <c r="G743" s="118" t="s">
        <v>4128</v>
      </c>
      <c r="H743" s="38"/>
      <c r="I743" s="118" t="s">
        <v>1266</v>
      </c>
      <c r="J743" s="118" t="s">
        <v>4129</v>
      </c>
      <c r="K743" s="119"/>
      <c r="L743" s="119"/>
      <c r="M743" s="119"/>
    </row>
    <row r="744" ht="15.75" customHeight="1">
      <c r="A744" s="5">
        <v>2020.0</v>
      </c>
      <c r="B744" s="20" t="str">
        <f>HYPERLINK("https://shop.openbci.com/collections/frontpage/products/cyton-daisy-biosensing-boards-16-channel?variant=38959256526","Cyton+Daisy")</f>
        <v>Cyton+Daisy</v>
      </c>
      <c r="C744" s="118"/>
      <c r="D744" s="118" t="s">
        <v>4130</v>
      </c>
      <c r="E744" s="118" t="s">
        <v>4131</v>
      </c>
      <c r="F744" s="124" t="s">
        <v>4132</v>
      </c>
      <c r="G744" s="118" t="s">
        <v>4133</v>
      </c>
      <c r="H744" s="38"/>
      <c r="I744" s="118" t="s">
        <v>1266</v>
      </c>
      <c r="J744" s="118" t="s">
        <v>4134</v>
      </c>
      <c r="K744" s="119"/>
      <c r="L744" s="119"/>
      <c r="M744" s="119"/>
    </row>
    <row r="745" ht="15.75" customHeight="1">
      <c r="A745" s="5">
        <v>2020.0</v>
      </c>
      <c r="B745" s="20" t="str">
        <f t="shared" ref="B745:B747" si="11">HYPERLINK("https://shop.openbci.com/collections/frontpage/products/cyton-biosensing-board-8-channel","Cyton Board")</f>
        <v>Cyton Board</v>
      </c>
      <c r="C745" s="118"/>
      <c r="D745" s="118" t="s">
        <v>4135</v>
      </c>
      <c r="E745" s="118" t="s">
        <v>4136</v>
      </c>
      <c r="F745" s="124" t="s">
        <v>4137</v>
      </c>
      <c r="G745" s="118" t="s">
        <v>4138</v>
      </c>
      <c r="H745" s="38"/>
      <c r="I745" s="118" t="s">
        <v>1266</v>
      </c>
      <c r="J745" s="118"/>
      <c r="K745" s="119"/>
      <c r="L745" s="119"/>
      <c r="M745" s="119"/>
    </row>
    <row r="746" ht="15.75" customHeight="1">
      <c r="A746" s="5">
        <v>2020.0</v>
      </c>
      <c r="B746" s="20" t="str">
        <f t="shared" si="11"/>
        <v>Cyton Board</v>
      </c>
      <c r="C746" s="118"/>
      <c r="D746" s="118" t="s">
        <v>4139</v>
      </c>
      <c r="E746" s="118" t="s">
        <v>4140</v>
      </c>
      <c r="F746" s="124" t="s">
        <v>4141</v>
      </c>
      <c r="G746" s="118" t="s">
        <v>4142</v>
      </c>
      <c r="H746" s="38"/>
      <c r="I746" s="118" t="s">
        <v>1266</v>
      </c>
      <c r="J746" s="118" t="s">
        <v>4143</v>
      </c>
      <c r="K746" s="119"/>
      <c r="L746" s="119"/>
      <c r="M746" s="119"/>
    </row>
    <row r="747" ht="15.75" customHeight="1">
      <c r="A747" s="5">
        <v>2020.0</v>
      </c>
      <c r="B747" s="20" t="str">
        <f t="shared" si="11"/>
        <v>Cyton Board</v>
      </c>
      <c r="C747" s="81" t="s">
        <v>1000</v>
      </c>
      <c r="D747" s="118" t="s">
        <v>4144</v>
      </c>
      <c r="E747" s="118" t="s">
        <v>4145</v>
      </c>
      <c r="F747" s="124" t="s">
        <v>4146</v>
      </c>
      <c r="G747" s="118" t="s">
        <v>3156</v>
      </c>
      <c r="H747" s="38"/>
      <c r="I747" s="118" t="s">
        <v>1266</v>
      </c>
      <c r="J747" s="118" t="s">
        <v>4147</v>
      </c>
      <c r="K747" s="119"/>
      <c r="L747" s="119"/>
      <c r="M747" s="119"/>
    </row>
    <row r="748" ht="15.75" customHeight="1">
      <c r="A748" s="5">
        <v>2020.0</v>
      </c>
      <c r="B748" s="125" t="s">
        <v>4148</v>
      </c>
      <c r="C748" s="118"/>
      <c r="D748" s="118" t="s">
        <v>4149</v>
      </c>
      <c r="E748" s="118" t="s">
        <v>4150</v>
      </c>
      <c r="F748" s="124" t="s">
        <v>4151</v>
      </c>
      <c r="G748" s="118" t="s">
        <v>4152</v>
      </c>
      <c r="H748" s="38"/>
      <c r="I748" s="118" t="s">
        <v>1266</v>
      </c>
      <c r="J748" s="118" t="s">
        <v>4153</v>
      </c>
      <c r="K748" s="119"/>
      <c r="L748" s="119"/>
      <c r="M748" s="119"/>
    </row>
    <row r="749" ht="15.75" customHeight="1">
      <c r="A749" s="5">
        <v>2020.0</v>
      </c>
      <c r="B749" s="20" t="str">
        <f t="shared" ref="B749:B751" si="12">HYPERLINK("https://shop.openbci.com/collections/frontpage/products/cyton-biosensing-board-8-channel","Cyton Board")</f>
        <v>Cyton Board</v>
      </c>
      <c r="C749" s="118"/>
      <c r="D749" s="118" t="s">
        <v>4154</v>
      </c>
      <c r="E749" s="118" t="s">
        <v>4155</v>
      </c>
      <c r="F749" s="124" t="s">
        <v>4156</v>
      </c>
      <c r="G749" s="118" t="s">
        <v>4157</v>
      </c>
      <c r="H749" s="38"/>
      <c r="I749" s="118" t="s">
        <v>1266</v>
      </c>
      <c r="J749" s="118" t="s">
        <v>4158</v>
      </c>
      <c r="K749" s="119"/>
      <c r="L749" s="119"/>
      <c r="M749" s="119"/>
    </row>
    <row r="750" ht="15.75" customHeight="1">
      <c r="A750" s="5">
        <v>2020.0</v>
      </c>
      <c r="B750" s="20" t="str">
        <f t="shared" si="12"/>
        <v>Cyton Board</v>
      </c>
      <c r="C750" s="118"/>
      <c r="D750" s="118" t="s">
        <v>4159</v>
      </c>
      <c r="E750" s="118" t="s">
        <v>4160</v>
      </c>
      <c r="F750" s="124" t="s">
        <v>4161</v>
      </c>
      <c r="G750" s="118" t="s">
        <v>4162</v>
      </c>
      <c r="H750" s="38"/>
      <c r="I750" s="118" t="s">
        <v>1266</v>
      </c>
      <c r="J750" s="118"/>
      <c r="K750" s="119"/>
      <c r="L750" s="119"/>
      <c r="M750" s="119"/>
    </row>
    <row r="751" ht="15.75" customHeight="1">
      <c r="A751" s="93">
        <v>2020.0</v>
      </c>
      <c r="B751" s="104" t="str">
        <f t="shared" si="12"/>
        <v>Cyton Board</v>
      </c>
      <c r="C751" s="78"/>
      <c r="D751" s="93" t="s">
        <v>4163</v>
      </c>
      <c r="E751" s="93" t="s">
        <v>4164</v>
      </c>
      <c r="F751" s="100" t="s">
        <v>4165</v>
      </c>
      <c r="G751" s="93" t="s">
        <v>4166</v>
      </c>
      <c r="H751" s="38" t="s">
        <v>4167</v>
      </c>
      <c r="I751" s="93" t="s">
        <v>1266</v>
      </c>
      <c r="J751" s="93" t="s">
        <v>4168</v>
      </c>
      <c r="K751" s="101"/>
      <c r="L751" s="101" t="s">
        <v>13</v>
      </c>
      <c r="M751" s="101"/>
    </row>
    <row r="752" ht="15.75" customHeight="1">
      <c r="A752" s="5">
        <v>2019.0</v>
      </c>
      <c r="B752" s="14" t="s">
        <v>12</v>
      </c>
      <c r="C752" s="6"/>
      <c r="D752" s="74" t="s">
        <v>4169</v>
      </c>
      <c r="E752" s="76" t="s">
        <v>4170</v>
      </c>
      <c r="F752" s="82" t="s">
        <v>4171</v>
      </c>
      <c r="G752" s="12" t="s">
        <v>4172</v>
      </c>
      <c r="H752" s="38" t="s">
        <v>4173</v>
      </c>
      <c r="I752" s="5" t="s">
        <v>1266</v>
      </c>
      <c r="J752" s="12" t="s">
        <v>4174</v>
      </c>
      <c r="K752" s="5"/>
      <c r="L752" s="5"/>
      <c r="M752" s="5"/>
    </row>
    <row r="753" ht="15.75" customHeight="1">
      <c r="A753" s="5">
        <v>2019.0</v>
      </c>
      <c r="B753" s="14" t="s">
        <v>12</v>
      </c>
      <c r="C753" s="81" t="s">
        <v>4175</v>
      </c>
      <c r="D753" s="12" t="s">
        <v>4176</v>
      </c>
      <c r="E753" s="87" t="s">
        <v>4177</v>
      </c>
      <c r="F753" s="9" t="s">
        <v>4178</v>
      </c>
      <c r="G753" s="85" t="s">
        <v>4179</v>
      </c>
      <c r="H753" s="38"/>
      <c r="I753" s="12" t="s">
        <v>1266</v>
      </c>
      <c r="J753" s="129" t="s">
        <v>4180</v>
      </c>
      <c r="K753" s="5"/>
      <c r="L753" s="5"/>
      <c r="M753" s="5"/>
    </row>
    <row r="754" ht="15.75" customHeight="1">
      <c r="A754" s="5">
        <v>2019.0</v>
      </c>
      <c r="B754" s="20" t="str">
        <f>HYPERLINK("https://shop.openbci.com/collections/frontpage/products/cyton-daisy-biosensing-boards-16-channel?variant=38959256526","Cyton+Daisy")</f>
        <v>Cyton+Daisy</v>
      </c>
      <c r="C754" s="81" t="s">
        <v>573</v>
      </c>
      <c r="D754" s="12" t="s">
        <v>4181</v>
      </c>
      <c r="E754" s="87" t="s">
        <v>4182</v>
      </c>
      <c r="F754" s="82" t="s">
        <v>4183</v>
      </c>
      <c r="G754" s="85" t="s">
        <v>4184</v>
      </c>
      <c r="H754" s="38" t="s">
        <v>4183</v>
      </c>
      <c r="I754" s="93" t="s">
        <v>1266</v>
      </c>
      <c r="J754" s="129"/>
      <c r="K754" s="5"/>
      <c r="L754" s="5"/>
      <c r="M754" s="5"/>
    </row>
    <row r="755" ht="15.75" customHeight="1">
      <c r="A755" s="130">
        <v>2019.0</v>
      </c>
      <c r="B755" s="90" t="s">
        <v>12</v>
      </c>
      <c r="C755" s="73" t="s">
        <v>4185</v>
      </c>
      <c r="D755" s="131" t="s">
        <v>4186</v>
      </c>
      <c r="E755" s="132" t="s">
        <v>4187</v>
      </c>
      <c r="F755" s="133" t="s">
        <v>4188</v>
      </c>
      <c r="G755" s="134"/>
      <c r="H755" s="38"/>
      <c r="I755" s="130" t="s">
        <v>1266</v>
      </c>
      <c r="J755" s="135" t="s">
        <v>4189</v>
      </c>
      <c r="K755" s="130"/>
      <c r="L755" s="130"/>
      <c r="M755" s="5"/>
    </row>
    <row r="756" ht="15.75" customHeight="1">
      <c r="A756" s="130">
        <v>2019.0</v>
      </c>
      <c r="B756" s="90" t="s">
        <v>12</v>
      </c>
      <c r="C756" s="90"/>
      <c r="D756" s="131" t="s">
        <v>4190</v>
      </c>
      <c r="E756" s="131" t="s">
        <v>4191</v>
      </c>
      <c r="F756" s="136" t="s">
        <v>4192</v>
      </c>
      <c r="G756" s="131" t="s">
        <v>4193</v>
      </c>
      <c r="H756" s="38" t="s">
        <v>4194</v>
      </c>
      <c r="I756" s="130" t="s">
        <v>1266</v>
      </c>
      <c r="J756" s="131" t="s">
        <v>4195</v>
      </c>
      <c r="K756" s="130"/>
      <c r="L756" s="130"/>
      <c r="M756" s="5"/>
    </row>
    <row r="757" ht="15.75" customHeight="1">
      <c r="A757" s="130">
        <v>2019.0</v>
      </c>
      <c r="B757" s="20" t="str">
        <f>HYPERLINK("https://shop.openbci.com/collections/frontpage/products/cyton-daisy-biosensing-boards-16-channel?variant=38959256526","Cyton+Daisy")</f>
        <v>Cyton+Daisy</v>
      </c>
      <c r="C757" s="81" t="s">
        <v>4108</v>
      </c>
      <c r="D757" s="131" t="s">
        <v>4196</v>
      </c>
      <c r="E757" s="131" t="s">
        <v>4197</v>
      </c>
      <c r="F757" s="137" t="s">
        <v>4198</v>
      </c>
      <c r="G757" s="138" t="s">
        <v>4199</v>
      </c>
      <c r="H757" s="38" t="s">
        <v>4200</v>
      </c>
      <c r="I757" s="139" t="s">
        <v>1266</v>
      </c>
      <c r="J757" s="131" t="s">
        <v>4201</v>
      </c>
      <c r="K757" s="139"/>
      <c r="L757" s="139"/>
      <c r="M757" s="118"/>
    </row>
    <row r="758" ht="15.75" customHeight="1">
      <c r="A758" s="130">
        <v>2019.0</v>
      </c>
      <c r="B758" s="20" t="str">
        <f t="shared" ref="B758:B760" si="13">HYPERLINK("https://shop.openbci.com/collections/frontpage/products/cyton-biosensing-board-8-channel","Cyton Board")</f>
        <v>Cyton Board</v>
      </c>
      <c r="C758" s="137" t="s">
        <v>4108</v>
      </c>
      <c r="D758" s="131" t="s">
        <v>4202</v>
      </c>
      <c r="E758" s="139" t="s">
        <v>4203</v>
      </c>
      <c r="F758" s="137" t="s">
        <v>4204</v>
      </c>
      <c r="G758" s="139" t="s">
        <v>4205</v>
      </c>
      <c r="H758" s="38" t="s">
        <v>4206</v>
      </c>
      <c r="I758" s="139" t="s">
        <v>4207</v>
      </c>
      <c r="J758" s="139" t="s">
        <v>4208</v>
      </c>
      <c r="K758" s="139"/>
      <c r="L758" s="139"/>
      <c r="M758" s="118"/>
    </row>
    <row r="759" ht="15.75" customHeight="1">
      <c r="A759" s="130">
        <v>2019.0</v>
      </c>
      <c r="B759" s="20" t="str">
        <f t="shared" si="13"/>
        <v>Cyton Board</v>
      </c>
      <c r="C759" s="137" t="s">
        <v>1000</v>
      </c>
      <c r="D759" s="139" t="s">
        <v>4209</v>
      </c>
      <c r="E759" s="139" t="s">
        <v>4210</v>
      </c>
      <c r="F759" s="137" t="s">
        <v>4211</v>
      </c>
      <c r="G759" s="139" t="s">
        <v>4212</v>
      </c>
      <c r="H759" s="38" t="s">
        <v>4213</v>
      </c>
      <c r="I759" s="139" t="s">
        <v>1266</v>
      </c>
      <c r="J759" s="139" t="s">
        <v>4214</v>
      </c>
      <c r="K759" s="139"/>
      <c r="L759" s="139"/>
      <c r="M759" s="118"/>
    </row>
    <row r="760" ht="15.75" customHeight="1">
      <c r="A760" s="130">
        <v>2019.0</v>
      </c>
      <c r="B760" s="20" t="str">
        <f t="shared" si="13"/>
        <v>Cyton Board</v>
      </c>
      <c r="C760" s="139"/>
      <c r="D760" s="139" t="s">
        <v>4215</v>
      </c>
      <c r="E760" s="139" t="s">
        <v>4216</v>
      </c>
      <c r="F760" s="140" t="s">
        <v>4217</v>
      </c>
      <c r="G760" s="139" t="s">
        <v>4218</v>
      </c>
      <c r="H760" s="38" t="s">
        <v>4219</v>
      </c>
      <c r="I760" s="139" t="s">
        <v>1266</v>
      </c>
      <c r="J760" s="139" t="s">
        <v>4220</v>
      </c>
      <c r="K760" s="139"/>
      <c r="L760" s="139"/>
      <c r="M760" s="118"/>
    </row>
    <row r="761" ht="15.75" customHeight="1">
      <c r="A761" s="130">
        <v>2019.0</v>
      </c>
      <c r="B761" s="125" t="s">
        <v>4221</v>
      </c>
      <c r="C761" s="137" t="s">
        <v>4108</v>
      </c>
      <c r="D761" s="139" t="s">
        <v>4222</v>
      </c>
      <c r="E761" s="139" t="s">
        <v>4223</v>
      </c>
      <c r="F761" s="124" t="s">
        <v>4224</v>
      </c>
      <c r="G761" s="139" t="s">
        <v>4225</v>
      </c>
      <c r="H761" s="38" t="s">
        <v>4226</v>
      </c>
      <c r="I761" s="139" t="s">
        <v>1266</v>
      </c>
      <c r="J761" s="139" t="s">
        <v>4227</v>
      </c>
      <c r="K761" s="141"/>
      <c r="L761" s="141"/>
      <c r="M761" s="119"/>
    </row>
    <row r="762" ht="15.75" customHeight="1">
      <c r="A762" s="130">
        <v>2019.0</v>
      </c>
      <c r="B762" s="125" t="s">
        <v>3460</v>
      </c>
      <c r="C762" s="139"/>
      <c r="D762" s="139" t="s">
        <v>4228</v>
      </c>
      <c r="E762" s="139" t="s">
        <v>4229</v>
      </c>
      <c r="F762" s="140" t="s">
        <v>4230</v>
      </c>
      <c r="G762" s="139" t="s">
        <v>4231</v>
      </c>
      <c r="H762" s="38" t="s">
        <v>4232</v>
      </c>
      <c r="I762" s="139" t="s">
        <v>1266</v>
      </c>
      <c r="J762" s="139" t="s">
        <v>4233</v>
      </c>
      <c r="K762" s="141"/>
      <c r="L762" s="141"/>
      <c r="M762" s="119"/>
    </row>
    <row r="763" ht="15.75" customHeight="1">
      <c r="A763" s="130">
        <v>2019.0</v>
      </c>
      <c r="B763" s="20" t="str">
        <f>HYPERLINK("https://shop.openbci.com/collections/frontpage/products/cyton-biosensing-board-8-channel","Cyton Board")</f>
        <v>Cyton Board</v>
      </c>
      <c r="C763" s="139"/>
      <c r="D763" s="139" t="s">
        <v>4234</v>
      </c>
      <c r="E763" s="139" t="s">
        <v>4235</v>
      </c>
      <c r="F763" s="140" t="s">
        <v>4236</v>
      </c>
      <c r="G763" s="139" t="s">
        <v>333</v>
      </c>
      <c r="H763" s="38"/>
      <c r="I763" s="139" t="s">
        <v>1266</v>
      </c>
      <c r="J763" s="139" t="s">
        <v>4237</v>
      </c>
      <c r="K763" s="141"/>
      <c r="L763" s="141"/>
      <c r="M763" s="119"/>
    </row>
    <row r="764" ht="15.75" customHeight="1">
      <c r="A764" s="130">
        <v>2019.0</v>
      </c>
      <c r="B764" s="20" t="str">
        <f>HYPERLINK("https://shop.openbci.com/collections/frontpage/products/cyton-biosensing-board-8-channel?variant=38958638542","Cyton")</f>
        <v>Cyton</v>
      </c>
      <c r="C764" s="139"/>
      <c r="D764" s="139" t="s">
        <v>4238</v>
      </c>
      <c r="E764" s="139" t="s">
        <v>4239</v>
      </c>
      <c r="F764" s="140" t="s">
        <v>4240</v>
      </c>
      <c r="G764" s="139" t="s">
        <v>4241</v>
      </c>
      <c r="H764" s="38"/>
      <c r="I764" s="139" t="s">
        <v>1266</v>
      </c>
      <c r="J764" s="139" t="s">
        <v>4242</v>
      </c>
      <c r="K764" s="139"/>
      <c r="L764" s="139"/>
      <c r="M764" s="118"/>
    </row>
    <row r="765" ht="15.75" customHeight="1">
      <c r="A765" s="130">
        <v>2019.0</v>
      </c>
      <c r="B765" s="20" t="str">
        <f>HYPERLINK("https://shop.openbci.com/collections/frontpage/products/cyton-biosensing-board-8-channel","Cyton Board")</f>
        <v>Cyton Board</v>
      </c>
      <c r="C765" s="139"/>
      <c r="D765" s="139" t="s">
        <v>4243</v>
      </c>
      <c r="E765" s="139" t="s">
        <v>4244</v>
      </c>
      <c r="F765" s="140" t="s">
        <v>4245</v>
      </c>
      <c r="G765" s="139" t="s">
        <v>333</v>
      </c>
      <c r="H765" s="38"/>
      <c r="I765" s="139" t="s">
        <v>1266</v>
      </c>
      <c r="J765" s="139" t="s">
        <v>4246</v>
      </c>
      <c r="K765" s="139"/>
      <c r="L765" s="139"/>
      <c r="M765" s="118"/>
    </row>
    <row r="766" ht="15.75" customHeight="1">
      <c r="A766" s="130">
        <v>2019.0</v>
      </c>
      <c r="B766" s="20" t="str">
        <f>HYPERLINK("https://shop.openbci.com/collections/frontpage/products/cyton-daisy-biosensing-boards-16-channel?variant=38959256526","Cyton+Daisy")</f>
        <v>Cyton+Daisy</v>
      </c>
      <c r="C766" s="139"/>
      <c r="D766" s="139" t="s">
        <v>4247</v>
      </c>
      <c r="E766" s="139" t="s">
        <v>4248</v>
      </c>
      <c r="F766" s="140" t="s">
        <v>4249</v>
      </c>
      <c r="G766" s="139" t="s">
        <v>4250</v>
      </c>
      <c r="H766" s="38"/>
      <c r="I766" s="139" t="s">
        <v>1266</v>
      </c>
      <c r="J766" s="139" t="s">
        <v>4251</v>
      </c>
      <c r="K766" s="139"/>
      <c r="L766" s="139"/>
      <c r="M766" s="118"/>
    </row>
    <row r="767" ht="15.75" customHeight="1">
      <c r="A767" s="130">
        <v>2019.0</v>
      </c>
      <c r="B767" s="20" t="str">
        <f>HYPERLINK("https://shop.openbci.com/collections/frontpage/products/cyton-biosensing-board-8-channel","Cyton Board")</f>
        <v>Cyton Board</v>
      </c>
      <c r="C767" s="139"/>
      <c r="D767" s="139" t="s">
        <v>4252</v>
      </c>
      <c r="E767" s="139" t="s">
        <v>4253</v>
      </c>
      <c r="F767" s="140" t="s">
        <v>4254</v>
      </c>
      <c r="G767" s="139" t="s">
        <v>4255</v>
      </c>
      <c r="H767" s="38"/>
      <c r="I767" s="139" t="s">
        <v>1266</v>
      </c>
      <c r="J767" s="139" t="s">
        <v>4256</v>
      </c>
      <c r="K767" s="139"/>
      <c r="L767" s="139"/>
      <c r="M767" s="118"/>
    </row>
    <row r="768" ht="15.75" customHeight="1">
      <c r="A768" s="130">
        <v>2019.0</v>
      </c>
      <c r="B768" s="20" t="str">
        <f>HYPERLINK("https://shop.openbci.com/collections/frontpage/products/ganglion-board","Ganglion")</f>
        <v>Ganglion</v>
      </c>
      <c r="C768" s="139"/>
      <c r="D768" s="139" t="s">
        <v>4257</v>
      </c>
      <c r="E768" s="139" t="s">
        <v>4258</v>
      </c>
      <c r="F768" s="140" t="s">
        <v>4259</v>
      </c>
      <c r="G768" s="139" t="s">
        <v>4260</v>
      </c>
      <c r="H768" s="38"/>
      <c r="I768" s="139" t="s">
        <v>1266</v>
      </c>
      <c r="J768" s="139" t="s">
        <v>4261</v>
      </c>
      <c r="K768" s="139"/>
      <c r="L768" s="140" t="s">
        <v>4262</v>
      </c>
      <c r="M768" s="118"/>
    </row>
    <row r="769" ht="15.75" customHeight="1">
      <c r="A769" s="130">
        <v>2019.0</v>
      </c>
      <c r="B769" s="20" t="str">
        <f>HYPERLINK("https://shop.openbci.com/collections/frontpage/products/cyton-biosensing-board-8-channel","Cyton Board")</f>
        <v>Cyton Board</v>
      </c>
      <c r="C769" s="139"/>
      <c r="D769" s="139" t="s">
        <v>4263</v>
      </c>
      <c r="E769" s="139" t="s">
        <v>4264</v>
      </c>
      <c r="F769" s="140" t="s">
        <v>4265</v>
      </c>
      <c r="G769" s="139" t="s">
        <v>4266</v>
      </c>
      <c r="H769" s="38"/>
      <c r="I769" s="139" t="s">
        <v>1266</v>
      </c>
      <c r="J769" s="139" t="s">
        <v>4267</v>
      </c>
      <c r="K769" s="141"/>
      <c r="L769" s="141"/>
      <c r="M769" s="119"/>
    </row>
    <row r="770" ht="15.75" customHeight="1">
      <c r="A770" s="130">
        <v>2019.0</v>
      </c>
      <c r="B770" s="20" t="str">
        <f>HYPERLINK("https://shop.openbci.com/collections/frontpage/products/ganglion-board","Ganglion")</f>
        <v>Ganglion</v>
      </c>
      <c r="C770" s="139"/>
      <c r="D770" s="139" t="s">
        <v>4268</v>
      </c>
      <c r="E770" s="139" t="s">
        <v>4269</v>
      </c>
      <c r="F770" s="140" t="s">
        <v>4270</v>
      </c>
      <c r="G770" s="139" t="s">
        <v>4271</v>
      </c>
      <c r="H770" s="38"/>
      <c r="I770" s="139" t="s">
        <v>1266</v>
      </c>
      <c r="J770" s="139" t="s">
        <v>4242</v>
      </c>
      <c r="K770" s="141"/>
      <c r="L770" s="141"/>
      <c r="M770" s="119"/>
    </row>
    <row r="771" ht="15.75" customHeight="1">
      <c r="A771" s="130">
        <v>2019.0</v>
      </c>
      <c r="B771" s="20" t="str">
        <f>HYPERLINK("https://shop.openbci.com/collections/frontpage/products/cyton-biosensing-board-8-channel?variant=38958638542","Cyton")</f>
        <v>Cyton</v>
      </c>
      <c r="C771" s="139"/>
      <c r="D771" s="139" t="s">
        <v>4272</v>
      </c>
      <c r="E771" s="139" t="s">
        <v>4273</v>
      </c>
      <c r="F771" s="140" t="s">
        <v>4274</v>
      </c>
      <c r="G771" s="139" t="s">
        <v>4275</v>
      </c>
      <c r="H771" s="38"/>
      <c r="I771" s="139" t="s">
        <v>1266</v>
      </c>
      <c r="J771" s="139" t="s">
        <v>4276</v>
      </c>
      <c r="K771" s="141"/>
      <c r="L771" s="141"/>
      <c r="M771" s="119"/>
    </row>
    <row r="772" ht="15.75" customHeight="1">
      <c r="A772" s="130">
        <v>2019.0</v>
      </c>
      <c r="B772" s="20" t="str">
        <f>HYPERLINK("https://shop.openbci.com/collections/frontpage/products/cyton-daisy-biosensing-boards-16-channel?variant=38959256526","Cyton+Daisy")</f>
        <v>Cyton+Daisy</v>
      </c>
      <c r="C772" s="139"/>
      <c r="D772" s="139" t="s">
        <v>4277</v>
      </c>
      <c r="E772" s="139" t="s">
        <v>4278</v>
      </c>
      <c r="F772" s="140" t="s">
        <v>4279</v>
      </c>
      <c r="G772" s="139" t="s">
        <v>4280</v>
      </c>
      <c r="H772" s="38"/>
      <c r="I772" s="139" t="s">
        <v>1266</v>
      </c>
      <c r="J772" s="139" t="s">
        <v>4281</v>
      </c>
      <c r="K772" s="141"/>
      <c r="L772" s="141"/>
      <c r="M772" s="119"/>
    </row>
    <row r="773" ht="15.75" customHeight="1">
      <c r="A773" s="130">
        <v>2019.0</v>
      </c>
      <c r="B773" s="20" t="str">
        <f t="shared" ref="B773:B774" si="14">HYPERLINK("https://shop.openbci.com/collections/frontpage/products/cyton-biosensing-board-8-channel?variant=38958638542","Cyton")</f>
        <v>Cyton</v>
      </c>
      <c r="C773" s="139"/>
      <c r="D773" s="139" t="s">
        <v>4282</v>
      </c>
      <c r="E773" s="139" t="s">
        <v>4283</v>
      </c>
      <c r="F773" s="140" t="s">
        <v>4284</v>
      </c>
      <c r="G773" s="139" t="s">
        <v>4285</v>
      </c>
      <c r="H773" s="38"/>
      <c r="I773" s="139" t="s">
        <v>1266</v>
      </c>
      <c r="J773" s="139" t="s">
        <v>4286</v>
      </c>
      <c r="K773" s="141"/>
      <c r="L773" s="141"/>
      <c r="M773" s="119"/>
    </row>
    <row r="774" ht="20.25" customHeight="1">
      <c r="A774" s="130">
        <v>2019.0</v>
      </c>
      <c r="B774" s="20" t="str">
        <f t="shared" si="14"/>
        <v>Cyton</v>
      </c>
      <c r="C774" s="137" t="s">
        <v>4108</v>
      </c>
      <c r="D774" s="139" t="s">
        <v>4287</v>
      </c>
      <c r="E774" s="139" t="s">
        <v>4288</v>
      </c>
      <c r="F774" s="140" t="s">
        <v>4289</v>
      </c>
      <c r="G774" s="139" t="s">
        <v>4290</v>
      </c>
      <c r="H774" s="38"/>
      <c r="I774" s="139" t="s">
        <v>1266</v>
      </c>
      <c r="J774" s="139"/>
      <c r="K774" s="141"/>
      <c r="L774" s="141"/>
      <c r="M774" s="119"/>
    </row>
    <row r="775" ht="20.25" customHeight="1">
      <c r="A775" s="130">
        <v>2019.0</v>
      </c>
      <c r="B775" s="20" t="str">
        <f>HYPERLINK("https://shop.openbci.com/collections/frontpage/products/ganglion-board","Ganglion 4-channel board")</f>
        <v>Ganglion 4-channel board</v>
      </c>
      <c r="C775" s="139"/>
      <c r="D775" s="139" t="s">
        <v>4291</v>
      </c>
      <c r="E775" s="139" t="s">
        <v>4292</v>
      </c>
      <c r="F775" s="140" t="s">
        <v>4293</v>
      </c>
      <c r="G775" s="139" t="s">
        <v>4294</v>
      </c>
      <c r="H775" s="38"/>
      <c r="I775" s="139" t="s">
        <v>1266</v>
      </c>
      <c r="J775" s="139" t="s">
        <v>4295</v>
      </c>
      <c r="K775" s="141"/>
      <c r="L775" s="141"/>
      <c r="M775" s="119"/>
    </row>
    <row r="776" ht="20.25" customHeight="1">
      <c r="A776" s="130">
        <v>2019.0</v>
      </c>
      <c r="B776" s="20" t="str">
        <f t="shared" ref="B776:B777" si="15">HYPERLINK("https://shop.openbci.com/collections/frontpage/products/cyton-biosensing-board-8-channel","Cyton Board")</f>
        <v>Cyton Board</v>
      </c>
      <c r="C776" s="130"/>
      <c r="D776" s="130" t="s">
        <v>4296</v>
      </c>
      <c r="E776" s="130" t="s">
        <v>4297</v>
      </c>
      <c r="F776" s="142" t="s">
        <v>4298</v>
      </c>
      <c r="G776" s="143" t="s">
        <v>4299</v>
      </c>
      <c r="H776" s="38"/>
      <c r="I776" s="130" t="s">
        <v>1266</v>
      </c>
      <c r="J776" s="130" t="s">
        <v>4300</v>
      </c>
      <c r="K776" s="130"/>
      <c r="L776" s="130"/>
      <c r="M776" s="5"/>
    </row>
    <row r="777" ht="20.25" customHeight="1">
      <c r="A777" s="130">
        <v>2019.0</v>
      </c>
      <c r="B777" s="20" t="str">
        <f t="shared" si="15"/>
        <v>Cyton Board</v>
      </c>
      <c r="C777" s="130"/>
      <c r="D777" s="130" t="s">
        <v>4301</v>
      </c>
      <c r="E777" s="130" t="s">
        <v>4302</v>
      </c>
      <c r="F777" s="140" t="s">
        <v>4303</v>
      </c>
      <c r="G777" s="143" t="s">
        <v>4304</v>
      </c>
      <c r="H777" s="38"/>
      <c r="I777" s="130" t="s">
        <v>4305</v>
      </c>
      <c r="J777" s="130" t="s">
        <v>4306</v>
      </c>
      <c r="K777" s="130"/>
      <c r="L777" s="130"/>
      <c r="M777" s="5"/>
    </row>
    <row r="778" ht="20.25" customHeight="1">
      <c r="A778" s="130">
        <v>2019.0</v>
      </c>
      <c r="B778" s="20" t="str">
        <f t="shared" ref="B778:B779" si="16">HYPERLINK("https://shop.openbci.com/collections/frontpage/products/cyton-daisy-biosensing-boards-16-channel?variant=38959256526","Cyton+Daisy")</f>
        <v>Cyton+Daisy</v>
      </c>
      <c r="C778" s="130"/>
      <c r="D778" s="130" t="s">
        <v>4307</v>
      </c>
      <c r="E778" s="130" t="s">
        <v>4308</v>
      </c>
      <c r="F778" s="140" t="s">
        <v>4309</v>
      </c>
      <c r="G778" s="143" t="s">
        <v>4310</v>
      </c>
      <c r="H778" s="38"/>
      <c r="I778" s="130" t="s">
        <v>1266</v>
      </c>
      <c r="J778" s="130" t="s">
        <v>4311</v>
      </c>
      <c r="K778" s="130"/>
      <c r="L778" s="130"/>
      <c r="M778" s="5"/>
    </row>
    <row r="779" ht="20.25" customHeight="1">
      <c r="A779" s="130">
        <v>2019.0</v>
      </c>
      <c r="B779" s="20" t="str">
        <f t="shared" si="16"/>
        <v>Cyton+Daisy</v>
      </c>
      <c r="C779" s="130"/>
      <c r="D779" s="130" t="s">
        <v>4312</v>
      </c>
      <c r="E779" s="130" t="s">
        <v>4313</v>
      </c>
      <c r="F779" s="142" t="s">
        <v>4314</v>
      </c>
      <c r="G779" s="143" t="s">
        <v>333</v>
      </c>
      <c r="H779" s="38"/>
      <c r="I779" s="130" t="s">
        <v>1266</v>
      </c>
      <c r="J779" s="130" t="s">
        <v>4315</v>
      </c>
      <c r="K779" s="130"/>
      <c r="L779" s="142" t="s">
        <v>4316</v>
      </c>
      <c r="M779" s="5"/>
    </row>
    <row r="780" ht="20.25" customHeight="1">
      <c r="A780" s="130">
        <v>2019.0</v>
      </c>
      <c r="B780" s="20" t="str">
        <f t="shared" ref="B780:B784" si="17">HYPERLINK("https://shop.openbci.com/collections/frontpage/products/cyton-biosensing-board-8-channel","Cyton Board")</f>
        <v>Cyton Board</v>
      </c>
      <c r="C780" s="137" t="s">
        <v>4108</v>
      </c>
      <c r="D780" s="130" t="s">
        <v>4317</v>
      </c>
      <c r="E780" s="130" t="s">
        <v>4318</v>
      </c>
      <c r="F780" s="142" t="s">
        <v>4319</v>
      </c>
      <c r="G780" s="144"/>
      <c r="H780" s="38"/>
      <c r="I780" s="144" t="s">
        <v>1266</v>
      </c>
      <c r="J780" s="144"/>
      <c r="K780" s="130"/>
      <c r="L780" s="130" t="s">
        <v>13</v>
      </c>
      <c r="M780" s="5"/>
    </row>
    <row r="781" ht="20.25" customHeight="1">
      <c r="A781" s="130">
        <v>2019.0</v>
      </c>
      <c r="B781" s="20" t="str">
        <f t="shared" si="17"/>
        <v>Cyton Board</v>
      </c>
      <c r="C781" s="130"/>
      <c r="D781" s="130" t="s">
        <v>4320</v>
      </c>
      <c r="E781" s="130" t="s">
        <v>4321</v>
      </c>
      <c r="F781" s="142" t="s">
        <v>4322</v>
      </c>
      <c r="G781" s="143" t="s">
        <v>4323</v>
      </c>
      <c r="H781" s="38"/>
      <c r="I781" s="130" t="s">
        <v>1266</v>
      </c>
      <c r="J781" s="130" t="s">
        <v>4324</v>
      </c>
      <c r="K781" s="130"/>
      <c r="L781" s="130" t="s">
        <v>13</v>
      </c>
      <c r="M781" s="5"/>
    </row>
    <row r="782" ht="20.25" customHeight="1">
      <c r="A782" s="130">
        <v>2019.0</v>
      </c>
      <c r="B782" s="20" t="str">
        <f t="shared" si="17"/>
        <v>Cyton Board</v>
      </c>
      <c r="C782" s="137" t="s">
        <v>4108</v>
      </c>
      <c r="D782" s="130" t="s">
        <v>4325</v>
      </c>
      <c r="E782" s="130" t="s">
        <v>4326</v>
      </c>
      <c r="F782" s="142" t="s">
        <v>4327</v>
      </c>
      <c r="G782" s="143" t="s">
        <v>4328</v>
      </c>
      <c r="H782" s="38"/>
      <c r="I782" s="130" t="s">
        <v>1266</v>
      </c>
      <c r="J782" s="130" t="s">
        <v>4329</v>
      </c>
      <c r="K782" s="130"/>
      <c r="L782" s="130" t="s">
        <v>13</v>
      </c>
      <c r="M782" s="5"/>
    </row>
    <row r="783" ht="20.25" customHeight="1">
      <c r="A783" s="130">
        <v>2019.0</v>
      </c>
      <c r="B783" s="20" t="str">
        <f t="shared" si="17"/>
        <v>Cyton Board</v>
      </c>
      <c r="C783" s="5"/>
      <c r="D783" s="130" t="s">
        <v>4330</v>
      </c>
      <c r="E783" s="20" t="str">
        <f>HYPERLINK("https://www.youtube.com/watch?v=_46AoSnHCRo","MiLo (Motor-imagery controlled wheelchair)")</f>
        <v>MiLo (Motor-imagery controlled wheelchair)</v>
      </c>
      <c r="F783" s="142" t="s">
        <v>4331</v>
      </c>
      <c r="G783" s="143"/>
      <c r="H783" s="38"/>
      <c r="I783" s="130" t="s">
        <v>1266</v>
      </c>
      <c r="J783" s="130"/>
      <c r="K783" s="130"/>
      <c r="L783" s="130" t="s">
        <v>13</v>
      </c>
      <c r="M783" s="5"/>
    </row>
    <row r="784" ht="20.25" customHeight="1">
      <c r="A784" s="130">
        <v>2019.0</v>
      </c>
      <c r="B784" s="20" t="str">
        <f t="shared" si="17"/>
        <v>Cyton Board</v>
      </c>
      <c r="C784" s="5"/>
      <c r="D784" s="130" t="s">
        <v>4332</v>
      </c>
      <c r="E784" s="125" t="s">
        <v>4333</v>
      </c>
      <c r="F784" s="142" t="s">
        <v>4334</v>
      </c>
      <c r="G784" s="145" t="s">
        <v>4335</v>
      </c>
      <c r="H784" s="38"/>
      <c r="I784" s="130" t="s">
        <v>1266</v>
      </c>
      <c r="J784" s="130"/>
      <c r="K784" s="130"/>
      <c r="L784" s="130" t="s">
        <v>13</v>
      </c>
      <c r="M784" s="5"/>
    </row>
    <row r="785" ht="20.25" customHeight="1">
      <c r="A785" s="130">
        <v>2019.0</v>
      </c>
      <c r="B785" s="20" t="str">
        <f>HYPERLINK("https://shop.openbci.com/collections/frontpage/products/5-mm-spike-electrode-pack-of-30","Cyton and Electrodes")</f>
        <v>Cyton and Electrodes</v>
      </c>
      <c r="C785" s="130"/>
      <c r="D785" s="130" t="s">
        <v>4336</v>
      </c>
      <c r="E785" s="130" t="s">
        <v>4337</v>
      </c>
      <c r="F785" s="142" t="s">
        <v>4338</v>
      </c>
      <c r="G785" s="143" t="s">
        <v>4339</v>
      </c>
      <c r="H785" s="38"/>
      <c r="I785" s="130" t="s">
        <v>1266</v>
      </c>
      <c r="J785" s="130"/>
      <c r="K785" s="130"/>
      <c r="L785" s="130" t="s">
        <v>13</v>
      </c>
      <c r="M785" s="5"/>
    </row>
    <row r="786" ht="20.25" customHeight="1">
      <c r="A786" s="130">
        <v>2019.0</v>
      </c>
      <c r="B786" s="20" t="str">
        <f t="shared" ref="B786:B787" si="18">HYPERLINK("https://shop.openbci.com/collections/frontpage/products/cyton-biosensing-board-8-channel","Cyton Board")</f>
        <v>Cyton Board</v>
      </c>
      <c r="C786" s="130"/>
      <c r="D786" s="130" t="s">
        <v>4340</v>
      </c>
      <c r="E786" s="130" t="s">
        <v>4341</v>
      </c>
      <c r="F786" s="142" t="s">
        <v>4342</v>
      </c>
      <c r="G786" s="143" t="s">
        <v>4343</v>
      </c>
      <c r="H786" s="38"/>
      <c r="I786" s="146" t="s">
        <v>1266</v>
      </c>
      <c r="J786" s="146" t="s">
        <v>4344</v>
      </c>
      <c r="K786" s="130"/>
      <c r="L786" s="130" t="s">
        <v>13</v>
      </c>
      <c r="M786" s="5"/>
    </row>
    <row r="787" ht="20.25" customHeight="1">
      <c r="A787" s="130">
        <v>2019.0</v>
      </c>
      <c r="B787" s="20" t="str">
        <f t="shared" si="18"/>
        <v>Cyton Board</v>
      </c>
      <c r="C787" s="130"/>
      <c r="D787" s="130" t="s">
        <v>4345</v>
      </c>
      <c r="E787" s="130" t="s">
        <v>4346</v>
      </c>
      <c r="F787" s="142" t="s">
        <v>4347</v>
      </c>
      <c r="G787" s="143" t="s">
        <v>4348</v>
      </c>
      <c r="H787" s="38"/>
      <c r="I787" s="146" t="s">
        <v>1266</v>
      </c>
      <c r="J787" s="146" t="s">
        <v>4349</v>
      </c>
      <c r="K787" s="130"/>
      <c r="L787" s="130" t="s">
        <v>13</v>
      </c>
      <c r="M787" s="5"/>
    </row>
    <row r="788" ht="20.25" customHeight="1">
      <c r="A788" s="130">
        <v>2019.0</v>
      </c>
      <c r="B788" s="20" t="str">
        <f>HYPERLINK("https://shop.openbci.com/collections/frontpage/products/wifi-shield","Wifi Shield and Cyton")</f>
        <v>Wifi Shield and Cyton</v>
      </c>
      <c r="C788" s="130"/>
      <c r="D788" s="130" t="s">
        <v>4350</v>
      </c>
      <c r="E788" s="130" t="s">
        <v>4351</v>
      </c>
      <c r="F788" s="142" t="s">
        <v>4352</v>
      </c>
      <c r="G788" s="143" t="s">
        <v>4353</v>
      </c>
      <c r="H788" s="38"/>
      <c r="I788" s="130" t="s">
        <v>1266</v>
      </c>
      <c r="J788" s="130"/>
      <c r="K788" s="130"/>
      <c r="L788" s="130" t="s">
        <v>13</v>
      </c>
      <c r="M788" s="5"/>
    </row>
    <row r="789" ht="15.75" customHeight="1">
      <c r="A789" s="5">
        <v>2018.0</v>
      </c>
      <c r="B789" s="14" t="s">
        <v>12</v>
      </c>
      <c r="C789" s="14" t="s">
        <v>204</v>
      </c>
      <c r="D789" s="74" t="s">
        <v>4354</v>
      </c>
      <c r="E789" s="76" t="s">
        <v>4355</v>
      </c>
      <c r="F789" s="82" t="s">
        <v>4356</v>
      </c>
      <c r="G789" s="12" t="s">
        <v>4357</v>
      </c>
      <c r="H789" s="38"/>
      <c r="I789" s="5" t="s">
        <v>3271</v>
      </c>
      <c r="J789" s="12" t="s">
        <v>4358</v>
      </c>
      <c r="K789" s="5"/>
      <c r="L789" s="5"/>
      <c r="M789" s="5"/>
    </row>
    <row r="790" ht="20.25" customHeight="1">
      <c r="A790" s="130">
        <v>2018.0</v>
      </c>
      <c r="B790" s="20" t="str">
        <f>HYPERLINK("https://shop.openbci.com/collections/frontpage/products/cyton-daisy-biosensing-boards-16-channel?variant=38959256526","Cyton+Daisy")</f>
        <v>Cyton+Daisy</v>
      </c>
      <c r="C790" s="130"/>
      <c r="D790" s="130" t="s">
        <v>4359</v>
      </c>
      <c r="E790" s="130" t="s">
        <v>4360</v>
      </c>
      <c r="F790" s="140" t="s">
        <v>4361</v>
      </c>
      <c r="G790" s="143" t="s">
        <v>4362</v>
      </c>
      <c r="H790" s="38"/>
      <c r="I790" s="130" t="s">
        <v>1266</v>
      </c>
      <c r="J790" s="130" t="s">
        <v>4363</v>
      </c>
      <c r="K790" s="130"/>
      <c r="L790" s="130"/>
      <c r="M790" s="5"/>
    </row>
    <row r="791" ht="20.25" customHeight="1">
      <c r="A791" s="147">
        <v>2018.0</v>
      </c>
      <c r="B791" s="148" t="str">
        <f>HYPERLINK("https://shop.openbci.com/collections/frontpage","All Products")</f>
        <v>All Products</v>
      </c>
      <c r="C791" s="147"/>
      <c r="D791" s="147" t="s">
        <v>4364</v>
      </c>
      <c r="E791" s="147" t="s">
        <v>4365</v>
      </c>
      <c r="F791" s="149" t="s">
        <v>4366</v>
      </c>
      <c r="G791" s="150" t="s">
        <v>4367</v>
      </c>
      <c r="H791" s="38"/>
      <c r="I791" s="147" t="s">
        <v>1266</v>
      </c>
      <c r="J791" s="149" t="s">
        <v>4368</v>
      </c>
      <c r="K791" s="130"/>
      <c r="L791" s="130" t="s">
        <v>13</v>
      </c>
      <c r="M791" s="5"/>
    </row>
    <row r="792" ht="20.25" customHeight="1">
      <c r="A792" s="147">
        <v>2018.0</v>
      </c>
      <c r="B792" s="148" t="str">
        <f t="shared" ref="B792:B810" si="19">HYPERLINK("https://shop.openbci.com/collections/frontpage/products/cyton-biosensing-board-8-channel","Cyton Board")</f>
        <v>Cyton Board</v>
      </c>
      <c r="C792" s="147"/>
      <c r="D792" s="147" t="s">
        <v>4369</v>
      </c>
      <c r="E792" s="147" t="s">
        <v>4370</v>
      </c>
      <c r="F792" s="149" t="s">
        <v>4371</v>
      </c>
      <c r="G792" s="147" t="s">
        <v>4372</v>
      </c>
      <c r="H792" s="38"/>
      <c r="I792" s="147" t="s">
        <v>1266</v>
      </c>
      <c r="J792" s="147" t="s">
        <v>4373</v>
      </c>
      <c r="K792" s="130"/>
      <c r="L792" s="130" t="s">
        <v>13</v>
      </c>
      <c r="M792" s="5"/>
    </row>
    <row r="793" ht="20.25" customHeight="1">
      <c r="A793" s="147">
        <v>2018.0</v>
      </c>
      <c r="B793" s="148" t="str">
        <f t="shared" si="19"/>
        <v>Cyton Board</v>
      </c>
      <c r="C793" s="147"/>
      <c r="D793" s="147" t="s">
        <v>4374</v>
      </c>
      <c r="E793" s="147" t="s">
        <v>4375</v>
      </c>
      <c r="F793" s="149" t="s">
        <v>4376</v>
      </c>
      <c r="G793" s="147" t="s">
        <v>4377</v>
      </c>
      <c r="H793" s="38"/>
      <c r="I793" s="147" t="s">
        <v>1266</v>
      </c>
      <c r="J793" s="147" t="s">
        <v>4378</v>
      </c>
      <c r="K793" s="130"/>
      <c r="L793" s="130" t="s">
        <v>13</v>
      </c>
      <c r="M793" s="5"/>
    </row>
    <row r="794" ht="20.25" customHeight="1">
      <c r="A794" s="147">
        <v>2018.0</v>
      </c>
      <c r="B794" s="148" t="str">
        <f t="shared" si="19"/>
        <v>Cyton Board</v>
      </c>
      <c r="C794" s="147"/>
      <c r="D794" s="147" t="s">
        <v>4379</v>
      </c>
      <c r="E794" s="147" t="s">
        <v>4380</v>
      </c>
      <c r="F794" s="149" t="s">
        <v>4381</v>
      </c>
      <c r="G794" s="147" t="s">
        <v>4382</v>
      </c>
      <c r="H794" s="38"/>
      <c r="I794" s="147" t="s">
        <v>1266</v>
      </c>
      <c r="J794" s="147" t="s">
        <v>4383</v>
      </c>
      <c r="K794" s="130"/>
      <c r="L794" s="130" t="s">
        <v>13</v>
      </c>
      <c r="M794" s="5"/>
    </row>
    <row r="795" ht="20.25" customHeight="1">
      <c r="A795" s="147">
        <v>2018.0</v>
      </c>
      <c r="B795" s="148" t="str">
        <f t="shared" si="19"/>
        <v>Cyton Board</v>
      </c>
      <c r="C795" s="147"/>
      <c r="D795" s="147" t="s">
        <v>4384</v>
      </c>
      <c r="E795" s="147" t="s">
        <v>4385</v>
      </c>
      <c r="F795" s="149" t="s">
        <v>4386</v>
      </c>
      <c r="G795" s="147" t="s">
        <v>4387</v>
      </c>
      <c r="H795" s="38"/>
      <c r="I795" s="147" t="s">
        <v>1266</v>
      </c>
      <c r="J795" s="147" t="s">
        <v>4388</v>
      </c>
      <c r="K795" s="130"/>
      <c r="L795" s="130" t="s">
        <v>13</v>
      </c>
      <c r="M795" s="5"/>
    </row>
    <row r="796" ht="20.25" customHeight="1">
      <c r="A796" s="147">
        <v>2018.0</v>
      </c>
      <c r="B796" s="148" t="str">
        <f t="shared" si="19"/>
        <v>Cyton Board</v>
      </c>
      <c r="C796" s="147"/>
      <c r="D796" s="147" t="s">
        <v>4389</v>
      </c>
      <c r="E796" s="147" t="s">
        <v>4390</v>
      </c>
      <c r="F796" s="149" t="s">
        <v>4391</v>
      </c>
      <c r="G796" s="147" t="s">
        <v>4392</v>
      </c>
      <c r="H796" s="38"/>
      <c r="I796" s="147" t="s">
        <v>1266</v>
      </c>
      <c r="J796" s="147" t="s">
        <v>4393</v>
      </c>
      <c r="K796" s="130"/>
      <c r="L796" s="130" t="s">
        <v>13</v>
      </c>
      <c r="M796" s="5"/>
    </row>
    <row r="797" ht="20.25" customHeight="1">
      <c r="A797" s="147">
        <v>2018.0</v>
      </c>
      <c r="B797" s="148" t="str">
        <f t="shared" si="19"/>
        <v>Cyton Board</v>
      </c>
      <c r="C797" s="147"/>
      <c r="D797" s="147" t="s">
        <v>4394</v>
      </c>
      <c r="E797" s="147" t="s">
        <v>4395</v>
      </c>
      <c r="F797" s="149" t="s">
        <v>4396</v>
      </c>
      <c r="G797" s="147" t="s">
        <v>4397</v>
      </c>
      <c r="H797" s="38"/>
      <c r="I797" s="147" t="s">
        <v>1266</v>
      </c>
      <c r="J797" s="147" t="s">
        <v>4398</v>
      </c>
      <c r="K797" s="130"/>
      <c r="L797" s="130" t="s">
        <v>13</v>
      </c>
      <c r="M797" s="5"/>
    </row>
    <row r="798" ht="20.25" customHeight="1">
      <c r="A798" s="147">
        <v>2018.0</v>
      </c>
      <c r="B798" s="148" t="str">
        <f t="shared" si="19"/>
        <v>Cyton Board</v>
      </c>
      <c r="C798" s="147"/>
      <c r="D798" s="147" t="s">
        <v>4399</v>
      </c>
      <c r="E798" s="147" t="s">
        <v>4400</v>
      </c>
      <c r="F798" s="149" t="s">
        <v>4401</v>
      </c>
      <c r="G798" s="147" t="s">
        <v>4402</v>
      </c>
      <c r="H798" s="38"/>
      <c r="I798" s="147" t="s">
        <v>1266</v>
      </c>
      <c r="J798" s="147" t="s">
        <v>4403</v>
      </c>
      <c r="K798" s="130"/>
      <c r="L798" s="130" t="s">
        <v>13</v>
      </c>
      <c r="M798" s="5"/>
    </row>
    <row r="799" ht="20.25" customHeight="1">
      <c r="A799" s="147">
        <v>2018.0</v>
      </c>
      <c r="B799" s="148" t="str">
        <f t="shared" si="19"/>
        <v>Cyton Board</v>
      </c>
      <c r="C799" s="147"/>
      <c r="D799" s="147" t="s">
        <v>4404</v>
      </c>
      <c r="E799" s="147" t="s">
        <v>4405</v>
      </c>
      <c r="F799" s="149" t="s">
        <v>4406</v>
      </c>
      <c r="G799" s="147" t="s">
        <v>4407</v>
      </c>
      <c r="H799" s="38"/>
      <c r="I799" s="147" t="s">
        <v>1266</v>
      </c>
      <c r="J799" s="147"/>
      <c r="K799" s="130"/>
      <c r="L799" s="130" t="s">
        <v>13</v>
      </c>
      <c r="M799" s="5"/>
    </row>
    <row r="800" ht="20.25" customHeight="1">
      <c r="A800" s="147">
        <v>2018.0</v>
      </c>
      <c r="B800" s="148" t="str">
        <f t="shared" si="19"/>
        <v>Cyton Board</v>
      </c>
      <c r="C800" s="147"/>
      <c r="D800" s="147" t="s">
        <v>4408</v>
      </c>
      <c r="E800" s="147" t="s">
        <v>4409</v>
      </c>
      <c r="F800" s="151" t="s">
        <v>4410</v>
      </c>
      <c r="G800" s="147" t="s">
        <v>4411</v>
      </c>
      <c r="H800" s="38"/>
      <c r="I800" s="147" t="s">
        <v>1266</v>
      </c>
      <c r="J800" s="147" t="s">
        <v>4412</v>
      </c>
      <c r="K800" s="130"/>
      <c r="L800" s="130" t="s">
        <v>13</v>
      </c>
      <c r="M800" s="5"/>
    </row>
    <row r="801" ht="20.25" customHeight="1">
      <c r="A801" s="147">
        <v>2018.0</v>
      </c>
      <c r="B801" s="148" t="str">
        <f t="shared" si="19"/>
        <v>Cyton Board</v>
      </c>
      <c r="C801" s="147"/>
      <c r="D801" s="147" t="s">
        <v>4413</v>
      </c>
      <c r="E801" s="152" t="s">
        <v>4321</v>
      </c>
      <c r="F801" s="149" t="s">
        <v>4414</v>
      </c>
      <c r="G801" s="147" t="s">
        <v>4415</v>
      </c>
      <c r="H801" s="38"/>
      <c r="I801" s="147" t="s">
        <v>1266</v>
      </c>
      <c r="J801" s="147" t="s">
        <v>4416</v>
      </c>
      <c r="K801" s="130"/>
      <c r="L801" s="130" t="s">
        <v>13</v>
      </c>
      <c r="M801" s="5"/>
    </row>
    <row r="802" ht="20.25" customHeight="1">
      <c r="A802" s="147">
        <v>2018.0</v>
      </c>
      <c r="B802" s="148" t="str">
        <f t="shared" si="19"/>
        <v>Cyton Board</v>
      </c>
      <c r="C802" s="147"/>
      <c r="D802" s="147" t="s">
        <v>4417</v>
      </c>
      <c r="E802" s="147" t="s">
        <v>4418</v>
      </c>
      <c r="F802" s="148" t="s">
        <v>4419</v>
      </c>
      <c r="G802" s="147" t="s">
        <v>4420</v>
      </c>
      <c r="H802" s="38"/>
      <c r="I802" s="147" t="s">
        <v>1266</v>
      </c>
      <c r="J802" s="147" t="s">
        <v>4421</v>
      </c>
      <c r="K802" s="130"/>
      <c r="L802" s="130" t="s">
        <v>13</v>
      </c>
      <c r="M802" s="5"/>
    </row>
    <row r="803" ht="20.25" customHeight="1">
      <c r="A803" s="147">
        <v>2018.0</v>
      </c>
      <c r="B803" s="148" t="str">
        <f t="shared" si="19"/>
        <v>Cyton Board</v>
      </c>
      <c r="C803" s="147"/>
      <c r="D803" s="147" t="s">
        <v>4422</v>
      </c>
      <c r="E803" s="147" t="s">
        <v>4423</v>
      </c>
      <c r="F803" s="148" t="s">
        <v>4424</v>
      </c>
      <c r="G803" s="147" t="s">
        <v>4425</v>
      </c>
      <c r="H803" s="38"/>
      <c r="I803" s="147" t="s">
        <v>1266</v>
      </c>
      <c r="J803" s="147" t="s">
        <v>4426</v>
      </c>
      <c r="K803" s="130"/>
      <c r="L803" s="130" t="s">
        <v>13</v>
      </c>
      <c r="M803" s="5"/>
    </row>
    <row r="804" ht="20.25" customHeight="1">
      <c r="A804" s="147">
        <v>2018.0</v>
      </c>
      <c r="B804" s="148" t="str">
        <f t="shared" si="19"/>
        <v>Cyton Board</v>
      </c>
      <c r="C804" s="147"/>
      <c r="D804" s="147" t="s">
        <v>4427</v>
      </c>
      <c r="E804" s="147" t="s">
        <v>4428</v>
      </c>
      <c r="F804" s="149" t="s">
        <v>4371</v>
      </c>
      <c r="G804" s="153" t="s">
        <v>4429</v>
      </c>
      <c r="H804" s="38"/>
      <c r="I804" s="147" t="s">
        <v>1266</v>
      </c>
      <c r="J804" s="147" t="s">
        <v>4430</v>
      </c>
      <c r="K804" s="130"/>
      <c r="L804" s="130" t="s">
        <v>13</v>
      </c>
      <c r="M804" s="5"/>
    </row>
    <row r="805" ht="20.25" customHeight="1">
      <c r="A805" s="147">
        <v>2018.0</v>
      </c>
      <c r="B805" s="148" t="str">
        <f t="shared" si="19"/>
        <v>Cyton Board</v>
      </c>
      <c r="C805" s="147"/>
      <c r="D805" s="147" t="s">
        <v>4431</v>
      </c>
      <c r="E805" s="154" t="s">
        <v>4432</v>
      </c>
      <c r="F805" s="149" t="s">
        <v>4433</v>
      </c>
      <c r="G805" s="149" t="s">
        <v>4434</v>
      </c>
      <c r="H805" s="38"/>
      <c r="I805" s="147" t="s">
        <v>1266</v>
      </c>
      <c r="J805" s="147" t="s">
        <v>4435</v>
      </c>
      <c r="K805" s="130"/>
      <c r="L805" s="130" t="s">
        <v>13</v>
      </c>
      <c r="M805" s="5"/>
    </row>
    <row r="806" ht="20.25" customHeight="1">
      <c r="A806" s="147">
        <v>2018.0</v>
      </c>
      <c r="B806" s="148" t="str">
        <f t="shared" si="19"/>
        <v>Cyton Board</v>
      </c>
      <c r="C806" s="147"/>
      <c r="D806" s="147" t="s">
        <v>4436</v>
      </c>
      <c r="E806" s="147" t="s">
        <v>4437</v>
      </c>
      <c r="F806" s="149" t="s">
        <v>4438</v>
      </c>
      <c r="G806" s="147" t="s">
        <v>4439</v>
      </c>
      <c r="H806" s="38"/>
      <c r="I806" s="147" t="s">
        <v>1266</v>
      </c>
      <c r="J806" s="147" t="s">
        <v>4440</v>
      </c>
      <c r="K806" s="130"/>
      <c r="L806" s="130" t="s">
        <v>13</v>
      </c>
      <c r="M806" s="5"/>
    </row>
    <row r="807" ht="20.25" customHeight="1">
      <c r="A807" s="147">
        <v>2018.0</v>
      </c>
      <c r="B807" s="148" t="str">
        <f t="shared" si="19"/>
        <v>Cyton Board</v>
      </c>
      <c r="C807" s="147"/>
      <c r="D807" s="147" t="s">
        <v>4441</v>
      </c>
      <c r="E807" s="147" t="s">
        <v>4442</v>
      </c>
      <c r="F807" s="149" t="s">
        <v>4443</v>
      </c>
      <c r="G807" s="147" t="s">
        <v>4444</v>
      </c>
      <c r="H807" s="38"/>
      <c r="I807" s="147" t="s">
        <v>1266</v>
      </c>
      <c r="J807" s="147" t="s">
        <v>4445</v>
      </c>
      <c r="K807" s="130"/>
      <c r="L807" s="130" t="s">
        <v>13</v>
      </c>
      <c r="M807" s="5"/>
    </row>
    <row r="808" ht="20.25" customHeight="1">
      <c r="A808" s="147">
        <v>2018.0</v>
      </c>
      <c r="B808" s="148" t="str">
        <f t="shared" si="19"/>
        <v>Cyton Board</v>
      </c>
      <c r="C808" s="147"/>
      <c r="D808" s="147" t="s">
        <v>4446</v>
      </c>
      <c r="E808" s="147" t="s">
        <v>4447</v>
      </c>
      <c r="F808" s="149" t="s">
        <v>4448</v>
      </c>
      <c r="G808" s="147" t="s">
        <v>4449</v>
      </c>
      <c r="H808" s="38"/>
      <c r="I808" s="147" t="s">
        <v>1266</v>
      </c>
      <c r="J808" s="147" t="s">
        <v>4450</v>
      </c>
      <c r="K808" s="130"/>
      <c r="L808" s="130" t="s">
        <v>13</v>
      </c>
      <c r="M808" s="5"/>
    </row>
    <row r="809" ht="20.25" customHeight="1">
      <c r="A809" s="147">
        <v>2018.0</v>
      </c>
      <c r="B809" s="20" t="str">
        <f t="shared" si="19"/>
        <v>Cyton Board</v>
      </c>
      <c r="C809" s="137" t="s">
        <v>4108</v>
      </c>
      <c r="D809" s="147" t="s">
        <v>4451</v>
      </c>
      <c r="E809" s="147" t="s">
        <v>4452</v>
      </c>
      <c r="F809" s="151" t="s">
        <v>4453</v>
      </c>
      <c r="G809" s="147" t="s">
        <v>4454</v>
      </c>
      <c r="H809" s="38"/>
      <c r="I809" s="147" t="s">
        <v>1266</v>
      </c>
      <c r="J809" s="147" t="s">
        <v>4455</v>
      </c>
      <c r="K809" s="130"/>
      <c r="L809" s="130" t="s">
        <v>13</v>
      </c>
      <c r="M809" s="5"/>
    </row>
    <row r="810" ht="20.25" customHeight="1">
      <c r="A810" s="147">
        <v>2018.0</v>
      </c>
      <c r="B810" s="20" t="str">
        <f t="shared" si="19"/>
        <v>Cyton Board</v>
      </c>
      <c r="C810" s="137" t="s">
        <v>4108</v>
      </c>
      <c r="D810" s="147" t="s">
        <v>4456</v>
      </c>
      <c r="E810" s="154" t="s">
        <v>4457</v>
      </c>
      <c r="F810" s="151" t="s">
        <v>4458</v>
      </c>
      <c r="G810" s="147" t="s">
        <v>4459</v>
      </c>
      <c r="H810" s="38"/>
      <c r="I810" s="147" t="s">
        <v>1266</v>
      </c>
      <c r="J810" s="147" t="s">
        <v>4460</v>
      </c>
      <c r="K810" s="130"/>
      <c r="L810" s="130" t="s">
        <v>13</v>
      </c>
      <c r="M810" s="5"/>
    </row>
    <row r="811" ht="20.25" customHeight="1">
      <c r="A811" s="147">
        <v>2018.0</v>
      </c>
      <c r="B811" s="148" t="str">
        <f t="shared" ref="B811:B815" si="20">HYPERLINK("https://shop.openbci.com/collections/frontpage/products/cyton-daisy-biosensing-boards-16-channel","CytonDaisy 16-channel")</f>
        <v>CytonDaisy 16-channel</v>
      </c>
      <c r="C811" s="147"/>
      <c r="D811" s="147" t="s">
        <v>4461</v>
      </c>
      <c r="E811" s="147" t="s">
        <v>4462</v>
      </c>
      <c r="F811" s="151" t="s">
        <v>4463</v>
      </c>
      <c r="G811" s="147" t="s">
        <v>4464</v>
      </c>
      <c r="H811" s="38"/>
      <c r="I811" s="147" t="s">
        <v>1266</v>
      </c>
      <c r="J811" s="147" t="s">
        <v>4465</v>
      </c>
      <c r="K811" s="130"/>
      <c r="L811" s="130" t="s">
        <v>13</v>
      </c>
      <c r="M811" s="5"/>
    </row>
    <row r="812" ht="20.25" customHeight="1">
      <c r="A812" s="130">
        <v>2018.0</v>
      </c>
      <c r="B812" s="20" t="str">
        <f t="shared" si="20"/>
        <v>CytonDaisy 16-channel</v>
      </c>
      <c r="C812" s="130"/>
      <c r="D812" s="130" t="s">
        <v>4466</v>
      </c>
      <c r="E812" s="130" t="s">
        <v>4467</v>
      </c>
      <c r="F812" s="142" t="s">
        <v>4468</v>
      </c>
      <c r="G812" s="130" t="s">
        <v>4469</v>
      </c>
      <c r="H812" s="38"/>
      <c r="I812" s="130" t="s">
        <v>1266</v>
      </c>
      <c r="J812" s="130" t="s">
        <v>4470</v>
      </c>
      <c r="K812" s="130"/>
      <c r="L812" s="130" t="s">
        <v>13</v>
      </c>
      <c r="M812" s="5"/>
    </row>
    <row r="813" ht="20.25" customHeight="1">
      <c r="A813" s="130">
        <v>2018.0</v>
      </c>
      <c r="B813" s="20" t="str">
        <f t="shared" si="20"/>
        <v>CytonDaisy 16-channel</v>
      </c>
      <c r="C813" s="130"/>
      <c r="D813" s="130" t="s">
        <v>4466</v>
      </c>
      <c r="E813" s="130" t="s">
        <v>4471</v>
      </c>
      <c r="F813" s="142" t="s">
        <v>4472</v>
      </c>
      <c r="G813" s="130" t="s">
        <v>4473</v>
      </c>
      <c r="H813" s="38"/>
      <c r="I813" s="130" t="s">
        <v>1266</v>
      </c>
      <c r="J813" s="130" t="s">
        <v>4474</v>
      </c>
      <c r="K813" s="130"/>
      <c r="L813" s="130" t="s">
        <v>13</v>
      </c>
      <c r="M813" s="5"/>
    </row>
    <row r="814" ht="20.25" customHeight="1">
      <c r="A814" s="130">
        <v>2018.0</v>
      </c>
      <c r="B814" s="20" t="str">
        <f t="shared" si="20"/>
        <v>CytonDaisy 16-channel</v>
      </c>
      <c r="C814" s="130"/>
      <c r="D814" s="130" t="s">
        <v>4466</v>
      </c>
      <c r="E814" s="130" t="s">
        <v>4475</v>
      </c>
      <c r="F814" s="142" t="s">
        <v>4476</v>
      </c>
      <c r="G814" s="130" t="s">
        <v>4469</v>
      </c>
      <c r="H814" s="38"/>
      <c r="I814" s="130" t="s">
        <v>1266</v>
      </c>
      <c r="J814" s="130" t="s">
        <v>4477</v>
      </c>
      <c r="K814" s="130"/>
      <c r="L814" s="130" t="s">
        <v>13</v>
      </c>
      <c r="M814" s="5"/>
    </row>
    <row r="815" ht="20.25" customHeight="1">
      <c r="A815" s="130">
        <v>2018.0</v>
      </c>
      <c r="B815" s="20" t="str">
        <f t="shared" si="20"/>
        <v>CytonDaisy 16-channel</v>
      </c>
      <c r="C815" s="130"/>
      <c r="D815" s="130" t="s">
        <v>4478</v>
      </c>
      <c r="E815" s="130" t="s">
        <v>4479</v>
      </c>
      <c r="F815" s="142" t="s">
        <v>4480</v>
      </c>
      <c r="G815" s="130" t="s">
        <v>4481</v>
      </c>
      <c r="H815" s="38"/>
      <c r="I815" s="130" t="s">
        <v>1266</v>
      </c>
      <c r="J815" s="130" t="s">
        <v>4482</v>
      </c>
      <c r="K815" s="130"/>
      <c r="L815" s="130" t="s">
        <v>13</v>
      </c>
      <c r="M815" s="5"/>
    </row>
    <row r="816" ht="16.5" customHeight="1">
      <c r="A816" s="130">
        <v>2018.0</v>
      </c>
      <c r="B816" s="20" t="str">
        <f>HYPERLINK("https://shop.openbci.com/collections/frontpage","Electrodes ")</f>
        <v>Electrodes </v>
      </c>
      <c r="C816" s="130"/>
      <c r="D816" s="130" t="s">
        <v>4483</v>
      </c>
      <c r="E816" s="130" t="s">
        <v>4484</v>
      </c>
      <c r="F816" s="142" t="s">
        <v>4485</v>
      </c>
      <c r="G816" s="130" t="s">
        <v>4486</v>
      </c>
      <c r="H816" s="38"/>
      <c r="I816" s="130" t="s">
        <v>1266</v>
      </c>
      <c r="J816" s="130" t="s">
        <v>4487</v>
      </c>
      <c r="K816" s="130"/>
      <c r="L816" s="130" t="s">
        <v>13</v>
      </c>
      <c r="M816" s="5"/>
    </row>
    <row r="817" ht="20.25" customHeight="1">
      <c r="A817" s="130">
        <v>2018.0</v>
      </c>
      <c r="B817" s="20" t="str">
        <f t="shared" ref="B817:B820" si="21">HYPERLINK("https://shop.openbci.com/collections/frontpage/products/ganglion-board","Ganglion 4-channel board")</f>
        <v>Ganglion 4-channel board</v>
      </c>
      <c r="C817" s="130"/>
      <c r="D817" s="130" t="s">
        <v>4488</v>
      </c>
      <c r="E817" s="130" t="s">
        <v>4489</v>
      </c>
      <c r="F817" s="142" t="s">
        <v>4490</v>
      </c>
      <c r="G817" s="130" t="s">
        <v>4491</v>
      </c>
      <c r="H817" s="38"/>
      <c r="I817" s="130" t="s">
        <v>1266</v>
      </c>
      <c r="J817" s="130" t="s">
        <v>4492</v>
      </c>
      <c r="K817" s="130"/>
      <c r="L817" s="130" t="s">
        <v>13</v>
      </c>
      <c r="M817" s="5"/>
    </row>
    <row r="818" ht="20.25" customHeight="1">
      <c r="A818" s="130">
        <v>2018.0</v>
      </c>
      <c r="B818" s="20" t="str">
        <f t="shared" si="21"/>
        <v>Ganglion 4-channel board</v>
      </c>
      <c r="C818" s="130"/>
      <c r="D818" s="130" t="s">
        <v>4493</v>
      </c>
      <c r="E818" s="20" t="str">
        <f>HYPERLINK("https://arxiv.org/abs/1806.04037","Neonatal EEG Interpretation and Decision Support Framework for Mobile Platforms")</f>
        <v>Neonatal EEG Interpretation and Decision Support Framework for Mobile Platforms</v>
      </c>
      <c r="F818" s="142" t="s">
        <v>4494</v>
      </c>
      <c r="G818" s="130" t="s">
        <v>4392</v>
      </c>
      <c r="H818" s="38"/>
      <c r="I818" s="130" t="s">
        <v>1266</v>
      </c>
      <c r="J818" s="130" t="s">
        <v>4495</v>
      </c>
      <c r="K818" s="130"/>
      <c r="L818" s="130" t="s">
        <v>13</v>
      </c>
      <c r="M818" s="5"/>
    </row>
    <row r="819" ht="20.25" customHeight="1">
      <c r="A819" s="130">
        <v>2018.0</v>
      </c>
      <c r="B819" s="20" t="str">
        <f t="shared" si="21"/>
        <v>Ganglion 4-channel board</v>
      </c>
      <c r="C819" s="130"/>
      <c r="D819" s="130" t="s">
        <v>4496</v>
      </c>
      <c r="E819" s="130" t="s">
        <v>4497</v>
      </c>
      <c r="F819" s="142" t="s">
        <v>4498</v>
      </c>
      <c r="G819" s="130" t="s">
        <v>4499</v>
      </c>
      <c r="H819" s="38"/>
      <c r="I819" s="130" t="s">
        <v>1266</v>
      </c>
      <c r="J819" s="130" t="s">
        <v>4500</v>
      </c>
      <c r="K819" s="130"/>
      <c r="L819" s="130" t="s">
        <v>13</v>
      </c>
      <c r="M819" s="5"/>
    </row>
    <row r="820" ht="20.25" customHeight="1">
      <c r="A820" s="130">
        <v>2018.0</v>
      </c>
      <c r="B820" s="20" t="str">
        <f t="shared" si="21"/>
        <v>Ganglion 4-channel board</v>
      </c>
      <c r="C820" s="130"/>
      <c r="D820" s="130" t="s">
        <v>4501</v>
      </c>
      <c r="E820" s="130" t="s">
        <v>4502</v>
      </c>
      <c r="F820" s="142" t="s">
        <v>4503</v>
      </c>
      <c r="G820" s="130" t="s">
        <v>4504</v>
      </c>
      <c r="H820" s="38"/>
      <c r="I820" s="130" t="s">
        <v>1266</v>
      </c>
      <c r="J820" s="130" t="s">
        <v>4505</v>
      </c>
      <c r="K820" s="130"/>
      <c r="L820" s="130" t="s">
        <v>13</v>
      </c>
      <c r="M820" s="5"/>
    </row>
    <row r="821" ht="20.25" customHeight="1">
      <c r="A821" s="130">
        <v>2018.0</v>
      </c>
      <c r="B821" s="142" t="s">
        <v>4506</v>
      </c>
      <c r="C821" s="130"/>
      <c r="D821" s="130" t="s">
        <v>4507</v>
      </c>
      <c r="E821" s="130" t="s">
        <v>4508</v>
      </c>
      <c r="F821" s="142" t="s">
        <v>4509</v>
      </c>
      <c r="G821" s="130" t="s">
        <v>4510</v>
      </c>
      <c r="H821" s="38"/>
      <c r="I821" s="130" t="s">
        <v>1266</v>
      </c>
      <c r="J821" s="130" t="s">
        <v>4511</v>
      </c>
      <c r="K821" s="130"/>
      <c r="L821" s="130" t="s">
        <v>13</v>
      </c>
      <c r="M821" s="5"/>
    </row>
    <row r="822" ht="20.25" customHeight="1">
      <c r="A822" s="130">
        <v>2018.0</v>
      </c>
      <c r="B822" s="130" t="s">
        <v>4512</v>
      </c>
      <c r="C822" s="130"/>
      <c r="D822" s="130" t="s">
        <v>4513</v>
      </c>
      <c r="E822" s="130" t="s">
        <v>4514</v>
      </c>
      <c r="F822" s="142" t="s">
        <v>4515</v>
      </c>
      <c r="G822" s="130" t="s">
        <v>4516</v>
      </c>
      <c r="H822" s="38"/>
      <c r="I822" s="130" t="s">
        <v>1266</v>
      </c>
      <c r="J822" s="130" t="s">
        <v>4517</v>
      </c>
      <c r="K822" s="130"/>
      <c r="L822" s="130" t="s">
        <v>13</v>
      </c>
      <c r="M822" s="5"/>
    </row>
    <row r="823" ht="20.25" customHeight="1">
      <c r="A823" s="130">
        <v>2018.0</v>
      </c>
      <c r="B823" s="130" t="s">
        <v>4512</v>
      </c>
      <c r="C823" s="130"/>
      <c r="D823" s="130" t="s">
        <v>4518</v>
      </c>
      <c r="E823" s="130" t="s">
        <v>4519</v>
      </c>
      <c r="F823" s="142" t="s">
        <v>4520</v>
      </c>
      <c r="G823" s="130" t="s">
        <v>4521</v>
      </c>
      <c r="H823" s="38"/>
      <c r="I823" s="130" t="s">
        <v>1266</v>
      </c>
      <c r="J823" s="130" t="s">
        <v>4522</v>
      </c>
      <c r="K823" s="130"/>
      <c r="L823" s="130" t="s">
        <v>13</v>
      </c>
      <c r="M823" s="5"/>
    </row>
    <row r="824" ht="20.25" customHeight="1">
      <c r="A824" s="130">
        <v>2018.0</v>
      </c>
      <c r="B824" s="125" t="s">
        <v>4512</v>
      </c>
      <c r="C824" s="130"/>
      <c r="D824" s="130" t="s">
        <v>4523</v>
      </c>
      <c r="E824" s="130" t="s">
        <v>4524</v>
      </c>
      <c r="F824" s="142" t="s">
        <v>4525</v>
      </c>
      <c r="G824" s="130" t="s">
        <v>4526</v>
      </c>
      <c r="H824" s="38"/>
      <c r="I824" s="130" t="s">
        <v>1266</v>
      </c>
      <c r="J824" s="130" t="s">
        <v>4527</v>
      </c>
      <c r="K824" s="130"/>
      <c r="L824" s="130" t="s">
        <v>13</v>
      </c>
      <c r="M824" s="5"/>
    </row>
    <row r="825" ht="20.25" customHeight="1">
      <c r="A825" s="130">
        <v>2018.0</v>
      </c>
      <c r="B825" s="20" t="str">
        <f>HYPERLINK("https://shop.openbci.com/collections/frontpage/products/ganglion-board","Ganglion")</f>
        <v>Ganglion</v>
      </c>
      <c r="C825" s="130"/>
      <c r="D825" s="130" t="s">
        <v>4528</v>
      </c>
      <c r="E825" s="130" t="s">
        <v>4529</v>
      </c>
      <c r="F825" s="142" t="s">
        <v>4530</v>
      </c>
      <c r="G825" s="130" t="s">
        <v>4531</v>
      </c>
      <c r="H825" s="38"/>
      <c r="I825" s="130" t="s">
        <v>1266</v>
      </c>
      <c r="J825" s="130" t="s">
        <v>4532</v>
      </c>
      <c r="K825" s="130"/>
      <c r="L825" s="130"/>
      <c r="M825" s="5"/>
    </row>
    <row r="826" ht="20.25" customHeight="1">
      <c r="A826" s="5">
        <v>2018.0</v>
      </c>
      <c r="B826" s="125" t="s">
        <v>4512</v>
      </c>
      <c r="C826" s="5"/>
      <c r="D826" s="5" t="s">
        <v>4533</v>
      </c>
      <c r="E826" s="5" t="s">
        <v>4534</v>
      </c>
      <c r="F826" s="13" t="s">
        <v>4535</v>
      </c>
      <c r="G826" s="5" t="s">
        <v>4536</v>
      </c>
      <c r="H826" s="38"/>
      <c r="I826" s="5" t="s">
        <v>1266</v>
      </c>
      <c r="J826" s="5" t="s">
        <v>4537</v>
      </c>
      <c r="K826" s="5"/>
      <c r="L826" s="5" t="s">
        <v>13</v>
      </c>
      <c r="M826" s="5"/>
    </row>
    <row r="827" ht="20.25" customHeight="1">
      <c r="A827" s="5">
        <v>2018.0</v>
      </c>
      <c r="B827" s="6" t="s">
        <v>4512</v>
      </c>
      <c r="C827" s="5"/>
      <c r="D827" s="5" t="s">
        <v>4538</v>
      </c>
      <c r="E827" s="5" t="s">
        <v>4539</v>
      </c>
      <c r="F827" s="13" t="s">
        <v>4540</v>
      </c>
      <c r="G827" s="5" t="s">
        <v>4541</v>
      </c>
      <c r="H827" s="38"/>
      <c r="I827" s="5" t="s">
        <v>1266</v>
      </c>
      <c r="J827" s="5" t="s">
        <v>4542</v>
      </c>
      <c r="K827" s="5"/>
      <c r="L827" s="130" t="s">
        <v>13</v>
      </c>
      <c r="M827" s="5"/>
    </row>
    <row r="828">
      <c r="A828" s="5">
        <v>2018.0</v>
      </c>
      <c r="B828" s="6" t="s">
        <v>4512</v>
      </c>
      <c r="C828" s="5"/>
      <c r="D828" s="5" t="s">
        <v>4359</v>
      </c>
      <c r="E828" s="5" t="s">
        <v>4543</v>
      </c>
      <c r="F828" s="13" t="s">
        <v>4544</v>
      </c>
      <c r="G828" s="5" t="s">
        <v>4545</v>
      </c>
      <c r="H828" s="38"/>
      <c r="I828" s="5" t="s">
        <v>1266</v>
      </c>
      <c r="J828" s="5" t="s">
        <v>4546</v>
      </c>
      <c r="K828" s="5"/>
      <c r="L828" s="130" t="s">
        <v>13</v>
      </c>
      <c r="M828" s="5"/>
    </row>
    <row r="829">
      <c r="A829" s="5">
        <v>2018.0</v>
      </c>
      <c r="B829" s="6" t="s">
        <v>4512</v>
      </c>
      <c r="C829" s="5"/>
      <c r="D829" s="5" t="s">
        <v>4547</v>
      </c>
      <c r="E829" s="119"/>
      <c r="F829" s="13" t="s">
        <v>4548</v>
      </c>
      <c r="G829" s="5" t="s">
        <v>4549</v>
      </c>
      <c r="H829" s="38"/>
      <c r="I829" s="5" t="s">
        <v>1266</v>
      </c>
      <c r="J829" s="5" t="s">
        <v>4550</v>
      </c>
      <c r="K829" s="5"/>
      <c r="L829" s="130" t="s">
        <v>13</v>
      </c>
      <c r="M829" s="5"/>
    </row>
    <row r="830">
      <c r="A830" s="5">
        <v>2018.0</v>
      </c>
      <c r="B830" s="14" t="str">
        <f>HYPERLINK("https://github.com/OpenBCI","OpenBCI GUI")</f>
        <v>OpenBCI GUI</v>
      </c>
      <c r="C830" s="5"/>
      <c r="D830" s="5" t="s">
        <v>4551</v>
      </c>
      <c r="E830" s="5" t="s">
        <v>4552</v>
      </c>
      <c r="F830" s="13" t="s">
        <v>4553</v>
      </c>
      <c r="G830" s="5" t="s">
        <v>4554</v>
      </c>
      <c r="H830" s="38"/>
      <c r="I830" s="5" t="s">
        <v>1266</v>
      </c>
      <c r="J830" s="5" t="s">
        <v>4555</v>
      </c>
      <c r="K830" s="5"/>
      <c r="L830" s="130" t="s">
        <v>13</v>
      </c>
      <c r="M830" s="5"/>
    </row>
    <row r="831">
      <c r="A831" s="5">
        <v>2018.0</v>
      </c>
      <c r="B831" s="14" t="str">
        <f>HYPERLINK("https://github.com/GPrathap/OpenBCIPython","OpenBCI Python")</f>
        <v>OpenBCI Python</v>
      </c>
      <c r="C831" s="5"/>
      <c r="D831" s="5" t="s">
        <v>4556</v>
      </c>
      <c r="E831" s="5" t="s">
        <v>4557</v>
      </c>
      <c r="F831" s="13" t="s">
        <v>4558</v>
      </c>
      <c r="G831" s="5" t="s">
        <v>4559</v>
      </c>
      <c r="H831" s="38"/>
      <c r="I831" s="5" t="s">
        <v>1266</v>
      </c>
      <c r="J831" s="5" t="s">
        <v>4560</v>
      </c>
      <c r="K831" s="5"/>
      <c r="L831" s="130" t="s">
        <v>13</v>
      </c>
      <c r="M831" s="5"/>
    </row>
    <row r="832">
      <c r="A832" s="5">
        <v>2018.0</v>
      </c>
      <c r="B832" s="14" t="str">
        <f t="shared" ref="B832:B833" si="22">HYPERLINK("https://shop.openbci.com/collections/frontpage/products/ultracortex-mark-iv","Ultracortex EEG Headset")</f>
        <v>Ultracortex EEG Headset</v>
      </c>
      <c r="C832" s="5"/>
      <c r="D832" s="5" t="s">
        <v>4561</v>
      </c>
      <c r="E832" s="5" t="s">
        <v>4562</v>
      </c>
      <c r="F832" s="13" t="s">
        <v>4563</v>
      </c>
      <c r="G832" s="5" t="s">
        <v>4516</v>
      </c>
      <c r="H832" s="38"/>
      <c r="I832" s="5" t="s">
        <v>1266</v>
      </c>
      <c r="J832" s="5" t="s">
        <v>4564</v>
      </c>
      <c r="K832" s="5"/>
      <c r="L832" s="130" t="s">
        <v>13</v>
      </c>
      <c r="M832" s="5"/>
    </row>
    <row r="833">
      <c r="A833" s="5">
        <v>2018.0</v>
      </c>
      <c r="B833" s="14" t="str">
        <f t="shared" si="22"/>
        <v>Ultracortex EEG Headset</v>
      </c>
      <c r="C833" s="5"/>
      <c r="D833" s="5" t="s">
        <v>4565</v>
      </c>
      <c r="E833" s="5" t="s">
        <v>4566</v>
      </c>
      <c r="F833" s="13" t="s">
        <v>4567</v>
      </c>
      <c r="G833" s="5" t="s">
        <v>4568</v>
      </c>
      <c r="H833" s="38"/>
      <c r="I833" s="5" t="s">
        <v>1266</v>
      </c>
      <c r="J833" s="5" t="s">
        <v>4569</v>
      </c>
      <c r="K833" s="5"/>
      <c r="L833" s="130" t="s">
        <v>13</v>
      </c>
      <c r="M833" s="5"/>
    </row>
    <row r="834" ht="20.25" customHeight="1">
      <c r="A834" s="130">
        <v>2017.0</v>
      </c>
      <c r="B834" s="14" t="str">
        <f>HYPERLINK("https://shop.openbci.com/collections/frontpage/products/ganglion-board","Ganglion 4-channel board")</f>
        <v>Ganglion 4-channel board</v>
      </c>
      <c r="C834" s="130"/>
      <c r="D834" s="5" t="s">
        <v>4570</v>
      </c>
      <c r="E834" s="5" t="s">
        <v>4571</v>
      </c>
      <c r="F834" s="140" t="s">
        <v>4572</v>
      </c>
      <c r="G834" s="5" t="s">
        <v>4573</v>
      </c>
      <c r="H834" s="38"/>
      <c r="I834" s="130" t="s">
        <v>1266</v>
      </c>
      <c r="J834" s="5" t="s">
        <v>4574</v>
      </c>
      <c r="K834" s="5"/>
      <c r="L834" s="130"/>
      <c r="M834" s="5"/>
    </row>
    <row r="835">
      <c r="A835" s="130">
        <v>2017.0</v>
      </c>
      <c r="B835" s="14" t="str">
        <f t="shared" ref="B835:B836" si="23">HYPERLINK("https://shop.openbci.com/collections/frontpage/products/cyton-biosensing-board-8-channel","Cyton Board")</f>
        <v>Cyton Board</v>
      </c>
      <c r="C835" s="130"/>
      <c r="D835" s="5" t="s">
        <v>4575</v>
      </c>
      <c r="E835" s="118" t="s">
        <v>4576</v>
      </c>
      <c r="F835" s="140" t="s">
        <v>4577</v>
      </c>
      <c r="G835" s="130" t="s">
        <v>4578</v>
      </c>
      <c r="H835" s="38"/>
      <c r="I835" s="130" t="s">
        <v>1266</v>
      </c>
      <c r="J835" s="130"/>
      <c r="K835" s="130"/>
      <c r="L835" s="130"/>
      <c r="M835" s="5"/>
    </row>
    <row r="836">
      <c r="A836" s="5">
        <v>2017.0</v>
      </c>
      <c r="B836" s="14" t="str">
        <f t="shared" si="23"/>
        <v>Cyton Board</v>
      </c>
      <c r="C836" s="5"/>
      <c r="D836" s="5" t="s">
        <v>4579</v>
      </c>
      <c r="E836" s="5" t="s">
        <v>4580</v>
      </c>
      <c r="F836" s="124" t="s">
        <v>4581</v>
      </c>
      <c r="G836" s="5" t="s">
        <v>4582</v>
      </c>
      <c r="H836" s="38"/>
      <c r="I836" s="130" t="s">
        <v>1266</v>
      </c>
      <c r="J836" s="5" t="s">
        <v>4583</v>
      </c>
      <c r="K836" s="5"/>
      <c r="L836" s="5"/>
      <c r="M836" s="5"/>
    </row>
    <row r="837" ht="19.5" customHeight="1">
      <c r="A837" s="5">
        <v>2017.0</v>
      </c>
      <c r="B837" s="14" t="str">
        <f>HYPERLINK("https://shop.openbci.com/collections/frontpage/products/cyton-daisy-biosensing-boards-16-channel","CytonDaisy 16-channel")</f>
        <v>CytonDaisy 16-channel</v>
      </c>
      <c r="C837" s="5"/>
      <c r="D837" s="5" t="s">
        <v>4584</v>
      </c>
      <c r="E837" s="5" t="s">
        <v>4585</v>
      </c>
      <c r="F837" s="124" t="s">
        <v>4586</v>
      </c>
      <c r="G837" s="5" t="s">
        <v>4587</v>
      </c>
      <c r="H837" s="38"/>
      <c r="I837" s="130" t="s">
        <v>1266</v>
      </c>
      <c r="J837" s="5" t="s">
        <v>4588</v>
      </c>
      <c r="K837" s="5"/>
      <c r="L837" s="5"/>
      <c r="M837" s="5"/>
    </row>
    <row r="838">
      <c r="A838" s="5">
        <v>2017.0</v>
      </c>
      <c r="B838" s="14" t="str">
        <f t="shared" ref="B838:B842" si="24">HYPERLINK("https://shop.openbci.com/collections/frontpage/products/cyton-biosensing-board-8-channel","Cyton Board")</f>
        <v>Cyton Board</v>
      </c>
      <c r="C838" s="5"/>
      <c r="D838" s="5" t="s">
        <v>4589</v>
      </c>
      <c r="E838" s="5" t="s">
        <v>4590</v>
      </c>
      <c r="F838" s="124" t="s">
        <v>4591</v>
      </c>
      <c r="G838" s="68" t="s">
        <v>4592</v>
      </c>
      <c r="H838" s="38"/>
      <c r="I838" s="130" t="s">
        <v>1266</v>
      </c>
      <c r="J838" s="5" t="s">
        <v>4593</v>
      </c>
      <c r="K838" s="5"/>
      <c r="L838" s="5"/>
      <c r="M838" s="5"/>
    </row>
    <row r="839">
      <c r="A839" s="5">
        <v>2017.0</v>
      </c>
      <c r="B839" s="14" t="str">
        <f t="shared" si="24"/>
        <v>Cyton Board</v>
      </c>
      <c r="C839" s="5"/>
      <c r="D839" s="5" t="s">
        <v>4594</v>
      </c>
      <c r="E839" s="5" t="s">
        <v>4595</v>
      </c>
      <c r="F839" s="13" t="s">
        <v>4596</v>
      </c>
      <c r="G839" s="5" t="s">
        <v>4597</v>
      </c>
      <c r="H839" s="38"/>
      <c r="I839" s="130" t="s">
        <v>1266</v>
      </c>
      <c r="J839" s="5" t="s">
        <v>4598</v>
      </c>
      <c r="K839" s="5"/>
      <c r="L839" s="5" t="s">
        <v>13</v>
      </c>
      <c r="M839" s="5"/>
    </row>
    <row r="840">
      <c r="A840" s="5">
        <v>2017.0</v>
      </c>
      <c r="B840" s="14" t="str">
        <f t="shared" si="24"/>
        <v>Cyton Board</v>
      </c>
      <c r="C840" s="5"/>
      <c r="D840" s="5" t="s">
        <v>4599</v>
      </c>
      <c r="E840" s="5" t="s">
        <v>4600</v>
      </c>
      <c r="F840" s="13" t="s">
        <v>4601</v>
      </c>
      <c r="G840" s="68" t="s">
        <v>4602</v>
      </c>
      <c r="H840" s="38"/>
      <c r="I840" s="5" t="s">
        <v>1266</v>
      </c>
      <c r="J840" s="5" t="s">
        <v>4603</v>
      </c>
      <c r="K840" s="5"/>
      <c r="L840" s="5" t="s">
        <v>4604</v>
      </c>
      <c r="M840" s="5"/>
    </row>
    <row r="841">
      <c r="A841" s="5">
        <v>2017.0</v>
      </c>
      <c r="B841" s="14" t="str">
        <f t="shared" si="24"/>
        <v>Cyton Board</v>
      </c>
      <c r="C841" s="5"/>
      <c r="D841" s="5" t="s">
        <v>4605</v>
      </c>
      <c r="E841" s="5" t="s">
        <v>4606</v>
      </c>
      <c r="F841" s="13" t="s">
        <v>4607</v>
      </c>
      <c r="G841" s="5" t="s">
        <v>4608</v>
      </c>
      <c r="H841" s="38"/>
      <c r="I841" s="5" t="s">
        <v>1266</v>
      </c>
      <c r="J841" s="5" t="s">
        <v>4609</v>
      </c>
      <c r="K841" s="5"/>
      <c r="L841" s="5" t="s">
        <v>13</v>
      </c>
      <c r="M841" s="5"/>
    </row>
    <row r="842">
      <c r="A842" s="5">
        <v>2017.0</v>
      </c>
      <c r="B842" s="20" t="str">
        <f t="shared" si="24"/>
        <v>Cyton Board</v>
      </c>
      <c r="C842" s="5"/>
      <c r="D842" s="5" t="s">
        <v>4610</v>
      </c>
      <c r="E842" s="5" t="s">
        <v>4611</v>
      </c>
      <c r="F842" s="13" t="s">
        <v>4612</v>
      </c>
      <c r="G842" s="5" t="s">
        <v>4613</v>
      </c>
      <c r="H842" s="38"/>
      <c r="I842" s="5" t="s">
        <v>1266</v>
      </c>
      <c r="J842" s="5" t="s">
        <v>4609</v>
      </c>
      <c r="K842" s="5"/>
      <c r="L842" s="5" t="s">
        <v>13</v>
      </c>
      <c r="M842" s="5"/>
    </row>
    <row r="843">
      <c r="A843" s="5">
        <v>2017.0</v>
      </c>
      <c r="B843" s="14" t="str">
        <f>HYPERLINK("https://shop.openbci.com/collections/frontpage/products/ganglion-board","Ganglion")</f>
        <v>Ganglion</v>
      </c>
      <c r="C843" s="83" t="s">
        <v>1000</v>
      </c>
      <c r="D843" s="5" t="s">
        <v>4614</v>
      </c>
      <c r="E843" s="5" t="s">
        <v>4615</v>
      </c>
      <c r="F843" s="13" t="s">
        <v>4616</v>
      </c>
      <c r="G843" s="5" t="s">
        <v>4617</v>
      </c>
      <c r="H843" s="38"/>
      <c r="I843" s="5" t="s">
        <v>1266</v>
      </c>
      <c r="J843" s="5" t="s">
        <v>4618</v>
      </c>
      <c r="K843" s="5"/>
      <c r="L843" s="5" t="s">
        <v>13</v>
      </c>
      <c r="M843" s="5"/>
    </row>
    <row r="844">
      <c r="A844" s="5">
        <v>2017.0</v>
      </c>
      <c r="B844" s="6" t="s">
        <v>4619</v>
      </c>
      <c r="C844" s="5"/>
      <c r="D844" s="5" t="s">
        <v>4620</v>
      </c>
      <c r="E844" s="5" t="s">
        <v>4621</v>
      </c>
      <c r="F844" s="13" t="s">
        <v>4622</v>
      </c>
      <c r="G844" s="5" t="s">
        <v>4623</v>
      </c>
      <c r="H844" s="38"/>
      <c r="I844" s="5" t="s">
        <v>1266</v>
      </c>
      <c r="J844" s="5" t="s">
        <v>4624</v>
      </c>
      <c r="K844" s="5"/>
      <c r="L844" s="5" t="s">
        <v>13</v>
      </c>
      <c r="M844" s="5"/>
    </row>
    <row r="845">
      <c r="A845" s="5">
        <v>2017.0</v>
      </c>
      <c r="B845" s="125" t="s">
        <v>988</v>
      </c>
      <c r="C845" s="5"/>
      <c r="D845" s="5" t="s">
        <v>4625</v>
      </c>
      <c r="E845" s="5" t="s">
        <v>4626</v>
      </c>
      <c r="F845" s="13" t="s">
        <v>4627</v>
      </c>
      <c r="G845" s="5" t="s">
        <v>4628</v>
      </c>
      <c r="H845" s="38"/>
      <c r="I845" s="5" t="s">
        <v>1266</v>
      </c>
      <c r="J845" s="5" t="s">
        <v>4629</v>
      </c>
      <c r="K845" s="5"/>
      <c r="L845" s="5" t="s">
        <v>13</v>
      </c>
      <c r="M845" s="5"/>
    </row>
    <row r="846" ht="21.0" customHeight="1">
      <c r="A846" s="5">
        <v>2016.0</v>
      </c>
      <c r="B846" s="14" t="str">
        <f t="shared" ref="B846:B850" si="25">HYPERLINK("https://shop.openbci.com/collections/frontpage/products/cyton-biosensing-board-8-channel","Cyton Board")</f>
        <v>Cyton Board</v>
      </c>
      <c r="C846" s="5"/>
      <c r="D846" s="5" t="s">
        <v>4630</v>
      </c>
      <c r="E846" s="5" t="s">
        <v>4631</v>
      </c>
      <c r="F846" s="13" t="s">
        <v>4632</v>
      </c>
      <c r="G846" s="5" t="s">
        <v>4633</v>
      </c>
      <c r="H846" s="38"/>
      <c r="I846" s="5" t="s">
        <v>1266</v>
      </c>
      <c r="J846" s="5" t="s">
        <v>4634</v>
      </c>
      <c r="K846" s="5"/>
      <c r="L846" s="5"/>
      <c r="M846" s="5"/>
    </row>
    <row r="847">
      <c r="A847" s="5">
        <v>2016.0</v>
      </c>
      <c r="B847" s="14" t="str">
        <f t="shared" si="25"/>
        <v>Cyton Board</v>
      </c>
      <c r="C847" s="5"/>
      <c r="D847" s="5" t="s">
        <v>4635</v>
      </c>
      <c r="E847" s="5" t="s">
        <v>4636</v>
      </c>
      <c r="F847" s="13" t="s">
        <v>4637</v>
      </c>
      <c r="G847" s="5" t="s">
        <v>4638</v>
      </c>
      <c r="H847" s="38"/>
      <c r="I847" s="5" t="s">
        <v>1266</v>
      </c>
      <c r="J847" s="5" t="s">
        <v>4639</v>
      </c>
      <c r="K847" s="5"/>
      <c r="L847" s="5" t="s">
        <v>13</v>
      </c>
      <c r="M847" s="5"/>
    </row>
    <row r="848">
      <c r="A848" s="5">
        <v>2016.0</v>
      </c>
      <c r="B848" s="14" t="str">
        <f t="shared" si="25"/>
        <v>Cyton Board</v>
      </c>
      <c r="C848" s="5"/>
      <c r="D848" s="5" t="s">
        <v>4640</v>
      </c>
      <c r="E848" s="5" t="s">
        <v>4641</v>
      </c>
      <c r="F848" s="13" t="s">
        <v>4642</v>
      </c>
      <c r="G848" s="5" t="s">
        <v>4643</v>
      </c>
      <c r="H848" s="38"/>
      <c r="I848" s="97" t="s">
        <v>1266</v>
      </c>
      <c r="J848" s="97"/>
      <c r="K848" s="5"/>
      <c r="L848" s="5" t="s">
        <v>13</v>
      </c>
      <c r="M848" s="5"/>
    </row>
    <row r="849">
      <c r="A849" s="5">
        <v>2016.0</v>
      </c>
      <c r="B849" s="14" t="str">
        <f t="shared" si="25"/>
        <v>Cyton Board</v>
      </c>
      <c r="C849" s="5"/>
      <c r="D849" s="5" t="s">
        <v>4644</v>
      </c>
      <c r="E849" s="5" t="s">
        <v>4645</v>
      </c>
      <c r="F849" s="13" t="s">
        <v>4646</v>
      </c>
      <c r="G849" s="5" t="s">
        <v>4647</v>
      </c>
      <c r="H849" s="38"/>
      <c r="I849" s="5" t="s">
        <v>1266</v>
      </c>
      <c r="J849" s="5" t="s">
        <v>4648</v>
      </c>
      <c r="K849" s="5"/>
      <c r="L849" s="5" t="s">
        <v>13</v>
      </c>
      <c r="M849" s="5"/>
    </row>
    <row r="850" ht="22.5" customHeight="1">
      <c r="A850" s="5">
        <v>2015.0</v>
      </c>
      <c r="B850" s="14" t="str">
        <f t="shared" si="25"/>
        <v>Cyton Board</v>
      </c>
      <c r="C850" s="83" t="s">
        <v>1000</v>
      </c>
      <c r="D850" s="13" t="s">
        <v>4649</v>
      </c>
      <c r="E850" s="5" t="s">
        <v>4650</v>
      </c>
      <c r="F850" s="13" t="s">
        <v>4651</v>
      </c>
      <c r="G850" s="5" t="s">
        <v>4652</v>
      </c>
      <c r="H850" s="38"/>
      <c r="I850" s="5" t="s">
        <v>1266</v>
      </c>
      <c r="J850" s="5" t="s">
        <v>4653</v>
      </c>
      <c r="K850" s="5"/>
      <c r="L850" s="5" t="s">
        <v>13</v>
      </c>
      <c r="M850" s="5"/>
    </row>
    <row r="851">
      <c r="A851" s="5">
        <v>2013.0</v>
      </c>
      <c r="B851" s="83" t="s">
        <v>62</v>
      </c>
      <c r="C851" s="83" t="s">
        <v>3519</v>
      </c>
      <c r="D851" s="12" t="s">
        <v>4654</v>
      </c>
      <c r="E851" s="12" t="s">
        <v>4655</v>
      </c>
      <c r="F851" s="92" t="s">
        <v>4656</v>
      </c>
      <c r="G851" s="96" t="s">
        <v>4657</v>
      </c>
      <c r="H851" s="38" t="s">
        <v>4658</v>
      </c>
      <c r="I851" s="5" t="s">
        <v>1266</v>
      </c>
      <c r="J851" s="12" t="s">
        <v>4659</v>
      </c>
      <c r="K851" s="97"/>
      <c r="L851" s="97"/>
      <c r="M851" s="97"/>
    </row>
    <row r="852">
      <c r="A852" s="102"/>
      <c r="B852" s="102"/>
      <c r="C852" s="102"/>
      <c r="D852" s="102"/>
      <c r="E852" s="102"/>
      <c r="F852" s="102"/>
      <c r="G852" s="102"/>
      <c r="H852" s="38"/>
      <c r="I852" s="102"/>
      <c r="J852" s="102"/>
      <c r="K852" s="101"/>
      <c r="L852" s="101"/>
      <c r="M852" s="101"/>
    </row>
    <row r="853">
      <c r="A853" s="102"/>
      <c r="B853" s="102"/>
      <c r="C853" s="102"/>
      <c r="D853" s="102"/>
      <c r="E853" s="102"/>
      <c r="F853" s="102"/>
      <c r="G853" s="102"/>
      <c r="H853" s="38"/>
      <c r="I853" s="102"/>
      <c r="J853" s="102"/>
      <c r="K853" s="101"/>
      <c r="L853" s="101"/>
      <c r="M853" s="101"/>
    </row>
    <row r="854">
      <c r="A854" s="102"/>
      <c r="B854" s="102"/>
      <c r="C854" s="102"/>
      <c r="D854" s="102"/>
      <c r="E854" s="102"/>
      <c r="F854" s="102"/>
      <c r="G854" s="102"/>
      <c r="H854" s="38"/>
      <c r="I854" s="102"/>
      <c r="J854" s="102"/>
      <c r="K854" s="101"/>
      <c r="L854" s="101"/>
      <c r="M854" s="101"/>
    </row>
    <row r="855">
      <c r="A855" s="102"/>
      <c r="B855" s="102"/>
      <c r="C855" s="102"/>
      <c r="D855" s="102"/>
      <c r="E855" s="102"/>
      <c r="F855" s="102"/>
      <c r="G855" s="102"/>
      <c r="H855" s="38"/>
      <c r="I855" s="102"/>
      <c r="J855" s="102"/>
      <c r="K855" s="101"/>
      <c r="L855" s="101"/>
      <c r="M855" s="101"/>
    </row>
  </sheetData>
  <autoFilter ref="$A$1:$L$851">
    <sortState ref="A1:L851">
      <sortCondition ref="B1:B851"/>
    </sortState>
  </autoFilter>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K35"/>
    <hyperlink r:id="rId36" ref="F36"/>
    <hyperlink r:id="rId37" ref="F37"/>
    <hyperlink r:id="rId38" ref="F38"/>
    <hyperlink r:id="rId39" ref="F39"/>
    <hyperlink r:id="rId40" ref="F40"/>
    <hyperlink r:id="rId41" ref="F41"/>
    <hyperlink r:id="rId42" ref="F42"/>
    <hyperlink r:id="rId43" ref="F43"/>
    <hyperlink r:id="rId44" ref="F44"/>
    <hyperlink r:id="rId45" ref="F45"/>
    <hyperlink r:id="rId46" ref="F46"/>
    <hyperlink r:id="rId47" ref="F47"/>
    <hyperlink r:id="rId48" ref="F48"/>
    <hyperlink r:id="rId49" ref="F49"/>
    <hyperlink r:id="rId50" ref="F50"/>
    <hyperlink r:id="rId51" ref="B51"/>
    <hyperlink r:id="rId52" ref="F51"/>
    <hyperlink r:id="rId53" ref="B52"/>
    <hyperlink r:id="rId54" ref="F52"/>
    <hyperlink r:id="rId55" ref="F53"/>
    <hyperlink r:id="rId56" ref="F54"/>
    <hyperlink r:id="rId57" ref="F55"/>
    <hyperlink r:id="rId58" ref="F56"/>
    <hyperlink r:id="rId59" ref="B57"/>
    <hyperlink r:id="rId60" ref="F57"/>
    <hyperlink r:id="rId61" ref="B58"/>
    <hyperlink r:id="rId62" ref="F58"/>
    <hyperlink r:id="rId63" ref="B59"/>
    <hyperlink r:id="rId64" ref="F59"/>
    <hyperlink r:id="rId65" ref="B60"/>
    <hyperlink r:id="rId66" ref="F60"/>
    <hyperlink r:id="rId67" ref="F61"/>
    <hyperlink r:id="rId68" ref="B62"/>
    <hyperlink r:id="rId69" ref="F62"/>
    <hyperlink r:id="rId70" ref="B63"/>
    <hyperlink r:id="rId71" ref="F63"/>
    <hyperlink r:id="rId72" ref="F64"/>
    <hyperlink r:id="rId73" ref="F65"/>
    <hyperlink r:id="rId74" ref="F66"/>
    <hyperlink r:id="rId75" ref="F67"/>
    <hyperlink r:id="rId76" ref="F68"/>
    <hyperlink r:id="rId77" ref="F69"/>
    <hyperlink r:id="rId78" ref="F70"/>
    <hyperlink r:id="rId79" ref="B71"/>
    <hyperlink r:id="rId80" ref="F71"/>
    <hyperlink r:id="rId81" ref="F72"/>
    <hyperlink r:id="rId82" ref="F73"/>
    <hyperlink r:id="rId83" ref="F74"/>
    <hyperlink r:id="rId84" ref="B75"/>
    <hyperlink r:id="rId85" ref="F75"/>
    <hyperlink r:id="rId86" ref="F76"/>
    <hyperlink r:id="rId87" ref="B77"/>
    <hyperlink r:id="rId88" ref="F77"/>
    <hyperlink r:id="rId89" ref="F78"/>
    <hyperlink r:id="rId90" ref="F79"/>
    <hyperlink r:id="rId91" ref="F80"/>
    <hyperlink r:id="rId92" ref="B81"/>
    <hyperlink r:id="rId93" ref="F81"/>
    <hyperlink r:id="rId94" ref="F82"/>
    <hyperlink r:id="rId95" ref="F83"/>
    <hyperlink r:id="rId96" ref="B84"/>
    <hyperlink r:id="rId97" ref="F84"/>
    <hyperlink r:id="rId98" ref="F85"/>
    <hyperlink r:id="rId99" ref="F86"/>
    <hyperlink r:id="rId100" ref="B87"/>
    <hyperlink r:id="rId101" ref="F87"/>
    <hyperlink r:id="rId102" ref="F88"/>
    <hyperlink r:id="rId103" ref="B89"/>
    <hyperlink r:id="rId104" ref="F89"/>
    <hyperlink r:id="rId105" ref="F90"/>
    <hyperlink r:id="rId106" ref="B91"/>
    <hyperlink r:id="rId107" ref="F91"/>
    <hyperlink r:id="rId108" ref="F92"/>
    <hyperlink r:id="rId109" ref="F93"/>
    <hyperlink r:id="rId110" ref="F94"/>
    <hyperlink r:id="rId111" ref="F95"/>
    <hyperlink r:id="rId112" ref="F96"/>
    <hyperlink r:id="rId113" ref="F97"/>
    <hyperlink r:id="rId114" ref="F98"/>
    <hyperlink r:id="rId115" ref="F99"/>
    <hyperlink r:id="rId116" ref="F100"/>
    <hyperlink r:id="rId117" ref="B101"/>
    <hyperlink r:id="rId118" ref="F101"/>
    <hyperlink r:id="rId119" ref="B102"/>
    <hyperlink r:id="rId120" ref="C102"/>
    <hyperlink r:id="rId121" ref="F102"/>
    <hyperlink r:id="rId122" ref="F103"/>
    <hyperlink r:id="rId123" ref="F104"/>
    <hyperlink r:id="rId124" ref="F105"/>
    <hyperlink r:id="rId125" ref="F106"/>
    <hyperlink r:id="rId126" ref="B107"/>
    <hyperlink r:id="rId127" ref="F107"/>
    <hyperlink r:id="rId128" ref="B108"/>
    <hyperlink r:id="rId129" ref="F108"/>
    <hyperlink r:id="rId130" ref="F109"/>
    <hyperlink r:id="rId131" ref="H109"/>
    <hyperlink r:id="rId132" ref="F110"/>
    <hyperlink r:id="rId133" ref="H110"/>
    <hyperlink r:id="rId134" ref="F111"/>
    <hyperlink r:id="rId135" ref="H111"/>
    <hyperlink r:id="rId136" ref="F112"/>
    <hyperlink r:id="rId137" ref="H112"/>
    <hyperlink r:id="rId138" ref="F113"/>
    <hyperlink r:id="rId139" ref="F114"/>
    <hyperlink r:id="rId140" ref="F115"/>
    <hyperlink r:id="rId141" ref="F116"/>
    <hyperlink r:id="rId142" ref="F117"/>
    <hyperlink r:id="rId143" ref="F118"/>
    <hyperlink r:id="rId144" ref="B119"/>
    <hyperlink r:id="rId145" ref="C119"/>
    <hyperlink r:id="rId146" ref="F119"/>
    <hyperlink r:id="rId147" ref="F120"/>
    <hyperlink r:id="rId148" ref="F121"/>
    <hyperlink r:id="rId149" ref="F122"/>
    <hyperlink r:id="rId150" ref="F123"/>
    <hyperlink r:id="rId151" ref="B124"/>
    <hyperlink r:id="rId152" ref="F124"/>
    <hyperlink r:id="rId153" ref="B125"/>
    <hyperlink r:id="rId154" ref="F125"/>
    <hyperlink r:id="rId155" ref="B126"/>
    <hyperlink r:id="rId156" ref="F126"/>
    <hyperlink r:id="rId157" ref="F127"/>
    <hyperlink r:id="rId158" ref="B128"/>
    <hyperlink r:id="rId159" ref="F128"/>
    <hyperlink r:id="rId160" ref="F129"/>
    <hyperlink r:id="rId161" ref="F130"/>
    <hyperlink r:id="rId162" ref="F131"/>
    <hyperlink r:id="rId163" ref="F132"/>
    <hyperlink r:id="rId164" ref="F133"/>
    <hyperlink r:id="rId165" ref="F134"/>
    <hyperlink r:id="rId166" ref="F135"/>
    <hyperlink r:id="rId167" ref="F136"/>
    <hyperlink r:id="rId168" ref="F137"/>
    <hyperlink r:id="rId169" ref="F138"/>
    <hyperlink r:id="rId170" ref="F139"/>
    <hyperlink r:id="rId171" ref="C140"/>
    <hyperlink r:id="rId172" ref="F140"/>
    <hyperlink r:id="rId173" ref="F141"/>
    <hyperlink r:id="rId174" ref="F142"/>
    <hyperlink r:id="rId175" ref="B143"/>
    <hyperlink r:id="rId176" ref="F143"/>
    <hyperlink r:id="rId177" ref="F144"/>
    <hyperlink r:id="rId178" ref="F145"/>
    <hyperlink r:id="rId179" ref="F146"/>
    <hyperlink r:id="rId180" ref="F147"/>
    <hyperlink r:id="rId181" ref="F148"/>
    <hyperlink r:id="rId182" ref="B149"/>
    <hyperlink r:id="rId183" ref="F149"/>
    <hyperlink r:id="rId184" ref="F150"/>
    <hyperlink r:id="rId185" ref="F151"/>
    <hyperlink r:id="rId186" ref="B152"/>
    <hyperlink r:id="rId187" ref="F152"/>
    <hyperlink r:id="rId188" ref="F153"/>
    <hyperlink r:id="rId189" ref="F154"/>
    <hyperlink r:id="rId190" ref="B155"/>
    <hyperlink r:id="rId191" ref="F155"/>
    <hyperlink r:id="rId192" ref="B156"/>
    <hyperlink r:id="rId193" ref="F156"/>
    <hyperlink r:id="rId194" ref="B157"/>
    <hyperlink r:id="rId195" ref="F157"/>
    <hyperlink r:id="rId196" ref="B158"/>
    <hyperlink r:id="rId197" ref="F158"/>
    <hyperlink r:id="rId198" ref="B159"/>
    <hyperlink r:id="rId199" ref="F159"/>
    <hyperlink r:id="rId200" ref="F160"/>
    <hyperlink r:id="rId201" ref="F161"/>
    <hyperlink r:id="rId202" ref="F162"/>
    <hyperlink r:id="rId203" ref="B163"/>
    <hyperlink r:id="rId204" ref="F163"/>
    <hyperlink r:id="rId205" ref="F164"/>
    <hyperlink r:id="rId206" ref="F165"/>
    <hyperlink r:id="rId207" ref="F166"/>
    <hyperlink r:id="rId208" ref="F167"/>
    <hyperlink r:id="rId209" ref="F168"/>
    <hyperlink r:id="rId210" ref="F169"/>
    <hyperlink r:id="rId211" ref="F170"/>
    <hyperlink r:id="rId212" ref="B171"/>
    <hyperlink r:id="rId213" ref="F171"/>
    <hyperlink r:id="rId214" ref="B172"/>
    <hyperlink r:id="rId215" ref="F172"/>
    <hyperlink r:id="rId216" ref="F173"/>
    <hyperlink r:id="rId217" ref="F174"/>
    <hyperlink r:id="rId218" ref="F175"/>
    <hyperlink r:id="rId219" ref="F176"/>
    <hyperlink r:id="rId220" ref="B177"/>
    <hyperlink r:id="rId221" ref="F177"/>
    <hyperlink r:id="rId222" ref="F178"/>
    <hyperlink r:id="rId223" ref="F179"/>
    <hyperlink r:id="rId224" ref="F180"/>
    <hyperlink r:id="rId225" ref="B181"/>
    <hyperlink r:id="rId226" ref="F181"/>
    <hyperlink r:id="rId227" ref="B182"/>
    <hyperlink r:id="rId228" ref="F182"/>
    <hyperlink r:id="rId229" ref="B183"/>
    <hyperlink r:id="rId230" ref="F183"/>
    <hyperlink r:id="rId231" ref="B184"/>
    <hyperlink r:id="rId232" ref="F184"/>
    <hyperlink r:id="rId233" ref="B185"/>
    <hyperlink r:id="rId234" ref="F185"/>
    <hyperlink r:id="rId235" ref="B186"/>
    <hyperlink r:id="rId236" ref="F186"/>
    <hyperlink r:id="rId237" ref="B187"/>
    <hyperlink r:id="rId238" ref="F187"/>
    <hyperlink r:id="rId239" ref="B188"/>
    <hyperlink r:id="rId240" ref="F188"/>
    <hyperlink r:id="rId241" ref="F189"/>
    <hyperlink r:id="rId242" ref="B190"/>
    <hyperlink r:id="rId243" ref="F190"/>
    <hyperlink r:id="rId244" ref="B191"/>
    <hyperlink r:id="rId245" ref="F191"/>
    <hyperlink r:id="rId246" ref="B192"/>
    <hyperlink r:id="rId247" ref="F192"/>
    <hyperlink r:id="rId248" ref="B193"/>
    <hyperlink r:id="rId249" ref="F193"/>
    <hyperlink r:id="rId250" ref="B194"/>
    <hyperlink r:id="rId251" ref="F194"/>
    <hyperlink r:id="rId252" ref="B195"/>
    <hyperlink r:id="rId253" ref="F195"/>
    <hyperlink r:id="rId254" ref="H195"/>
    <hyperlink r:id="rId255" ref="B196"/>
    <hyperlink r:id="rId256" ref="F196"/>
    <hyperlink r:id="rId257" ref="B197"/>
    <hyperlink r:id="rId258" ref="F197"/>
    <hyperlink r:id="rId259" ref="F198"/>
    <hyperlink r:id="rId260" ref="F199"/>
    <hyperlink r:id="rId261" ref="B200"/>
    <hyperlink r:id="rId262" ref="F200"/>
    <hyperlink r:id="rId263" ref="F201"/>
    <hyperlink r:id="rId264" ref="B202"/>
    <hyperlink r:id="rId265" ref="F202"/>
    <hyperlink r:id="rId266" ref="B203"/>
    <hyperlink r:id="rId267" ref="F203"/>
    <hyperlink r:id="rId268" ref="B204"/>
    <hyperlink r:id="rId269" ref="F204"/>
    <hyperlink r:id="rId270" ref="B205"/>
    <hyperlink r:id="rId271" ref="F205"/>
    <hyperlink r:id="rId272" ref="F206"/>
    <hyperlink r:id="rId273" ref="F207"/>
    <hyperlink r:id="rId274" ref="B208"/>
    <hyperlink r:id="rId275" ref="F208"/>
    <hyperlink r:id="rId276" ref="B209"/>
    <hyperlink r:id="rId277" ref="F209"/>
    <hyperlink r:id="rId278" ref="B210"/>
    <hyperlink r:id="rId279" ref="F210"/>
    <hyperlink r:id="rId280" ref="B211"/>
    <hyperlink r:id="rId281" ref="F211"/>
    <hyperlink r:id="rId282" ref="B212"/>
    <hyperlink r:id="rId283" ref="F212"/>
    <hyperlink r:id="rId284" ref="B213"/>
    <hyperlink r:id="rId285" ref="F213"/>
    <hyperlink r:id="rId286" ref="F214"/>
    <hyperlink r:id="rId287" ref="F215"/>
    <hyperlink r:id="rId288" ref="B216"/>
    <hyperlink r:id="rId289" ref="F216"/>
    <hyperlink r:id="rId290" ref="B217"/>
    <hyperlink r:id="rId291" ref="F217"/>
    <hyperlink r:id="rId292" ref="F218"/>
    <hyperlink r:id="rId293" ref="B219"/>
    <hyperlink r:id="rId294" ref="C219"/>
    <hyperlink r:id="rId295" ref="F219"/>
    <hyperlink r:id="rId296" ref="B220"/>
    <hyperlink r:id="rId297" ref="F220"/>
    <hyperlink r:id="rId298" ref="B221"/>
    <hyperlink r:id="rId299" ref="F221"/>
    <hyperlink r:id="rId300" ref="F222"/>
    <hyperlink r:id="rId301" ref="H222"/>
    <hyperlink r:id="rId302" ref="F223"/>
    <hyperlink r:id="rId303" ref="B224"/>
    <hyperlink r:id="rId304" ref="F224"/>
    <hyperlink r:id="rId305" ref="H224"/>
    <hyperlink r:id="rId306" ref="B225"/>
    <hyperlink r:id="rId307" ref="F225"/>
    <hyperlink r:id="rId308" ref="H225"/>
    <hyperlink r:id="rId309" ref="B226"/>
    <hyperlink r:id="rId310" ref="C226"/>
    <hyperlink r:id="rId311" ref="F226"/>
    <hyperlink r:id="rId312" ref="H226"/>
    <hyperlink r:id="rId313" ref="B227"/>
    <hyperlink r:id="rId314" ref="F227"/>
    <hyperlink r:id="rId315" ref="B228"/>
    <hyperlink r:id="rId316" ref="F228"/>
    <hyperlink r:id="rId317" ref="B229"/>
    <hyperlink r:id="rId318" ref="B230"/>
    <hyperlink r:id="rId319" ref="C230"/>
    <hyperlink r:id="rId320" ref="F230"/>
    <hyperlink r:id="rId321" ref="B231"/>
    <hyperlink r:id="rId322" ref="F231"/>
    <hyperlink r:id="rId323" ref="H231"/>
    <hyperlink r:id="rId324" ref="B232"/>
    <hyperlink r:id="rId325" ref="F232"/>
    <hyperlink r:id="rId326" ref="B233"/>
    <hyperlink r:id="rId327" ref="C233"/>
    <hyperlink r:id="rId328" ref="F233"/>
    <hyperlink r:id="rId329" ref="B234"/>
    <hyperlink r:id="rId330" ref="F234"/>
    <hyperlink r:id="rId331" ref="H234"/>
    <hyperlink r:id="rId332" ref="B235"/>
    <hyperlink r:id="rId333" ref="F235"/>
    <hyperlink r:id="rId334" ref="B236"/>
    <hyperlink r:id="rId335" ref="F236"/>
    <hyperlink r:id="rId336" ref="H236"/>
    <hyperlink r:id="rId337" ref="B237"/>
    <hyperlink r:id="rId338" ref="F237"/>
    <hyperlink r:id="rId339" ref="H237"/>
    <hyperlink r:id="rId340" ref="B238"/>
    <hyperlink r:id="rId341" ref="F238"/>
    <hyperlink r:id="rId342" ref="H238"/>
    <hyperlink r:id="rId343" ref="B239"/>
    <hyperlink r:id="rId344" ref="F239"/>
    <hyperlink r:id="rId345" ref="H239"/>
    <hyperlink r:id="rId346" ref="B240"/>
    <hyperlink r:id="rId347" ref="F240"/>
    <hyperlink r:id="rId348" ref="B241"/>
    <hyperlink r:id="rId349" ref="F241"/>
    <hyperlink r:id="rId350" ref="B242"/>
    <hyperlink r:id="rId351" ref="F242"/>
    <hyperlink r:id="rId352" ref="B243"/>
    <hyperlink r:id="rId353" ref="F243"/>
    <hyperlink r:id="rId354" ref="B244"/>
    <hyperlink r:id="rId355" ref="F244"/>
    <hyperlink r:id="rId356" ref="H244"/>
    <hyperlink r:id="rId357" ref="B245"/>
    <hyperlink r:id="rId358" ref="F245"/>
    <hyperlink r:id="rId359" ref="H245"/>
    <hyperlink r:id="rId360" ref="B246"/>
    <hyperlink r:id="rId361" ref="F246"/>
    <hyperlink r:id="rId362" ref="B247"/>
    <hyperlink r:id="rId363" ref="F247"/>
    <hyperlink r:id="rId364" ref="H247"/>
    <hyperlink r:id="rId365" ref="B248"/>
    <hyperlink r:id="rId366" ref="F248"/>
    <hyperlink r:id="rId367" ref="B249"/>
    <hyperlink r:id="rId368" ref="F249"/>
    <hyperlink r:id="rId369" ref="B250"/>
    <hyperlink r:id="rId370" ref="F250"/>
    <hyperlink r:id="rId371" ref="B251"/>
    <hyperlink r:id="rId372" ref="F251"/>
    <hyperlink r:id="rId373" ref="B252"/>
    <hyperlink r:id="rId374" ref="F252"/>
    <hyperlink r:id="rId375" ref="B253"/>
    <hyperlink r:id="rId376" ref="F253"/>
    <hyperlink r:id="rId377" ref="B254"/>
    <hyperlink r:id="rId378" ref="F254"/>
    <hyperlink r:id="rId379" ref="H254"/>
    <hyperlink r:id="rId380" ref="F255"/>
    <hyperlink r:id="rId381" ref="B256"/>
    <hyperlink r:id="rId382" ref="F256"/>
    <hyperlink r:id="rId383" ref="B257"/>
    <hyperlink r:id="rId384" ref="F257"/>
    <hyperlink r:id="rId385" ref="B258"/>
    <hyperlink r:id="rId386" ref="F258"/>
    <hyperlink r:id="rId387" ref="H258"/>
    <hyperlink r:id="rId388" ref="B259"/>
    <hyperlink r:id="rId389" ref="F259"/>
    <hyperlink r:id="rId390" ref="B260"/>
    <hyperlink r:id="rId391" ref="F260"/>
    <hyperlink r:id="rId392" ref="B261"/>
    <hyperlink r:id="rId393" ref="F261"/>
    <hyperlink r:id="rId394" ref="H261"/>
    <hyperlink r:id="rId395" ref="B262"/>
    <hyperlink r:id="rId396" ref="C262"/>
    <hyperlink r:id="rId397" ref="F262"/>
    <hyperlink r:id="rId398" ref="B263"/>
    <hyperlink r:id="rId399" ref="F263"/>
    <hyperlink r:id="rId400" ref="B264"/>
    <hyperlink r:id="rId401" ref="F264"/>
    <hyperlink r:id="rId402" ref="H264"/>
    <hyperlink r:id="rId403" ref="B265"/>
    <hyperlink r:id="rId404" ref="C265"/>
    <hyperlink r:id="rId405" ref="F265"/>
    <hyperlink r:id="rId406" ref="B266"/>
    <hyperlink r:id="rId407" ref="C266"/>
    <hyperlink r:id="rId408" ref="F266"/>
    <hyperlink r:id="rId409" ref="H266"/>
    <hyperlink r:id="rId410" ref="B267"/>
    <hyperlink r:id="rId411" ref="F267"/>
    <hyperlink r:id="rId412" ref="F268"/>
    <hyperlink r:id="rId413" ref="B269"/>
    <hyperlink r:id="rId414" ref="F269"/>
    <hyperlink r:id="rId415" ref="H269"/>
    <hyperlink r:id="rId416" ref="B270"/>
    <hyperlink r:id="rId417" ref="F270"/>
    <hyperlink r:id="rId418" ref="H270"/>
    <hyperlink r:id="rId419" ref="B271"/>
    <hyperlink r:id="rId420" ref="C271"/>
    <hyperlink r:id="rId421" ref="F271"/>
    <hyperlink r:id="rId422" ref="H271"/>
    <hyperlink r:id="rId423" ref="B272"/>
    <hyperlink r:id="rId424" ref="F272"/>
    <hyperlink r:id="rId425" ref="B273"/>
    <hyperlink r:id="rId426" ref="F273"/>
    <hyperlink r:id="rId427" ref="B274"/>
    <hyperlink r:id="rId428" ref="F274"/>
    <hyperlink r:id="rId429" ref="B275"/>
    <hyperlink r:id="rId430" ref="F275"/>
    <hyperlink r:id="rId431" ref="B276"/>
    <hyperlink r:id="rId432" ref="F276"/>
    <hyperlink r:id="rId433" ref="B277"/>
    <hyperlink r:id="rId434" ref="F277"/>
    <hyperlink r:id="rId435" ref="B278"/>
    <hyperlink r:id="rId436" ref="F278"/>
    <hyperlink r:id="rId437" ref="H278"/>
    <hyperlink r:id="rId438" ref="F279"/>
    <hyperlink r:id="rId439" ref="B280"/>
    <hyperlink r:id="rId440" ref="F280"/>
    <hyperlink r:id="rId441" ref="B281"/>
    <hyperlink r:id="rId442" ref="C281"/>
    <hyperlink r:id="rId443" ref="F281"/>
    <hyperlink r:id="rId444" ref="B282"/>
    <hyperlink r:id="rId445" ref="F282"/>
    <hyperlink r:id="rId446" ref="H282"/>
    <hyperlink r:id="rId447" ref="F283"/>
    <hyperlink r:id="rId448" ref="B284"/>
    <hyperlink r:id="rId449" ref="F284"/>
    <hyperlink r:id="rId450" ref="B285"/>
    <hyperlink r:id="rId451" ref="F285"/>
    <hyperlink r:id="rId452" ref="B286"/>
    <hyperlink r:id="rId453" ref="F286"/>
    <hyperlink r:id="rId454" ref="B287"/>
    <hyperlink r:id="rId455" ref="F287"/>
    <hyperlink r:id="rId456" ref="B288"/>
    <hyperlink r:id="rId457" ref="F288"/>
    <hyperlink r:id="rId458" ref="B289"/>
    <hyperlink r:id="rId459" ref="F289"/>
    <hyperlink r:id="rId460" ref="F290"/>
    <hyperlink r:id="rId461" ref="H290"/>
    <hyperlink r:id="rId462" ref="B291"/>
    <hyperlink r:id="rId463" ref="F291"/>
    <hyperlink r:id="rId464" ref="H291"/>
    <hyperlink r:id="rId465" ref="B292"/>
    <hyperlink r:id="rId466" ref="F292"/>
    <hyperlink r:id="rId467" ref="H292"/>
    <hyperlink r:id="rId468" ref="B293"/>
    <hyperlink r:id="rId469" ref="F293"/>
    <hyperlink r:id="rId470" ref="B294"/>
    <hyperlink r:id="rId471" ref="F294"/>
    <hyperlink r:id="rId472" ref="B295"/>
    <hyperlink r:id="rId473" ref="F295"/>
    <hyperlink r:id="rId474" ref="B296"/>
    <hyperlink r:id="rId475" ref="F296"/>
    <hyperlink r:id="rId476" ref="B297"/>
    <hyperlink r:id="rId477" ref="F297"/>
    <hyperlink r:id="rId478" ref="B298"/>
    <hyperlink r:id="rId479" ref="C298"/>
    <hyperlink r:id="rId480" ref="F298"/>
    <hyperlink r:id="rId481" ref="B299"/>
    <hyperlink r:id="rId482" ref="F299"/>
    <hyperlink r:id="rId483" ref="H299"/>
    <hyperlink r:id="rId484" ref="B300"/>
    <hyperlink r:id="rId485" ref="F300"/>
    <hyperlink r:id="rId486" ref="H300"/>
    <hyperlink r:id="rId487" ref="B301"/>
    <hyperlink r:id="rId488" ref="F301"/>
    <hyperlink r:id="rId489" ref="B302"/>
    <hyperlink r:id="rId490" location="citeas" ref="F302"/>
    <hyperlink r:id="rId491" ref="H302"/>
    <hyperlink r:id="rId492" ref="B303"/>
    <hyperlink r:id="rId493" ref="F303"/>
    <hyperlink r:id="rId494" ref="H303"/>
    <hyperlink r:id="rId495" ref="B304"/>
    <hyperlink r:id="rId496" ref="F304"/>
    <hyperlink r:id="rId497" ref="B305"/>
    <hyperlink r:id="rId498" location="citeas" ref="F305"/>
    <hyperlink r:id="rId499" ref="H305"/>
    <hyperlink r:id="rId500" ref="B306"/>
    <hyperlink r:id="rId501" ref="F306"/>
    <hyperlink r:id="rId502" ref="B307"/>
    <hyperlink r:id="rId503" ref="F307"/>
    <hyperlink r:id="rId504" ref="F308"/>
    <hyperlink r:id="rId505" ref="B309"/>
    <hyperlink r:id="rId506" ref="C309"/>
    <hyperlink r:id="rId507" ref="F309"/>
    <hyperlink r:id="rId508" ref="B310"/>
    <hyperlink r:id="rId509" ref="F310"/>
    <hyperlink r:id="rId510" ref="H310"/>
    <hyperlink r:id="rId511" ref="B311"/>
    <hyperlink r:id="rId512" ref="C311"/>
    <hyperlink r:id="rId513" ref="F311"/>
    <hyperlink r:id="rId514" ref="H311"/>
    <hyperlink r:id="rId515" ref="B312"/>
    <hyperlink r:id="rId516" ref="C312"/>
    <hyperlink r:id="rId517" ref="F312"/>
    <hyperlink r:id="rId518" ref="B313"/>
    <hyperlink r:id="rId519" ref="F313"/>
    <hyperlink r:id="rId520" ref="H313"/>
    <hyperlink r:id="rId521" ref="B314"/>
    <hyperlink r:id="rId522" ref="F314"/>
    <hyperlink r:id="rId523" ref="B315"/>
    <hyperlink r:id="rId524" ref="F315"/>
    <hyperlink r:id="rId525" ref="H315"/>
    <hyperlink r:id="rId526" ref="B316"/>
    <hyperlink r:id="rId527" ref="F316"/>
    <hyperlink r:id="rId528" ref="H316"/>
    <hyperlink r:id="rId529" ref="B317"/>
    <hyperlink r:id="rId530" ref="F317"/>
    <hyperlink r:id="rId531" ref="H317"/>
    <hyperlink r:id="rId532" ref="B318"/>
    <hyperlink r:id="rId533" ref="F318"/>
    <hyperlink r:id="rId534" ref="H318"/>
    <hyperlink r:id="rId535" ref="B319"/>
    <hyperlink r:id="rId536" ref="F319"/>
    <hyperlink r:id="rId537" ref="B320"/>
    <hyperlink r:id="rId538" ref="F320"/>
    <hyperlink r:id="rId539" ref="H320"/>
    <hyperlink r:id="rId540" ref="B321"/>
    <hyperlink r:id="rId541" ref="F321"/>
    <hyperlink r:id="rId542" ref="H321"/>
    <hyperlink r:id="rId543" ref="B322"/>
    <hyperlink r:id="rId544" ref="C322"/>
    <hyperlink r:id="rId545" location="authors" ref="F322"/>
    <hyperlink r:id="rId546" ref="H322"/>
    <hyperlink r:id="rId547" ref="B323"/>
    <hyperlink r:id="rId548" ref="F323"/>
    <hyperlink r:id="rId549" ref="B324"/>
    <hyperlink r:id="rId550" ref="C324"/>
    <hyperlink r:id="rId551" ref="F324"/>
    <hyperlink r:id="rId552" ref="H324"/>
    <hyperlink r:id="rId553" ref="B325"/>
    <hyperlink r:id="rId554" ref="E325"/>
    <hyperlink r:id="rId555" ref="F325"/>
    <hyperlink r:id="rId556" ref="B326"/>
    <hyperlink r:id="rId557" ref="F326"/>
    <hyperlink r:id="rId558" ref="B327"/>
    <hyperlink r:id="rId559" ref="D327"/>
    <hyperlink r:id="rId560" ref="F327"/>
    <hyperlink r:id="rId561" ref="H327"/>
    <hyperlink r:id="rId562" ref="B328"/>
    <hyperlink r:id="rId563" ref="C328"/>
    <hyperlink r:id="rId564" ref="D328"/>
    <hyperlink r:id="rId565" ref="F328"/>
    <hyperlink r:id="rId566" ref="B329"/>
    <hyperlink r:id="rId567" ref="F329"/>
    <hyperlink r:id="rId568" ref="B330"/>
    <hyperlink r:id="rId569" location="authors" ref="F330"/>
    <hyperlink r:id="rId570" ref="H330"/>
    <hyperlink r:id="rId571" ref="B331"/>
    <hyperlink r:id="rId572" ref="F331"/>
    <hyperlink r:id="rId573" ref="H331"/>
    <hyperlink r:id="rId574" ref="B332"/>
    <hyperlink r:id="rId575" ref="F332"/>
    <hyperlink r:id="rId576" ref="F333"/>
    <hyperlink r:id="rId577" ref="H333"/>
    <hyperlink r:id="rId578" ref="B334"/>
    <hyperlink r:id="rId579" ref="F334"/>
    <hyperlink r:id="rId580" ref="H334"/>
    <hyperlink r:id="rId581" ref="B335"/>
    <hyperlink r:id="rId582" ref="F335"/>
    <hyperlink r:id="rId583" ref="C336"/>
    <hyperlink r:id="rId584" ref="F336"/>
    <hyperlink r:id="rId585" ref="B337"/>
    <hyperlink r:id="rId586" ref="F337"/>
    <hyperlink r:id="rId587" ref="H337"/>
    <hyperlink r:id="rId588" ref="B338"/>
    <hyperlink r:id="rId589" ref="F338"/>
    <hyperlink r:id="rId590" ref="H338"/>
    <hyperlink r:id="rId591" ref="B339"/>
    <hyperlink r:id="rId592" ref="C339"/>
    <hyperlink r:id="rId593" ref="F339"/>
    <hyperlink r:id="rId594" ref="H339"/>
    <hyperlink r:id="rId595" ref="B340"/>
    <hyperlink r:id="rId596" ref="F340"/>
    <hyperlink r:id="rId597" ref="B341"/>
    <hyperlink r:id="rId598" ref="F341"/>
    <hyperlink r:id="rId599" ref="B342"/>
    <hyperlink r:id="rId600" ref="F342"/>
    <hyperlink r:id="rId601" ref="B343"/>
    <hyperlink r:id="rId602" ref="F343"/>
    <hyperlink r:id="rId603" ref="B344"/>
    <hyperlink r:id="rId604" ref="F344"/>
    <hyperlink r:id="rId605" ref="H344"/>
    <hyperlink r:id="rId606" ref="B345"/>
    <hyperlink r:id="rId607" ref="F345"/>
    <hyperlink r:id="rId608" ref="B346"/>
    <hyperlink r:id="rId609" ref="F346"/>
    <hyperlink r:id="rId610" ref="B347"/>
    <hyperlink r:id="rId611" ref="C347"/>
    <hyperlink r:id="rId612" ref="F347"/>
    <hyperlink r:id="rId613" ref="H347"/>
    <hyperlink r:id="rId614" ref="B348"/>
    <hyperlink r:id="rId615" ref="F348"/>
    <hyperlink r:id="rId616" ref="B349"/>
    <hyperlink r:id="rId617" ref="F349"/>
    <hyperlink r:id="rId618" ref="B350"/>
    <hyperlink r:id="rId619" ref="C350"/>
    <hyperlink r:id="rId620" ref="F350"/>
    <hyperlink r:id="rId621" ref="B351"/>
    <hyperlink r:id="rId622" ref="F351"/>
    <hyperlink r:id="rId623" ref="B352"/>
    <hyperlink r:id="rId624" ref="F352"/>
    <hyperlink r:id="rId625" ref="H352"/>
    <hyperlink r:id="rId626" ref="B353"/>
    <hyperlink r:id="rId627" ref="C353"/>
    <hyperlink r:id="rId628" ref="F353"/>
    <hyperlink r:id="rId629" ref="B354"/>
    <hyperlink r:id="rId630" ref="F354"/>
    <hyperlink r:id="rId631" ref="H354"/>
    <hyperlink r:id="rId632" ref="B355"/>
    <hyperlink r:id="rId633" ref="F355"/>
    <hyperlink r:id="rId634" ref="H355"/>
    <hyperlink r:id="rId635" ref="B356"/>
    <hyperlink r:id="rId636" ref="F356"/>
    <hyperlink r:id="rId637" ref="B357"/>
    <hyperlink r:id="rId638" ref="C357"/>
    <hyperlink r:id="rId639" ref="F357"/>
    <hyperlink r:id="rId640" ref="B358"/>
    <hyperlink r:id="rId641" ref="F358"/>
    <hyperlink r:id="rId642" ref="H358"/>
    <hyperlink r:id="rId643" ref="B359"/>
    <hyperlink r:id="rId644" ref="F359"/>
    <hyperlink r:id="rId645" ref="B360"/>
    <hyperlink r:id="rId646" ref="F360"/>
    <hyperlink r:id="rId647" ref="H360"/>
    <hyperlink r:id="rId648" ref="B361"/>
    <hyperlink r:id="rId649" ref="F361"/>
    <hyperlink r:id="rId650" ref="B362"/>
    <hyperlink r:id="rId651" ref="F362"/>
    <hyperlink r:id="rId652" ref="B363"/>
    <hyperlink r:id="rId653" ref="F363"/>
    <hyperlink r:id="rId654" ref="B364"/>
    <hyperlink r:id="rId655" ref="F364"/>
    <hyperlink r:id="rId656" ref="H364"/>
    <hyperlink r:id="rId657" ref="F365"/>
    <hyperlink r:id="rId658" ref="H365"/>
    <hyperlink r:id="rId659" ref="B366"/>
    <hyperlink r:id="rId660" ref="F366"/>
    <hyperlink r:id="rId661" ref="B367"/>
    <hyperlink r:id="rId662" ref="C367"/>
    <hyperlink r:id="rId663" ref="F367"/>
    <hyperlink r:id="rId664" ref="B368"/>
    <hyperlink r:id="rId665" ref="C368"/>
    <hyperlink r:id="rId666" ref="F368"/>
    <hyperlink r:id="rId667" ref="H368"/>
    <hyperlink r:id="rId668" ref="B369"/>
    <hyperlink r:id="rId669" ref="F369"/>
    <hyperlink r:id="rId670" ref="H369"/>
    <hyperlink r:id="rId671" ref="B370"/>
    <hyperlink r:id="rId672" ref="F370"/>
    <hyperlink r:id="rId673" ref="H370"/>
    <hyperlink r:id="rId674" ref="B371"/>
    <hyperlink r:id="rId675" ref="C371"/>
    <hyperlink r:id="rId676" ref="F371"/>
    <hyperlink r:id="rId677" ref="H371"/>
    <hyperlink r:id="rId678" ref="B372"/>
    <hyperlink r:id="rId679" ref="F372"/>
    <hyperlink r:id="rId680" ref="H372"/>
    <hyperlink r:id="rId681" ref="B373"/>
    <hyperlink r:id="rId682" ref="F373"/>
    <hyperlink r:id="rId683" ref="H373"/>
    <hyperlink r:id="rId684" ref="B374"/>
    <hyperlink r:id="rId685" ref="F374"/>
    <hyperlink r:id="rId686" ref="B375"/>
    <hyperlink r:id="rId687" ref="F375"/>
    <hyperlink r:id="rId688" ref="B376"/>
    <hyperlink r:id="rId689" ref="F376"/>
    <hyperlink r:id="rId690" ref="B377"/>
    <hyperlink r:id="rId691" ref="F377"/>
    <hyperlink r:id="rId692" ref="B378"/>
    <hyperlink r:id="rId693" ref="F378"/>
    <hyperlink r:id="rId694" ref="H378"/>
    <hyperlink r:id="rId695" ref="B379"/>
    <hyperlink r:id="rId696" ref="C379"/>
    <hyperlink r:id="rId697" ref="F379"/>
    <hyperlink r:id="rId698" ref="H379"/>
    <hyperlink r:id="rId699" ref="B380"/>
    <hyperlink r:id="rId700" ref="F380"/>
    <hyperlink r:id="rId701" ref="B381"/>
    <hyperlink r:id="rId702" ref="F381"/>
    <hyperlink r:id="rId703" ref="B382"/>
    <hyperlink r:id="rId704" ref="F382"/>
    <hyperlink r:id="rId705" ref="B383"/>
    <hyperlink r:id="rId706" ref="F383"/>
    <hyperlink r:id="rId707" ref="B384"/>
    <hyperlink r:id="rId708" ref="F384"/>
    <hyperlink r:id="rId709" ref="B385"/>
    <hyperlink r:id="rId710" ref="C385"/>
    <hyperlink r:id="rId711" ref="F385"/>
    <hyperlink r:id="rId712" ref="B386"/>
    <hyperlink r:id="rId713" ref="F386"/>
    <hyperlink r:id="rId714" ref="H386"/>
    <hyperlink r:id="rId715" ref="B387"/>
    <hyperlink r:id="rId716" ref="F387"/>
    <hyperlink r:id="rId717" ref="B388"/>
    <hyperlink r:id="rId718" ref="F388"/>
    <hyperlink r:id="rId719" ref="H388"/>
    <hyperlink r:id="rId720" ref="B389"/>
    <hyperlink r:id="rId721" ref="F389"/>
    <hyperlink r:id="rId722" ref="B390"/>
    <hyperlink r:id="rId723" ref="F390"/>
    <hyperlink r:id="rId724" ref="H390"/>
    <hyperlink r:id="rId725" ref="B391"/>
    <hyperlink r:id="rId726" ref="F391"/>
    <hyperlink r:id="rId727" ref="B392"/>
    <hyperlink r:id="rId728" ref="F392"/>
    <hyperlink r:id="rId729" ref="B393"/>
    <hyperlink r:id="rId730" ref="F393"/>
    <hyperlink r:id="rId731" ref="H393"/>
    <hyperlink r:id="rId732" ref="B394"/>
    <hyperlink r:id="rId733" ref="F394"/>
    <hyperlink r:id="rId734" ref="B395"/>
    <hyperlink r:id="rId735" ref="C395"/>
    <hyperlink r:id="rId736" ref="F395"/>
    <hyperlink r:id="rId737" ref="B396"/>
    <hyperlink r:id="rId738" ref="C396"/>
    <hyperlink r:id="rId739" ref="F396"/>
    <hyperlink r:id="rId740" ref="B397"/>
    <hyperlink r:id="rId741" ref="F397"/>
    <hyperlink r:id="rId742" ref="H397"/>
    <hyperlink r:id="rId743" ref="F398"/>
    <hyperlink r:id="rId744" ref="H398"/>
    <hyperlink r:id="rId745" ref="B399"/>
    <hyperlink r:id="rId746" ref="F399"/>
    <hyperlink r:id="rId747" ref="B400"/>
    <hyperlink r:id="rId748" ref="C400"/>
    <hyperlink r:id="rId749" ref="F400"/>
    <hyperlink r:id="rId750" ref="B401"/>
    <hyperlink r:id="rId751" ref="F401"/>
    <hyperlink r:id="rId752" ref="H401"/>
    <hyperlink r:id="rId753" ref="B402"/>
    <hyperlink r:id="rId754" ref="F402"/>
    <hyperlink r:id="rId755" ref="H402"/>
    <hyperlink r:id="rId756" ref="B403"/>
    <hyperlink r:id="rId757" ref="F403"/>
    <hyperlink r:id="rId758" ref="H403"/>
    <hyperlink r:id="rId759" ref="B404"/>
    <hyperlink r:id="rId760" ref="C404"/>
    <hyperlink r:id="rId761" ref="F404"/>
    <hyperlink r:id="rId762" ref="B405"/>
    <hyperlink r:id="rId763" ref="C405"/>
    <hyperlink r:id="rId764" ref="F405"/>
    <hyperlink r:id="rId765" ref="H405"/>
    <hyperlink r:id="rId766" ref="B406"/>
    <hyperlink r:id="rId767" ref="C406"/>
    <hyperlink r:id="rId768" ref="F406"/>
    <hyperlink r:id="rId769" ref="B407"/>
    <hyperlink r:id="rId770" ref="F407"/>
    <hyperlink r:id="rId771" ref="H407"/>
    <hyperlink r:id="rId772" ref="B408"/>
    <hyperlink r:id="rId773" ref="F408"/>
    <hyperlink r:id="rId774" ref="H408"/>
    <hyperlink r:id="rId775" ref="B409"/>
    <hyperlink r:id="rId776" location="v=onepage&amp;q=openbci&amp;f=false" ref="F409"/>
    <hyperlink r:id="rId777" ref="H409"/>
    <hyperlink r:id="rId778" ref="F410"/>
    <hyperlink r:id="rId779" ref="H410"/>
    <hyperlink r:id="rId780" ref="B411"/>
    <hyperlink r:id="rId781" ref="F411"/>
    <hyperlink r:id="rId782" ref="B412"/>
    <hyperlink r:id="rId783" location="_=_" ref="F412"/>
    <hyperlink r:id="rId784" ref="H412"/>
    <hyperlink r:id="rId785" ref="B413"/>
    <hyperlink r:id="rId786" ref="F413"/>
    <hyperlink r:id="rId787" ref="H413"/>
    <hyperlink r:id="rId788" ref="B414"/>
    <hyperlink r:id="rId789" ref="C414"/>
    <hyperlink r:id="rId790" ref="F414"/>
    <hyperlink r:id="rId791" ref="B415"/>
    <hyperlink r:id="rId792" ref="F415"/>
    <hyperlink r:id="rId793" ref="B416"/>
    <hyperlink r:id="rId794" ref="F416"/>
    <hyperlink r:id="rId795" ref="B417"/>
    <hyperlink r:id="rId796" ref="F417"/>
    <hyperlink r:id="rId797" ref="H417"/>
    <hyperlink r:id="rId798" ref="B418"/>
    <hyperlink r:id="rId799" ref="C418"/>
    <hyperlink r:id="rId800" ref="F418"/>
    <hyperlink r:id="rId801" ref="H418"/>
    <hyperlink r:id="rId802" ref="B419"/>
    <hyperlink r:id="rId803" location="citeas" ref="F419"/>
    <hyperlink r:id="rId804" ref="H419"/>
    <hyperlink r:id="rId805" ref="B420"/>
    <hyperlink r:id="rId806" ref="F420"/>
    <hyperlink r:id="rId807" ref="B421"/>
    <hyperlink r:id="rId808" ref="F421"/>
    <hyperlink r:id="rId809" ref="B422"/>
    <hyperlink r:id="rId810" ref="F422"/>
    <hyperlink r:id="rId811" ref="B423"/>
    <hyperlink r:id="rId812" ref="F423"/>
    <hyperlink r:id="rId813" ref="H423"/>
    <hyperlink r:id="rId814" ref="B424"/>
    <hyperlink r:id="rId815" ref="C424"/>
    <hyperlink r:id="rId816" ref="F424"/>
    <hyperlink r:id="rId817" ref="B425"/>
    <hyperlink r:id="rId818" ref="F425"/>
    <hyperlink r:id="rId819" ref="B426"/>
    <hyperlink r:id="rId820" ref="F426"/>
    <hyperlink r:id="rId821" ref="H426"/>
    <hyperlink r:id="rId822" ref="B427"/>
    <hyperlink r:id="rId823" ref="F427"/>
    <hyperlink r:id="rId824" ref="H427"/>
    <hyperlink r:id="rId825" ref="B428"/>
    <hyperlink r:id="rId826" ref="F428"/>
    <hyperlink r:id="rId827" ref="B429"/>
    <hyperlink r:id="rId828" ref="C429"/>
    <hyperlink r:id="rId829" ref="F429"/>
    <hyperlink r:id="rId830" ref="B430"/>
    <hyperlink r:id="rId831" ref="C430"/>
    <hyperlink r:id="rId832" ref="F430"/>
    <hyperlink r:id="rId833" ref="H430"/>
    <hyperlink r:id="rId834" ref="B431"/>
    <hyperlink r:id="rId835" ref="C431"/>
    <hyperlink r:id="rId836" ref="F431"/>
    <hyperlink r:id="rId837" ref="H431"/>
    <hyperlink r:id="rId838" ref="B432"/>
    <hyperlink r:id="rId839" ref="F432"/>
    <hyperlink r:id="rId840" ref="B433"/>
    <hyperlink r:id="rId841" ref="F433"/>
    <hyperlink r:id="rId842" ref="F434"/>
    <hyperlink r:id="rId843" ref="B435"/>
    <hyperlink r:id="rId844" ref="C435"/>
    <hyperlink r:id="rId845" ref="F435"/>
    <hyperlink r:id="rId846" ref="H435"/>
    <hyperlink r:id="rId847" ref="B436"/>
    <hyperlink r:id="rId848" ref="F436"/>
    <hyperlink r:id="rId849" ref="B437"/>
    <hyperlink r:id="rId850" ref="F437"/>
    <hyperlink r:id="rId851" ref="H437"/>
    <hyperlink r:id="rId852" ref="B438"/>
    <hyperlink r:id="rId853" location="citeas" ref="F438"/>
    <hyperlink r:id="rId854" ref="H438"/>
    <hyperlink r:id="rId855" ref="B439"/>
    <hyperlink r:id="rId856" ref="F439"/>
    <hyperlink r:id="rId857" ref="B440"/>
    <hyperlink r:id="rId858" ref="F440"/>
    <hyperlink r:id="rId859" ref="B441"/>
    <hyperlink r:id="rId860" ref="F441"/>
    <hyperlink r:id="rId861" ref="H441"/>
    <hyperlink r:id="rId862" ref="B442"/>
    <hyperlink r:id="rId863" ref="C442"/>
    <hyperlink r:id="rId864" ref="F442"/>
    <hyperlink r:id="rId865" ref="B443"/>
    <hyperlink r:id="rId866" ref="C443"/>
    <hyperlink r:id="rId867" ref="F443"/>
    <hyperlink r:id="rId868" ref="B444"/>
    <hyperlink r:id="rId869" ref="F444"/>
    <hyperlink r:id="rId870" ref="B445"/>
    <hyperlink r:id="rId871" ref="F445"/>
    <hyperlink r:id="rId872" ref="F446"/>
    <hyperlink r:id="rId873" ref="B447"/>
    <hyperlink r:id="rId874" ref="C447"/>
    <hyperlink r:id="rId875" ref="F447"/>
    <hyperlink r:id="rId876" ref="H447"/>
    <hyperlink r:id="rId877" ref="B448"/>
    <hyperlink r:id="rId878" ref="F448"/>
    <hyperlink r:id="rId879" ref="B449"/>
    <hyperlink r:id="rId880" ref="F449"/>
    <hyperlink r:id="rId881" ref="H449"/>
    <hyperlink r:id="rId882" ref="B450"/>
    <hyperlink r:id="rId883" ref="F450"/>
    <hyperlink r:id="rId884" ref="H450"/>
    <hyperlink r:id="rId885" ref="B451"/>
    <hyperlink r:id="rId886" ref="F451"/>
    <hyperlink r:id="rId887" ref="H451"/>
    <hyperlink r:id="rId888" ref="B452"/>
    <hyperlink r:id="rId889" ref="F452"/>
    <hyperlink r:id="rId890" ref="H452"/>
    <hyperlink r:id="rId891" ref="F453"/>
    <hyperlink r:id="rId892" ref="H453"/>
    <hyperlink r:id="rId893" ref="B454"/>
    <hyperlink r:id="rId894" ref="F454"/>
    <hyperlink r:id="rId895" ref="H454"/>
    <hyperlink r:id="rId896" ref="B455"/>
    <hyperlink r:id="rId897" ref="C455"/>
    <hyperlink r:id="rId898" ref="F455"/>
    <hyperlink r:id="rId899" ref="H455"/>
    <hyperlink r:id="rId900" ref="B456"/>
    <hyperlink r:id="rId901" ref="F456"/>
    <hyperlink r:id="rId902" ref="H456"/>
    <hyperlink r:id="rId903" ref="B457"/>
    <hyperlink r:id="rId904" ref="F457"/>
    <hyperlink r:id="rId905" ref="H457"/>
    <hyperlink r:id="rId906" ref="B458"/>
    <hyperlink r:id="rId907" ref="F458"/>
    <hyperlink r:id="rId908" ref="B459"/>
    <hyperlink r:id="rId909" ref="F459"/>
    <hyperlink r:id="rId910" ref="B460"/>
    <hyperlink r:id="rId911" ref="F460"/>
    <hyperlink r:id="rId912" ref="B461"/>
    <hyperlink r:id="rId913" ref="F461"/>
    <hyperlink r:id="rId914" ref="B462"/>
    <hyperlink r:id="rId915" ref="F462"/>
    <hyperlink r:id="rId916" ref="B463"/>
    <hyperlink r:id="rId917" ref="F463"/>
    <hyperlink r:id="rId918" ref="B464"/>
    <hyperlink r:id="rId919" ref="C464"/>
    <hyperlink r:id="rId920" ref="F464"/>
    <hyperlink r:id="rId921" ref="B465"/>
    <hyperlink r:id="rId922" ref="F465"/>
    <hyperlink r:id="rId923" ref="H465"/>
    <hyperlink r:id="rId924" ref="B466"/>
    <hyperlink r:id="rId925" ref="F466"/>
    <hyperlink r:id="rId926" ref="H466"/>
    <hyperlink r:id="rId927" ref="B467"/>
    <hyperlink r:id="rId928" ref="F467"/>
    <hyperlink r:id="rId929" ref="H467"/>
    <hyperlink r:id="rId930" ref="B468"/>
    <hyperlink r:id="rId931" ref="C468"/>
    <hyperlink r:id="rId932" ref="F468"/>
    <hyperlink r:id="rId933" ref="F469"/>
    <hyperlink r:id="rId934" ref="B470"/>
    <hyperlink r:id="rId935" ref="F470"/>
    <hyperlink r:id="rId936" ref="H470"/>
    <hyperlink r:id="rId937" ref="B471"/>
    <hyperlink r:id="rId938" ref="C471"/>
    <hyperlink r:id="rId939" ref="F471"/>
    <hyperlink r:id="rId940" ref="H471"/>
    <hyperlink r:id="rId941" ref="B472"/>
    <hyperlink r:id="rId942" ref="C472"/>
    <hyperlink r:id="rId943" ref="F472"/>
    <hyperlink r:id="rId944" ref="B473"/>
    <hyperlink r:id="rId945" ref="F473"/>
    <hyperlink r:id="rId946" ref="B474"/>
    <hyperlink r:id="rId947" ref="F474"/>
    <hyperlink r:id="rId948" ref="B475"/>
    <hyperlink r:id="rId949" ref="F475"/>
    <hyperlink r:id="rId950" ref="H475"/>
    <hyperlink r:id="rId951" ref="B476"/>
    <hyperlink r:id="rId952" ref="C476"/>
    <hyperlink r:id="rId953" ref="F476"/>
    <hyperlink r:id="rId954" ref="B477"/>
    <hyperlink r:id="rId955" ref="C477"/>
    <hyperlink r:id="rId956" ref="F477"/>
    <hyperlink r:id="rId957" ref="B478"/>
    <hyperlink r:id="rId958" ref="F478"/>
    <hyperlink r:id="rId959" ref="H478"/>
    <hyperlink r:id="rId960" ref="B479"/>
    <hyperlink r:id="rId961" ref="F479"/>
    <hyperlink r:id="rId962" ref="H479"/>
    <hyperlink r:id="rId963" ref="B480"/>
    <hyperlink r:id="rId964" ref="F480"/>
    <hyperlink r:id="rId965" ref="B481"/>
    <hyperlink r:id="rId966" ref="C481"/>
    <hyperlink r:id="rId967" ref="F481"/>
    <hyperlink r:id="rId968" ref="H481"/>
    <hyperlink r:id="rId969" ref="F482"/>
    <hyperlink r:id="rId970" ref="H482"/>
    <hyperlink r:id="rId971" ref="B483"/>
    <hyperlink r:id="rId972" ref="F483"/>
    <hyperlink r:id="rId973" ref="H483"/>
    <hyperlink r:id="rId974" ref="B484"/>
    <hyperlink r:id="rId975" ref="F484"/>
    <hyperlink r:id="rId976" ref="H484"/>
    <hyperlink r:id="rId977" ref="F485"/>
    <hyperlink r:id="rId978" ref="H485"/>
    <hyperlink r:id="rId979" ref="B486"/>
    <hyperlink r:id="rId980" ref="H486"/>
    <hyperlink r:id="rId981" ref="B487"/>
    <hyperlink r:id="rId982" ref="C487"/>
    <hyperlink r:id="rId983" ref="F487"/>
    <hyperlink r:id="rId984" ref="H487"/>
    <hyperlink r:id="rId985" ref="B488"/>
    <hyperlink r:id="rId986" ref="F488"/>
    <hyperlink r:id="rId987" ref="B489"/>
    <hyperlink r:id="rId988" ref="C489"/>
    <hyperlink r:id="rId989" ref="F489"/>
    <hyperlink r:id="rId990" ref="H489"/>
    <hyperlink r:id="rId991" ref="B490"/>
    <hyperlink r:id="rId992" ref="F490"/>
    <hyperlink r:id="rId993" ref="H490"/>
    <hyperlink r:id="rId994" ref="B491"/>
    <hyperlink r:id="rId995" ref="F491"/>
    <hyperlink r:id="rId996" ref="H491"/>
    <hyperlink r:id="rId997" ref="B492"/>
    <hyperlink r:id="rId998" ref="F492"/>
    <hyperlink r:id="rId999" ref="B493"/>
    <hyperlink r:id="rId1000" ref="F493"/>
    <hyperlink r:id="rId1001" ref="H493"/>
    <hyperlink r:id="rId1002" ref="B494"/>
    <hyperlink r:id="rId1003" ref="C494"/>
    <hyperlink r:id="rId1004" ref="F494"/>
    <hyperlink r:id="rId1005" ref="B495"/>
    <hyperlink r:id="rId1006" ref="F495"/>
    <hyperlink r:id="rId1007" ref="H495"/>
    <hyperlink r:id="rId1008" ref="B496"/>
    <hyperlink r:id="rId1009" ref="F496"/>
    <hyperlink r:id="rId1010" ref="H496"/>
    <hyperlink r:id="rId1011" ref="C497"/>
    <hyperlink r:id="rId1012" ref="F497"/>
    <hyperlink r:id="rId1013" ref="H497"/>
    <hyperlink r:id="rId1014" ref="B498"/>
    <hyperlink r:id="rId1015" ref="F498"/>
    <hyperlink r:id="rId1016" ref="B499"/>
    <hyperlink r:id="rId1017" ref="F499"/>
    <hyperlink r:id="rId1018" ref="H499"/>
    <hyperlink r:id="rId1019" ref="B500"/>
    <hyperlink r:id="rId1020" ref="F500"/>
    <hyperlink r:id="rId1021" ref="B501"/>
    <hyperlink r:id="rId1022" ref="F501"/>
    <hyperlink r:id="rId1023" ref="B502"/>
    <hyperlink r:id="rId1024" ref="C502"/>
    <hyperlink r:id="rId1025" ref="F502"/>
    <hyperlink r:id="rId1026" ref="H502"/>
    <hyperlink r:id="rId1027" ref="B503"/>
    <hyperlink r:id="rId1028" ref="F503"/>
    <hyperlink r:id="rId1029" ref="H503"/>
    <hyperlink r:id="rId1030" ref="C504"/>
    <hyperlink r:id="rId1031" location="authors" ref="F504"/>
    <hyperlink r:id="rId1032" ref="B505"/>
    <hyperlink r:id="rId1033" ref="F505"/>
    <hyperlink r:id="rId1034" ref="B506"/>
    <hyperlink r:id="rId1035" ref="F506"/>
    <hyperlink r:id="rId1036" ref="B507"/>
    <hyperlink r:id="rId1037" ref="F507"/>
    <hyperlink r:id="rId1038" ref="B508"/>
    <hyperlink r:id="rId1039" ref="F508"/>
    <hyperlink r:id="rId1040" ref="B509"/>
    <hyperlink r:id="rId1041" ref="F509"/>
    <hyperlink r:id="rId1042" ref="B510"/>
    <hyperlink r:id="rId1043" ref="F510"/>
    <hyperlink r:id="rId1044" ref="B511"/>
    <hyperlink r:id="rId1045" ref="F511"/>
    <hyperlink r:id="rId1046" ref="B512"/>
    <hyperlink r:id="rId1047" ref="C512"/>
    <hyperlink r:id="rId1048" ref="C513"/>
    <hyperlink r:id="rId1049" location="authors" ref="F513"/>
    <hyperlink r:id="rId1050" ref="B514"/>
    <hyperlink r:id="rId1051" ref="F514"/>
    <hyperlink r:id="rId1052" ref="H514"/>
    <hyperlink r:id="rId1053" ref="F515"/>
    <hyperlink r:id="rId1054" ref="B516"/>
    <hyperlink r:id="rId1055" ref="F516"/>
    <hyperlink r:id="rId1056" ref="H516"/>
    <hyperlink r:id="rId1057" ref="B517"/>
    <hyperlink r:id="rId1058" ref="C517"/>
    <hyperlink r:id="rId1059" ref="F517"/>
    <hyperlink r:id="rId1060" ref="B518"/>
    <hyperlink r:id="rId1061" ref="F518"/>
    <hyperlink r:id="rId1062" ref="B519"/>
    <hyperlink r:id="rId1063" ref="C519"/>
    <hyperlink r:id="rId1064" ref="F519"/>
    <hyperlink r:id="rId1065" ref="B520"/>
    <hyperlink r:id="rId1066" ref="F520"/>
    <hyperlink r:id="rId1067" ref="B521"/>
    <hyperlink r:id="rId1068" ref="F521"/>
    <hyperlink r:id="rId1069" ref="B522"/>
    <hyperlink r:id="rId1070" location="authors" ref="F522"/>
    <hyperlink r:id="rId1071" ref="B523"/>
    <hyperlink r:id="rId1072" ref="F523"/>
    <hyperlink r:id="rId1073" ref="B524"/>
    <hyperlink r:id="rId1074" ref="F524"/>
    <hyperlink r:id="rId1075" ref="B525"/>
    <hyperlink r:id="rId1076" ref="C525"/>
    <hyperlink r:id="rId1077" ref="F525"/>
    <hyperlink r:id="rId1078" ref="B526"/>
    <hyperlink r:id="rId1079" ref="F526"/>
    <hyperlink r:id="rId1080" ref="B527"/>
    <hyperlink r:id="rId1081" ref="C527"/>
    <hyperlink r:id="rId1082" ref="F527"/>
    <hyperlink r:id="rId1083" ref="F528"/>
    <hyperlink r:id="rId1084" ref="H528"/>
    <hyperlink r:id="rId1085" ref="B529"/>
    <hyperlink r:id="rId1086" ref="F529"/>
    <hyperlink r:id="rId1087" ref="B530"/>
    <hyperlink r:id="rId1088" ref="F530"/>
    <hyperlink r:id="rId1089" ref="H530"/>
    <hyperlink r:id="rId1090" ref="B531"/>
    <hyperlink r:id="rId1091" ref="F531"/>
    <hyperlink r:id="rId1092" ref="B532"/>
    <hyperlink r:id="rId1093" ref="F532"/>
    <hyperlink r:id="rId1094" ref="B533"/>
    <hyperlink r:id="rId1095" ref="F533"/>
    <hyperlink r:id="rId1096" ref="H533"/>
    <hyperlink r:id="rId1097" ref="B534"/>
    <hyperlink r:id="rId1098" ref="F534"/>
    <hyperlink r:id="rId1099" ref="H534"/>
    <hyperlink r:id="rId1100" ref="F535"/>
    <hyperlink r:id="rId1101" ref="B536"/>
    <hyperlink r:id="rId1102" ref="F536"/>
    <hyperlink r:id="rId1103" ref="B537"/>
    <hyperlink r:id="rId1104" ref="F537"/>
    <hyperlink r:id="rId1105" ref="H537"/>
    <hyperlink r:id="rId1106" ref="F538"/>
    <hyperlink r:id="rId1107" ref="B539"/>
    <hyperlink r:id="rId1108" ref="F539"/>
    <hyperlink r:id="rId1109" ref="B540"/>
    <hyperlink r:id="rId1110" ref="F540"/>
    <hyperlink r:id="rId1111" ref="H540"/>
    <hyperlink r:id="rId1112" ref="B541"/>
    <hyperlink r:id="rId1113" ref="F541"/>
    <hyperlink r:id="rId1114" ref="B542"/>
    <hyperlink r:id="rId1115" ref="C542"/>
    <hyperlink r:id="rId1116" ref="B543"/>
    <hyperlink r:id="rId1117" ref="F543"/>
    <hyperlink r:id="rId1118" ref="H543"/>
    <hyperlink r:id="rId1119" ref="B544"/>
    <hyperlink r:id="rId1120" ref="C544"/>
    <hyperlink r:id="rId1121" ref="F544"/>
    <hyperlink r:id="rId1122" ref="H544"/>
    <hyperlink r:id="rId1123" ref="B545"/>
    <hyperlink r:id="rId1124" ref="F545"/>
    <hyperlink r:id="rId1125" ref="H545"/>
    <hyperlink r:id="rId1126" ref="B546"/>
    <hyperlink r:id="rId1127" ref="C546"/>
    <hyperlink r:id="rId1128" ref="F546"/>
    <hyperlink r:id="rId1129" ref="H546"/>
    <hyperlink r:id="rId1130" ref="F547"/>
    <hyperlink r:id="rId1131" ref="H547"/>
    <hyperlink r:id="rId1132" ref="F548"/>
    <hyperlink r:id="rId1133" ref="H548"/>
    <hyperlink r:id="rId1134" ref="B549"/>
    <hyperlink r:id="rId1135" ref="C549"/>
    <hyperlink r:id="rId1136" ref="F549"/>
    <hyperlink r:id="rId1137" ref="H549"/>
    <hyperlink r:id="rId1138" ref="B550"/>
    <hyperlink r:id="rId1139" ref="F550"/>
    <hyperlink r:id="rId1140" ref="H550"/>
    <hyperlink r:id="rId1141" location="authors" ref="F551"/>
    <hyperlink r:id="rId1142" ref="H551"/>
    <hyperlink r:id="rId1143" ref="F552"/>
    <hyperlink r:id="rId1144" ref="H552"/>
    <hyperlink r:id="rId1145" ref="C553"/>
    <hyperlink r:id="rId1146" ref="F553"/>
    <hyperlink r:id="rId1147" ref="B554"/>
    <hyperlink r:id="rId1148" ref="C554"/>
    <hyperlink r:id="rId1149" ref="F554"/>
    <hyperlink r:id="rId1150" ref="H554"/>
    <hyperlink r:id="rId1151" ref="B555"/>
    <hyperlink r:id="rId1152" ref="F555"/>
    <hyperlink r:id="rId1153" ref="F556"/>
    <hyperlink r:id="rId1154" ref="B557"/>
    <hyperlink r:id="rId1155" ref="C557"/>
    <hyperlink r:id="rId1156" ref="F557"/>
    <hyperlink r:id="rId1157" ref="B558"/>
    <hyperlink r:id="rId1158" ref="F558"/>
    <hyperlink r:id="rId1159" ref="H558"/>
    <hyperlink r:id="rId1160" ref="B559"/>
    <hyperlink r:id="rId1161" ref="C559"/>
    <hyperlink r:id="rId1162" ref="F559"/>
    <hyperlink r:id="rId1163" ref="B560"/>
    <hyperlink r:id="rId1164" ref="F560"/>
    <hyperlink r:id="rId1165" ref="F561"/>
    <hyperlink r:id="rId1166" ref="H561"/>
    <hyperlink r:id="rId1167" ref="B562"/>
    <hyperlink r:id="rId1168" ref="F562"/>
    <hyperlink r:id="rId1169" ref="H562"/>
    <hyperlink r:id="rId1170" ref="B563"/>
    <hyperlink r:id="rId1171" ref="F563"/>
    <hyperlink r:id="rId1172" ref="H563"/>
    <hyperlink r:id="rId1173" ref="F564"/>
    <hyperlink r:id="rId1174" ref="H564"/>
    <hyperlink r:id="rId1175" ref="F565"/>
    <hyperlink r:id="rId1176" ref="H565"/>
    <hyperlink r:id="rId1177" ref="B566"/>
    <hyperlink r:id="rId1178" ref="F566"/>
    <hyperlink r:id="rId1179" ref="H566"/>
    <hyperlink r:id="rId1180" ref="B567"/>
    <hyperlink r:id="rId1181" ref="F567"/>
    <hyperlink r:id="rId1182" ref="H567"/>
    <hyperlink r:id="rId1183" ref="F568"/>
    <hyperlink r:id="rId1184" ref="B569"/>
    <hyperlink r:id="rId1185" ref="C569"/>
    <hyperlink r:id="rId1186" ref="F569"/>
    <hyperlink r:id="rId1187" ref="B570"/>
    <hyperlink r:id="rId1188" ref="C570"/>
    <hyperlink r:id="rId1189" ref="F570"/>
    <hyperlink r:id="rId1190" ref="H570"/>
    <hyperlink r:id="rId1191" ref="B571"/>
    <hyperlink r:id="rId1192" ref="F571"/>
    <hyperlink r:id="rId1193" ref="H571"/>
    <hyperlink r:id="rId1194" ref="B572"/>
    <hyperlink r:id="rId1195" ref="C572"/>
    <hyperlink r:id="rId1196" ref="F572"/>
    <hyperlink r:id="rId1197" ref="H572"/>
    <hyperlink r:id="rId1198" ref="B573"/>
    <hyperlink r:id="rId1199" ref="C573"/>
    <hyperlink r:id="rId1200" ref="F573"/>
    <hyperlink r:id="rId1201" ref="B574"/>
    <hyperlink r:id="rId1202" ref="F574"/>
    <hyperlink r:id="rId1203" ref="H574"/>
    <hyperlink r:id="rId1204" ref="F575"/>
    <hyperlink r:id="rId1205" ref="B576"/>
    <hyperlink r:id="rId1206" ref="C576"/>
    <hyperlink r:id="rId1207" ref="F576"/>
    <hyperlink r:id="rId1208" ref="B577"/>
    <hyperlink r:id="rId1209" ref="C577"/>
    <hyperlink r:id="rId1210" ref="F577"/>
    <hyperlink r:id="rId1211" ref="B578"/>
    <hyperlink r:id="rId1212" ref="F578"/>
    <hyperlink r:id="rId1213" ref="F579"/>
    <hyperlink r:id="rId1214" ref="B580"/>
    <hyperlink r:id="rId1215" ref="F580"/>
    <hyperlink r:id="rId1216" ref="H580"/>
    <hyperlink r:id="rId1217" ref="B581"/>
    <hyperlink r:id="rId1218" ref="C581"/>
    <hyperlink r:id="rId1219" ref="F581"/>
    <hyperlink r:id="rId1220" ref="B582"/>
    <hyperlink r:id="rId1221" ref="F582"/>
    <hyperlink r:id="rId1222" ref="H582"/>
    <hyperlink r:id="rId1223" ref="B583"/>
    <hyperlink r:id="rId1224" ref="C583"/>
    <hyperlink r:id="rId1225" ref="F583"/>
    <hyperlink r:id="rId1226" ref="B584"/>
    <hyperlink r:id="rId1227" ref="F584"/>
    <hyperlink r:id="rId1228" ref="H584"/>
    <hyperlink r:id="rId1229" ref="B585"/>
    <hyperlink r:id="rId1230" ref="C585"/>
    <hyperlink r:id="rId1231" ref="F585"/>
    <hyperlink r:id="rId1232" ref="F586"/>
    <hyperlink r:id="rId1233" ref="H586"/>
    <hyperlink r:id="rId1234" ref="B587"/>
    <hyperlink r:id="rId1235" ref="F587"/>
    <hyperlink r:id="rId1236" ref="H587"/>
    <hyperlink r:id="rId1237" ref="B588"/>
    <hyperlink r:id="rId1238" ref="F588"/>
    <hyperlink r:id="rId1239" ref="H588"/>
    <hyperlink r:id="rId1240" ref="B589"/>
    <hyperlink r:id="rId1241" ref="F589"/>
    <hyperlink r:id="rId1242" ref="F590"/>
    <hyperlink r:id="rId1243" ref="F591"/>
    <hyperlink r:id="rId1244" ref="B592"/>
    <hyperlink r:id="rId1245" ref="F592"/>
    <hyperlink r:id="rId1246" ref="H592"/>
    <hyperlink r:id="rId1247" ref="B593"/>
    <hyperlink r:id="rId1248" ref="F593"/>
    <hyperlink r:id="rId1249" ref="B594"/>
    <hyperlink r:id="rId1250" ref="F594"/>
    <hyperlink r:id="rId1251" ref="B595"/>
    <hyperlink r:id="rId1252" ref="F595"/>
    <hyperlink r:id="rId1253" ref="B596"/>
    <hyperlink r:id="rId1254" ref="C596"/>
    <hyperlink r:id="rId1255" ref="F596"/>
    <hyperlink r:id="rId1256" ref="B597"/>
    <hyperlink r:id="rId1257" ref="C597"/>
    <hyperlink r:id="rId1258" ref="F597"/>
    <hyperlink r:id="rId1259" ref="B598"/>
    <hyperlink r:id="rId1260" ref="F598"/>
    <hyperlink r:id="rId1261" ref="B599"/>
    <hyperlink r:id="rId1262" ref="F599"/>
    <hyperlink r:id="rId1263" ref="F600"/>
    <hyperlink r:id="rId1264" ref="H600"/>
    <hyperlink r:id="rId1265" ref="B601"/>
    <hyperlink r:id="rId1266" ref="C601"/>
    <hyperlink r:id="rId1267" ref="F601"/>
    <hyperlink r:id="rId1268" location="da39a3ee5e6b4b0d3255bfef95601890afd80709" ref="D602"/>
    <hyperlink r:id="rId1269" ref="F602"/>
    <hyperlink r:id="rId1270" ref="H602"/>
    <hyperlink r:id="rId1271" ref="F603"/>
    <hyperlink r:id="rId1272" ref="H603"/>
    <hyperlink r:id="rId1273" ref="B604"/>
    <hyperlink r:id="rId1274" ref="C604"/>
    <hyperlink r:id="rId1275" ref="F604"/>
    <hyperlink r:id="rId1276" ref="L604"/>
    <hyperlink r:id="rId1277" ref="F605"/>
    <hyperlink r:id="rId1278" ref="H605"/>
    <hyperlink r:id="rId1279" ref="F606"/>
    <hyperlink r:id="rId1280" ref="H606"/>
    <hyperlink r:id="rId1281" ref="F607"/>
    <hyperlink r:id="rId1282" ref="H607"/>
    <hyperlink r:id="rId1283" ref="C608"/>
    <hyperlink r:id="rId1284" location="keywords" ref="F608"/>
    <hyperlink r:id="rId1285" ref="F609"/>
    <hyperlink r:id="rId1286" ref="C610"/>
    <hyperlink r:id="rId1287" ref="F610"/>
    <hyperlink r:id="rId1288" ref="H610"/>
    <hyperlink r:id="rId1289" ref="C611"/>
    <hyperlink r:id="rId1290" location="authors" ref="F611"/>
    <hyperlink r:id="rId1291" ref="C612"/>
    <hyperlink r:id="rId1292" ref="F612"/>
    <hyperlink r:id="rId1293" ref="H612"/>
    <hyperlink r:id="rId1294" ref="F613"/>
    <hyperlink r:id="rId1295" ref="H613"/>
    <hyperlink r:id="rId1296" ref="F614"/>
    <hyperlink r:id="rId1297" ref="H614"/>
    <hyperlink r:id="rId1298" ref="F615"/>
    <hyperlink r:id="rId1299" ref="H615"/>
    <hyperlink r:id="rId1300" ref="B616"/>
    <hyperlink r:id="rId1301" ref="C616"/>
    <hyperlink r:id="rId1302" ref="F616"/>
    <hyperlink r:id="rId1303" ref="H616"/>
    <hyperlink r:id="rId1304" ref="F617"/>
    <hyperlink r:id="rId1305" ref="F618"/>
    <hyperlink r:id="rId1306" ref="H618"/>
    <hyperlink r:id="rId1307" ref="F619"/>
    <hyperlink r:id="rId1308" ref="H619"/>
    <hyperlink r:id="rId1309" ref="C620"/>
    <hyperlink r:id="rId1310" ref="F620"/>
    <hyperlink r:id="rId1311" ref="H620"/>
    <hyperlink r:id="rId1312" ref="B621"/>
    <hyperlink r:id="rId1313" ref="C621"/>
    <hyperlink r:id="rId1314" ref="F621"/>
    <hyperlink r:id="rId1315" ref="H621"/>
    <hyperlink r:id="rId1316" ref="C622"/>
    <hyperlink r:id="rId1317" location="page=382" ref="F622"/>
    <hyperlink r:id="rId1318" ref="B623"/>
    <hyperlink r:id="rId1319" ref="C623"/>
    <hyperlink r:id="rId1320" ref="F623"/>
    <hyperlink r:id="rId1321" ref="H623"/>
    <hyperlink r:id="rId1322" ref="B624"/>
    <hyperlink r:id="rId1323" ref="F624"/>
    <hyperlink r:id="rId1324" ref="F625"/>
    <hyperlink r:id="rId1325" ref="H625"/>
    <hyperlink r:id="rId1326" ref="F626"/>
    <hyperlink r:id="rId1327" ref="F627"/>
    <hyperlink r:id="rId1328" ref="H627"/>
    <hyperlink r:id="rId1329" ref="F628"/>
    <hyperlink r:id="rId1330" ref="H628"/>
    <hyperlink r:id="rId1331" ref="F629"/>
    <hyperlink r:id="rId1332" ref="H629"/>
    <hyperlink r:id="rId1333" ref="F630"/>
    <hyperlink r:id="rId1334" ref="H630"/>
    <hyperlink r:id="rId1335" ref="F631"/>
    <hyperlink r:id="rId1336" ref="H631"/>
    <hyperlink r:id="rId1337" ref="F632"/>
    <hyperlink r:id="rId1338" ref="C633"/>
    <hyperlink r:id="rId1339" ref="F633"/>
    <hyperlink r:id="rId1340" ref="F634"/>
    <hyperlink r:id="rId1341" ref="H634"/>
    <hyperlink r:id="rId1342" ref="C635"/>
    <hyperlink r:id="rId1343" ref="F635"/>
    <hyperlink r:id="rId1344" ref="H635"/>
    <hyperlink r:id="rId1345" ref="C636"/>
    <hyperlink r:id="rId1346" ref="F636"/>
    <hyperlink r:id="rId1347" ref="B637"/>
    <hyperlink r:id="rId1348" ref="C637"/>
    <hyperlink r:id="rId1349" ref="F637"/>
    <hyperlink r:id="rId1350" ref="H637"/>
    <hyperlink r:id="rId1351" ref="F638"/>
    <hyperlink r:id="rId1352" ref="H638"/>
    <hyperlink r:id="rId1353" ref="B639"/>
    <hyperlink r:id="rId1354" ref="F639"/>
    <hyperlink r:id="rId1355" ref="H639"/>
    <hyperlink r:id="rId1356" ref="F640"/>
    <hyperlink r:id="rId1357" ref="F641"/>
    <hyperlink r:id="rId1358" ref="D642"/>
    <hyperlink r:id="rId1359" ref="F642"/>
    <hyperlink r:id="rId1360" ref="H642"/>
    <hyperlink r:id="rId1361" ref="F643"/>
    <hyperlink r:id="rId1362" ref="H643"/>
    <hyperlink r:id="rId1363" ref="B644"/>
    <hyperlink r:id="rId1364" ref="F644"/>
    <hyperlink r:id="rId1365" ref="F645"/>
    <hyperlink r:id="rId1366" ref="H645"/>
    <hyperlink r:id="rId1367" ref="F646"/>
    <hyperlink r:id="rId1368" ref="H646"/>
    <hyperlink r:id="rId1369" ref="B647"/>
    <hyperlink r:id="rId1370" ref="D647"/>
    <hyperlink r:id="rId1371" ref="F647"/>
    <hyperlink r:id="rId1372" ref="B648"/>
    <hyperlink r:id="rId1373" ref="D648"/>
    <hyperlink r:id="rId1374" ref="F648"/>
    <hyperlink r:id="rId1375" ref="D649"/>
    <hyperlink r:id="rId1376" ref="F649"/>
    <hyperlink r:id="rId1377" ref="G649"/>
    <hyperlink r:id="rId1378" ref="H649"/>
    <hyperlink r:id="rId1379" ref="D650"/>
    <hyperlink r:id="rId1380" ref="F650"/>
    <hyperlink r:id="rId1381" ref="G650"/>
    <hyperlink r:id="rId1382" ref="H650"/>
    <hyperlink r:id="rId1383" ref="B651"/>
    <hyperlink r:id="rId1384" ref="D651"/>
    <hyperlink r:id="rId1385" ref="F651"/>
    <hyperlink r:id="rId1386" ref="G651"/>
    <hyperlink r:id="rId1387" ref="H651"/>
    <hyperlink r:id="rId1388" ref="F652"/>
    <hyperlink r:id="rId1389" ref="H652"/>
    <hyperlink r:id="rId1390" ref="C653"/>
    <hyperlink r:id="rId1391" ref="F653"/>
    <hyperlink r:id="rId1392" ref="H653"/>
    <hyperlink r:id="rId1393" ref="F654"/>
    <hyperlink r:id="rId1394" ref="H654"/>
    <hyperlink r:id="rId1395" ref="F655"/>
    <hyperlink r:id="rId1396" ref="B656"/>
    <hyperlink r:id="rId1397" location="citeas" ref="F656"/>
    <hyperlink r:id="rId1398" ref="G656"/>
    <hyperlink r:id="rId1399" ref="H656"/>
    <hyperlink r:id="rId1400" ref="F657"/>
    <hyperlink r:id="rId1401" ref="G657"/>
    <hyperlink r:id="rId1402" ref="F658"/>
    <hyperlink r:id="rId1403" ref="G658"/>
    <hyperlink r:id="rId1404" ref="H658"/>
    <hyperlink r:id="rId1405" ref="F659"/>
    <hyperlink r:id="rId1406" ref="G659"/>
    <hyperlink r:id="rId1407" ref="H659"/>
    <hyperlink r:id="rId1408" ref="F660"/>
    <hyperlink r:id="rId1409" ref="H660"/>
    <hyperlink r:id="rId1410" ref="F661"/>
    <hyperlink r:id="rId1411" ref="B662"/>
    <hyperlink r:id="rId1412" ref="D662"/>
    <hyperlink r:id="rId1413" ref="F662"/>
    <hyperlink r:id="rId1414" ref="H662"/>
    <hyperlink r:id="rId1415" ref="F663"/>
    <hyperlink r:id="rId1416" ref="H663"/>
    <hyperlink r:id="rId1417" ref="B664"/>
    <hyperlink r:id="rId1418" ref="C664"/>
    <hyperlink r:id="rId1419" ref="F664"/>
    <hyperlink r:id="rId1420" ref="H664"/>
    <hyperlink r:id="rId1421" ref="C665"/>
    <hyperlink r:id="rId1422" ref="F665"/>
    <hyperlink r:id="rId1423" ref="F666"/>
    <hyperlink r:id="rId1424" ref="C667"/>
    <hyperlink r:id="rId1425" ref="F667"/>
    <hyperlink r:id="rId1426" ref="H667"/>
    <hyperlink r:id="rId1427" ref="C668"/>
    <hyperlink r:id="rId1428" ref="F668"/>
    <hyperlink r:id="rId1429" ref="C669"/>
    <hyperlink r:id="rId1430" ref="F669"/>
    <hyperlink r:id="rId1431" ref="F670"/>
    <hyperlink r:id="rId1432" ref="F671"/>
    <hyperlink r:id="rId1433" ref="F672"/>
    <hyperlink r:id="rId1434" ref="F673"/>
    <hyperlink r:id="rId1435" ref="H673"/>
    <hyperlink r:id="rId1436" ref="F674"/>
    <hyperlink r:id="rId1437" ref="C675"/>
    <hyperlink r:id="rId1438" ref="F675"/>
    <hyperlink r:id="rId1439" ref="H675"/>
    <hyperlink r:id="rId1440" ref="C676"/>
    <hyperlink r:id="rId1441" ref="F676"/>
    <hyperlink r:id="rId1442" ref="B677"/>
    <hyperlink r:id="rId1443" ref="C677"/>
    <hyperlink r:id="rId1444" ref="F677"/>
    <hyperlink r:id="rId1445" ref="H677"/>
    <hyperlink r:id="rId1446" ref="B678"/>
    <hyperlink r:id="rId1447" ref="C678"/>
    <hyperlink r:id="rId1448" ref="F678"/>
    <hyperlink r:id="rId1449" ref="H678"/>
    <hyperlink r:id="rId1450" ref="B679"/>
    <hyperlink r:id="rId1451" ref="F679"/>
    <hyperlink r:id="rId1452" ref="H679"/>
    <hyperlink r:id="rId1453" ref="B680"/>
    <hyperlink r:id="rId1454" ref="F680"/>
    <hyperlink r:id="rId1455" ref="B681"/>
    <hyperlink r:id="rId1456" ref="F681"/>
    <hyperlink r:id="rId1457" ref="B682"/>
    <hyperlink r:id="rId1458" ref="F682"/>
    <hyperlink r:id="rId1459" ref="H682"/>
    <hyperlink r:id="rId1460" ref="B683"/>
    <hyperlink r:id="rId1461" ref="C683"/>
    <hyperlink r:id="rId1462" ref="F683"/>
    <hyperlink r:id="rId1463" ref="H683"/>
    <hyperlink r:id="rId1464" ref="B684"/>
    <hyperlink r:id="rId1465" ref="C684"/>
    <hyperlink r:id="rId1466" ref="F684"/>
    <hyperlink r:id="rId1467" ref="H684"/>
    <hyperlink r:id="rId1468" ref="B685"/>
    <hyperlink r:id="rId1469" ref="C685"/>
    <hyperlink r:id="rId1470" ref="F685"/>
    <hyperlink r:id="rId1471" ref="H685"/>
    <hyperlink r:id="rId1472" ref="B686"/>
    <hyperlink r:id="rId1473" ref="F686"/>
    <hyperlink r:id="rId1474" ref="H686"/>
    <hyperlink r:id="rId1475" ref="F687"/>
    <hyperlink r:id="rId1476" ref="B688"/>
    <hyperlink r:id="rId1477" ref="F688"/>
    <hyperlink r:id="rId1478" ref="H688"/>
    <hyperlink r:id="rId1479" ref="B689"/>
    <hyperlink r:id="rId1480" ref="C689"/>
    <hyperlink r:id="rId1481" ref="F689"/>
    <hyperlink r:id="rId1482" ref="H689"/>
    <hyperlink r:id="rId1483" ref="B690"/>
    <hyperlink r:id="rId1484" ref="C690"/>
    <hyperlink r:id="rId1485" ref="F690"/>
    <hyperlink r:id="rId1486" ref="B691"/>
    <hyperlink r:id="rId1487" ref="F691"/>
    <hyperlink r:id="rId1488" ref="F692"/>
    <hyperlink r:id="rId1489" ref="H692"/>
    <hyperlink r:id="rId1490" ref="C693"/>
    <hyperlink r:id="rId1491" ref="F693"/>
    <hyperlink r:id="rId1492" ref="B694"/>
    <hyperlink r:id="rId1493" ref="F694"/>
    <hyperlink r:id="rId1494" ref="B695"/>
    <hyperlink r:id="rId1495" ref="F695"/>
    <hyperlink r:id="rId1496" ref="H695"/>
    <hyperlink r:id="rId1497" ref="B696"/>
    <hyperlink r:id="rId1498" ref="C696"/>
    <hyperlink r:id="rId1499" ref="F696"/>
    <hyperlink r:id="rId1500" ref="H696"/>
    <hyperlink r:id="rId1501" ref="B697"/>
    <hyperlink r:id="rId1502" ref="C697"/>
    <hyperlink r:id="rId1503" ref="F697"/>
    <hyperlink r:id="rId1504" ref="H697"/>
    <hyperlink r:id="rId1505" ref="F698"/>
    <hyperlink r:id="rId1506" ref="C699"/>
    <hyperlink r:id="rId1507" ref="F699"/>
    <hyperlink r:id="rId1508" ref="B700"/>
    <hyperlink r:id="rId1509" ref="F700"/>
    <hyperlink r:id="rId1510" ref="B701"/>
    <hyperlink r:id="rId1511" ref="C701"/>
    <hyperlink r:id="rId1512" ref="F701"/>
    <hyperlink r:id="rId1513" ref="B702"/>
    <hyperlink r:id="rId1514" ref="F702"/>
    <hyperlink r:id="rId1515" ref="B703"/>
    <hyperlink r:id="rId1516" ref="C703"/>
    <hyperlink r:id="rId1517" ref="F703"/>
    <hyperlink r:id="rId1518" ref="B704"/>
    <hyperlink r:id="rId1519" ref="F704"/>
    <hyperlink r:id="rId1520" ref="H704"/>
    <hyperlink r:id="rId1521" ref="B705"/>
    <hyperlink r:id="rId1522" ref="C705"/>
    <hyperlink r:id="rId1523" ref="F705"/>
    <hyperlink r:id="rId1524" ref="H705"/>
    <hyperlink r:id="rId1525" ref="B706"/>
    <hyperlink r:id="rId1526" ref="C706"/>
    <hyperlink r:id="rId1527" ref="F706"/>
    <hyperlink r:id="rId1528" ref="H706"/>
    <hyperlink r:id="rId1529" ref="C707"/>
    <hyperlink r:id="rId1530" ref="F707"/>
    <hyperlink r:id="rId1531" ref="H707"/>
    <hyperlink r:id="rId1532" ref="B708"/>
    <hyperlink r:id="rId1533" ref="F708"/>
    <hyperlink r:id="rId1534" ref="H708"/>
    <hyperlink r:id="rId1535" ref="B709"/>
    <hyperlink r:id="rId1536" ref="C709"/>
    <hyperlink r:id="rId1537" ref="F709"/>
    <hyperlink r:id="rId1538" ref="B710"/>
    <hyperlink r:id="rId1539" ref="F710"/>
    <hyperlink r:id="rId1540" ref="C711"/>
    <hyperlink r:id="rId1541" ref="F711"/>
    <hyperlink r:id="rId1542" ref="H711"/>
    <hyperlink r:id="rId1543" ref="C712"/>
    <hyperlink r:id="rId1544" ref="F712"/>
    <hyperlink r:id="rId1545" ref="C713"/>
    <hyperlink r:id="rId1546" ref="F713"/>
    <hyperlink r:id="rId1547" ref="C714"/>
    <hyperlink r:id="rId1548" ref="F714"/>
    <hyperlink r:id="rId1549" ref="H714"/>
    <hyperlink r:id="rId1550" ref="C715"/>
    <hyperlink r:id="rId1551" ref="F715"/>
    <hyperlink r:id="rId1552" ref="H715"/>
    <hyperlink r:id="rId1553" ref="F716"/>
    <hyperlink r:id="rId1554" ref="H716"/>
    <hyperlink r:id="rId1555" ref="B717"/>
    <hyperlink r:id="rId1556" ref="F717"/>
    <hyperlink r:id="rId1557" ref="H717"/>
    <hyperlink r:id="rId1558" ref="C718"/>
    <hyperlink r:id="rId1559" ref="F718"/>
    <hyperlink r:id="rId1560" ref="C719"/>
    <hyperlink r:id="rId1561" ref="F719"/>
    <hyperlink r:id="rId1562" ref="C720"/>
    <hyperlink r:id="rId1563" ref="F720"/>
    <hyperlink r:id="rId1564" ref="H720"/>
    <hyperlink r:id="rId1565" ref="B721"/>
    <hyperlink r:id="rId1566" ref="C721"/>
    <hyperlink r:id="rId1567" ref="F721"/>
    <hyperlink r:id="rId1568" ref="H721"/>
    <hyperlink r:id="rId1569" ref="C722"/>
    <hyperlink r:id="rId1570" ref="F722"/>
    <hyperlink r:id="rId1571" ref="C723"/>
    <hyperlink r:id="rId1572" ref="F723"/>
    <hyperlink r:id="rId1573" ref="C724"/>
    <hyperlink r:id="rId1574" ref="F724"/>
    <hyperlink r:id="rId1575" ref="H724"/>
    <hyperlink r:id="rId1576" ref="F725"/>
    <hyperlink r:id="rId1577" ref="H725"/>
    <hyperlink r:id="rId1578" ref="F726"/>
    <hyperlink r:id="rId1579" ref="H726"/>
    <hyperlink r:id="rId1580" ref="F727"/>
    <hyperlink r:id="rId1581" ref="H727"/>
    <hyperlink r:id="rId1582" ref="C728"/>
    <hyperlink r:id="rId1583" ref="F728"/>
    <hyperlink r:id="rId1584" ref="H728"/>
    <hyperlink r:id="rId1585" ref="F729"/>
    <hyperlink r:id="rId1586" ref="F730"/>
    <hyperlink r:id="rId1587" ref="H730"/>
    <hyperlink r:id="rId1588" ref="F731"/>
    <hyperlink r:id="rId1589" ref="H731"/>
    <hyperlink r:id="rId1590" ref="F732"/>
    <hyperlink r:id="rId1591" ref="H732"/>
    <hyperlink r:id="rId1592" ref="F733"/>
    <hyperlink r:id="rId1593" ref="H733"/>
    <hyperlink r:id="rId1594" ref="F734"/>
    <hyperlink r:id="rId1595" ref="H734"/>
    <hyperlink r:id="rId1596" ref="C735"/>
    <hyperlink r:id="rId1597" ref="F735"/>
    <hyperlink r:id="rId1598" ref="L735"/>
    <hyperlink r:id="rId1599" ref="F736"/>
    <hyperlink r:id="rId1600" ref="H736"/>
    <hyperlink r:id="rId1601" ref="F737"/>
    <hyperlink r:id="rId1602" ref="H737"/>
    <hyperlink r:id="rId1603" ref="F738"/>
    <hyperlink r:id="rId1604" ref="H738"/>
    <hyperlink r:id="rId1605" ref="F739"/>
    <hyperlink r:id="rId1606" ref="C740"/>
    <hyperlink r:id="rId1607" ref="F740"/>
    <hyperlink r:id="rId1608" ref="H740"/>
    <hyperlink r:id="rId1609" ref="F741"/>
    <hyperlink r:id="rId1610" location="keywords" ref="F742"/>
    <hyperlink r:id="rId1611" ref="H742"/>
    <hyperlink r:id="rId1612" ref="F743"/>
    <hyperlink r:id="rId1613" location="citeas" ref="F744"/>
    <hyperlink r:id="rId1614" ref="F745"/>
    <hyperlink r:id="rId1615" ref="F746"/>
    <hyperlink r:id="rId1616" ref="C747"/>
    <hyperlink r:id="rId1617" ref="F747"/>
    <hyperlink r:id="rId1618" ref="F748"/>
    <hyperlink r:id="rId1619" ref="F749"/>
    <hyperlink r:id="rId1620" ref="F750"/>
    <hyperlink r:id="rId1621" ref="F751"/>
    <hyperlink r:id="rId1622" ref="H751"/>
    <hyperlink r:id="rId1623" ref="B752"/>
    <hyperlink r:id="rId1624" ref="F752"/>
    <hyperlink r:id="rId1625" ref="H752"/>
    <hyperlink r:id="rId1626" ref="B753"/>
    <hyperlink r:id="rId1627" ref="F753"/>
    <hyperlink r:id="rId1628" ref="C754"/>
    <hyperlink r:id="rId1629" ref="F754"/>
    <hyperlink r:id="rId1630" ref="H754"/>
    <hyperlink r:id="rId1631" ref="F755"/>
    <hyperlink r:id="rId1632" ref="F756"/>
    <hyperlink r:id="rId1633" ref="H756"/>
    <hyperlink r:id="rId1634" ref="C757"/>
    <hyperlink r:id="rId1635" ref="F757"/>
    <hyperlink r:id="rId1636" ref="C758"/>
    <hyperlink r:id="rId1637" ref="F758"/>
    <hyperlink r:id="rId1638" ref="H758"/>
    <hyperlink r:id="rId1639" ref="C759"/>
    <hyperlink r:id="rId1640" ref="F759"/>
    <hyperlink r:id="rId1641" ref="F760"/>
    <hyperlink r:id="rId1642" ref="H760"/>
    <hyperlink r:id="rId1643" ref="C761"/>
    <hyperlink r:id="rId1644" ref="F761"/>
    <hyperlink r:id="rId1645" ref="H761"/>
    <hyperlink r:id="rId1646" ref="F762"/>
    <hyperlink r:id="rId1647" ref="H762"/>
    <hyperlink r:id="rId1648" ref="F763"/>
    <hyperlink r:id="rId1649" ref="F764"/>
    <hyperlink r:id="rId1650" ref="F765"/>
    <hyperlink r:id="rId1651" ref="F766"/>
    <hyperlink r:id="rId1652" ref="F767"/>
    <hyperlink r:id="rId1653" ref="F768"/>
    <hyperlink r:id="rId1654" ref="L768"/>
    <hyperlink r:id="rId1655" ref="F769"/>
    <hyperlink r:id="rId1656" ref="F770"/>
    <hyperlink r:id="rId1657" ref="F771"/>
    <hyperlink r:id="rId1658" ref="F772"/>
    <hyperlink r:id="rId1659" ref="F773"/>
    <hyperlink r:id="rId1660" ref="C774"/>
    <hyperlink r:id="rId1661" ref="F774"/>
    <hyperlink r:id="rId1662" ref="F775"/>
    <hyperlink r:id="rId1663" ref="F776"/>
    <hyperlink r:id="rId1664" ref="F777"/>
    <hyperlink r:id="rId1665" ref="F778"/>
    <hyperlink r:id="rId1666" ref="F779"/>
    <hyperlink r:id="rId1667" ref="L779"/>
    <hyperlink r:id="rId1668" ref="C780"/>
    <hyperlink r:id="rId1669" ref="F780"/>
    <hyperlink r:id="rId1670" ref="F781"/>
    <hyperlink r:id="rId1671" ref="C782"/>
    <hyperlink r:id="rId1672" ref="F782"/>
    <hyperlink r:id="rId1673" ref="F783"/>
    <hyperlink r:id="rId1674" ref="F784"/>
    <hyperlink r:id="rId1675" ref="G784"/>
    <hyperlink r:id="rId1676" ref="F785"/>
    <hyperlink r:id="rId1677" ref="F786"/>
    <hyperlink r:id="rId1678" ref="F787"/>
    <hyperlink r:id="rId1679" location="metrics" ref="F788"/>
    <hyperlink r:id="rId1680" ref="B789"/>
    <hyperlink r:id="rId1681" ref="C789"/>
    <hyperlink r:id="rId1682" ref="F789"/>
    <hyperlink r:id="rId1683" ref="F790"/>
    <hyperlink r:id="rId1684" ref="F791"/>
    <hyperlink r:id="rId1685" ref="J791"/>
    <hyperlink r:id="rId1686" ref="F792"/>
    <hyperlink r:id="rId1687" ref="F793"/>
    <hyperlink r:id="rId1688" ref="F794"/>
    <hyperlink r:id="rId1689" location="keywords" ref="F795"/>
    <hyperlink r:id="rId1690" ref="F796"/>
    <hyperlink r:id="rId1691" ref="F797"/>
    <hyperlink r:id="rId1692" ref="F798"/>
    <hyperlink r:id="rId1693" ref="F799"/>
    <hyperlink r:id="rId1694" ref="F800"/>
    <hyperlink r:id="rId1695" ref="F801"/>
    <hyperlink r:id="rId1696" ref="F802"/>
    <hyperlink r:id="rId1697" ref="F803"/>
    <hyperlink r:id="rId1698" ref="F804"/>
    <hyperlink r:id="rId1699" ref="G804"/>
    <hyperlink r:id="rId1700" ref="F805"/>
    <hyperlink r:id="rId1701" ref="G805"/>
    <hyperlink r:id="rId1702" ref="F806"/>
    <hyperlink r:id="rId1703" ref="F807"/>
    <hyperlink r:id="rId1704" ref="F808"/>
    <hyperlink r:id="rId1705" ref="C809"/>
    <hyperlink r:id="rId1706" ref="F809"/>
    <hyperlink r:id="rId1707" ref="C810"/>
    <hyperlink r:id="rId1708" ref="F810"/>
    <hyperlink r:id="rId1709" ref="F811"/>
    <hyperlink r:id="rId1710" ref="F812"/>
    <hyperlink r:id="rId1711" ref="F813"/>
    <hyperlink r:id="rId1712" ref="F814"/>
    <hyperlink r:id="rId1713" ref="F815"/>
    <hyperlink r:id="rId1714" ref="F816"/>
    <hyperlink r:id="rId1715" ref="F817"/>
    <hyperlink r:id="rId1716" ref="F818"/>
    <hyperlink r:id="rId1717" ref="F819"/>
    <hyperlink r:id="rId1718" ref="F820"/>
    <hyperlink r:id="rId1719" ref="B821"/>
    <hyperlink r:id="rId1720" ref="F821"/>
    <hyperlink r:id="rId1721" ref="F822"/>
    <hyperlink r:id="rId1722" ref="F823"/>
    <hyperlink r:id="rId1723" ref="F824"/>
    <hyperlink r:id="rId1724" ref="F825"/>
    <hyperlink r:id="rId1725" location="metrics" ref="F826"/>
    <hyperlink r:id="rId1726" location="keywords" ref="F827"/>
    <hyperlink r:id="rId1727" ref="F828"/>
    <hyperlink r:id="rId1728" ref="F829"/>
    <hyperlink r:id="rId1729" ref="F830"/>
    <hyperlink r:id="rId1730" ref="F831"/>
    <hyperlink r:id="rId1731" ref="F832"/>
    <hyperlink r:id="rId1732" ref="F833"/>
    <hyperlink r:id="rId1733" ref="F834"/>
    <hyperlink r:id="rId1734" ref="F835"/>
    <hyperlink r:id="rId1735" ref="F836"/>
    <hyperlink r:id="rId1736" ref="F837"/>
    <hyperlink r:id="rId1737" ref="F838"/>
    <hyperlink r:id="rId1738" ref="F839"/>
    <hyperlink r:id="rId1739" ref="F840"/>
    <hyperlink r:id="rId1740" ref="F841"/>
    <hyperlink r:id="rId1741" ref="F842"/>
    <hyperlink r:id="rId1742" ref="C843"/>
    <hyperlink r:id="rId1743" ref="F843"/>
    <hyperlink r:id="rId1744" location="keywords" ref="F844"/>
    <hyperlink r:id="rId1745" ref="F845"/>
    <hyperlink r:id="rId1746" ref="F846"/>
    <hyperlink r:id="rId1747" ref="F847"/>
    <hyperlink r:id="rId1748" ref="F848"/>
    <hyperlink r:id="rId1749" ref="F849"/>
    <hyperlink r:id="rId1750" ref="C850"/>
    <hyperlink r:id="rId1751" ref="D850"/>
    <hyperlink r:id="rId1752" ref="F850"/>
    <hyperlink r:id="rId1753" ref="B851"/>
    <hyperlink r:id="rId1754" ref="C851"/>
    <hyperlink r:id="rId1755" ref="F851"/>
    <hyperlink r:id="rId1756" ref="H851"/>
  </hyperlinks>
  <printOptions gridLines="1" horizontalCentered="1"/>
  <pageMargins bottom="0.75" footer="0.0" header="0.0" left="0.7" right="0.7" top="0.75"/>
  <pageSetup fitToHeight="0" cellComments="atEnd" orientation="landscape" pageOrder="overThenDown"/>
  <drawing r:id="rId175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row r="2"/>
    <row r="3"/>
    <row r="4"/>
    <row r="5"/>
    <row r="6"/>
    <row r="7"/>
    <row r="8"/>
    <row r="9"/>
    <row r="10"/>
    <row r="11"/>
    <row r="12"/>
    <row r="13"/>
    <row r="14"/>
    <row r="15"/>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sheetData>
    <row r="1"/>
    <row r="2"/>
    <row r="3"/>
    <row r="4"/>
    <row r="5"/>
    <row r="6"/>
    <row r="7"/>
    <row r="8"/>
    <row r="9"/>
    <row r="10"/>
    <row r="11"/>
    <row r="12"/>
    <row r="13"/>
    <row r="14"/>
    <row r="15"/>
  </sheetData>
  <printOptions gridLines="1" horizontalCentered="1"/>
  <pageMargins bottom="0.75" footer="0.0" header="0.0" left="0.7" right="0.7" top="0.75"/>
  <pageSetup fitToHeight="0" cellComments="atEnd" orientation="landscape" pageOrder="overThenDown"/>
  <drawing r:id="rId2"/>
</worksheet>
</file>