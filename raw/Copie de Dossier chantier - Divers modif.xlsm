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omments1.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showInkAnnotation="0" codeName="ThisWorkbook" defaultThemeVersion="124226"/>
  <mc:AlternateContent xmlns:mc="http://schemas.openxmlformats.org/markup-compatibility/2006">
    <mc:Choice Requires="x15">
      <x15ac:absPath xmlns:x15ac="http://schemas.microsoft.com/office/spreadsheetml/2010/11/ac" url="C:\Users\ncabrol\Downloads\"/>
    </mc:Choice>
  </mc:AlternateContent>
  <xr:revisionPtr revIDLastSave="0" documentId="8_{8507E7A1-702B-414A-95B2-DAF371643832}" xr6:coauthVersionLast="47" xr6:coauthVersionMax="47" xr10:uidLastSave="{00000000-0000-0000-0000-000000000000}"/>
  <bookViews>
    <workbookView xWindow="-120" yWindow="-120" windowWidth="29040" windowHeight="15840" tabRatio="934" firstSheet="1" activeTab="3" xr2:uid="{00000000-000D-0000-FFFF-FFFF00000000}"/>
  </bookViews>
  <sheets>
    <sheet name="Feuil2" sheetId="70" state="hidden" r:id="rId1"/>
    <sheet name="NOTICE" sheetId="3" r:id="rId2"/>
    <sheet name="MISE A JOUR" sheetId="332" r:id="rId3"/>
    <sheet name="Impression" sheetId="289" r:id="rId4"/>
    <sheet name="Page de Garde" sheetId="302" r:id="rId5"/>
    <sheet name="Croisement réseaux" sheetId="278" r:id="rId6"/>
    <sheet name="Déroulage" sheetId="290" r:id="rId7"/>
    <sheet name="Fiche prépa" sheetId="18" r:id="rId8"/>
    <sheet name="Compactage" sheetId="9" r:id="rId9"/>
    <sheet name="1.Ch" sheetId="10" r:id="rId10"/>
    <sheet name="1.2.Ch" sheetId="77" r:id="rId11"/>
    <sheet name="1.3.Ch" sheetId="12" r:id="rId12"/>
    <sheet name="2.Ch" sheetId="14" r:id="rId13"/>
    <sheet name="3.Ch" sheetId="15" r:id="rId14"/>
    <sheet name="4.Ch" sheetId="16" r:id="rId15"/>
    <sheet name="5.Ch" sheetId="17" r:id="rId16"/>
    <sheet name="5.2.Ch" sheetId="20" r:id="rId17"/>
    <sheet name="5.6.Ch" sheetId="71" r:id="rId18"/>
    <sheet name="5.8.Ch" sheetId="25" r:id="rId19"/>
    <sheet name="5.9.Ch" sheetId="26" r:id="rId20"/>
    <sheet name="5.11.Ch" sheetId="28" r:id="rId21"/>
    <sheet name="5.12.Ch" sheetId="303" r:id="rId22"/>
    <sheet name="5.13.B.Ch" sheetId="78" r:id="rId23"/>
    <sheet name="5.14.Ch" sheetId="68" r:id="rId24"/>
    <sheet name="5.15.Ch" sheetId="32" r:id="rId25"/>
    <sheet name="5.16.Ch" sheetId="72" r:id="rId26"/>
    <sheet name="5.17.Ch" sheetId="34" r:id="rId27"/>
    <sheet name="5.18.Ch" sheetId="35" r:id="rId28"/>
    <sheet name="5.18.B.Ch" sheetId="192" r:id="rId29"/>
    <sheet name="5.19.Ch" sheetId="36" r:id="rId30"/>
    <sheet name="5.20.Ch" sheetId="37" r:id="rId31"/>
    <sheet name="5.21.Ch" sheetId="38" r:id="rId32"/>
    <sheet name="5.22.B.Ch" sheetId="40" r:id="rId33"/>
    <sheet name="5.22.D.Ch" sheetId="42" r:id="rId34"/>
    <sheet name="5.23.Ch" sheetId="43" r:id="rId35"/>
    <sheet name="5.24.Ch" sheetId="44" r:id="rId36"/>
    <sheet name="5.25.Ch" sheetId="45" r:id="rId37"/>
    <sheet name="5.58.Ch" sheetId="306" r:id="rId38"/>
    <sheet name="5.59.Ch" sheetId="76" r:id="rId39"/>
    <sheet name="5.67.Ch" sheetId="334" r:id="rId40"/>
    <sheet name="6.Ch" sheetId="54" r:id="rId41"/>
    <sheet name="6.4.Ch" sheetId="330" r:id="rId42"/>
    <sheet name="6.5.Ch" sheetId="333" r:id="rId43"/>
    <sheet name="6.7.Ch" sheetId="58" r:id="rId44"/>
    <sheet name="6.8.Ch" sheetId="59" r:id="rId45"/>
    <sheet name="6.10.Ch" sheetId="336" r:id="rId46"/>
    <sheet name="6.16.Ch" sheetId="335" r:id="rId47"/>
    <sheet name="7.Ch" sheetId="61" r:id="rId48"/>
    <sheet name="7.3.Ch" sheetId="62" r:id="rId49"/>
    <sheet name="13.6.Ch" sheetId="311" r:id="rId50"/>
  </sheets>
  <externalReferences>
    <externalReference r:id="rId51"/>
    <externalReference r:id="rId52"/>
    <externalReference r:id="rId53"/>
    <externalReference r:id="rId54"/>
    <externalReference r:id="rId55"/>
  </externalReferences>
  <definedNames>
    <definedName name="_xlnm._FilterDatabase" localSheetId="0" hidden="1">Feuil2!$A$1:$A$65</definedName>
    <definedName name="_xlnm._FilterDatabase" localSheetId="4" hidden="1">'Page de Garde'!$B$61:$D$114</definedName>
    <definedName name="CaseACocher1" localSheetId="49">'13.6.Ch'!$A$11</definedName>
    <definedName name="CaseACocher12" localSheetId="49">'13.6.Ch'!$A$16</definedName>
    <definedName name="CaseACocher16" localSheetId="49">'13.6.Ch'!$F$16</definedName>
    <definedName name="CaseACocher2" localSheetId="49">'13.6.Ch'!$F$11</definedName>
    <definedName name="CaseACocher54" localSheetId="49">'13.6.Ch'!$B$19</definedName>
    <definedName name="CaseACocher57" localSheetId="49">'13.6.Ch'!$A$19</definedName>
    <definedName name="CaseACocher62" localSheetId="49">'13.6.Ch'!$A$23</definedName>
    <definedName name="CaseACocher65" localSheetId="49">'13.6.Ch'!$I$23</definedName>
    <definedName name="CaseACocher68" localSheetId="49">'13.6.Ch'!$E$23</definedName>
    <definedName name="CaseACocher75" localSheetId="49">'13.6.Ch'!$A$56</definedName>
    <definedName name="CaseACocher77" localSheetId="49">'13.6.Ch'!$D$57</definedName>
    <definedName name="CaseACocher78" localSheetId="49">'13.6.Ch'!$H$57</definedName>
    <definedName name="CaseACocher79" localSheetId="49">'13.6.Ch'!$H$56</definedName>
    <definedName name="Contrôles">'[1]5.2.Ch'!$C$37:$C$65</definedName>
    <definedName name="Equipement">'[1]5.2.Ch'!$J$37:$J$56</definedName>
    <definedName name="Fréquence">'[1]5.2.Ch'!$H$37:$H$51</definedName>
    <definedName name="Liste_Agences" localSheetId="49">'[2]Page de Garde'!$B$62:$B$119</definedName>
    <definedName name="Liste_Agences">'Page de Garde'!$B$62:$B$116</definedName>
    <definedName name="Logo" localSheetId="49">OFFSET(INDIRECT("Page2garde!$B$60"),MATCH('[2]Page de Garde'!$K$14,'[2]Page de Garde'!$B$62:$B$142,0)-1,)</definedName>
    <definedName name="Logo" localSheetId="45">OFFSET(INDIRECT("Page2garde!$B$60"),MATCH('[3]Page de Garde'!$K$14,'[3]Page de Garde'!$B$62:$B$139,0)-1,)</definedName>
    <definedName name="Logo" localSheetId="46">OFFSET(INDIRECT("Page2garde!$B$60"),MATCH('[4]Page de Garde'!$K$14,'[4]Page de Garde'!$B$62:$B$142,0)-1,)</definedName>
    <definedName name="Logo">OFFSET(INDIRECT("Page2garde!$B$60"),MATCH('Page de Garde'!$K$14,'Page de Garde'!$B$62:$B$139,0)-1,)</definedName>
    <definedName name="oAdresseChantier" localSheetId="49">'[2]Page de Garde'!$B$16</definedName>
    <definedName name="oAdresseChantier" localSheetId="45">'[3]Page de Garde'!$B$16</definedName>
    <definedName name="oAdresseChantier" localSheetId="46">'[4]Page de Garde'!$B$16</definedName>
    <definedName name="oAdresseChantier">'Page de Garde'!$B$16</definedName>
    <definedName name="oAgence">'Page de Garde'!$K$14</definedName>
    <definedName name="oDebut_travaux" localSheetId="49">'[2]Page de Garde'!$D$13</definedName>
    <definedName name="oDebut_travaux" localSheetId="45">'[3]Page de Garde'!$D$13</definedName>
    <definedName name="oDebut_travaux" localSheetId="46">'[4]Page de Garde'!$D$13</definedName>
    <definedName name="oDebut_travaux">'Page de Garde'!$D$13</definedName>
    <definedName name="oeOTP" localSheetId="49">'[2]Page de Garde'!$K$6</definedName>
    <definedName name="oeOTP" localSheetId="45">'[3]Page de Garde'!$K$6</definedName>
    <definedName name="oeOTP" localSheetId="46">'[4]Page de Garde'!$K$6</definedName>
    <definedName name="oeOTP" localSheetId="41">'[5]1.2.Ch'!$Q$4</definedName>
    <definedName name="oeOTP">'Page de Garde'!$K$6</definedName>
    <definedName name="oFinTravaux" localSheetId="49">'[2]Page de Garde'!$D$14</definedName>
    <definedName name="oFinTravaux" localSheetId="45">'[3]Page de Garde'!$D$14</definedName>
    <definedName name="oFinTravaux" localSheetId="46">'[4]Page de Garde'!$D$14</definedName>
    <definedName name="oFinTravaux">'Page de Garde'!$D$14</definedName>
    <definedName name="oLibelleOTP" localSheetId="49">'[2]Page de Garde'!$D$19</definedName>
    <definedName name="oLibelleOTP" localSheetId="45">'[3]Page de Garde'!$D$19</definedName>
    <definedName name="oLibelleOTP" localSheetId="46">'[4]Page de Garde'!$D$19</definedName>
    <definedName name="oLibelleOTP" localSheetId="41">'[5]Petites Interv.'!$R$25</definedName>
    <definedName name="oLibelleOTP">'Page de Garde'!$D$19</definedName>
    <definedName name="oMOE" localSheetId="49">'[2]Page de Garde'!$A$24</definedName>
    <definedName name="oMOE" localSheetId="45">'[3]Page de Garde'!$A$24</definedName>
    <definedName name="oMOE" localSheetId="46">'[4]Page de Garde'!$A$24</definedName>
    <definedName name="oMOE" localSheetId="41">'[5]Petites Interv.'!$U$14</definedName>
    <definedName name="oMOE">'Page de Garde'!$A$24</definedName>
    <definedName name="oN°MARCHE" localSheetId="49">'[2]Page de Garde'!$B$8</definedName>
    <definedName name="oN°MARCHE" localSheetId="45">'[3]Page de Garde'!$B$8</definedName>
    <definedName name="oN°MARCHE" localSheetId="46">'[4]Page de Garde'!$B$8</definedName>
    <definedName name="oN°MARCHE">'Page de Garde'!$B$8</definedName>
    <definedName name="oReferenceCommande" localSheetId="49">'[2]Page de Garde'!$B$9</definedName>
    <definedName name="oReferenceCommande" localSheetId="45">'[3]Page de Garde'!$B$9</definedName>
    <definedName name="oReferenceCommande" localSheetId="46">'[4]Page de Garde'!$B$9</definedName>
    <definedName name="oReferenceCommande">'Page de Garde'!$B$9</definedName>
    <definedName name="oRespAffaire" localSheetId="49">'[2]Page de Garde'!$C$28</definedName>
    <definedName name="oRespAffaire" localSheetId="45">'[3]Page de Garde'!$C$28</definedName>
    <definedName name="oRespAffaire" localSheetId="46">'[4]Page de Garde'!$C$28</definedName>
    <definedName name="oRespAffaire">'Page de Garde'!$C$28</definedName>
    <definedName name="oRespChantier" localSheetId="49">'[2]Page de Garde'!$L$28</definedName>
    <definedName name="oRespChantier" localSheetId="45">'[3]Page de Garde'!$L$28</definedName>
    <definedName name="oRespChantier" localSheetId="46">'[4]Page de Garde'!$L$28</definedName>
    <definedName name="oRespChantier">'Page de Garde'!$L$28</definedName>
    <definedName name="oTelRespAff" localSheetId="49">'[2]Page de Garde'!$C$29</definedName>
    <definedName name="oTelRespAff" localSheetId="45">'[3]Page de Garde'!$C$29</definedName>
    <definedName name="oTelRespAff" localSheetId="46">'[4]Page de Garde'!$C$29</definedName>
    <definedName name="oTelRespAff" localSheetId="41">'[5]Petites Interv.'!$U$33</definedName>
    <definedName name="oTelRespAff">'Page de Garde'!$C$29</definedName>
    <definedName name="oTelRespChantier">'Page de Garde'!$L$29</definedName>
    <definedName name="oVille" localSheetId="49">'[2]Page de Garde'!$J$17</definedName>
    <definedName name="oVille" localSheetId="45">'[3]Page de Garde'!$J$17</definedName>
    <definedName name="oVille" localSheetId="46">'[4]Page de Garde'!$J$17</definedName>
    <definedName name="oVille" localSheetId="41">'[5]Petites Interv.'!$S$22</definedName>
    <definedName name="oVille">'Page de Garde'!$J$17</definedName>
    <definedName name="POINT" localSheetId="45">#REF!</definedName>
    <definedName name="POINT" localSheetId="2">#REF!</definedName>
    <definedName name="POINT">#REF!</definedName>
    <definedName name="Responsable">'[1]5.2.Ch'!$G$37:$G$50</definedName>
    <definedName name="Support">'[1]5.2.Ch'!$M$37:$M$52</definedName>
    <definedName name="_xlnm.Print_Area" localSheetId="10">'1.2.Ch'!$A$1:$S$69</definedName>
    <definedName name="_xlnm.Print_Area" localSheetId="11">'1.3.Ch'!$A$1:$M$103</definedName>
    <definedName name="_xlnm.Print_Area" localSheetId="9">'1.Ch'!$A$1:$F$47</definedName>
    <definedName name="_xlnm.Print_Area" localSheetId="49">'13.6.Ch'!$A$1:$J$63</definedName>
    <definedName name="_xlnm.Print_Area" localSheetId="12">'2.Ch'!$A$1:$F$29</definedName>
    <definedName name="_xlnm.Print_Area" localSheetId="13">'3.Ch'!$A$1:$G$24</definedName>
    <definedName name="_xlnm.Print_Area" localSheetId="24">'5.15.Ch'!$A$1:$H$37</definedName>
    <definedName name="_xlnm.Print_Area" localSheetId="25">'5.16.Ch'!$A$1:$O$63</definedName>
    <definedName name="_xlnm.Print_Area" localSheetId="26">'5.17.Ch'!$A$1:$H$51</definedName>
    <definedName name="_xlnm.Print_Area" localSheetId="28">'5.18.B.Ch'!$A$1:$K$59</definedName>
    <definedName name="_xlnm.Print_Area" localSheetId="27">'5.18.Ch'!$A$1:$AN$89</definedName>
    <definedName name="_xlnm.Print_Area" localSheetId="31">'5.21.Ch'!$A$1:$G$50</definedName>
    <definedName name="_xlnm.Print_Area" localSheetId="34">'5.23.Ch'!$A$1:$E$43</definedName>
    <definedName name="_xlnm.Print_Area" localSheetId="35">'5.24.Ch'!$A$1:$S$47</definedName>
    <definedName name="_xlnm.Print_Area" localSheetId="36">'5.25.Ch'!$A$1:$V$46</definedName>
    <definedName name="_xlnm.Print_Area" localSheetId="37">'5.58.Ch'!$A$1:$F$38</definedName>
    <definedName name="_xlnm.Print_Area" localSheetId="38">'5.59.Ch'!$A$1:$M$35</definedName>
    <definedName name="_xlnm.Print_Area" localSheetId="17">'5.6.Ch'!$A$1:$H$24</definedName>
    <definedName name="_xlnm.Print_Area" localSheetId="39">'5.67.Ch'!$A$1:$T$73</definedName>
    <definedName name="_xlnm.Print_Area" localSheetId="45">'6.10.Ch'!$A$1:$H$21,'6.10.Ch'!$I$22:$M$31</definedName>
    <definedName name="_xlnm.Print_Area" localSheetId="46">'6.16.Ch'!$A$1:$I$55</definedName>
    <definedName name="_xlnm.Print_Area" localSheetId="41">'6.4.Ch'!$A$1:$K$72</definedName>
    <definedName name="_xlnm.Print_Area" localSheetId="42">'6.5.Ch'!$A$1:$G$124</definedName>
    <definedName name="_xlnm.Print_Area" localSheetId="40">'6.Ch'!$A$1:$H$27</definedName>
    <definedName name="_xlnm.Print_Area" localSheetId="48">'7.3.Ch'!$A$1:$M$22</definedName>
    <definedName name="_xlnm.Print_Area" localSheetId="47">'7.Ch'!$A$1:$F$28</definedName>
    <definedName name="_xlnm.Print_Area" localSheetId="8">Compactage!$A$1:$I$124</definedName>
    <definedName name="_xlnm.Print_Area" localSheetId="5">'Croisement réseaux'!$A$1:$I$59</definedName>
    <definedName name="_xlnm.Print_Area" localSheetId="6">Déroulage!$A$1:$N$38</definedName>
    <definedName name="_xlnm.Print_Area" localSheetId="7">'Fiche prépa'!$A$1:$N$77</definedName>
    <definedName name="_xlnm.Print_Area" localSheetId="3">Impression!$A$1:$F$78</definedName>
    <definedName name="_xlnm.Print_Area" localSheetId="4">'Page de Garde'!$A$1:$N$55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48" i="289" l="1"/>
  <c r="A41" i="289"/>
  <c r="A16" i="289"/>
  <c r="A15" i="289"/>
  <c r="A14" i="289"/>
  <c r="A13" i="289"/>
  <c r="A10" i="289"/>
  <c r="J42" i="311" l="1"/>
  <c r="D11" i="20" l="1"/>
  <c r="AI2" i="303" l="1"/>
  <c r="B10" i="306" l="1"/>
  <c r="B11" i="306"/>
  <c r="E11" i="306"/>
  <c r="D4" i="306"/>
  <c r="B12" i="306"/>
  <c r="D8" i="306"/>
  <c r="F16" i="62" l="1"/>
  <c r="C9" i="62"/>
  <c r="I7" i="78"/>
  <c r="D3" i="303" l="1"/>
  <c r="L6" i="303"/>
  <c r="D5" i="303"/>
  <c r="AG3" i="303"/>
  <c r="V3" i="303"/>
  <c r="O3" i="303"/>
  <c r="D9" i="76" l="1"/>
  <c r="F5" i="28"/>
  <c r="D11" i="12"/>
  <c r="I9" i="192" l="1"/>
  <c r="D10" i="76"/>
  <c r="L5" i="20" l="1"/>
  <c r="B7" i="20"/>
  <c r="B5" i="20"/>
  <c r="D7" i="192" l="1"/>
  <c r="B18" i="62"/>
  <c r="B16" i="62"/>
  <c r="E10" i="62"/>
  <c r="C8" i="62"/>
  <c r="A4" i="59"/>
  <c r="I8" i="76" l="1"/>
  <c r="D8" i="76"/>
  <c r="K4" i="45" l="1"/>
  <c r="D4" i="45"/>
  <c r="K4" i="44"/>
  <c r="D4" i="44"/>
  <c r="E5" i="43"/>
  <c r="B5" i="43"/>
  <c r="H6" i="42"/>
  <c r="C8" i="42"/>
  <c r="C6" i="42"/>
  <c r="K5" i="40"/>
  <c r="B5" i="40"/>
  <c r="B4" i="40"/>
  <c r="F3" i="38"/>
  <c r="C3" i="38"/>
  <c r="J4" i="37"/>
  <c r="C10" i="37"/>
  <c r="D8" i="37"/>
  <c r="D4" i="37"/>
  <c r="E4" i="36"/>
  <c r="E3" i="36"/>
  <c r="D9" i="192"/>
  <c r="B6" i="192"/>
  <c r="E4" i="35"/>
  <c r="E3" i="35"/>
  <c r="G5" i="34"/>
  <c r="C5" i="34"/>
  <c r="L4" i="72"/>
  <c r="E4" i="72"/>
  <c r="H5" i="32" l="1"/>
  <c r="C5" i="32"/>
  <c r="AA2" i="68"/>
  <c r="W2" i="68"/>
  <c r="D7" i="78"/>
  <c r="D5" i="78"/>
  <c r="C4" i="78"/>
  <c r="A40" i="78"/>
  <c r="K5" i="28"/>
  <c r="K7" i="28"/>
  <c r="F7" i="28"/>
  <c r="C7" i="28"/>
  <c r="B5" i="28"/>
  <c r="J5" i="26"/>
  <c r="F5" i="26"/>
  <c r="C7" i="26"/>
  <c r="B5" i="26"/>
  <c r="B8" i="25"/>
  <c r="K6" i="25"/>
  <c r="K4" i="25"/>
  <c r="B4" i="25"/>
  <c r="G5" i="71"/>
  <c r="K11" i="12"/>
  <c r="J6" i="12"/>
  <c r="B6" i="12"/>
  <c r="K4" i="12"/>
  <c r="D7" i="77"/>
  <c r="D4" i="77"/>
  <c r="J5" i="18"/>
  <c r="J6" i="18"/>
  <c r="C6" i="18"/>
  <c r="C5" i="18"/>
  <c r="Q4" i="77" l="1"/>
  <c r="S6" i="77"/>
  <c r="R6" i="77"/>
  <c r="Q6" i="77"/>
  <c r="P6" i="77"/>
  <c r="O6" i="77"/>
  <c r="N6" i="77"/>
  <c r="M6" i="77"/>
  <c r="L6" i="77"/>
  <c r="K6" i="77"/>
  <c r="J6" i="77"/>
  <c r="I6" i="77"/>
  <c r="H6" i="77"/>
  <c r="G6" i="77"/>
  <c r="F6" i="77"/>
  <c r="E6" i="77"/>
  <c r="D6" i="77"/>
  <c r="S5" i="77"/>
  <c r="R5" i="77"/>
  <c r="Q5" i="77"/>
  <c r="P5" i="77"/>
  <c r="O5" i="77"/>
  <c r="N5" i="77"/>
  <c r="M5" i="77"/>
  <c r="L5" i="77"/>
  <c r="K5" i="77"/>
  <c r="J5" i="77"/>
  <c r="I5" i="77"/>
  <c r="H5" i="77"/>
  <c r="G5" i="77"/>
  <c r="F5" i="77"/>
  <c r="E5" i="77"/>
  <c r="S4" i="77"/>
  <c r="R4" i="77"/>
  <c r="B5" i="38"/>
  <c r="D10" i="192"/>
  <c r="W3" i="36"/>
  <c r="F7" i="76"/>
  <c r="D6" i="25"/>
  <c r="B7" i="43"/>
  <c r="W3" i="35"/>
  <c r="D9" i="20"/>
  <c r="D8" i="12"/>
  <c r="C6" i="26"/>
  <c r="E5" i="45"/>
  <c r="C6" i="34"/>
  <c r="E2" i="68"/>
  <c r="C6" i="32"/>
  <c r="D5" i="77"/>
  <c r="B6" i="28"/>
  <c r="C7" i="18"/>
  <c r="D6" i="37"/>
  <c r="D8" i="78"/>
  <c r="E5" i="44"/>
  <c r="E6" i="7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A.SCHOCH</author>
  </authors>
  <commentList>
    <comment ref="A10" authorId="0" shapeId="0" xr:uid="{00000000-0006-0000-3800-000001000000}">
      <text>
        <r>
          <rPr>
            <b/>
            <sz val="9"/>
            <color indexed="81"/>
            <rFont val="Tahoma"/>
            <family val="2"/>
          </rPr>
          <t>A.SCHOCH:</t>
        </r>
        <r>
          <rPr>
            <sz val="9"/>
            <color indexed="81"/>
            <rFont val="Tahoma"/>
            <family val="2"/>
          </rPr>
          <t xml:space="preserve">
Uniquement pour les tubes de type PVC, LST</t>
        </r>
      </text>
    </comment>
  </commentList>
</comments>
</file>

<file path=xl/sharedStrings.xml><?xml version="1.0" encoding="utf-8"?>
<sst xmlns="http://schemas.openxmlformats.org/spreadsheetml/2006/main" count="2610" uniqueCount="1843">
  <si>
    <t>FICHE de SUIVI du PORT des EPI</t>
  </si>
  <si>
    <t>Responsable :</t>
  </si>
  <si>
    <t>FICHES DE PROGRES DU CHANTIER</t>
  </si>
  <si>
    <t>RECEPTION INTERNE</t>
  </si>
  <si>
    <t>N° de Fiche de Progrès:</t>
  </si>
  <si>
    <t>Visas:</t>
  </si>
  <si>
    <t>le,</t>
  </si>
  <si>
    <r>
      <t xml:space="preserve"> : Si </t>
    </r>
    <r>
      <rPr>
        <b/>
        <sz val="10"/>
        <rFont val="Arial"/>
        <family val="2"/>
      </rPr>
      <t>les trvx</t>
    </r>
    <r>
      <rPr>
        <sz val="10"/>
        <rFont val="Arial"/>
        <family val="2"/>
      </rPr>
      <t xml:space="preserve"> ne sont pas à faire (Sans Objet)</t>
    </r>
  </si>
  <si>
    <r>
      <t xml:space="preserve"> : Si </t>
    </r>
    <r>
      <rPr>
        <b/>
        <sz val="10"/>
        <rFont val="Arial"/>
        <family val="2"/>
      </rPr>
      <t>le contrôle</t>
    </r>
    <r>
      <rPr>
        <sz val="10"/>
        <rFont val="Arial"/>
        <family val="2"/>
      </rPr>
      <t xml:space="preserve"> des trvx en cours est </t>
    </r>
    <r>
      <rPr>
        <u/>
        <sz val="10"/>
        <rFont val="Arial"/>
        <family val="2"/>
      </rPr>
      <t>conforme</t>
    </r>
  </si>
  <si>
    <r>
      <t xml:space="preserve"> : Si </t>
    </r>
    <r>
      <rPr>
        <b/>
        <sz val="10"/>
        <rFont val="Arial"/>
        <family val="2"/>
      </rPr>
      <t>le contrôle</t>
    </r>
    <r>
      <rPr>
        <sz val="10"/>
        <rFont val="Arial"/>
        <family val="2"/>
      </rPr>
      <t xml:space="preserve"> des trvx en cours est </t>
    </r>
    <r>
      <rPr>
        <u/>
        <sz val="10"/>
        <rFont val="Arial"/>
        <family val="2"/>
      </rPr>
      <t>non conforme</t>
    </r>
  </si>
  <si>
    <t>DAZSQ008 I Indice b</t>
  </si>
  <si>
    <t>ISOLEMENT DES CABLES</t>
  </si>
  <si>
    <t>Valeur mesurée (ohms)</t>
  </si>
  <si>
    <t>Conforme</t>
  </si>
  <si>
    <t>Non-Conforme</t>
  </si>
  <si>
    <t>Objet de la non-conformité</t>
  </si>
  <si>
    <t>Mesure de l'isolement entre N et Phase 1</t>
  </si>
  <si>
    <t>Mesure de l'isolement entre N et Phase 2</t>
  </si>
  <si>
    <t>Mesure de l'isolement entre N et Phase 3</t>
  </si>
  <si>
    <t>Mesure de l'isolement entre Phase 1 et Phase 2</t>
  </si>
  <si>
    <t>Mesure de l'isolement entre Phase 2 et Phase 3</t>
  </si>
  <si>
    <t>Mesure de l'isolement entre Phase 1 et Phase 3</t>
  </si>
  <si>
    <t>TELEREPORT</t>
  </si>
  <si>
    <t>Sans Objet</t>
  </si>
  <si>
    <t>Conformité du téléreport aux plans du projet (circuits, raccordement)</t>
  </si>
  <si>
    <t>Nombre d'appareils raccordés sur chaque bus (compteurs électroniques + concentrateurs de téléreport) inférieur à 100</t>
  </si>
  <si>
    <t>Contrôle de l'isolement des conducteurs par rapport à la terre</t>
  </si>
  <si>
    <t>Contrôle de l'isolement entre conducteurs</t>
  </si>
  <si>
    <t>Contrôle de la continuité du circuit téléreport</t>
  </si>
  <si>
    <t>Programmation des compteurs électroniques (fournis par le fournisseur d'électricité) sur demande du service local de distribution</t>
  </si>
  <si>
    <t>ENGAGEMENTS ADMINISTRATIFS ET COMMERCIAUX</t>
  </si>
  <si>
    <t>Remise du plan de récolement (ou disquette(s) lisible(s))</t>
  </si>
  <si>
    <t>Signature des engagements administratifs</t>
  </si>
  <si>
    <t>Respect des engagements commerciaux éventuels</t>
  </si>
  <si>
    <t>Remise des fiches de confection d'accessoires BT</t>
  </si>
  <si>
    <t>Entreprise réalisatrice:</t>
  </si>
  <si>
    <t>Cachet:</t>
  </si>
  <si>
    <t>Signature:</t>
  </si>
  <si>
    <t>FICHE DE BRANCHEMENTS</t>
  </si>
  <si>
    <t>ABONNE:</t>
  </si>
  <si>
    <t>n° :</t>
  </si>
  <si>
    <t>Rue:</t>
  </si>
  <si>
    <t>ETAT DU BRANCHEMENT EXTERIEUR EXISTANT</t>
  </si>
  <si>
    <t>Monophasé</t>
  </si>
  <si>
    <t>Coffret existant</t>
  </si>
  <si>
    <t>PRC</t>
  </si>
  <si>
    <t>Triphasé</t>
  </si>
  <si>
    <t>Coffret type</t>
  </si>
  <si>
    <t>NU</t>
  </si>
  <si>
    <t>Aéro-souterrain</t>
  </si>
  <si>
    <t>Souterrain</t>
  </si>
  <si>
    <t>INSTALLATION INTERIEURE</t>
  </si>
  <si>
    <t>Disjoncteur monophasé ND</t>
  </si>
  <si>
    <t>Disjoncteur triphasé ND</t>
  </si>
  <si>
    <t>Disjoncteur monophasé différentiel ……………… mA</t>
  </si>
  <si>
    <t>Disjoncteur triphasé différentiel ……………… mA</t>
  </si>
  <si>
    <t xml:space="preserve">Coupe circuit existant: </t>
  </si>
  <si>
    <t xml:space="preserve">      A remplacer:</t>
  </si>
  <si>
    <t>REPRISE DU BRANCHEMENT (Nature du coffret)</t>
  </si>
  <si>
    <t>S300</t>
  </si>
  <si>
    <t>S2000</t>
  </si>
  <si>
    <t>S22</t>
  </si>
  <si>
    <t>400 A</t>
  </si>
  <si>
    <t>Grille de réseaux</t>
  </si>
  <si>
    <t>Coffret de groupement</t>
  </si>
  <si>
    <t>MESURE DES TENSIONS</t>
  </si>
  <si>
    <t>AVANT COUPURE</t>
  </si>
  <si>
    <t>MONOPHASE</t>
  </si>
  <si>
    <t>TRIPHASE</t>
  </si>
  <si>
    <t xml:space="preserve">N-Ph:
</t>
  </si>
  <si>
    <t>N-Ph1:</t>
  </si>
  <si>
    <t>N-Ph2:</t>
  </si>
  <si>
    <t>N-Ph3:</t>
  </si>
  <si>
    <t>Ph1-Ph2:</t>
  </si>
  <si>
    <t>Ph1-Ph3:</t>
  </si>
  <si>
    <t>Ph2-Ph3:</t>
  </si>
  <si>
    <t>ROTATION DE PHASE</t>
  </si>
  <si>
    <t>A LA MISE EN SERVICE</t>
  </si>
  <si>
    <t>OBSERVATIONS EVENTUELLES:</t>
  </si>
  <si>
    <t>DAZSQ008 J Indice b</t>
  </si>
  <si>
    <t>CONFECTION DES TRANCHEES ET DES ACCESSOIRES 
POSE DES CABLES ET DES COFFRETS</t>
  </si>
  <si>
    <t>Respect du Cahier des Charges et de l'article 49</t>
  </si>
  <si>
    <t>Situation du (des) câble(s) dans la (les) fouille(s)</t>
  </si>
  <si>
    <t>Ecarts entre câbles de concessionnaires différents</t>
  </si>
  <si>
    <t>Couche de sablon en fond de fouille (épaisseur de 10cm sur toute la largeur de la tranchée)</t>
  </si>
  <si>
    <t>Couche de terre fine ou de sable au dessus de la génératrice supérieure des câbles (épaisseur de 10cm)</t>
  </si>
  <si>
    <t>Dispositif avertisseur situé au minimum à 20cm au dessus de la génératrice supérieure des câbles</t>
  </si>
  <si>
    <t>Extrémités des câbles non raccordés (câbles puissance ou téléreport): repérage de chaque extrémité indiquant son aboutissant, extrémités capuchonnées au moyen d'embouts thermo rétractables</t>
  </si>
  <si>
    <t>Fourreau distinct pour chaque câble aux traversées de chaussées, parkings et croisements d'obstacles</t>
  </si>
  <si>
    <t>Forces maximales de traction respectées au déroulage en fonction de la nature des câbles</t>
  </si>
  <si>
    <t>Conformité de la réalisation des accessoires et notamment des boites souterraines</t>
  </si>
  <si>
    <t>Repérage des boîtes par étiquettes</t>
  </si>
  <si>
    <t>Serrage des raccordements dans les coffrets</t>
  </si>
  <si>
    <t>Réalisation des accessoires par des monteurs qualifiés (voir carte de qualification délivrée par l'employeur)</t>
  </si>
  <si>
    <t>Extrémités des extensions de réseau aboutissant dans une grille de raccordement ou coffret 400 A</t>
  </si>
  <si>
    <t>Conformité raccordement du neutre dans les coffrets</t>
  </si>
  <si>
    <t>Equilibrage des phases</t>
  </si>
  <si>
    <t>Elagage</t>
  </si>
  <si>
    <t>Surplomb (convention)</t>
  </si>
  <si>
    <t>Réalisation des fiches de confections d'accessoires BT</t>
  </si>
  <si>
    <t>POSTE</t>
  </si>
  <si>
    <t>Conformité des raccordements</t>
  </si>
  <si>
    <t>Repérage des directions</t>
  </si>
  <si>
    <t>Fourniture des fusibles B.T.A. adaptés</t>
  </si>
  <si>
    <t>MISE A LA TERRE</t>
  </si>
  <si>
    <t>Signature :</t>
  </si>
  <si>
    <t>GUIDE DE COMPACTAGE</t>
  </si>
  <si>
    <t>CLASSIFICATION DES MATERIAUX</t>
  </si>
  <si>
    <t>Type des Matériaux</t>
  </si>
  <si>
    <t>Classe</t>
  </si>
  <si>
    <t>Définition de la classe</t>
  </si>
  <si>
    <t>* Sablons et sables</t>
  </si>
  <si>
    <t>D1</t>
  </si>
  <si>
    <t>D2</t>
  </si>
  <si>
    <t>Alluvionnaires propres et insensibles à l'eau</t>
  </si>
  <si>
    <t>D3</t>
  </si>
  <si>
    <t>DC2</t>
  </si>
  <si>
    <t>concassés avec fines</t>
  </si>
  <si>
    <t>Matériaux pour assise de chaussée</t>
  </si>
  <si>
    <t>OBJECTIFS DE COMPACTAGE A RESPECTER (q4, q3, q2)</t>
  </si>
  <si>
    <t>METHODE A EMPLOYER EN FONCTION DU MATERIEL</t>
  </si>
  <si>
    <t>Objectifs :</t>
  </si>
  <si>
    <t>q4</t>
  </si>
  <si>
    <t>q3</t>
  </si>
  <si>
    <t>q2</t>
  </si>
  <si>
    <t>MATERIEL (FIRALP)</t>
  </si>
  <si>
    <t>D1, D2, D3,</t>
  </si>
  <si>
    <t>D2, D3</t>
  </si>
  <si>
    <t>DC1, DC2</t>
  </si>
  <si>
    <t>PN2</t>
  </si>
  <si>
    <t>nbre passe</t>
  </si>
  <si>
    <t>PN3</t>
  </si>
  <si>
    <t>Waker SRX 65R-2</t>
  </si>
  <si>
    <t>Rouleaux vivrants de type :</t>
  </si>
  <si>
    <t>PV2</t>
  </si>
  <si>
    <t>Delmag J65, V60, V65, V70</t>
  </si>
  <si>
    <t>Niveau Topographique</t>
  </si>
  <si>
    <t>Profondeur de tranchée</t>
  </si>
  <si>
    <t>Rebouchage entre le fourreau et la canalisation</t>
  </si>
  <si>
    <t>Relevé d'alvéoles de PVC France télécoms ou autre</t>
  </si>
  <si>
    <t>Relevé de profil</t>
  </si>
  <si>
    <t>Relevé des prises de terre</t>
  </si>
  <si>
    <t>Respect des coupes types</t>
  </si>
  <si>
    <t>Rotation de phase</t>
  </si>
  <si>
    <t>Test d'isolement  d'un câble électrique</t>
  </si>
  <si>
    <t>Test d'isolement d'une canalisation acier</t>
  </si>
  <si>
    <r>
      <t xml:space="preserve">Waker BS 65Y </t>
    </r>
    <r>
      <rPr>
        <sz val="9"/>
        <rFont val="Arial Narrow"/>
        <family val="2"/>
      </rPr>
      <t>&amp;</t>
    </r>
    <r>
      <rPr>
        <sz val="9"/>
        <rFont val="Arial"/>
        <family val="2"/>
      </rPr>
      <t xml:space="preserve"> DS 72Y</t>
    </r>
  </si>
  <si>
    <r>
      <t xml:space="preserve">Bomag BW 65H </t>
    </r>
    <r>
      <rPr>
        <sz val="9"/>
        <rFont val="Arial Narrow"/>
        <family val="2"/>
      </rPr>
      <t>&amp;</t>
    </r>
    <r>
      <rPr>
        <sz val="9"/>
        <rFont val="Arial"/>
        <family val="2"/>
      </rPr>
      <t xml:space="preserve"> 75H</t>
    </r>
  </si>
  <si>
    <r>
      <t xml:space="preserve">Waker DPU 4045 </t>
    </r>
    <r>
      <rPr>
        <sz val="9"/>
        <rFont val="Arial Narrow"/>
        <family val="2"/>
      </rPr>
      <t>&amp;</t>
    </r>
    <r>
      <rPr>
        <sz val="9"/>
        <rFont val="Arial"/>
        <family val="2"/>
      </rPr>
      <t xml:space="preserve"> 7060</t>
    </r>
  </si>
  <si>
    <r>
      <t xml:space="preserve">Exemple : Le matériau utilisé : </t>
    </r>
    <r>
      <rPr>
        <b/>
        <sz val="9"/>
        <rFont val="Arial"/>
        <family val="2"/>
      </rPr>
      <t>GRH 0/31,5</t>
    </r>
  </si>
  <si>
    <r>
      <t xml:space="preserve">Classification : </t>
    </r>
    <r>
      <rPr>
        <b/>
        <sz val="9"/>
        <rFont val="Arial"/>
        <family val="2"/>
      </rPr>
      <t>DC2</t>
    </r>
  </si>
  <si>
    <r>
      <t xml:space="preserve">Exemple : Compactage de la couche en </t>
    </r>
    <r>
      <rPr>
        <b/>
        <sz val="9"/>
        <rFont val="Arial"/>
        <family val="2"/>
      </rPr>
      <t>q3</t>
    </r>
    <r>
      <rPr>
        <sz val="9"/>
        <rFont val="Arial"/>
        <family val="2"/>
      </rPr>
      <t xml:space="preserve"> (voir tableau ci-dessous)</t>
    </r>
  </si>
  <si>
    <r>
      <t>soit sur les étiquettes signalétiques du matériel qui définit la catégorie (</t>
    </r>
    <r>
      <rPr>
        <b/>
        <sz val="9"/>
        <rFont val="Arial"/>
        <family val="2"/>
      </rPr>
      <t>PN, PV, PQ</t>
    </r>
    <r>
      <rPr>
        <sz val="9"/>
        <rFont val="Arial"/>
        <family val="2"/>
      </rPr>
      <t>).</t>
    </r>
  </si>
  <si>
    <r>
      <t xml:space="preserve">Catégorie : </t>
    </r>
    <r>
      <rPr>
        <b/>
        <sz val="9"/>
        <rFont val="Arial"/>
        <family val="2"/>
      </rPr>
      <t>PN3</t>
    </r>
  </si>
  <si>
    <t>Maître d'ouvrage:</t>
  </si>
  <si>
    <t>Maître d'œuvre:</t>
  </si>
  <si>
    <t>DAZSQ008 Q 
Indice a</t>
  </si>
  <si>
    <t>Commune de:</t>
  </si>
  <si>
    <t>En date  du ……………………………..., il a été procédé à l'essai de pression de la conduite d'eau posée par l'organisme:</t>
  </si>
  <si>
    <t>……………………………………………………………………………………………..</t>
  </si>
  <si>
    <t>Dans la rue: …………………………………………………………………………….</t>
  </si>
  <si>
    <t>Entre ……………………………………… et …………………………………..</t>
  </si>
  <si>
    <t>En présence de ………………………………………………………………………………….</t>
  </si>
  <si>
    <t>Localisation et Caractéristiques du tronçon éprouvé:</t>
  </si>
  <si>
    <t>La pression d'épreuve fixée à ……………..  a été maintenue sur le tronçon pendant une durée de …………….</t>
  </si>
  <si>
    <t>Les variations suivantes ont été observées au manomètre:</t>
  </si>
  <si>
    <t>Début de l'épreuve: …………………………..</t>
  </si>
  <si>
    <t>Pression: ……………………………..</t>
  </si>
  <si>
    <t>Fin d'épreuve: …………………………..</t>
  </si>
  <si>
    <t>Pression: ………………………………</t>
  </si>
  <si>
    <t>L'essai a satisfait aux prescriptions du cahier des charges</t>
  </si>
  <si>
    <t>Remarques:</t>
  </si>
  <si>
    <t>Fait à …………………………..</t>
  </si>
  <si>
    <t>Le ………………………….</t>
  </si>
  <si>
    <t>L'organisme ayant effectué l'essai</t>
  </si>
  <si>
    <t>Le Maître d'ouvrage ou Maître d'Œuvre</t>
  </si>
  <si>
    <t>Nom:</t>
  </si>
  <si>
    <t>Représenté par:</t>
  </si>
  <si>
    <t>Visa</t>
  </si>
  <si>
    <t>FICHE CONTRÔLE TEST ECRAN</t>
  </si>
  <si>
    <t>DAZSQ008 O 
Indice a</t>
  </si>
  <si>
    <t>NATURE DU CABLE</t>
  </si>
  <si>
    <t>CONTRÔLE</t>
  </si>
  <si>
    <t>Résultats</t>
  </si>
  <si>
    <t>Anomalies:</t>
  </si>
  <si>
    <t>N° Appareil:</t>
  </si>
  <si>
    <t>REPARATION</t>
  </si>
  <si>
    <t>Type</t>
  </si>
  <si>
    <t>FICHE D'ENTRETIEN D'ECLAIRAGE PUBLIC</t>
  </si>
  <si>
    <t>Demande d'intervention du:</t>
  </si>
  <si>
    <t>Rues:</t>
  </si>
  <si>
    <t>Code BP</t>
  </si>
  <si>
    <t>Repère des points</t>
  </si>
  <si>
    <t>Projecteur en fosse ou encastré</t>
  </si>
  <si>
    <t>Ballast BHL 125 w.</t>
  </si>
  <si>
    <t>Ballast BSN 70 w.</t>
  </si>
  <si>
    <t>Ballast BSN 100 w.</t>
  </si>
  <si>
    <t>Ballast BSN 150 w.</t>
  </si>
  <si>
    <t>Ballast BSN 250 w.</t>
  </si>
  <si>
    <t>Ballast BSN 400 w.</t>
  </si>
  <si>
    <t>Cartouche 12300</t>
  </si>
  <si>
    <t>Cartouche 12404</t>
  </si>
  <si>
    <t>Cartouche 12410</t>
  </si>
  <si>
    <t>Cartouche 12416</t>
  </si>
  <si>
    <t>Cartouche 13300</t>
  </si>
  <si>
    <t>Cartouche 13406</t>
  </si>
  <si>
    <t>Cartouche 13410</t>
  </si>
  <si>
    <t>Cartouche 13416</t>
  </si>
  <si>
    <t>Cartouche 14332</t>
  </si>
  <si>
    <t>Cartouche 14340</t>
  </si>
  <si>
    <t>Cartouche 14350</t>
  </si>
  <si>
    <t>Adaptateur 12330</t>
  </si>
  <si>
    <t>Coupe circuit  8,5 x 31,5</t>
  </si>
  <si>
    <t>Coupe circuit  10,3 x 38</t>
  </si>
  <si>
    <t>Lampe Fluo Compacte E27</t>
  </si>
  <si>
    <t>Lampe HPLN 125 w.</t>
  </si>
  <si>
    <t>Lampe SON 70 w.</t>
  </si>
  <si>
    <t>Lampe SON 100 w.</t>
  </si>
  <si>
    <t>Lampe SON 150 w.</t>
  </si>
  <si>
    <t>Lampe SON 250 w.</t>
  </si>
  <si>
    <t>Lampe SONT 100 w.</t>
  </si>
  <si>
    <t>Lampe SONT 150 w.</t>
  </si>
  <si>
    <t>Lampe SONT 250 w.</t>
  </si>
  <si>
    <t>Lampe SONT 400 w.</t>
  </si>
  <si>
    <t>FICHE ECHANGE SYSTEMATIQUE</t>
  </si>
  <si>
    <t>Total :</t>
  </si>
  <si>
    <t>BF 80 W</t>
  </si>
  <si>
    <t>BF 125 W</t>
  </si>
  <si>
    <t>BF 250 W</t>
  </si>
  <si>
    <t>BF 400 W</t>
  </si>
  <si>
    <t>SHP 70 W</t>
  </si>
  <si>
    <t>SHP 100 W ovo.</t>
  </si>
  <si>
    <t>SHP 100 W tub.</t>
  </si>
  <si>
    <t>SHP 150 W ovo.</t>
  </si>
  <si>
    <t>SHP 150 W tub.</t>
  </si>
  <si>
    <t xml:space="preserve">SHP 250 W </t>
  </si>
  <si>
    <t>SHP 400 W</t>
  </si>
  <si>
    <t xml:space="preserve">HPIT 250 W </t>
  </si>
  <si>
    <t xml:space="preserve">HPIT 400 W </t>
  </si>
  <si>
    <t>TLD 18 W</t>
  </si>
  <si>
    <t>CDM-T 70 W</t>
  </si>
  <si>
    <t>CDM-T 150 W</t>
  </si>
  <si>
    <t>Nom</t>
  </si>
  <si>
    <t xml:space="preserve"> - Constat d'huissier</t>
  </si>
  <si>
    <t xml:space="preserve"> - Fiche d'accueil chantier</t>
  </si>
  <si>
    <t>Sites stockage matériel, matériaux, base vie</t>
  </si>
  <si>
    <t>N° de téléphone client(s) et des intervenants sur le chantier</t>
  </si>
  <si>
    <t>CLIENT :</t>
  </si>
  <si>
    <t>Section contrôlée :</t>
  </si>
  <si>
    <t>Chambre d'origine :</t>
  </si>
  <si>
    <t xml:space="preserve">n°:  </t>
  </si>
  <si>
    <t>Chambre d'extrémité :</t>
  </si>
  <si>
    <t>PLAN :</t>
  </si>
  <si>
    <t>Masque d'origine :</t>
  </si>
  <si>
    <t>(dos au central)</t>
  </si>
  <si>
    <t>Gabarit propulsé :</t>
  </si>
  <si>
    <t>Pression maximale Mpa :</t>
  </si>
  <si>
    <t>Débit maximal (l/mm)</t>
  </si>
  <si>
    <t>Gabarit tracté :</t>
  </si>
  <si>
    <t>Force de traction maximale (daN) :</t>
  </si>
  <si>
    <t>Gabarit poussé :</t>
  </si>
  <si>
    <t>Force de poussée maximale (daN) :</t>
  </si>
  <si>
    <t>Plus petit rayon de courbure (m) :</t>
  </si>
  <si>
    <t>Longueur du gabarit utilisé (mm) pour les tuyaux rigides de diamètre :</t>
  </si>
  <si>
    <t>A</t>
  </si>
  <si>
    <t>Numéro d'alvéole</t>
  </si>
  <si>
    <t>Commentaire ( Ø Passant, destination des tubes ….)</t>
  </si>
  <si>
    <t>B</t>
  </si>
  <si>
    <t>D</t>
  </si>
  <si>
    <t>E</t>
  </si>
  <si>
    <t>F</t>
  </si>
  <si>
    <t>G</t>
  </si>
  <si>
    <t>H</t>
  </si>
  <si>
    <t>I</t>
  </si>
  <si>
    <t>J</t>
  </si>
  <si>
    <t>K</t>
  </si>
  <si>
    <t>L</t>
  </si>
  <si>
    <t>M</t>
  </si>
  <si>
    <t>N</t>
  </si>
  <si>
    <t>ENTREPRISE</t>
  </si>
  <si>
    <t>REPRESENTANT CLIENT</t>
  </si>
  <si>
    <t>Nom :</t>
  </si>
  <si>
    <t>X : Alvéole passante      O : Alvéole non passante</t>
  </si>
  <si>
    <r>
      <t>Rappel:</t>
    </r>
    <r>
      <rPr>
        <sz val="12"/>
        <rFont val="Arial"/>
        <family val="2"/>
      </rPr>
      <t xml:space="preserve"> ces dossiers chantiers doivent impérativement être remis au chef d'équipe 48h minimum avant le début des travaux</t>
    </r>
  </si>
  <si>
    <r>
      <t xml:space="preserve">Ce fichier est placé sur le portail dans le processus "Préparation/Dossier Chantier". </t>
    </r>
    <r>
      <rPr>
        <b/>
        <sz val="12"/>
        <color indexed="10"/>
        <rFont val="Arial"/>
        <family val="2"/>
      </rPr>
      <t>Seule la version du portail est à jour</t>
    </r>
  </si>
  <si>
    <t>Description</t>
  </si>
  <si>
    <t>Fiche de progrès</t>
  </si>
  <si>
    <t>Fiche technique de prise de terre</t>
  </si>
  <si>
    <t>FICHE D'ACCUEIL  des ENTREPRISES
SOUS-TRAITANTES</t>
  </si>
  <si>
    <t>NOM ou  RAISON SOCIALE:</t>
  </si>
  <si>
    <t>N° SIRET :</t>
  </si>
  <si>
    <t>DESCRIPTION:</t>
  </si>
  <si>
    <t>Date  de l'inspection commune</t>
  </si>
  <si>
    <t>Nom du participant:</t>
  </si>
  <si>
    <t>C - QUESTIONNAIRE</t>
  </si>
  <si>
    <t xml:space="preserve">Commencé le: </t>
  </si>
  <si>
    <t>Bout perdu dans coffret existant</t>
  </si>
  <si>
    <t>Mise sous tension</t>
  </si>
  <si>
    <t>PROFONDEUR</t>
  </si>
  <si>
    <t>=</t>
  </si>
  <si>
    <t>LARGEUR =</t>
  </si>
  <si>
    <t xml:space="preserve">Semaine N°     du               au  </t>
  </si>
  <si>
    <t>N° d'affaire :</t>
  </si>
  <si>
    <t>Casque de sécurité</t>
  </si>
  <si>
    <t>Lunette de sécurité</t>
  </si>
  <si>
    <t>Casque anti bruit</t>
  </si>
  <si>
    <t>Veste de travail</t>
  </si>
  <si>
    <t>Pantalon de travail</t>
  </si>
  <si>
    <t>Chaussure de sécurité</t>
  </si>
  <si>
    <t>Gant de sécurité</t>
  </si>
  <si>
    <t>Gilet de signalisation</t>
  </si>
  <si>
    <t>Ensemble pluie</t>
  </si>
  <si>
    <t>Lunette Masque</t>
  </si>
  <si>
    <t>Masque d'hygiène</t>
  </si>
  <si>
    <t>oui</t>
  </si>
  <si>
    <t>non</t>
  </si>
  <si>
    <r>
      <t xml:space="preserve">Pour les équipements n'étant pas de rigueur porter la mention </t>
    </r>
    <r>
      <rPr>
        <b/>
        <sz val="12"/>
        <rFont val="Arial"/>
        <family val="2"/>
      </rPr>
      <t>SO</t>
    </r>
    <r>
      <rPr>
        <sz val="12"/>
        <rFont val="Arial"/>
        <family val="2"/>
      </rPr>
      <t xml:space="preserve"> (sans objet)</t>
    </r>
  </si>
  <si>
    <r>
      <t xml:space="preserve">Types d' </t>
    </r>
    <r>
      <rPr>
        <b/>
        <sz val="14"/>
        <rFont val="Arial"/>
        <family val="2"/>
      </rPr>
      <t>E</t>
    </r>
    <r>
      <rPr>
        <sz val="14"/>
        <rFont val="Arial"/>
        <family val="2"/>
      </rPr>
      <t xml:space="preserve">quipement(s) de </t>
    </r>
    <r>
      <rPr>
        <b/>
        <sz val="14"/>
        <rFont val="Arial"/>
        <family val="2"/>
      </rPr>
      <t>P</t>
    </r>
    <r>
      <rPr>
        <sz val="14"/>
        <rFont val="Arial"/>
        <family val="2"/>
      </rPr>
      <t xml:space="preserve">rotection </t>
    </r>
    <r>
      <rPr>
        <b/>
        <sz val="14"/>
        <rFont val="Arial"/>
        <family val="2"/>
      </rPr>
      <t>I</t>
    </r>
    <r>
      <rPr>
        <sz val="14"/>
        <rFont val="Arial"/>
        <family val="2"/>
      </rPr>
      <t>ndividuel</t>
    </r>
  </si>
  <si>
    <t>Commande ou OS client</t>
  </si>
  <si>
    <t>DICT</t>
  </si>
  <si>
    <t>ARRETES DE CIRCULATION/ AUTORISATIONS DE TRAVAIL</t>
  </si>
  <si>
    <t>Plans de circulation et prescriptions voiries</t>
  </si>
  <si>
    <t>Arrêté de circulation</t>
  </si>
  <si>
    <t>APPROVISIONNEMENTS</t>
  </si>
  <si>
    <t>Bons jaunes agrégats</t>
  </si>
  <si>
    <t xml:space="preserve">Liste des contrôles à réaliser </t>
  </si>
  <si>
    <t>HYGIENE, SECURITE ET ENVIRONNEMENT</t>
  </si>
  <si>
    <t>Constat d'huissier</t>
  </si>
  <si>
    <t>Echange de courrier avec le client</t>
  </si>
  <si>
    <t>Passage Aspirateur</t>
  </si>
  <si>
    <t>Mise en place protection</t>
  </si>
  <si>
    <t>Décontamination</t>
  </si>
  <si>
    <t>REMBLAIEMENT</t>
  </si>
  <si>
    <t>terminé le:</t>
  </si>
  <si>
    <t>techniques pour connaître les valeurs limites acceptables.</t>
  </si>
  <si>
    <t>Sur béton sec</t>
  </si>
  <si>
    <t>Remblai par couche (épaisseur)</t>
  </si>
  <si>
    <t>Nombre de passes</t>
  </si>
  <si>
    <t>Grillage avertisseur</t>
  </si>
  <si>
    <t>Traçage des conduites existantes</t>
  </si>
  <si>
    <t>Respect coupes types (ép.)</t>
  </si>
  <si>
    <t>Essai compactage</t>
  </si>
  <si>
    <t>Point Haut/ Bas</t>
  </si>
  <si>
    <t>Altitude des réseaux existants</t>
  </si>
  <si>
    <t>REFECTIONS</t>
  </si>
  <si>
    <t>PROVISOIRE</t>
  </si>
  <si>
    <t>terminée le:</t>
  </si>
  <si>
    <t>Enrobé à froid (ép.)</t>
  </si>
  <si>
    <t>Pavage</t>
  </si>
  <si>
    <t>DEFINITIVE</t>
  </si>
  <si>
    <t>Respect des plans</t>
  </si>
  <si>
    <t>Couche d'accrochage</t>
  </si>
  <si>
    <t>Respect de la coupe type</t>
  </si>
  <si>
    <t>Enrobé à chaud (ép.)</t>
  </si>
  <si>
    <t>Respect des pentes</t>
  </si>
  <si>
    <t>Joints</t>
  </si>
  <si>
    <t>Réglage du fond</t>
  </si>
  <si>
    <t>Multicouches</t>
  </si>
  <si>
    <t>Lit de sable (épaisseurs)</t>
  </si>
  <si>
    <t>Remise en état terrain/ cultures le:</t>
  </si>
  <si>
    <t>POSE</t>
  </si>
  <si>
    <t>POSE ou COULAGE des dalles commencé le:</t>
  </si>
  <si>
    <t>Remblai / réfections des trous pour les raccordements</t>
  </si>
  <si>
    <t>Temps de séchage du coulage des dalles:</t>
  </si>
  <si>
    <t>Coulage du radier</t>
  </si>
  <si>
    <t>Coulage du caniveau</t>
  </si>
  <si>
    <t>Respect coupe(s) type</t>
  </si>
  <si>
    <t>Mortier de pose</t>
  </si>
  <si>
    <t>Envoyé le :</t>
  </si>
  <si>
    <t>Joints des dalles</t>
  </si>
  <si>
    <t>Ferraillage / Coffrage</t>
  </si>
  <si>
    <t>Equipements</t>
  </si>
  <si>
    <t>Finitions intérieures</t>
  </si>
  <si>
    <r>
      <t xml:space="preserve">SONDAGES </t>
    </r>
    <r>
      <rPr>
        <sz val="10"/>
        <rFont val="Arial"/>
        <family val="2"/>
      </rPr>
      <t>(confirmation du projet)</t>
    </r>
  </si>
  <si>
    <r>
      <t xml:space="preserve">PROFIL </t>
    </r>
    <r>
      <rPr>
        <sz val="10"/>
        <rFont val="Arial"/>
        <family val="2"/>
      </rPr>
      <t>(ou Plan de récolement)</t>
    </r>
  </si>
  <si>
    <t>FORMULAIRE PROFIL FORAGE</t>
  </si>
  <si>
    <t>Adresse:</t>
  </si>
  <si>
    <t>Diamètre d'alésage n°1</t>
  </si>
  <si>
    <t>TRONCON</t>
  </si>
  <si>
    <t>Diamètre d'alésage n°2</t>
  </si>
  <si>
    <t>Mandrin ou gabarit</t>
  </si>
  <si>
    <t>Contrôle soudure</t>
  </si>
  <si>
    <t>Tout tuyau FT</t>
  </si>
  <si>
    <t>Fiche Disconnecteurs</t>
  </si>
  <si>
    <t>Contrôles HTB</t>
  </si>
  <si>
    <t xml:space="preserve">Tout tuyau gaz acier </t>
  </si>
  <si>
    <t>Mousse synthétique</t>
  </si>
  <si>
    <t xml:space="preserve">Effort de tirage </t>
  </si>
  <si>
    <t>Tout type de tuyau</t>
  </si>
  <si>
    <t>Niveau optique</t>
  </si>
  <si>
    <t>Formulaire de profil</t>
  </si>
  <si>
    <t>Epaisseur du lit de sable</t>
  </si>
  <si>
    <t>Tout type de tuyau d'assainissement</t>
  </si>
  <si>
    <t>Nivelette</t>
  </si>
  <si>
    <t>Plan de contrôle réseau aérien</t>
  </si>
  <si>
    <t>Epaisseur du radier béton</t>
  </si>
  <si>
    <t>Releveur</t>
  </si>
  <si>
    <t>Toute mise à la terre</t>
  </si>
  <si>
    <t xml:space="preserve">Pénétromètre panda ou PG 1000 </t>
  </si>
  <si>
    <t>Essai de compactage</t>
  </si>
  <si>
    <t>Soudeur</t>
  </si>
  <si>
    <t>Pompe à essai</t>
  </si>
  <si>
    <t>Plan minute (profil)</t>
  </si>
  <si>
    <t>Essai de conduite GAZ</t>
  </si>
  <si>
    <t>Règle au mercure ou DPI</t>
  </si>
  <si>
    <t>Procès verbal d'essai d'étanchéité de conduite GAZ</t>
  </si>
  <si>
    <t>Essai de mandrinage</t>
  </si>
  <si>
    <t>Relevé Graphique</t>
  </si>
  <si>
    <t>Essai de portance</t>
  </si>
  <si>
    <t>Rotorphase</t>
  </si>
  <si>
    <t>Relevé Graphique ou plan minute</t>
  </si>
  <si>
    <t>Essai de pression</t>
  </si>
  <si>
    <t>Sarbacane ou drainage</t>
  </si>
  <si>
    <t>Vie de chantier</t>
  </si>
  <si>
    <t>Essai d'étanchéité à l'air</t>
  </si>
  <si>
    <t>Telluromètre ou ohmmètre</t>
  </si>
  <si>
    <t>Visuel</t>
  </si>
  <si>
    <t>Essai d'étanchéité à l'eau</t>
  </si>
  <si>
    <t>Mesure de la protection cathodique</t>
  </si>
  <si>
    <t>Mise en place d'évents</t>
  </si>
  <si>
    <t>Nettoyage d'un tuyau GAZ</t>
  </si>
  <si>
    <r>
      <t xml:space="preserve">Suivant le </t>
    </r>
    <r>
      <rPr>
        <b/>
        <sz val="9"/>
        <rFont val="Arial"/>
        <family val="2"/>
      </rPr>
      <t>guide technique</t>
    </r>
    <r>
      <rPr>
        <sz val="9"/>
        <rFont val="Arial"/>
        <family val="2"/>
      </rPr>
      <t xml:space="preserve"> "</t>
    </r>
    <r>
      <rPr>
        <u/>
        <sz val="9"/>
        <rFont val="Arial"/>
        <family val="2"/>
      </rPr>
      <t>REMBLAYAGE DES TRANCHEES ET REFECTION DES CHAUSSEES</t>
    </r>
    <r>
      <rPr>
        <sz val="9"/>
        <rFont val="Arial"/>
        <family val="2"/>
      </rPr>
      <t>" de mai 1994</t>
    </r>
  </si>
  <si>
    <r>
      <t xml:space="preserve">SETRA/LCPC </t>
    </r>
    <r>
      <rPr>
        <sz val="9"/>
        <rFont val="Arial Narrow"/>
        <family val="2"/>
      </rPr>
      <t>&amp;</t>
    </r>
    <r>
      <rPr>
        <sz val="9"/>
        <rFont val="Arial"/>
        <family val="2"/>
      </rPr>
      <t xml:space="preserve"> la norme NF P 98-331 septembre 94</t>
    </r>
  </si>
  <si>
    <r>
      <t xml:space="preserve">Les </t>
    </r>
    <r>
      <rPr>
        <u/>
        <sz val="9"/>
        <rFont val="Arial"/>
        <family val="2"/>
      </rPr>
      <t>Sables alluvionnaires</t>
    </r>
    <r>
      <rPr>
        <sz val="9"/>
        <rFont val="Arial"/>
        <family val="2"/>
      </rPr>
      <t xml:space="preserve"> insensibles à l'eau</t>
    </r>
  </si>
  <si>
    <r>
      <t xml:space="preserve">* TV </t>
    </r>
    <r>
      <rPr>
        <b/>
        <sz val="9"/>
        <rFont val="Arial"/>
        <family val="2"/>
      </rPr>
      <t>0/20</t>
    </r>
    <r>
      <rPr>
        <sz val="9"/>
        <rFont val="Arial"/>
        <family val="2"/>
      </rPr>
      <t xml:space="preserve"> jusqu'à TV </t>
    </r>
    <r>
      <rPr>
        <b/>
        <sz val="9"/>
        <rFont val="Arial"/>
        <family val="2"/>
      </rPr>
      <t>0/50</t>
    </r>
  </si>
  <si>
    <r>
      <t xml:space="preserve">Les TV </t>
    </r>
    <r>
      <rPr>
        <sz val="9"/>
        <rFont val="Arial Narrow"/>
        <family val="2"/>
      </rPr>
      <t xml:space="preserve">≤ </t>
    </r>
    <r>
      <rPr>
        <sz val="9"/>
        <rFont val="Arial"/>
        <family val="2"/>
      </rPr>
      <t xml:space="preserve">50 mm </t>
    </r>
    <r>
      <rPr>
        <i/>
        <sz val="9"/>
        <rFont val="Arial"/>
        <family val="2"/>
      </rPr>
      <t xml:space="preserve">Sables et </t>
    </r>
    <r>
      <rPr>
        <i/>
        <u/>
        <sz val="9"/>
        <rFont val="Arial"/>
        <family val="2"/>
      </rPr>
      <t>Graves Naturelles</t>
    </r>
  </si>
  <si>
    <r>
      <t xml:space="preserve">* TV </t>
    </r>
    <r>
      <rPr>
        <b/>
        <sz val="9"/>
        <rFont val="Arial"/>
        <family val="2"/>
      </rPr>
      <t>0/60</t>
    </r>
    <r>
      <rPr>
        <sz val="9"/>
        <rFont val="Arial"/>
        <family val="2"/>
      </rPr>
      <t xml:space="preserve">, </t>
    </r>
    <r>
      <rPr>
        <b/>
        <sz val="9"/>
        <rFont val="Arial"/>
        <family val="2"/>
      </rPr>
      <t>0/100</t>
    </r>
    <r>
      <rPr>
        <sz val="9"/>
        <rFont val="Arial"/>
        <family val="2"/>
      </rPr>
      <t xml:space="preserve"> et plus</t>
    </r>
  </si>
  <si>
    <r>
      <t xml:space="preserve">Les T.V &gt; 50 mm </t>
    </r>
    <r>
      <rPr>
        <i/>
        <sz val="9"/>
        <rFont val="Arial"/>
        <family val="2"/>
      </rPr>
      <t>Graves Naturelles</t>
    </r>
  </si>
  <si>
    <r>
      <t xml:space="preserve">* </t>
    </r>
    <r>
      <rPr>
        <b/>
        <sz val="9"/>
        <rFont val="Arial"/>
        <family val="2"/>
      </rPr>
      <t>GNT</t>
    </r>
    <r>
      <rPr>
        <sz val="9"/>
        <rFont val="Arial"/>
        <family val="2"/>
      </rPr>
      <t xml:space="preserve"> (type B) </t>
    </r>
    <r>
      <rPr>
        <b/>
        <sz val="9"/>
        <rFont val="Arial"/>
        <family val="2"/>
      </rPr>
      <t>0/14</t>
    </r>
    <r>
      <rPr>
        <sz val="9"/>
        <rFont val="Arial"/>
        <family val="2"/>
      </rPr>
      <t xml:space="preserve"> jusqu'à </t>
    </r>
    <r>
      <rPr>
        <b/>
        <sz val="9"/>
        <rFont val="Arial"/>
        <family val="2"/>
      </rPr>
      <t>0/63</t>
    </r>
  </si>
  <si>
    <r>
      <t xml:space="preserve">GRH 0/31,5 ; 0/40 </t>
    </r>
    <r>
      <rPr>
        <i/>
        <sz val="9"/>
        <rFont val="Arial"/>
        <family val="2"/>
      </rPr>
      <t>Matériaux faiblement</t>
    </r>
  </si>
  <si>
    <r>
      <t xml:space="preserve">* </t>
    </r>
    <r>
      <rPr>
        <b/>
        <sz val="9"/>
        <rFont val="Arial"/>
        <family val="2"/>
      </rPr>
      <t>G</t>
    </r>
    <r>
      <rPr>
        <sz val="9"/>
        <rFont val="Arial"/>
        <family val="2"/>
      </rPr>
      <t xml:space="preserve">rave </t>
    </r>
    <r>
      <rPr>
        <b/>
        <sz val="9"/>
        <rFont val="Arial"/>
        <family val="2"/>
      </rPr>
      <t>C</t>
    </r>
    <r>
      <rPr>
        <sz val="9"/>
        <rFont val="Arial"/>
        <family val="2"/>
      </rPr>
      <t xml:space="preserve">iment </t>
    </r>
    <r>
      <rPr>
        <sz val="9"/>
        <rFont val="Arial Narrow"/>
        <family val="2"/>
      </rPr>
      <t xml:space="preserve">&amp; </t>
    </r>
    <r>
      <rPr>
        <b/>
        <sz val="9"/>
        <rFont val="Arial"/>
        <family val="2"/>
      </rPr>
      <t>G</t>
    </r>
    <r>
      <rPr>
        <sz val="9"/>
        <rFont val="Arial"/>
        <family val="2"/>
      </rPr>
      <t xml:space="preserve">rave </t>
    </r>
    <r>
      <rPr>
        <b/>
        <sz val="9"/>
        <rFont val="Arial"/>
        <family val="2"/>
      </rPr>
      <t>B</t>
    </r>
    <r>
      <rPr>
        <sz val="9"/>
        <rFont val="Arial"/>
        <family val="2"/>
      </rPr>
      <t>itume</t>
    </r>
  </si>
  <si>
    <r>
      <t>Type de matériaux</t>
    </r>
    <r>
      <rPr>
        <i/>
        <sz val="9"/>
        <rFont val="Arial"/>
        <family val="2"/>
      </rPr>
      <t xml:space="preserve"> :</t>
    </r>
  </si>
  <si>
    <r>
      <t>Pilonneuses vibrantes de type</t>
    </r>
    <r>
      <rPr>
        <sz val="9"/>
        <rFont val="Arial"/>
        <family val="2"/>
      </rPr>
      <t xml:space="preserve"> :</t>
    </r>
  </si>
  <si>
    <r>
      <t xml:space="preserve">ép. </t>
    </r>
    <r>
      <rPr>
        <i/>
        <sz val="9"/>
        <rFont val="Arial"/>
        <family val="2"/>
      </rPr>
      <t>Compactée</t>
    </r>
    <r>
      <rPr>
        <sz val="9"/>
        <rFont val="Arial"/>
        <family val="2"/>
      </rPr>
      <t xml:space="preserve"> (cm)</t>
    </r>
  </si>
  <si>
    <r>
      <t xml:space="preserve">Waker BS 60Y </t>
    </r>
    <r>
      <rPr>
        <sz val="9"/>
        <rFont val="Arial Narrow"/>
        <family val="2"/>
      </rPr>
      <t>&amp;</t>
    </r>
    <r>
      <rPr>
        <sz val="9"/>
        <rFont val="Arial"/>
        <family val="2"/>
      </rPr>
      <t xml:space="preserve"> BS 62Y</t>
    </r>
  </si>
  <si>
    <t>Temps d'essai (min)</t>
  </si>
  <si>
    <t>DN 100</t>
  </si>
  <si>
    <t>DN 200</t>
  </si>
  <si>
    <t>DN 300</t>
  </si>
  <si>
    <t>DN 400</t>
  </si>
  <si>
    <t>DN 600</t>
  </si>
  <si>
    <t>DN 800</t>
  </si>
  <si>
    <t>DN 1000</t>
  </si>
  <si>
    <t>Tuyaux béton non mouillés</t>
  </si>
  <si>
    <t>LA</t>
  </si>
  <si>
    <t>LB</t>
  </si>
  <si>
    <t>LC</t>
  </si>
  <si>
    <t>LD</t>
  </si>
  <si>
    <t>Tuyaux béton mouillés et tous les autres matériaux</t>
  </si>
  <si>
    <r>
      <t xml:space="preserve">Waker BS 60Y </t>
    </r>
    <r>
      <rPr>
        <sz val="6"/>
        <rFont val="Arial Narrow"/>
        <family val="2"/>
      </rPr>
      <t>&amp;</t>
    </r>
    <r>
      <rPr>
        <sz val="6"/>
        <rFont val="Arial"/>
        <family val="2"/>
      </rPr>
      <t xml:space="preserve"> BS 62Y</t>
    </r>
  </si>
  <si>
    <r>
      <t xml:space="preserve">Waker BS 65Y </t>
    </r>
    <r>
      <rPr>
        <sz val="6"/>
        <rFont val="Arial Narrow"/>
        <family val="2"/>
      </rPr>
      <t>&amp;</t>
    </r>
    <r>
      <rPr>
        <sz val="6"/>
        <rFont val="Arial"/>
        <family val="2"/>
      </rPr>
      <t xml:space="preserve"> DS 72Y</t>
    </r>
  </si>
  <si>
    <r>
      <t>Rouleaux vibrantes de type</t>
    </r>
    <r>
      <rPr>
        <sz val="6"/>
        <rFont val="Arial"/>
        <family val="2"/>
      </rPr>
      <t xml:space="preserve"> :</t>
    </r>
  </si>
  <si>
    <r>
      <t xml:space="preserve">Bomag BW 65H </t>
    </r>
    <r>
      <rPr>
        <sz val="6"/>
        <rFont val="Arial Narrow"/>
        <family val="2"/>
      </rPr>
      <t>&amp;</t>
    </r>
    <r>
      <rPr>
        <sz val="6"/>
        <rFont val="Arial"/>
        <family val="2"/>
      </rPr>
      <t xml:space="preserve"> 75H</t>
    </r>
  </si>
  <si>
    <r>
      <t>Plaques vibrantes de type</t>
    </r>
    <r>
      <rPr>
        <sz val="6"/>
        <rFont val="Arial"/>
        <family val="2"/>
      </rPr>
      <t xml:space="preserve"> :</t>
    </r>
  </si>
  <si>
    <r>
      <t xml:space="preserve">Waker DPU 4045 </t>
    </r>
    <r>
      <rPr>
        <sz val="6"/>
        <rFont val="Arial Narrow"/>
        <family val="2"/>
      </rPr>
      <t>&amp;</t>
    </r>
    <r>
      <rPr>
        <sz val="6"/>
        <rFont val="Arial"/>
        <family val="2"/>
      </rPr>
      <t xml:space="preserve"> 7060</t>
    </r>
  </si>
  <si>
    <t>DOSSIER CHANTIER</t>
  </si>
  <si>
    <t>DOCUMENTS D'EXECUTION / PROJET</t>
  </si>
  <si>
    <t xml:space="preserve"> - Plans de Travaux</t>
  </si>
  <si>
    <t xml:space="preserve"> - Compte rendu de la réunion d'ouverture de chantier</t>
  </si>
  <si>
    <t xml:space="preserve"> - Comptes rendus des réunions de chantier</t>
  </si>
  <si>
    <t xml:space="preserve"> - Modes Opératoires</t>
  </si>
  <si>
    <t xml:space="preserve"> - Commande ou OS Client</t>
  </si>
  <si>
    <t>CLIENT:</t>
  </si>
  <si>
    <t>Début prévu des travaux:</t>
  </si>
  <si>
    <t>Fin des travaux:</t>
  </si>
  <si>
    <t>Coupes Types jointes ci-dessous</t>
  </si>
  <si>
    <t>e1 = épaisseur du lit de pose en cm (sable ou béton)</t>
  </si>
  <si>
    <t>e2 = épaisseur de la protection sur l'ouvrage en cm (sable ou béton)</t>
  </si>
  <si>
    <t>REUNION DE CHANTIER</t>
  </si>
  <si>
    <t>DAZSQ007 B Indice a</t>
  </si>
  <si>
    <t>Réunion du:</t>
  </si>
  <si>
    <t>Désignation des travaux:</t>
  </si>
  <si>
    <t>Début réel des travaux:</t>
  </si>
  <si>
    <t>Noms</t>
  </si>
  <si>
    <t>Fonctions</t>
  </si>
  <si>
    <t>Coordonnées</t>
  </si>
  <si>
    <t>Visas</t>
  </si>
  <si>
    <t>Tél:
Fax:</t>
  </si>
  <si>
    <t>Compte rendu de la réunion d'ouverture de chantier</t>
  </si>
  <si>
    <t>Les comptes rendus des réunions suivantes (si existantes) sont à joindre au présent document</t>
  </si>
  <si>
    <t xml:space="preserve">Guide pour la visite de site
</t>
  </si>
  <si>
    <t>Terrassements</t>
  </si>
  <si>
    <t>Largeur des voies</t>
  </si>
  <si>
    <t>Stockage et manutention des matériaux</t>
  </si>
  <si>
    <t>Tonnage ou hauteur des ponts</t>
  </si>
  <si>
    <t xml:space="preserve">Carrière </t>
  </si>
  <si>
    <t>Décharge</t>
  </si>
  <si>
    <t>Circulation</t>
  </si>
  <si>
    <t>Fournisseurs divers</t>
  </si>
  <si>
    <t>Sens unique</t>
  </si>
  <si>
    <t>Double sens</t>
  </si>
  <si>
    <t>Dépose et repose de bordures</t>
  </si>
  <si>
    <t>Stationnement</t>
  </si>
  <si>
    <t>Feux tricolores</t>
  </si>
  <si>
    <t>Création d'une piste</t>
  </si>
  <si>
    <t>Environnement</t>
  </si>
  <si>
    <t>Indemnité dégâts de cultures</t>
  </si>
  <si>
    <t>Habitations</t>
  </si>
  <si>
    <t>ZI, Usines</t>
  </si>
  <si>
    <t>Dépose et repose de clôtures</t>
  </si>
  <si>
    <t>Les accès (pompiers, usines, écoles…)</t>
  </si>
  <si>
    <t>Bois</t>
  </si>
  <si>
    <t>Etat du site</t>
  </si>
  <si>
    <t>Mobilier urbain (abris bus, lampadaires, panneaux de signalisation…)</t>
  </si>
  <si>
    <t>Mur détérioré
Propriété privée</t>
  </si>
  <si>
    <t>Cultures</t>
  </si>
  <si>
    <t>Zone de stockage de matériel ou de matériaux à déplacer</t>
  </si>
  <si>
    <t>Forte pente</t>
  </si>
  <si>
    <t>Etat des haies et des clôtures</t>
  </si>
  <si>
    <t>Nivellement du terrain</t>
  </si>
  <si>
    <t>Revêtements Chaussées ou Trottoirs</t>
  </si>
  <si>
    <t>Epaisseur des revêtements</t>
  </si>
  <si>
    <t>Poste</t>
  </si>
  <si>
    <t>Asphalte (noir, rouge)</t>
  </si>
  <si>
    <t>Piste d'accès</t>
  </si>
  <si>
    <t>Enrobé chaud (noir, rouge)</t>
  </si>
  <si>
    <t>Proximité d'ouvrages sous tension (travail à la main)</t>
  </si>
  <si>
    <t>Bicouche</t>
  </si>
  <si>
    <t>Pavé</t>
  </si>
  <si>
    <t>Balisage du poste</t>
  </si>
  <si>
    <t>Dalle béton</t>
  </si>
  <si>
    <t>Gazon, terre de culture</t>
  </si>
  <si>
    <t>Galerie</t>
  </si>
  <si>
    <t>Trappes d'accès (nombre, dimension…)</t>
  </si>
  <si>
    <t>Encombrement visible du sous-sol</t>
  </si>
  <si>
    <t>Eclairage de la galerie</t>
  </si>
  <si>
    <t>Présence de concessionnaires non portés sur les plans</t>
  </si>
  <si>
    <t>Dimension de la galerie</t>
  </si>
  <si>
    <t>Présence d'eau</t>
  </si>
  <si>
    <t>Présence d'eau nécessitant du pompage</t>
  </si>
  <si>
    <t>Présence de câble sous tension</t>
  </si>
  <si>
    <t>Caniveaux techniques (dépose des dalles ou dalots)</t>
  </si>
  <si>
    <t>Présence de rocher</t>
  </si>
  <si>
    <t>Positionnement des tourets pour le déroulage</t>
  </si>
  <si>
    <t>Lignes aériennes</t>
  </si>
  <si>
    <t>Position de la grue</t>
  </si>
  <si>
    <t>Sens de déroulage</t>
  </si>
  <si>
    <t xml:space="preserve">Accès pour livraison des tourets </t>
  </si>
  <si>
    <t>Nécessité d'une dérouleuse</t>
  </si>
  <si>
    <t xml:space="preserve"> - Plans de circulation et prescriptions voiries</t>
  </si>
  <si>
    <t xml:space="preserve"> - Arrêté de circulation</t>
  </si>
  <si>
    <t xml:space="preserve"> - Plans de signalisation</t>
  </si>
  <si>
    <t xml:space="preserve"> - Bons jaunes agrégats</t>
  </si>
  <si>
    <t xml:space="preserve"> - Plan de situation des sites agrégats et identification des sites de stockage</t>
  </si>
  <si>
    <t xml:space="preserve"> - Liste des contrôles à réaliser</t>
  </si>
  <si>
    <t xml:space="preserve"> - Vie de chantier (ou Vie de chantier journalière)</t>
  </si>
  <si>
    <t xml:space="preserve"> - Fiche de progrès</t>
  </si>
  <si>
    <t xml:space="preserve"> - Relevé graphique du génie civil exécuté</t>
  </si>
  <si>
    <t xml:space="preserve"> - Fiche de déroulage ou de pose</t>
  </si>
  <si>
    <t xml:space="preserve"> - Fiche technique de prise de terre, test écran, de branchements</t>
  </si>
  <si>
    <t xml:space="preserve"> - Relevé d'alvéoles Chambres France Télecom // Fiche de mandrinage France Telecom</t>
  </si>
  <si>
    <t xml:space="preserve"> - Bon de commande et de réception des végétaux</t>
  </si>
  <si>
    <t xml:space="preserve"> - Fiche de confection de boites</t>
  </si>
  <si>
    <t xml:space="preserve"> - Pose de câbles et coffrets</t>
  </si>
  <si>
    <t xml:space="preserve"> - Formulaire profil forage</t>
  </si>
  <si>
    <t xml:space="preserve"> - Isolement des câbles</t>
  </si>
  <si>
    <t xml:space="preserve"> - Carnet de relevé de pente</t>
  </si>
  <si>
    <t xml:space="preserve"> - Carnet de soudure</t>
  </si>
  <si>
    <t xml:space="preserve"> - Points convocation et arrêt</t>
  </si>
  <si>
    <t xml:space="preserve"> - Réunion, livraison, contrôle, constat défauts, stockage des tourets</t>
  </si>
  <si>
    <t xml:space="preserve"> - Réception pose anticipée de fourreaux</t>
  </si>
  <si>
    <t xml:space="preserve"> - Réception d'ouvrages fournis par le client ou autres</t>
  </si>
  <si>
    <t>N°</t>
  </si>
  <si>
    <t>SO</t>
  </si>
  <si>
    <t>COMMENTAIRES</t>
  </si>
  <si>
    <t>Points d'arrêts client ou FIRALP</t>
  </si>
  <si>
    <t>RdV avec les gestionnaires de voiries pour faire l'état des lieux</t>
  </si>
  <si>
    <t>Valeur de couplage entre………… et ………… neutre  RMN  = …………………. Ohms.                 Rc = (RN +RM - RMN) /2 = . . . . . . .  .. . Ohms</t>
  </si>
  <si>
    <t xml:space="preserve">c = Rc/ RM &lt; 0,15 ou 0,05 (+ télécom) = …………………. </t>
  </si>
  <si>
    <t>Observations éventuelles:</t>
  </si>
  <si>
    <t>Le,</t>
  </si>
  <si>
    <t>DAZSA007 A Indice a</t>
  </si>
  <si>
    <t>N° Marché:</t>
  </si>
  <si>
    <t>Resp. d'Affaires:</t>
  </si>
  <si>
    <t>Description de l'ouvrage:</t>
  </si>
  <si>
    <t>Si NC, n° Fiche de Progrès:</t>
  </si>
  <si>
    <t>NC levée</t>
  </si>
  <si>
    <t>Tranchée</t>
  </si>
  <si>
    <t>Fourreaux</t>
  </si>
  <si>
    <t>Fonçages</t>
  </si>
  <si>
    <t>Câble</t>
  </si>
  <si>
    <t>Caniveaux</t>
  </si>
  <si>
    <t>Conduites à tuber</t>
  </si>
  <si>
    <t>Massif EP</t>
  </si>
  <si>
    <t>Autres (à préciser):</t>
  </si>
  <si>
    <t>SO:  Sans Objet                 C:  Conforme                    NC:  Non-Conforme</t>
  </si>
  <si>
    <t>Réceptionné le ………………………………</t>
  </si>
  <si>
    <t>Pour FIRALP</t>
  </si>
  <si>
    <t>Représentant du client</t>
  </si>
  <si>
    <t>Nom du représentant du client:</t>
  </si>
  <si>
    <t>Visa:</t>
  </si>
  <si>
    <t>Exemple de relevé:</t>
  </si>
  <si>
    <t>Chambre N°:</t>
  </si>
  <si>
    <t>Terminer de compléter manuellement les éléments manquants (ex: liste des contrôles à réaliser par le chef d'équipe)</t>
  </si>
  <si>
    <t>Intégrer les documents manquants (plans, commande, ordre de service, retours DICT…) dans les pochettes adéquates</t>
  </si>
  <si>
    <r>
      <t xml:space="preserve">Les cellules </t>
    </r>
    <r>
      <rPr>
        <b/>
        <sz val="12"/>
        <rFont val="Arial"/>
        <family val="2"/>
      </rPr>
      <t>BLEUES</t>
    </r>
    <r>
      <rPr>
        <sz val="12"/>
        <rFont val="Arial"/>
        <family val="2"/>
      </rPr>
      <t xml:space="preserve"> contiennent des formules et sont complétées automatiquement</t>
    </r>
  </si>
  <si>
    <r>
      <t>CE TABLEAU EST UN GUIDE, SEULS LES RESULTATS DES ESSAIS DE COMPACTAGE VALIDENT LA METHODE EMPLOYEE</t>
    </r>
    <r>
      <rPr>
        <b/>
        <i/>
        <sz val="9"/>
        <rFont val="Arial"/>
        <family val="2"/>
      </rPr>
      <t>.</t>
    </r>
  </si>
  <si>
    <t>Cocher SO si le point ne concerne pas le chantier</t>
  </si>
  <si>
    <t>Sécurité : Pour les tubes de diamètre inférieur ou égal à 45, la pression maxi à ne pas dépasser est 0,4 Mpa (4 Bars)
               Et pour les tubes de diamètre supérieur à 45, la pression maxi à ne pas dépasser est 0,7 Mpa (7 Bars)</t>
  </si>
  <si>
    <t>Harnais de sécurité</t>
  </si>
  <si>
    <t>NON</t>
  </si>
  <si>
    <t>Fiche de déroulage</t>
  </si>
  <si>
    <t>Contrôle d'écoulement des murs (soutènement)</t>
  </si>
  <si>
    <t>Maçon</t>
  </si>
  <si>
    <t>Tout câble en triphasé</t>
  </si>
  <si>
    <t>Dynaplaque</t>
  </si>
  <si>
    <t xml:space="preserve">Fiche de mandrinage FT </t>
  </si>
  <si>
    <t>Contrôle pente altimétrie</t>
  </si>
  <si>
    <t>Organisme de contrôle</t>
  </si>
  <si>
    <t>Tout déroulage réalisé au treuil</t>
  </si>
  <si>
    <t>Events</t>
  </si>
  <si>
    <t xml:space="preserve">Fiche de mandrinage FT ou relevé d'alvéole </t>
  </si>
  <si>
    <t>Contrôle programmation</t>
  </si>
  <si>
    <t>PREPARATION</t>
  </si>
  <si>
    <t>Fiche d'intervention/ pompe</t>
  </si>
  <si>
    <t>Carnet de relevé de pente</t>
  </si>
  <si>
    <t>COUPE TYPE :</t>
  </si>
  <si>
    <t>CHARGE :</t>
  </si>
  <si>
    <t>Types d'agrégats + épaisseurs</t>
  </si>
  <si>
    <t>Echange de courrier avec divers organismes</t>
  </si>
  <si>
    <t>Lettre d'information aux riverains</t>
  </si>
  <si>
    <r>
      <t xml:space="preserve">Documents produits fournis par le client (DMR, bons de livraison…) </t>
    </r>
    <r>
      <rPr>
        <sz val="10"/>
        <rFont val="Arial"/>
        <family val="2"/>
      </rPr>
      <t>réceptionnés sur chantier</t>
    </r>
  </si>
  <si>
    <t xml:space="preserve"> </t>
  </si>
  <si>
    <t>CARNET DE RELEVE DE PENTE ASSAINISSEMENT</t>
  </si>
  <si>
    <t>DA ZSQ 008 K
Indice c</t>
  </si>
  <si>
    <t>Numéro de chantier:</t>
  </si>
  <si>
    <t>ADRESSE TRAVAUX :</t>
  </si>
  <si>
    <t>N° OT :</t>
  </si>
  <si>
    <t>CANALISATION PRINCIPALE :</t>
  </si>
  <si>
    <t>TYPE CANALISATION :</t>
  </si>
  <si>
    <t>TRONCON :</t>
  </si>
  <si>
    <t>DIAM CANALISATION :</t>
  </si>
  <si>
    <t>COTE DE REFERENCE :</t>
  </si>
  <si>
    <t>REGARD DEPART :</t>
  </si>
  <si>
    <t>REGARD ARRIVE :</t>
  </si>
  <si>
    <t>TAMPON :</t>
  </si>
  <si>
    <t>RADIER :</t>
  </si>
  <si>
    <t>LONGUEUR TRONCON :</t>
  </si>
  <si>
    <t>CHARGE SUR TUYAU :</t>
  </si>
  <si>
    <t>PENTE % TRONCON :</t>
  </si>
  <si>
    <t>DATE :</t>
  </si>
  <si>
    <t>VISA :</t>
  </si>
  <si>
    <t>Heure</t>
  </si>
  <si>
    <t>DAZSQ008 M Indice a</t>
  </si>
  <si>
    <t>Date :</t>
  </si>
  <si>
    <t>Po: Pression d'essai</t>
  </si>
  <si>
    <t>∆p: Chute de pression maximale admissible</t>
  </si>
  <si>
    <t>L'appareil de mesure de la chute de pression doit avoir une précision de 10% de  ∆p. La précision de mesure du temps doit être de 5s.</t>
  </si>
  <si>
    <t>Date</t>
  </si>
  <si>
    <t>Date:</t>
  </si>
  <si>
    <t>NC</t>
  </si>
  <si>
    <t>…………………..</t>
  </si>
  <si>
    <t>Client :</t>
  </si>
  <si>
    <t>O</t>
  </si>
  <si>
    <t>Actions immédiates</t>
  </si>
  <si>
    <t>Responsables</t>
  </si>
  <si>
    <t>Délais</t>
  </si>
  <si>
    <t>Réalisé</t>
  </si>
  <si>
    <t>Efficacité</t>
  </si>
  <si>
    <t>DAZSQ008 C 
Indice a</t>
  </si>
  <si>
    <t>N°   Météo:</t>
  </si>
  <si>
    <t>C: Conforme                  NC: non-conforme</t>
  </si>
  <si>
    <t xml:space="preserve">Marque, Type ,  N° touret </t>
  </si>
  <si>
    <t>T°
 (relevé météo)</t>
  </si>
  <si>
    <t>Canalisation</t>
  </si>
  <si>
    <t>Effort constaté kg (Voir valeur type ds guide technique)</t>
  </si>
  <si>
    <t>Identification          (n° ou couleur) des câbles</t>
  </si>
  <si>
    <t>Obturation et protection des extrémités</t>
  </si>
  <si>
    <t>Longueur déroulée ou posée (m)</t>
  </si>
  <si>
    <t>Nature (Ø)</t>
  </si>
  <si>
    <t>Treuil</t>
  </si>
  <si>
    <t>Manuel</t>
  </si>
  <si>
    <t>C</t>
  </si>
  <si>
    <t>FICHE TECHNIQUE DE PRISE DE TERRE</t>
  </si>
  <si>
    <t>DAZSQ008 D
Indice b</t>
  </si>
  <si>
    <t>N° de Chantier:</t>
  </si>
  <si>
    <t>Résistivité du sol (si demandée ou connu):</t>
  </si>
  <si>
    <t>Distances entre bornes:</t>
  </si>
  <si>
    <t>Résistivité en ohms:</t>
  </si>
  <si>
    <t>Organe relié à la prise de terre</t>
  </si>
  <si>
    <t>Identification de la borne</t>
  </si>
  <si>
    <t>Piquet enfoncé</t>
  </si>
  <si>
    <t>Fil Horizontal</t>
  </si>
  <si>
    <t>Grille Horizontale</t>
  </si>
  <si>
    <t>Autres (Forage, grille panier)</t>
  </si>
  <si>
    <t>Date de l'essai</t>
  </si>
  <si>
    <t>Valeur de la terre interconnectée du départ</t>
  </si>
  <si>
    <t>Résistance de la prise de terre</t>
  </si>
  <si>
    <t>N° d'Appareil</t>
  </si>
  <si>
    <t>Inter. Aérien</t>
  </si>
  <si>
    <t>Nbre élect.:</t>
  </si>
  <si>
    <t>Long. élect.:</t>
  </si>
  <si>
    <t>H61</t>
  </si>
  <si>
    <t>BT</t>
  </si>
  <si>
    <t>CDM-TD 150W</t>
  </si>
  <si>
    <t>HR 40 W</t>
  </si>
  <si>
    <t>HR 75 W</t>
  </si>
  <si>
    <t>HQI-E 150 W</t>
  </si>
  <si>
    <t>CDO-ET 150 W</t>
  </si>
  <si>
    <t>Cartouche13304</t>
  </si>
  <si>
    <t>Lanternes déco.</t>
  </si>
  <si>
    <t xml:space="preserve">Vérification </t>
  </si>
  <si>
    <t>Ouverture</t>
  </si>
  <si>
    <t>Aérien</t>
  </si>
  <si>
    <t>Comment utiliser ce dossier Chantier?</t>
  </si>
  <si>
    <t>1- Description du dossier</t>
  </si>
  <si>
    <t>L'onglet "Impression" (à ne pas renommer) contient:</t>
  </si>
  <si>
    <t>La liste de tous les documents contenus dans le fichier Excel</t>
  </si>
  <si>
    <t>Les boutons de commande : pour afficher un onglet ou pour imprimer les documents</t>
  </si>
  <si>
    <t>L'onglet "Sommaire" contient:</t>
  </si>
  <si>
    <t>Comment se déplacer d'un onglet à l'autre ?</t>
  </si>
  <si>
    <t>2- Réalisation d'un dossier chantier</t>
  </si>
  <si>
    <t xml:space="preserve"> - Fiche de suivi du port des EPI</t>
  </si>
  <si>
    <t>SECURITE ET ENVIRONNEMENT</t>
  </si>
  <si>
    <t>Mesures spécifiques de sécurité pour ce chantier (au vu de l'environnement, de notre travail, du travail de l'entreprise)</t>
  </si>
  <si>
    <t>PHASES DE TRAVAIL</t>
  </si>
  <si>
    <t>RISQUES ENGENDRES</t>
  </si>
  <si>
    <t>MESURES DE PROTECTION</t>
  </si>
  <si>
    <t>RAPPEL:</t>
  </si>
  <si>
    <t>En cas d'accident, alerter les secours en téléphonant aux numéros suivants:</t>
  </si>
  <si>
    <t>SERVICES D'URGENCE</t>
  </si>
  <si>
    <t>NUMEROS TELEPHONES</t>
  </si>
  <si>
    <t>SAMU</t>
  </si>
  <si>
    <t>SECOURS</t>
  </si>
  <si>
    <t>SECOURS DEPUIS UN PORTABLE</t>
  </si>
  <si>
    <t>GENDARMERIE</t>
  </si>
  <si>
    <t>CENTRE HOSPITALIER:……………………………………</t>
  </si>
  <si>
    <t>RESPONSABLE D'AFFAIRES</t>
  </si>
  <si>
    <t>DAZSQ008 B Indice b</t>
  </si>
  <si>
    <t>Liste des points et opérations sensibles retenus:</t>
  </si>
  <si>
    <t>Description des contrôles et enregistrements</t>
  </si>
  <si>
    <t>Responsable</t>
  </si>
  <si>
    <t>Fréquence ou situation</t>
  </si>
  <si>
    <t>Avec quel équipement?</t>
  </si>
  <si>
    <t>Support d'enregistrement (rapport journalier,relevé graphique,  plan de récolement, ou fiche spécifique)</t>
  </si>
  <si>
    <t>Mètre ruban</t>
  </si>
  <si>
    <t>Plan minute</t>
  </si>
  <si>
    <t>Calpinage</t>
  </si>
  <si>
    <t>APAVE</t>
  </si>
  <si>
    <t>Bordure et voirie</t>
  </si>
  <si>
    <t>Balai électrique</t>
  </si>
  <si>
    <t>Carnet de soudure</t>
  </si>
  <si>
    <t>Contrôle de la flèche</t>
  </si>
  <si>
    <t>Fourreaux acier pour tuyau gaz</t>
  </si>
  <si>
    <t>Balle en mousse</t>
  </si>
  <si>
    <t>Certificat du laboratoire annexe</t>
  </si>
  <si>
    <t>Contrôle de régularité du profil (profil en long)</t>
  </si>
  <si>
    <t>Electricien</t>
  </si>
  <si>
    <t>Parking et voirie</t>
  </si>
  <si>
    <t>Détecteur de fréquences</t>
  </si>
  <si>
    <t>Fiche de contrôle Arrosage</t>
  </si>
  <si>
    <t>Contrôle de stabilité des murs (soutènement)</t>
  </si>
  <si>
    <t>Laboratoire annexe</t>
  </si>
  <si>
    <t>Tout  type de canalisation</t>
  </si>
  <si>
    <t>Dynamomètre</t>
  </si>
  <si>
    <t>Diamètre (D) du gabarit utilisé</t>
  </si>
  <si>
    <t>D =</t>
  </si>
  <si>
    <t>Signatures :</t>
  </si>
  <si>
    <t>A fait l'objet de fiches de non - conformités</t>
  </si>
  <si>
    <t>Non</t>
  </si>
  <si>
    <t>Oui</t>
  </si>
  <si>
    <t>n°(dates)</t>
  </si>
  <si>
    <t>Levée</t>
  </si>
  <si>
    <t>CROQUIS (éventuels)</t>
  </si>
  <si>
    <r>
      <t>o</t>
    </r>
    <r>
      <rPr>
        <sz val="10"/>
        <rFont val="Tw Cen MT Condensed Extra Bold"/>
        <family val="2"/>
      </rPr>
      <t xml:space="preserve">  </t>
    </r>
  </si>
  <si>
    <t>MODE D'EMPLOI</t>
  </si>
  <si>
    <t>Cocher les cases</t>
  </si>
  <si>
    <t>Remise de réseaux à l'exploitant</t>
  </si>
  <si>
    <t>Confection RAS BT</t>
  </si>
  <si>
    <t>Isolement des câbles</t>
  </si>
  <si>
    <t>Pose des câbles et coffrets</t>
  </si>
  <si>
    <r>
      <t xml:space="preserve">Les </t>
    </r>
    <r>
      <rPr>
        <b/>
        <sz val="10"/>
        <rFont val="Arial"/>
        <family val="2"/>
      </rPr>
      <t>opérations en gras</t>
    </r>
    <r>
      <rPr>
        <sz val="10"/>
        <rFont val="Arial"/>
        <family val="2"/>
      </rPr>
      <t xml:space="preserve"> nécessitent une fiche de Contrôle</t>
    </r>
  </si>
  <si>
    <t>Dépose des dalles commencée le:</t>
  </si>
  <si>
    <t>B - NATURE DES TRAVAUX</t>
  </si>
  <si>
    <t>L'entreprise soustraitante, par son représentant, a t-elle  …</t>
  </si>
  <si>
    <t xml:space="preserve">               OUI</t>
  </si>
  <si>
    <t>- pris connaissances du PPSPS , PGC ?</t>
  </si>
  <si>
    <t xml:space="preserve">- la titularisation UIC? </t>
  </si>
  <si>
    <t>- son matériel conforme aux exigences de l'EU?</t>
  </si>
  <si>
    <t>- son personnel intervenant formé RC ou GIES?</t>
  </si>
  <si>
    <t>Client</t>
  </si>
  <si>
    <t>Déroulage</t>
  </si>
  <si>
    <t xml:space="preserve">N° CHANTIER: </t>
  </si>
  <si>
    <t>N° MARCHE:</t>
  </si>
  <si>
    <t>N° COMMANDE:</t>
  </si>
  <si>
    <t>N° AFFAIRE CLIENT:</t>
  </si>
  <si>
    <t>N° DEVIS FIRALP:</t>
  </si>
  <si>
    <t>ADRESSE:</t>
  </si>
  <si>
    <t>COMMUNE:</t>
  </si>
  <si>
    <t>DESIGNATION DES TRAVAUX:</t>
  </si>
  <si>
    <t xml:space="preserve">Tél:  </t>
  </si>
  <si>
    <t xml:space="preserve">LISTE DES INTERLOCUTEURS
(exploitants, maître d'œuvre…) </t>
  </si>
  <si>
    <t>NOMS</t>
  </si>
  <si>
    <t>RESPONSABLE(S)</t>
  </si>
  <si>
    <t>TELEPHONE</t>
  </si>
  <si>
    <t>LISTE DES FOURNISSEURS</t>
  </si>
  <si>
    <t>NATURE DES FOURNITURES</t>
  </si>
  <si>
    <t>CORRESPONDANTS</t>
  </si>
  <si>
    <t>N° Chantier:</t>
  </si>
  <si>
    <t>N° Commande:</t>
  </si>
  <si>
    <t>Client:</t>
  </si>
  <si>
    <t>Commune:</t>
  </si>
  <si>
    <t>Désignation:</t>
  </si>
  <si>
    <t>X</t>
  </si>
  <si>
    <t>DOCUMENTS D'EXÉCUTION/ PROJET</t>
  </si>
  <si>
    <t>Mise à la terre du neutre effectuée sur chaque départ basse tension au premier et dernier accessoire de jonction ou de dérivation ou grille de réseaux</t>
  </si>
  <si>
    <t>Accessoires de raccordement mis à la terre</t>
  </si>
  <si>
    <t>Réalisation d'une mesure individuelle de chaque prise de terre</t>
  </si>
  <si>
    <t>Mise à la terre en aérien sur le premier support et le support de chaque extrémité ainsi que tous les 200 mètres</t>
  </si>
  <si>
    <t>Mise à la terre du circuit téléreport</t>
  </si>
  <si>
    <t>Valeur de chaque prise de terre (A indiquer sur une fiche en annexe ou sur le plan de recolement)</t>
  </si>
  <si>
    <t>Valeur maximale de chaque prise de terre inférieure à …….. ohms</t>
  </si>
  <si>
    <t xml:space="preserve">                  PLAN DE CONTRÔLE RESEAUX AERIENS</t>
  </si>
  <si>
    <t>DAZSQ008 E Indice a</t>
  </si>
  <si>
    <t>DEROULAGE</t>
  </si>
  <si>
    <t>Flèche (température/ longueur portée)</t>
  </si>
  <si>
    <t xml:space="preserve">Contrôle de la flèche par rapport à l'ancrage des fils </t>
  </si>
  <si>
    <t>Capots aux extrémités</t>
  </si>
  <si>
    <t>La levée de la NC vaut validation du contrôle portant le même n° de</t>
  </si>
  <si>
    <t>Fiche de Progrès</t>
  </si>
  <si>
    <t>FINITIONS</t>
  </si>
  <si>
    <t>REMBLAI</t>
  </si>
  <si>
    <t>Se référer aux conditions particulières du chantier ou aux Notes</t>
  </si>
  <si>
    <t>Terminé le:</t>
  </si>
  <si>
    <t>Techniques pour connaître les valeurs limites acceptables.</t>
  </si>
  <si>
    <t>Chape en pieds de poteaux</t>
  </si>
  <si>
    <t>Affiches réglementaires</t>
  </si>
  <si>
    <t>Signalisation/ Balisage</t>
  </si>
  <si>
    <t>Remise en état Terrain/ Cultures le</t>
  </si>
  <si>
    <t>Traçage des conduites existantes (repérage)</t>
  </si>
  <si>
    <t>Implantation (piquetage)</t>
  </si>
  <si>
    <t>Raccordements des antennes</t>
  </si>
  <si>
    <t>TERRASSEMENT</t>
  </si>
  <si>
    <t>Remblai/ Réfections des trous pour les raccordements</t>
  </si>
  <si>
    <t>OUVERTURE</t>
  </si>
  <si>
    <t>Terminés le:</t>
  </si>
  <si>
    <t>Profondeur (Décret 08/01/65)</t>
  </si>
  <si>
    <t>Respect des plans et abaques</t>
  </si>
  <si>
    <r>
      <t>PLAN DE RECOLEMENT</t>
    </r>
    <r>
      <rPr>
        <sz val="10"/>
        <rFont val="Arial"/>
        <family val="2"/>
      </rPr>
      <t xml:space="preserve"> (Minute)</t>
    </r>
  </si>
  <si>
    <t>Respect des portées</t>
  </si>
  <si>
    <t>Envoyé le:</t>
  </si>
  <si>
    <t>Respect des distances entre réseaux</t>
  </si>
  <si>
    <t>Propreté du fond</t>
  </si>
  <si>
    <t>TRAVAUX ELECTRIQUES</t>
  </si>
  <si>
    <t>Raccordements</t>
  </si>
  <si>
    <t>IMPLANTATION</t>
  </si>
  <si>
    <t>POTEAUX</t>
  </si>
  <si>
    <t>le:</t>
  </si>
  <si>
    <t>Voisinage électrique</t>
  </si>
  <si>
    <t xml:space="preserve">POSE commencée le </t>
  </si>
  <si>
    <t>Orientation</t>
  </si>
  <si>
    <t>Haubanage</t>
  </si>
  <si>
    <t>FACADE</t>
  </si>
  <si>
    <t>EQUIPEMENT commencé le</t>
  </si>
  <si>
    <t>Attestation de fin de travaux</t>
  </si>
  <si>
    <t>Colliers (écartement)</t>
  </si>
  <si>
    <t>Zones de sécurité</t>
  </si>
  <si>
    <t xml:space="preserve">                  PLAN DE CONTRÔLE CHAUFFAGE (URBAIN)</t>
  </si>
  <si>
    <t>DAZSQ008 G Indice a</t>
  </si>
  <si>
    <t>DEPOSE</t>
  </si>
  <si>
    <t>Préparation désamiantage</t>
  </si>
  <si>
    <t>CORRESPONDANCES DIVERSES</t>
  </si>
  <si>
    <t xml:space="preserve"> - Echanges de courriers avec divers organismes</t>
  </si>
  <si>
    <t xml:space="preserve"> - Lettres d'information aux riverains</t>
  </si>
  <si>
    <t>, le</t>
  </si>
  <si>
    <t>….</t>
  </si>
  <si>
    <t>Madame, Monsieur,</t>
  </si>
  <si>
    <t>au</t>
  </si>
  <si>
    <t>Vous remerciant par avance de votre compréhension, nous vous prions d'agréer, Madame, Monsieur, 
nos salutations distinguées.</t>
  </si>
  <si>
    <t>Tout mur en éléments préfabriqués</t>
  </si>
  <si>
    <t>Plaques vibrantes de type :</t>
  </si>
  <si>
    <t>PQ3</t>
  </si>
  <si>
    <t>Delmag SV(F) 2511</t>
  </si>
  <si>
    <t>PQ4</t>
  </si>
  <si>
    <t>Dynapac LG 140</t>
  </si>
  <si>
    <t>Delmag SV(H) 3511</t>
  </si>
  <si>
    <t>Se référer à l'étiquette signalétique du matériel de FIRALP pour vérifier la CATEGORIE du matériel (PQ, PN, PV)</t>
  </si>
  <si>
    <t>NOTICE D'UTILISATION</t>
  </si>
  <si>
    <t>1° ETAPE</t>
  </si>
  <si>
    <t xml:space="preserve">   Connaître le matériau à mettre en œuvre :</t>
  </si>
  <si>
    <t>Déterminer sa classification suivant le tableau ou le Bon de Livraison du fournisseur.</t>
  </si>
  <si>
    <t>2° ETAPE</t>
  </si>
  <si>
    <t xml:space="preserve">   Connaître les objectifs de compactage à respecter (q2,q3 ou q4) :</t>
  </si>
  <si>
    <t>A déterminer en fonction de la ou des coupe(s) type(s) du guide</t>
  </si>
  <si>
    <t xml:space="preserve">ou fournie(s) par le gestionnaire de voirie ; puis définir les épaisseurs </t>
  </si>
  <si>
    <t>des différentes couches.</t>
  </si>
  <si>
    <t>Exemple : à partir de la coupe type suivante :</t>
  </si>
  <si>
    <t>3° ETAPE</t>
  </si>
  <si>
    <t xml:space="preserve">   Connaître son matériel de compactage, indiqué :</t>
  </si>
  <si>
    <t>soit sur le tableau en première colonne</t>
  </si>
  <si>
    <t>Exemple : si le matériel utilisé est une WAKER DS 72Y</t>
  </si>
  <si>
    <t>4° ETAPE</t>
  </si>
  <si>
    <t>Interprétation du tableau :</t>
  </si>
  <si>
    <t>MATERIEL (SOBECA)</t>
  </si>
  <si>
    <t>Type de matériaux</t>
  </si>
  <si>
    <t>D1, D2, D3</t>
  </si>
  <si>
    <t>Pilonneuses vibrantes de type</t>
  </si>
  <si>
    <t>ép. Compactée (cm)</t>
  </si>
  <si>
    <t>Weber SRX 65R-2</t>
  </si>
  <si>
    <t>Site/ Adresse:</t>
  </si>
  <si>
    <t>Tronçon d'essai du regard</t>
  </si>
  <si>
    <t>au regard</t>
  </si>
  <si>
    <t>(à repérer sur le plan du réseau)</t>
  </si>
  <si>
    <t>Longueur du tronçon:</t>
  </si>
  <si>
    <t>Diamètre</t>
  </si>
  <si>
    <t>Nature</t>
  </si>
  <si>
    <t>Branchement du tronçon</t>
  </si>
  <si>
    <t>Longueur</t>
  </si>
  <si>
    <t>ESSAI</t>
  </si>
  <si>
    <t>Non-conforme:</t>
  </si>
  <si>
    <t>Conditions d'essai (Norme NF EN 1610)</t>
  </si>
  <si>
    <t>Conditions d'essai</t>
  </si>
  <si>
    <t>Po (mbar)</t>
  </si>
  <si>
    <t>∆p (mbar)</t>
  </si>
  <si>
    <t xml:space="preserve">Date : </t>
  </si>
  <si>
    <t>Rapport de causerie</t>
  </si>
  <si>
    <t xml:space="preserve"> - Rapport de Causerie</t>
  </si>
  <si>
    <t>Fonction</t>
  </si>
  <si>
    <t>-
-
-</t>
  </si>
  <si>
    <t>sans réserve, en retenant pour l'achèvement de travaux la date du ………………………………………………….</t>
  </si>
  <si>
    <t>sous réserve qu'il soit remédié aux imperfections ou malfaçons citées ci-dessus avant le ……………………………</t>
  </si>
  <si>
    <t>Dressé le</t>
  </si>
  <si>
    <t>……………………………</t>
  </si>
  <si>
    <t>Accepté le</t>
  </si>
  <si>
    <t>………………………….</t>
  </si>
  <si>
    <t>l'Entrepreneur</t>
  </si>
  <si>
    <t>A …………………….……………..</t>
  </si>
  <si>
    <t>Le ……………………………….</t>
  </si>
  <si>
    <t>Carrosserie: Peinture matériel neuf</t>
  </si>
  <si>
    <t>Carrosserie: Rénovation et peinture matériel occasion</t>
  </si>
  <si>
    <t>Eclairage Public: Feux tricolores</t>
  </si>
  <si>
    <t>Eclairage Public: Illuminations festives</t>
  </si>
  <si>
    <t>Eclairage Public: Maintenance, Entretien</t>
  </si>
  <si>
    <t>Eclairage Public: Mise en lumière</t>
  </si>
  <si>
    <t>Eclairage Public: Travaux neufs</t>
  </si>
  <si>
    <t>Electricité Industrielle: Bâtiment technique</t>
  </si>
  <si>
    <t>Electricité Industrielle: Chimie/ Pharma</t>
  </si>
  <si>
    <t>Electricité Industrielle: Divers</t>
  </si>
  <si>
    <t>Electricité Industrielle: Hydraulique</t>
  </si>
  <si>
    <t>Electricité Industrielle: Incinérateur</t>
  </si>
  <si>
    <t>Electricité Industrielle: Salle blanche</t>
  </si>
  <si>
    <t>Electricité Tertiaire: Bâtiment institutionnel</t>
  </si>
  <si>
    <t>Electricité Tertiaire: Bureau</t>
  </si>
  <si>
    <t>Electricité Tertiaire: Distribution (transfo, TGBT)</t>
  </si>
  <si>
    <t>Electricité Tertiaire: Divers</t>
  </si>
  <si>
    <t>Electricité Tertiaire: Eclairage</t>
  </si>
  <si>
    <t>Espaces verts: Création</t>
  </si>
  <si>
    <t>Espaces verts: Divers</t>
  </si>
  <si>
    <t>Espaces verts: Elagage</t>
  </si>
  <si>
    <t>Espaces verts: Entretien</t>
  </si>
  <si>
    <t>Gaz et Fluides Réseau: Branchement</t>
  </si>
  <si>
    <t>Gaz et Fluides Réseau: Chauffage urbain</t>
  </si>
  <si>
    <t>Gaz et Fluides Réseau: Divers</t>
  </si>
  <si>
    <t>Gaz et Fluides Réseau: Hydrocarbures</t>
  </si>
  <si>
    <t>Gaz et Fluides Réseau: Réseau gaz haute pression</t>
  </si>
  <si>
    <t>Gaz et Fluides Réseau: Tuyauterie industrielle</t>
  </si>
  <si>
    <t>Mécanique: Entretien</t>
  </si>
  <si>
    <t>Mécanique: Préparation gros matériel neuf</t>
  </si>
  <si>
    <t>Mécanique: Préparation petit matériel neuf</t>
  </si>
  <si>
    <t>Mécanique: Réparation</t>
  </si>
  <si>
    <t>Prestations et Matériels : Camion aspirateur</t>
  </si>
  <si>
    <t>Prestations et Matériels : Concassage</t>
  </si>
  <si>
    <t>Prestations et Matériels : Forage vertical</t>
  </si>
  <si>
    <t>Prestations et Matériels : Location</t>
  </si>
  <si>
    <t>Prestations et Matériels : Rabotage</t>
  </si>
  <si>
    <t>Prestations et Matériels : Trancheuse</t>
  </si>
  <si>
    <t>Prestations et Matériels : Transport</t>
  </si>
  <si>
    <t>Réseau Electrique: Aérien HTA/ BT</t>
  </si>
  <si>
    <t>Réseau Electrique: Aérien HTB</t>
  </si>
  <si>
    <t>Réseau Electrique: Branchement</t>
  </si>
  <si>
    <t>Réseau Electrique: Divers</t>
  </si>
  <si>
    <t>Réseau Electrique: Enfouissement, Effacement</t>
  </si>
  <si>
    <t>Réseau Electrique: Souterrain HTA/ BT</t>
  </si>
  <si>
    <t>Réseau Electrique: Souterrain HTB</t>
  </si>
  <si>
    <t>Réseau Télécom: Coax, cuivre</t>
  </si>
  <si>
    <t>Réseau Télécom: Divers</t>
  </si>
  <si>
    <t>Réseau Télécom: FO - Actif et exploitation</t>
  </si>
  <si>
    <t>Réseau Télécom: FO - Cablage déroulage</t>
  </si>
  <si>
    <t>Réseau Télécom: FO - Raccord abonnés</t>
  </si>
  <si>
    <t>Réseau Télécom: Maintenance</t>
  </si>
  <si>
    <t>Réseau Télécom: Réseau cellulaire</t>
  </si>
  <si>
    <t xml:space="preserve">Réseau Télécom: Réseau souterrain/ aérien </t>
  </si>
  <si>
    <t xml:space="preserve">Réseau Télécom: Vidéosurveillance </t>
  </si>
  <si>
    <t>Réseaux Divers: Adduction Eau Potable</t>
  </si>
  <si>
    <t>Réseaux Divers: Arrosage</t>
  </si>
  <si>
    <t>Réseaux Divers: Assainissement</t>
  </si>
  <si>
    <t>Réseaux Divers: Divers</t>
  </si>
  <si>
    <t>Réseaux Divers: Fontainerie</t>
  </si>
  <si>
    <t>Réseaux Divers: Terrassement</t>
  </si>
  <si>
    <t>Réseaux Divers: Travaux de maçonnerie</t>
  </si>
  <si>
    <t>Réseaux Divers: Voirie</t>
  </si>
  <si>
    <r>
      <t xml:space="preserve">PLAN DE CONTRÔLE (TRAVAUX ELECTRIQUES BT)
</t>
    </r>
    <r>
      <rPr>
        <sz val="12"/>
        <rFont val="Arial"/>
        <family val="2"/>
      </rPr>
      <t>Enfouissement de réseaux</t>
    </r>
  </si>
  <si>
    <t>DAZSQ008 F Indice a</t>
  </si>
  <si>
    <t>MISE SOUS TENSION DU RESEAU</t>
  </si>
  <si>
    <r>
      <t xml:space="preserve"> : Si </t>
    </r>
    <r>
      <rPr>
        <b/>
        <sz val="10"/>
        <rFont val="Arial"/>
        <family val="2"/>
      </rPr>
      <t>les trvx</t>
    </r>
    <r>
      <rPr>
        <sz val="10"/>
        <rFont val="Arial"/>
        <family val="2"/>
      </rPr>
      <t xml:space="preserve"> ne sont pas à faire (Sans Objet)</t>
    </r>
  </si>
  <si>
    <t xml:space="preserve">le:  </t>
  </si>
  <si>
    <r>
      <t xml:space="preserve"> : Si </t>
    </r>
    <r>
      <rPr>
        <b/>
        <sz val="10"/>
        <rFont val="Arial"/>
        <family val="2"/>
      </rPr>
      <t>le contrôle</t>
    </r>
    <r>
      <rPr>
        <sz val="10"/>
        <rFont val="Arial"/>
        <family val="2"/>
      </rPr>
      <t xml:space="preserve"> des trvx en cours est </t>
    </r>
    <r>
      <rPr>
        <u/>
        <sz val="10"/>
        <rFont val="Arial"/>
        <family val="2"/>
      </rPr>
      <t>conforme</t>
    </r>
  </si>
  <si>
    <r>
      <t>Plan de récolement</t>
    </r>
    <r>
      <rPr>
        <sz val="10"/>
        <rFont val="Arial"/>
        <family val="2"/>
      </rPr>
      <t xml:space="preserve"> (Minute)</t>
    </r>
  </si>
  <si>
    <r>
      <t xml:space="preserve"> : Si </t>
    </r>
    <r>
      <rPr>
        <b/>
        <sz val="10"/>
        <rFont val="Arial"/>
        <family val="2"/>
      </rPr>
      <t>le contrôle</t>
    </r>
    <r>
      <rPr>
        <sz val="10"/>
        <rFont val="Arial"/>
        <family val="2"/>
      </rPr>
      <t xml:space="preserve"> des trvx en cours est </t>
    </r>
    <r>
      <rPr>
        <u/>
        <sz val="10"/>
        <rFont val="Arial"/>
        <family val="2"/>
      </rPr>
      <t>non conforme</t>
    </r>
  </si>
  <si>
    <t>Raccordement/ Confection</t>
  </si>
  <si>
    <t>n°</t>
  </si>
  <si>
    <t>Responsable:</t>
  </si>
  <si>
    <t xml:space="preserve">Commencée le: </t>
  </si>
  <si>
    <t>La levée de la NC vaut validation du contrôle portant le même n° de Fiche de Progrès</t>
  </si>
  <si>
    <r>
      <t xml:space="preserve">Les </t>
    </r>
    <r>
      <rPr>
        <b/>
        <sz val="10"/>
        <rFont val="Arial"/>
        <family val="2"/>
      </rPr>
      <t>opérations en gras</t>
    </r>
    <r>
      <rPr>
        <sz val="10"/>
        <rFont val="Arial"/>
        <family val="2"/>
      </rPr>
      <t xml:space="preserve"> nécessitent un fiche de Contrôle</t>
    </r>
  </si>
  <si>
    <t>Raccordement sur tableau</t>
  </si>
  <si>
    <t>TST</t>
  </si>
  <si>
    <t xml:space="preserve">Se référer aux conditions particulières du chantier ou aux Notes techniques pour </t>
  </si>
  <si>
    <t>Confection d'accessoires souterrains</t>
  </si>
  <si>
    <t>connaître les valeurs limites acceptables.</t>
  </si>
  <si>
    <t>Raccordement sur grille de réseaux</t>
  </si>
  <si>
    <t>Protections individuelles (     !      TST)</t>
  </si>
  <si>
    <t>Protection des zones à risques Voisinage électrique</t>
  </si>
  <si>
    <r>
      <t xml:space="preserve">Reprise de branchements </t>
    </r>
    <r>
      <rPr>
        <b/>
        <u/>
        <sz val="10"/>
        <rFont val="Arial"/>
        <family val="2"/>
      </rPr>
      <t>(sur le Départ)</t>
    </r>
  </si>
  <si>
    <t>Raccordement en cours de TERRASSEMENT</t>
  </si>
  <si>
    <r>
      <t xml:space="preserve">      Avant la mise </t>
    </r>
    <r>
      <rPr>
        <b/>
        <sz val="10"/>
        <rFont val="Arial"/>
        <family val="2"/>
      </rPr>
      <t>hors</t>
    </r>
    <r>
      <rPr>
        <sz val="10"/>
        <rFont val="Arial"/>
        <family val="2"/>
      </rPr>
      <t xml:space="preserve"> tension du client</t>
    </r>
  </si>
  <si>
    <t>Rotation de phase pour brcht triphasé</t>
  </si>
  <si>
    <t>Boite de branchements</t>
  </si>
  <si>
    <t>Reprise de branchements</t>
  </si>
  <si>
    <t>Boite réseaux</t>
  </si>
  <si>
    <r>
      <t xml:space="preserve">      Avant la remise </t>
    </r>
    <r>
      <rPr>
        <b/>
        <sz val="10"/>
        <rFont val="Arial"/>
        <family val="2"/>
      </rPr>
      <t>sous</t>
    </r>
    <r>
      <rPr>
        <sz val="10"/>
        <rFont val="Arial"/>
        <family val="2"/>
      </rPr>
      <t xml:space="preserve"> tension du client</t>
    </r>
  </si>
  <si>
    <r>
      <t>Coffret type S20 - S22 (</t>
    </r>
    <r>
      <rPr>
        <u/>
        <sz val="10"/>
        <rFont val="Arial"/>
        <family val="2"/>
      </rPr>
      <t>sur l'arrivée</t>
    </r>
    <r>
      <rPr>
        <sz val="10"/>
        <rFont val="Arial"/>
        <family val="2"/>
      </rPr>
      <t>)</t>
    </r>
  </si>
  <si>
    <r>
      <t>Coffret type 200 - 400 A (</t>
    </r>
    <r>
      <rPr>
        <u/>
        <sz val="10"/>
        <rFont val="Arial"/>
        <family val="2"/>
      </rPr>
      <t>sur l'arrivée</t>
    </r>
    <r>
      <rPr>
        <sz val="10"/>
        <rFont val="Arial"/>
        <family val="2"/>
      </rPr>
      <t>)</t>
    </r>
  </si>
  <si>
    <t>Vérification visuelle de l'installation</t>
  </si>
  <si>
    <t>Grille de réseaux (Etoilement, Fausse Coupure, Raccordement Modulaire BT, Repiquage)</t>
  </si>
  <si>
    <t>DEPOSE DE RESEAUX EN AERIEN</t>
  </si>
  <si>
    <t>Tests finaux</t>
  </si>
  <si>
    <t>Obtention de l'autorisation de mise hors exploitation du réseau</t>
  </si>
  <si>
    <t>Dépose commencée le:</t>
  </si>
  <si>
    <t>Dépose des conducteurs</t>
  </si>
  <si>
    <t>Essai au mégohmmètre …………... Volts</t>
  </si>
  <si>
    <t>Dépose des supports</t>
  </si>
  <si>
    <t>Vérification emplacement des neutres (Essai D.R.O.B.T)</t>
  </si>
  <si>
    <t>Remise en état</t>
  </si>
  <si>
    <t>Réception de chantier</t>
  </si>
  <si>
    <t xml:space="preserve">le:   </t>
  </si>
  <si>
    <t xml:space="preserve">      </t>
  </si>
  <si>
    <t>Gaz et Fluides Réseau: Réseau gaz moyenne basse pression</t>
  </si>
  <si>
    <r>
      <rPr>
        <b/>
        <sz val="16"/>
        <rFont val="Arial"/>
        <family val="2"/>
      </rPr>
      <t>□</t>
    </r>
    <r>
      <rPr>
        <b/>
        <sz val="11"/>
        <rFont val="Arial"/>
        <family val="2"/>
      </rPr>
      <t xml:space="preserve"> Dysfonctionnement                  </t>
    </r>
    <r>
      <rPr>
        <b/>
        <sz val="16"/>
        <rFont val="Arial"/>
        <family val="2"/>
      </rPr>
      <t xml:space="preserve">  □</t>
    </r>
    <r>
      <rPr>
        <b/>
        <sz val="11"/>
        <rFont val="Arial"/>
        <family val="2"/>
      </rPr>
      <t xml:space="preserve"> Proposition d'amélioration                   </t>
    </r>
    <r>
      <rPr>
        <b/>
        <sz val="16"/>
        <rFont val="Arial"/>
        <family val="2"/>
      </rPr>
      <t xml:space="preserve">  □</t>
    </r>
    <r>
      <rPr>
        <b/>
        <sz val="11"/>
        <rFont val="Arial"/>
        <family val="2"/>
      </rPr>
      <t xml:space="preserve"> Situation dangereuse</t>
    </r>
  </si>
  <si>
    <t>Infos générales</t>
  </si>
  <si>
    <t>Emise par:</t>
  </si>
  <si>
    <t xml:space="preserve">          Date d'emission :</t>
  </si>
  <si>
    <t>Agence / Filiale / Service :</t>
  </si>
  <si>
    <r>
      <t xml:space="preserve">Famille de problème : 
</t>
    </r>
    <r>
      <rPr>
        <sz val="12"/>
        <rFont val="Calibri"/>
        <family val="2"/>
      </rPr>
      <t xml:space="preserve">□ </t>
    </r>
    <r>
      <rPr>
        <sz val="10"/>
        <rFont val="Arial"/>
        <family val="2"/>
      </rPr>
      <t xml:space="preserve">Sécurité
</t>
    </r>
    <r>
      <rPr>
        <sz val="12"/>
        <rFont val="Arial"/>
        <family val="2"/>
      </rPr>
      <t>□</t>
    </r>
    <r>
      <rPr>
        <sz val="10"/>
        <rFont val="Arial"/>
        <family val="2"/>
      </rPr>
      <t xml:space="preserve"> Environnement
</t>
    </r>
    <r>
      <rPr>
        <sz val="12"/>
        <rFont val="Arial"/>
        <family val="2"/>
      </rPr>
      <t xml:space="preserve">□ </t>
    </r>
    <r>
      <rPr>
        <sz val="10"/>
        <rFont val="Arial"/>
        <family val="2"/>
      </rPr>
      <t xml:space="preserve">Point d'arrêt 
</t>
    </r>
    <r>
      <rPr>
        <sz val="12"/>
        <rFont val="Arial"/>
        <family val="2"/>
      </rPr>
      <t>□</t>
    </r>
    <r>
      <rPr>
        <sz val="10"/>
        <rFont val="Arial"/>
        <family val="2"/>
      </rPr>
      <t xml:space="preserve"> Contrôle qualité </t>
    </r>
    <r>
      <rPr>
        <sz val="8"/>
        <rFont val="Arial"/>
        <family val="2"/>
      </rPr>
      <t>(préciser)</t>
    </r>
    <r>
      <rPr>
        <sz val="10"/>
        <rFont val="Arial"/>
        <family val="2"/>
      </rPr>
      <t xml:space="preserve">:    
                      </t>
    </r>
  </si>
  <si>
    <r>
      <t xml:space="preserve">
</t>
    </r>
    <r>
      <rPr>
        <sz val="12"/>
        <rFont val="Arial"/>
        <family val="2"/>
      </rPr>
      <t xml:space="preserve">□ </t>
    </r>
    <r>
      <rPr>
        <sz val="10"/>
        <rFont val="Arial"/>
        <family val="2"/>
      </rPr>
      <t xml:space="preserve">Fournisseurs
</t>
    </r>
    <r>
      <rPr>
        <sz val="12"/>
        <rFont val="Arial"/>
        <family val="2"/>
      </rPr>
      <t>□</t>
    </r>
    <r>
      <rPr>
        <sz val="10"/>
        <rFont val="Arial"/>
        <family val="2"/>
      </rPr>
      <t xml:space="preserve"> Matériaux
</t>
    </r>
    <r>
      <rPr>
        <sz val="12"/>
        <rFont val="Arial"/>
        <family val="2"/>
      </rPr>
      <t>□</t>
    </r>
    <r>
      <rPr>
        <sz val="10"/>
        <rFont val="Arial"/>
        <family val="2"/>
      </rPr>
      <t xml:space="preserve"> Matériel
</t>
    </r>
    <r>
      <rPr>
        <sz val="12"/>
        <rFont val="Arial"/>
        <family val="2"/>
      </rPr>
      <t xml:space="preserve">□ </t>
    </r>
    <r>
      <rPr>
        <sz val="10"/>
        <rFont val="Arial"/>
        <family val="2"/>
      </rPr>
      <t xml:space="preserve">Clients (préciser): </t>
    </r>
  </si>
  <si>
    <r>
      <t xml:space="preserve">
    </t>
    </r>
    <r>
      <rPr>
        <sz val="12"/>
        <rFont val="Arial"/>
        <family val="2"/>
      </rPr>
      <t xml:space="preserve">□ </t>
    </r>
    <r>
      <rPr>
        <sz val="10"/>
        <rFont val="Arial"/>
        <family val="2"/>
      </rPr>
      <t xml:space="preserve">Documents
    </t>
    </r>
    <r>
      <rPr>
        <sz val="12"/>
        <rFont val="Arial"/>
        <family val="2"/>
      </rPr>
      <t xml:space="preserve">□ </t>
    </r>
    <r>
      <rPr>
        <sz val="10"/>
        <rFont val="Arial"/>
        <family val="2"/>
      </rPr>
      <t xml:space="preserve">Procédures
    </t>
    </r>
    <r>
      <rPr>
        <sz val="12"/>
        <rFont val="Arial"/>
        <family val="2"/>
      </rPr>
      <t>□</t>
    </r>
    <r>
      <rPr>
        <sz val="10"/>
        <rFont val="Arial"/>
        <family val="2"/>
      </rPr>
      <t xml:space="preserve"> Communication</t>
    </r>
  </si>
  <si>
    <r>
      <t xml:space="preserve">
</t>
    </r>
    <r>
      <rPr>
        <sz val="12"/>
        <rFont val="Arial"/>
        <family val="2"/>
      </rPr>
      <t>□</t>
    </r>
    <r>
      <rPr>
        <sz val="10"/>
        <rFont val="Arial"/>
        <family val="2"/>
      </rPr>
      <t xml:space="preserve"> Autres </t>
    </r>
    <r>
      <rPr>
        <sz val="8"/>
        <rFont val="Arial"/>
        <family val="2"/>
      </rPr>
      <t xml:space="preserve">(préciser): 
</t>
    </r>
  </si>
  <si>
    <r>
      <rPr>
        <b/>
        <sz val="10"/>
        <rFont val="Arial"/>
        <family val="2"/>
      </rPr>
      <t xml:space="preserve">Description </t>
    </r>
    <r>
      <rPr>
        <sz val="10"/>
        <rFont val="Arial"/>
        <family val="2"/>
      </rPr>
      <t>(Nature, quoi, qui, où, quand, comment, combien?) :</t>
    </r>
  </si>
  <si>
    <r>
      <t xml:space="preserve">Gravité (*) :
    </t>
    </r>
    <r>
      <rPr>
        <b/>
        <sz val="12"/>
        <rFont val="Arial"/>
        <family val="2"/>
      </rPr>
      <t>□</t>
    </r>
    <r>
      <rPr>
        <b/>
        <sz val="10"/>
        <rFont val="Arial"/>
        <family val="2"/>
      </rPr>
      <t xml:space="preserve"> Pas de gravité      </t>
    </r>
    <r>
      <rPr>
        <b/>
        <sz val="12"/>
        <rFont val="Arial"/>
        <family val="2"/>
      </rPr>
      <t>□</t>
    </r>
    <r>
      <rPr>
        <b/>
        <sz val="10"/>
        <rFont val="Arial"/>
        <family val="2"/>
      </rPr>
      <t xml:space="preserve"> Pour l'homme      </t>
    </r>
    <r>
      <rPr>
        <b/>
        <sz val="12"/>
        <rFont val="Arial"/>
        <family val="2"/>
      </rPr>
      <t xml:space="preserve">□ </t>
    </r>
    <r>
      <rPr>
        <b/>
        <sz val="10"/>
        <rFont val="Arial"/>
        <family val="2"/>
      </rPr>
      <t xml:space="preserve">Pour le chantier      </t>
    </r>
    <r>
      <rPr>
        <b/>
        <sz val="12"/>
        <rFont val="Arial"/>
        <family val="2"/>
      </rPr>
      <t>□</t>
    </r>
    <r>
      <rPr>
        <b/>
        <sz val="10"/>
        <rFont val="Arial"/>
        <family val="2"/>
      </rPr>
      <t xml:space="preserve"> Pour l'environnement      </t>
    </r>
    <r>
      <rPr>
        <b/>
        <sz val="12"/>
        <rFont val="Arial"/>
        <family val="2"/>
      </rPr>
      <t xml:space="preserve">□ </t>
    </r>
    <r>
      <rPr>
        <b/>
        <sz val="10"/>
        <rFont val="Arial"/>
        <family val="2"/>
      </rPr>
      <t xml:space="preserve">Frais financier
</t>
    </r>
    <r>
      <rPr>
        <sz val="10"/>
        <rFont val="Arial"/>
        <family val="2"/>
      </rPr>
      <t xml:space="preserve">                                                            
</t>
    </r>
    <r>
      <rPr>
        <b/>
        <sz val="10"/>
        <rFont val="Arial"/>
        <family val="2"/>
      </rPr>
      <t xml:space="preserve">
</t>
    </r>
  </si>
  <si>
    <r>
      <t>Causes</t>
    </r>
    <r>
      <rPr>
        <sz val="10"/>
        <rFont val="Arial"/>
        <family val="2"/>
      </rPr>
      <t xml:space="preserve"> (Pourquoi ? : Milieu, Main d'œuvre, Matière, Matériel/Machine, Méthode)</t>
    </r>
    <r>
      <rPr>
        <b/>
        <sz val="10"/>
        <rFont val="Arial"/>
        <family val="2"/>
      </rPr>
      <t xml:space="preserve"> :</t>
    </r>
    <r>
      <rPr>
        <sz val="10"/>
        <rFont val="Arial"/>
        <family val="2"/>
      </rPr>
      <t xml:space="preserve">             </t>
    </r>
  </si>
  <si>
    <t>Suggestions pour que le dysfonctionnement, la situation dangereuse ne se reproduise plus:</t>
  </si>
  <si>
    <r>
      <rPr>
        <b/>
        <sz val="12"/>
        <rFont val="Arial"/>
        <family val="2"/>
      </rPr>
      <t>□</t>
    </r>
    <r>
      <rPr>
        <b/>
        <sz val="10"/>
        <rFont val="Arial"/>
        <family val="2"/>
      </rPr>
      <t xml:space="preserve">  Coûts (€)                                                                 □ Temps perdu (h):                                
</t>
    </r>
    <r>
      <rPr>
        <b/>
        <sz val="12"/>
        <rFont val="Arial"/>
        <family val="2"/>
      </rPr>
      <t>□</t>
    </r>
    <r>
      <rPr>
        <b/>
        <sz val="10"/>
        <rFont val="Arial"/>
        <family val="2"/>
      </rPr>
      <t xml:space="preserve">  Gain (€)                                                                   □ Temps gagné (h):
</t>
    </r>
    <r>
      <rPr>
        <b/>
        <sz val="12"/>
        <rFont val="Arial"/>
        <family val="2"/>
      </rPr>
      <t/>
    </r>
  </si>
  <si>
    <t>Actions mises en place</t>
  </si>
  <si>
    <t>Emetteur :
A :
Visa :</t>
  </si>
  <si>
    <t>Client :
Le :
A :
Visa :</t>
  </si>
  <si>
    <t xml:space="preserve">                       NOM Prénom : 
                       Entreprise :
</t>
  </si>
  <si>
    <t>A transmettre au DA/DF</t>
  </si>
  <si>
    <t>DAZSQ008 H Indice b</t>
  </si>
  <si>
    <r>
      <rPr>
        <u/>
        <sz val="10"/>
        <rFont val="Arial"/>
        <family val="2"/>
      </rPr>
      <t>Visa de l'abonné :</t>
    </r>
    <r>
      <rPr>
        <sz val="10"/>
        <rFont val="Arial"/>
        <family val="2"/>
      </rPr>
      <t xml:space="preserve"> Nom, Date et Signature</t>
    </r>
  </si>
  <si>
    <t xml:space="preserve"> - Coupes types</t>
  </si>
  <si>
    <t xml:space="preserve"> - Planning, Budget</t>
  </si>
  <si>
    <t xml:space="preserve">                - Réponses aux DICT (récépissés + plans)</t>
  </si>
  <si>
    <t xml:space="preserve">    Arrêtés de circulation / Autorisations de travail</t>
  </si>
  <si>
    <t xml:space="preserve"> - Autorisation de travail et d'accès aux réseaux</t>
  </si>
  <si>
    <t xml:space="preserve"> - Bons jaunes sorties magasin</t>
  </si>
  <si>
    <t xml:space="preserve"> - Bons de commande et Bons de livraison (pour les livraisons sur chantier)</t>
  </si>
  <si>
    <t>Enregistrements</t>
  </si>
  <si>
    <t xml:space="preserve"> - Plan vierge pour récolement</t>
  </si>
  <si>
    <t xml:space="preserve"> - Autres plans de contrôle (travaux électriques, HTB, aériens, chauffage urbain, </t>
  </si>
  <si>
    <t xml:space="preserve"> - PV de réception</t>
  </si>
  <si>
    <t xml:space="preserve"> - Plan de prévention/ PPSPS/ Analyse de risques (sécurité et environnement)</t>
  </si>
  <si>
    <t xml:space="preserve"> - Compte rendu visites coordonateur sécurité</t>
  </si>
  <si>
    <t xml:space="preserve"> - Echanges de courriers avec le client</t>
  </si>
  <si>
    <r>
      <t>PROCES VERBAL DE RECEPTION DES REMISES EN ETAT DES VOIRIES</t>
    </r>
    <r>
      <rPr>
        <b/>
        <sz val="14"/>
        <rFont val="Arial"/>
        <family val="2"/>
      </rPr>
      <t xml:space="preserve">             </t>
    </r>
  </si>
  <si>
    <t>fossés, talus, accotements, chaussées, glissières de sécurité, marquage au sol ont été remis en état</t>
  </si>
  <si>
    <t>les remises en l'état font l'objet des réserves suivantes:</t>
  </si>
  <si>
    <t xml:space="preserve">CHANTIER :                                                                             </t>
  </si>
  <si>
    <t>CADRE A REMPLIR PAR LE CC/CE :</t>
  </si>
  <si>
    <t>Signature du CC/CE :</t>
  </si>
  <si>
    <t>Code Postal:</t>
  </si>
  <si>
    <t>Nom du CC/CE :</t>
  </si>
  <si>
    <t>INFORMATIONS ADMINISTRATIVES</t>
  </si>
  <si>
    <t>Date de réception</t>
  </si>
  <si>
    <t>INFORMATIONS TERRAIN</t>
  </si>
  <si>
    <t>Date de coupure</t>
  </si>
  <si>
    <t>Arrêté</t>
  </si>
  <si>
    <t>Date de raccordement</t>
  </si>
  <si>
    <t>Date de mise en service</t>
  </si>
  <si>
    <t>Date livraison matériel sur chantier</t>
  </si>
  <si>
    <t>FICHE DE PREPARATION DE CHANTIER</t>
  </si>
  <si>
    <t>DA PREP001 A Indice a</t>
  </si>
  <si>
    <t>CC/CE</t>
  </si>
  <si>
    <t>PAGE DE GARDE</t>
  </si>
  <si>
    <t>Consignes particulières</t>
  </si>
  <si>
    <t>Dates figées (raccords, branchements, mises en services…)</t>
  </si>
  <si>
    <r>
      <t>Coupes types</t>
    </r>
    <r>
      <rPr>
        <sz val="10"/>
        <color indexed="10"/>
        <rFont val="Arial"/>
        <family val="2"/>
      </rPr>
      <t xml:space="preserve"> </t>
    </r>
  </si>
  <si>
    <t>Compte rendu de la réunion d'ouverture et comptes rendus de réunions de chantier</t>
  </si>
  <si>
    <t>Planning (ou dates début et fin de chantier), budget</t>
  </si>
  <si>
    <t>Points spécifiques à respecter ( copie CCTP, norme, schéma, modes opératoires, info client...)</t>
  </si>
  <si>
    <t>Moyens à prévoir, locations, matériels internes, personnel, (spécialisé ou autre)</t>
  </si>
  <si>
    <t>Liste récapitulative des DICT complétée des réponses et des n° d'urgence</t>
  </si>
  <si>
    <t>Réponses aux DICT (récépissés + plans)</t>
  </si>
  <si>
    <t xml:space="preserve">Liste matériel de signalisation, schéma de signalisation ou extrait du guide de signalisation </t>
  </si>
  <si>
    <t>Autorisation de travail et d'accès aux réseaux</t>
  </si>
  <si>
    <t>Bons jaunes sorties magasin</t>
  </si>
  <si>
    <t>Bons de commande et bons de livraison (pour livraisons sur chantier)</t>
  </si>
  <si>
    <t>Plan de situation des sites agrégats</t>
  </si>
  <si>
    <t xml:space="preserve">ENREGISTREMENTS </t>
  </si>
  <si>
    <t xml:space="preserve">Plan vierge pour récolement </t>
  </si>
  <si>
    <t>Plans de contrôles / supports d'enregistrements (selon liste des contôles à réaliser)</t>
  </si>
  <si>
    <t>PV de réception</t>
  </si>
  <si>
    <r>
      <t>Constat d'huissier</t>
    </r>
    <r>
      <rPr>
        <sz val="10"/>
        <color indexed="10"/>
        <rFont val="Arial"/>
        <family val="2"/>
      </rPr>
      <t xml:space="preserve"> </t>
    </r>
  </si>
  <si>
    <t>Compte rendu visites coordonnateur Sécurité</t>
  </si>
  <si>
    <t xml:space="preserve">Fiche d'accueil  </t>
  </si>
  <si>
    <t>Recueil des faits à chaud accidents du travail</t>
  </si>
  <si>
    <t>DAZSQ007 C Indice d</t>
  </si>
  <si>
    <t>La coupe type doit :</t>
  </si>
  <si>
    <t>- Être la plus claire possible et la plus représentative du chantier</t>
  </si>
  <si>
    <t>- Fournir le maximum d'éléments au CC/CE pour la réalisation</t>
  </si>
  <si>
    <t>- Permettre l'achat des bons matériaux</t>
  </si>
  <si>
    <t>Coupes Types fournies par le client</t>
  </si>
  <si>
    <t>Coupes Types sur plan de travaux</t>
  </si>
  <si>
    <r>
      <t xml:space="preserve">FICHE DE CONTRÔLE PEHD FIBRE OPTIQUE
</t>
    </r>
    <r>
      <rPr>
        <i/>
        <sz val="10"/>
        <rFont val="Arial"/>
        <family val="2"/>
      </rPr>
      <t>Document renseigné par le CC/CE, uniquement pour les réseaux neufs.</t>
    </r>
  </si>
  <si>
    <t>DAZSQ008 AL Indice a</t>
  </si>
  <si>
    <t>N° Chantier FIRALP (eOTP):</t>
  </si>
  <si>
    <t>N° Affaire client :</t>
  </si>
  <si>
    <t>Adresse du chantier :</t>
  </si>
  <si>
    <t>Libellé du projet :</t>
  </si>
  <si>
    <t xml:space="preserve">Sécurité : </t>
  </si>
  <si>
    <r>
      <t xml:space="preserve">Pour les tubes diamètre  </t>
    </r>
    <r>
      <rPr>
        <u/>
        <sz val="10"/>
        <color indexed="8"/>
        <rFont val="Calibri"/>
        <family val="2"/>
      </rPr>
      <t>&lt;</t>
    </r>
    <r>
      <rPr>
        <sz val="10"/>
        <color indexed="8"/>
        <rFont val="Calibri"/>
        <family val="2"/>
      </rPr>
      <t xml:space="preserve"> à 45, la pression maxi à ne pas dépasser est de 0,4 Mpa (4 Bars), 
Pour les tubes de diamètre &gt; à 45, la pression maxi à ne pas dépasser est de 0,7 Mpa (7 Bars),
Pour les PEHD se reporter à la pression maximale inscrite sur le tube. </t>
    </r>
  </si>
  <si>
    <t>TRONCON N°1</t>
  </si>
  <si>
    <t>Repère début :</t>
  </si>
  <si>
    <t>Repère fin :</t>
  </si>
  <si>
    <t>Longueur :</t>
  </si>
  <si>
    <t>Nombre :</t>
  </si>
  <si>
    <t>Caractéristiques tubes</t>
  </si>
  <si>
    <t>Type :</t>
  </si>
  <si>
    <t>Diamètre :</t>
  </si>
  <si>
    <t>P admissible :</t>
  </si>
  <si>
    <t>N° Pehd</t>
  </si>
  <si>
    <t>ESSAI DE PRESSION</t>
  </si>
  <si>
    <t>ESSAI DE MANDRINAGE</t>
  </si>
  <si>
    <t>Observations</t>
  </si>
  <si>
    <t>Pression</t>
  </si>
  <si>
    <t>Gabarit</t>
  </si>
  <si>
    <t>P. maxi</t>
  </si>
  <si>
    <t>Passant</t>
  </si>
  <si>
    <t>Début</t>
  </si>
  <si>
    <t>Fin</t>
  </si>
  <si>
    <t>Durée</t>
  </si>
  <si>
    <t>Initiale</t>
  </si>
  <si>
    <t>Finale</t>
  </si>
  <si>
    <t>Delta</t>
  </si>
  <si>
    <t>TRONCON N°2</t>
  </si>
  <si>
    <t xml:space="preserve">Nom, prénom : </t>
  </si>
  <si>
    <t>Récepteur de l'autorisation:</t>
  </si>
  <si>
    <t xml:space="preserve">TRAVAUX A REALISER HORS TENSION </t>
  </si>
  <si>
    <t>Risques associés :</t>
  </si>
  <si>
    <t>(Nature des travaux à réaliser, particularité d'exécution, données nécessaires à l'identification de l'ouvrage concerné,….)</t>
  </si>
  <si>
    <t xml:space="preserve">NATURE DES TRAVAUX A REALISER SOUS TENSION </t>
  </si>
  <si>
    <t>ITST</t>
  </si>
  <si>
    <t>ATST</t>
  </si>
  <si>
    <t xml:space="preserve">Documents liés  : </t>
  </si>
  <si>
    <t xml:space="preserve">Autorisation valable du </t>
  </si>
  <si>
    <t>Date de l'ordre du travail :</t>
  </si>
  <si>
    <t xml:space="preserve">  Client:</t>
  </si>
  <si>
    <t>Déroulage manuel</t>
  </si>
  <si>
    <t>A chaque déroulage</t>
  </si>
  <si>
    <t/>
  </si>
  <si>
    <t>Satisfaisant</t>
  </si>
  <si>
    <t>Qualité du travail</t>
  </si>
  <si>
    <t>DESIGNATION</t>
  </si>
  <si>
    <t>SIGNATURE</t>
  </si>
  <si>
    <t>N° Chantier :</t>
  </si>
  <si>
    <t>Signature</t>
  </si>
  <si>
    <t>Fonction :</t>
  </si>
  <si>
    <t>N° chantier :</t>
  </si>
  <si>
    <t>DATE</t>
  </si>
  <si>
    <t>PM</t>
  </si>
  <si>
    <t>GUIDE POUR LE CROISEMENT DES RESEAUX ENTERRES</t>
  </si>
  <si>
    <t>DAZSQ005 B Indice b</t>
  </si>
  <si>
    <t>Point d'arrêt</t>
  </si>
  <si>
    <t xml:space="preserve">L'entreprise respecte les distances réglementaires prescrites par : </t>
  </si>
  <si>
    <t xml:space="preserve"> La Norme NFC 11201 de Octobre 96</t>
  </si>
  <si>
    <t xml:space="preserve"> L'Arrêté Technique du 2 avril 1991 </t>
  </si>
  <si>
    <t xml:space="preserve"> Le guide Technique de la Distribution Electricité</t>
  </si>
  <si>
    <r>
      <t>1</t>
    </r>
    <r>
      <rPr>
        <sz val="10"/>
        <rFont val="Arial"/>
        <family val="2"/>
      </rPr>
      <t>) Impossibilité</t>
    </r>
  </si>
  <si>
    <t xml:space="preserve"> Le guide Technique de la Distribution Gaz</t>
  </si>
  <si>
    <t xml:space="preserve">de respecter </t>
  </si>
  <si>
    <t xml:space="preserve"> La  Convention EGS- France Télécom FNCCR- ANROC du 1er mars 1994</t>
  </si>
  <si>
    <t>les distances</t>
  </si>
  <si>
    <t xml:space="preserve"> L'UTE C. 11.001 et les directives du C.E.R.T de 06/96</t>
  </si>
  <si>
    <t xml:space="preserve">                     </t>
  </si>
  <si>
    <t>réglementaires</t>
  </si>
  <si>
    <t>Distances entre génératrices</t>
  </si>
  <si>
    <r>
      <t>2</t>
    </r>
    <r>
      <rPr>
        <sz val="10"/>
        <rFont val="Arial"/>
        <family val="2"/>
      </rPr>
      <t xml:space="preserve">) La distance </t>
    </r>
  </si>
  <si>
    <r>
      <t xml:space="preserve"> </t>
    </r>
    <r>
      <rPr>
        <b/>
        <u/>
        <sz val="10"/>
        <rFont val="Arial"/>
        <family val="2"/>
      </rPr>
      <t>RESEAUX EN PARALLELES</t>
    </r>
  </si>
  <si>
    <t>de parallélisme</t>
  </si>
  <si>
    <t>entre la canalisation</t>
  </si>
  <si>
    <t>du réseau et une</t>
  </si>
  <si>
    <t xml:space="preserve">façade de bâtiment </t>
  </si>
  <si>
    <r>
      <t>est &lt; 0, 40m</t>
    </r>
    <r>
      <rPr>
        <b/>
        <sz val="10"/>
        <rFont val="Arial"/>
        <family val="2"/>
      </rPr>
      <t>*</t>
    </r>
  </si>
  <si>
    <r>
      <t xml:space="preserve">* </t>
    </r>
    <r>
      <rPr>
        <b/>
        <i/>
        <sz val="8"/>
        <rFont val="Arial"/>
        <family val="2"/>
      </rPr>
      <t xml:space="preserve">Attention aux </t>
    </r>
  </si>
  <si>
    <t>spécificités locales</t>
  </si>
  <si>
    <r>
      <t>3</t>
    </r>
    <r>
      <rPr>
        <sz val="10"/>
        <rFont val="Arial"/>
        <family val="2"/>
      </rPr>
      <t xml:space="preserve">) Impossibilité de </t>
    </r>
  </si>
  <si>
    <t>respecter la distance</t>
  </si>
  <si>
    <t xml:space="preserve">entre le gaz et le </t>
  </si>
  <si>
    <t xml:space="preserve">chauffage urbain </t>
  </si>
  <si>
    <t>quelle que soit la</t>
  </si>
  <si>
    <t>longueur de voisinage</t>
  </si>
  <si>
    <t>(résolution du problème</t>
  </si>
  <si>
    <t>avec le logicel GASPACK</t>
  </si>
  <si>
    <t>distribué par SA/G)</t>
  </si>
  <si>
    <t>Dérogation</t>
  </si>
  <si>
    <r>
      <t xml:space="preserve"> </t>
    </r>
    <r>
      <rPr>
        <b/>
        <u/>
        <sz val="10"/>
        <rFont val="Arial"/>
        <family val="2"/>
      </rPr>
      <t>RESEAUX CROISES</t>
    </r>
  </si>
  <si>
    <t xml:space="preserve">       </t>
  </si>
  <si>
    <t>Si impossibilité de</t>
  </si>
  <si>
    <t>respecter les distances</t>
  </si>
  <si>
    <t>réglementaires sur une</t>
  </si>
  <si>
    <r>
      <t>longueur &lt; 10m</t>
    </r>
    <r>
      <rPr>
        <b/>
        <sz val="10"/>
        <rFont val="Arial"/>
        <family val="2"/>
      </rPr>
      <t>*</t>
    </r>
  </si>
  <si>
    <t>* Attention aux          spécificités locales</t>
  </si>
  <si>
    <t xml:space="preserve">mise en place de </t>
  </si>
  <si>
    <t>fourreau à l'initiative</t>
  </si>
  <si>
    <t>de l'entreprise</t>
  </si>
  <si>
    <t>(sauf chauffage urbain)</t>
  </si>
  <si>
    <r>
      <t>***</t>
    </r>
    <r>
      <rPr>
        <sz val="10"/>
        <rFont val="Arial"/>
        <family val="2"/>
      </rPr>
      <t xml:space="preserve"> Guide technique de la distribution Electricité ( ch. B-34-5)</t>
    </r>
  </si>
  <si>
    <t>Nota : il est possible d'exiger une feuille de calcul de l'exploitant du chauffage urbain</t>
  </si>
  <si>
    <t>GUIDE TECHNIQUE   :    CARACTERISTIQUES DES CANALISATIONS ELECTRIQUES ET GAZ</t>
  </si>
  <si>
    <r>
      <t xml:space="preserve">CABLES POUR RESEAUX SOUTERRAINS  </t>
    </r>
    <r>
      <rPr>
        <b/>
        <i/>
        <sz val="14"/>
        <rFont val="Arial"/>
        <family val="2"/>
      </rPr>
      <t xml:space="preserve"> </t>
    </r>
    <r>
      <rPr>
        <b/>
        <sz val="14"/>
        <rFont val="Arial"/>
        <family val="2"/>
      </rPr>
      <t xml:space="preserve">BT   </t>
    </r>
    <r>
      <rPr>
        <b/>
        <i/>
        <sz val="14"/>
        <rFont val="Arial"/>
        <family val="2"/>
      </rPr>
      <t>(NF C33210)</t>
    </r>
  </si>
  <si>
    <t>Section  ( mm²) et forme de l'âme</t>
  </si>
  <si>
    <t>4 x 50 AL</t>
  </si>
  <si>
    <t xml:space="preserve">   3 x 95 AL     + 50 AL</t>
  </si>
  <si>
    <t xml:space="preserve">  3 x 150 AL + 70 AL</t>
  </si>
  <si>
    <t xml:space="preserve">  3 x 240 AL + 95 AL</t>
  </si>
  <si>
    <t>Contraintes de déroulage en fonction de la température du câble</t>
  </si>
  <si>
    <t>Diamètre extérieur maximal                                  (mm)</t>
  </si>
  <si>
    <t>Poids (masse linéique)                                        (kg/m)</t>
  </si>
  <si>
    <t>Rayon de courbure minimal                                  (cm)</t>
  </si>
  <si>
    <t>Effort de tirage maxi sur l'âme                               (kg)</t>
  </si>
  <si>
    <t>T &lt; - 5°c / T &gt; + 35°</t>
  </si>
  <si>
    <t>Effort de tirage maxi à la chaussette                     (kg)</t>
  </si>
  <si>
    <t>Interdit</t>
  </si>
  <si>
    <r>
      <t xml:space="preserve">  </t>
    </r>
    <r>
      <rPr>
        <i/>
        <sz val="14"/>
        <rFont val="Arial"/>
        <family val="2"/>
      </rPr>
      <t>CABLES POUR RESEAUX SOUTERRAINS</t>
    </r>
    <r>
      <rPr>
        <b/>
        <sz val="14"/>
        <rFont val="Arial"/>
        <family val="2"/>
      </rPr>
      <t xml:space="preserve">  HTA  </t>
    </r>
    <r>
      <rPr>
        <b/>
        <i/>
        <sz val="14"/>
        <rFont val="Arial"/>
        <family val="2"/>
      </rPr>
      <t xml:space="preserve"> (NF C 33223)</t>
    </r>
  </si>
  <si>
    <t>1 x 50 AL</t>
  </si>
  <si>
    <t>3 x 50 AL</t>
  </si>
  <si>
    <t>3 x 50 AL       1 x 50 AL</t>
  </si>
  <si>
    <t xml:space="preserve">   3 x 95 AL     </t>
  </si>
  <si>
    <t xml:space="preserve">  3 x 150 AL </t>
  </si>
  <si>
    <t xml:space="preserve">  3 x 240 AL </t>
  </si>
  <si>
    <t>Diamètre extérieur maximal                                 (mm)</t>
  </si>
  <si>
    <t>Rayon de courbure minimal                                 (cm)</t>
  </si>
  <si>
    <t>Effort de tirage maxi sur l'âme                              (kg)</t>
  </si>
  <si>
    <t>Effort de tirage maxi à la chaussette                    (kg)</t>
  </si>
  <si>
    <r>
      <t xml:space="preserve">  </t>
    </r>
    <r>
      <rPr>
        <i/>
        <sz val="14"/>
        <rFont val="Arial"/>
        <family val="2"/>
      </rPr>
      <t>CABLES POUR RESEAUX SOUTERRAINS</t>
    </r>
    <r>
      <rPr>
        <b/>
        <sz val="14"/>
        <rFont val="Arial"/>
        <family val="2"/>
      </rPr>
      <t xml:space="preserve">  HTA  </t>
    </r>
    <r>
      <rPr>
        <b/>
        <i/>
        <sz val="14"/>
        <rFont val="Arial"/>
        <family val="2"/>
      </rPr>
      <t xml:space="preserve"> (NF C 33226)</t>
    </r>
  </si>
  <si>
    <t xml:space="preserve">  3 x 240 CU </t>
  </si>
  <si>
    <t>T &lt; - 10°c / T &gt; + 50°</t>
  </si>
  <si>
    <t>Rayon de courbure minimal                                (cm)</t>
  </si>
  <si>
    <t>Effort de tirage maxi sur l'âme                             (kg)</t>
  </si>
  <si>
    <t>Effort de tirage maxi à la chaussette                   (kg)</t>
  </si>
  <si>
    <r>
      <t>CANALISATION POLYETHYLENE POUR</t>
    </r>
    <r>
      <rPr>
        <b/>
        <sz val="14"/>
        <rFont val="Arial"/>
        <family val="2"/>
      </rPr>
      <t xml:space="preserve"> GDF</t>
    </r>
  </si>
  <si>
    <t>Diamètre extérieur de la canalisation PE (mm)</t>
  </si>
  <si>
    <t xml:space="preserve">Ø 40   </t>
  </si>
  <si>
    <t>Ø 63</t>
  </si>
  <si>
    <t xml:space="preserve"> Ø 90</t>
  </si>
  <si>
    <t xml:space="preserve"> Ø110</t>
  </si>
  <si>
    <t>Ø 125</t>
  </si>
  <si>
    <t>Ø 160</t>
  </si>
  <si>
    <t xml:space="preserve">Ø 200 </t>
  </si>
  <si>
    <r>
      <t xml:space="preserve">Rayon de courbure minimal                    </t>
    </r>
    <r>
      <rPr>
        <b/>
        <sz val="14"/>
        <rFont val="Arial"/>
        <family val="2"/>
      </rPr>
      <t>MPB</t>
    </r>
    <r>
      <rPr>
        <sz val="14"/>
        <rFont val="Arial"/>
        <family val="2"/>
      </rPr>
      <t xml:space="preserve">    (cm)</t>
    </r>
  </si>
  <si>
    <r>
      <t xml:space="preserve">Effort de tirage maxi                                </t>
    </r>
    <r>
      <rPr>
        <b/>
        <sz val="14"/>
        <rFont val="Arial"/>
        <family val="2"/>
      </rPr>
      <t xml:space="preserve">MPB </t>
    </r>
    <r>
      <rPr>
        <sz val="14"/>
        <rFont val="Arial"/>
        <family val="2"/>
      </rPr>
      <t xml:space="preserve">    (kg)</t>
    </r>
  </si>
  <si>
    <r>
      <t xml:space="preserve">Rayon de courbure minimal                    </t>
    </r>
    <r>
      <rPr>
        <b/>
        <sz val="14"/>
        <rFont val="Arial"/>
        <family val="2"/>
      </rPr>
      <t>MPC</t>
    </r>
    <r>
      <rPr>
        <sz val="14"/>
        <rFont val="Arial"/>
        <family val="2"/>
      </rPr>
      <t xml:space="preserve">    (cm)</t>
    </r>
  </si>
  <si>
    <r>
      <t xml:space="preserve">Effort de tirage maxi                               </t>
    </r>
    <r>
      <rPr>
        <b/>
        <sz val="14"/>
        <rFont val="Arial"/>
        <family val="2"/>
      </rPr>
      <t xml:space="preserve"> MPC</t>
    </r>
    <r>
      <rPr>
        <sz val="14"/>
        <rFont val="Arial"/>
        <family val="2"/>
      </rPr>
      <t xml:space="preserve">     (kg)</t>
    </r>
  </si>
  <si>
    <t>&lt;- Nombre d'onglets sélectionnés -&gt;</t>
  </si>
  <si>
    <t>Onglets</t>
  </si>
  <si>
    <t>Aff</t>
  </si>
  <si>
    <t>Nb</t>
  </si>
  <si>
    <t>COCHER CETTE CASE POUR IMPRIMER LES INTERCALAIRES</t>
  </si>
  <si>
    <t>Nature des travaux et techniques utilisées :</t>
  </si>
  <si>
    <t xml:space="preserve"> - PV de marquage / piquetage</t>
  </si>
  <si>
    <t>PROCES VERBAL DE MARQUAGE / PIQUETAGE</t>
  </si>
  <si>
    <t>Ces travaux sont placés sous le contrôle de :</t>
  </si>
  <si>
    <t>Adresse des travaux :</t>
  </si>
  <si>
    <r>
      <t xml:space="preserve">En raison des travaux d'amélioration du réseau ………. nous vous informons que notre entreprise ……………………...interviendra dans votre rue pour une période prévisible de </t>
    </r>
    <r>
      <rPr>
        <b/>
        <sz val="10"/>
        <rFont val="Arial"/>
        <family val="2"/>
      </rPr>
      <t>... semaine(s)</t>
    </r>
    <r>
      <rPr>
        <sz val="10"/>
        <rFont val="Arial"/>
        <family val="2"/>
      </rPr>
      <t xml:space="preserve"> environ, 
</t>
    </r>
    <r>
      <rPr>
        <b/>
        <sz val="10"/>
        <rFont val="Arial"/>
        <family val="2"/>
      </rPr>
      <t>à compter du ….../….../……...</t>
    </r>
  </si>
  <si>
    <t>Consignes particulières/Observations :</t>
  </si>
  <si>
    <t>Budget previsionnel</t>
  </si>
  <si>
    <t>Liste agence pour liste déroulante</t>
  </si>
  <si>
    <t>AIX EN PROVENCE</t>
  </si>
  <si>
    <t>ANSE</t>
  </si>
  <si>
    <t>ANSE MECANIQUE</t>
  </si>
  <si>
    <t>BABOLAT ELECTRICITE</t>
  </si>
  <si>
    <t>BBF RESEAUX</t>
  </si>
  <si>
    <t>BEAUNE</t>
  </si>
  <si>
    <t>BEAUVAIS</t>
  </si>
  <si>
    <t>BERGERAC</t>
  </si>
  <si>
    <t>BESANCON</t>
  </si>
  <si>
    <t>BEZIERS</t>
  </si>
  <si>
    <t>BORDEAUX</t>
  </si>
  <si>
    <t>BORDEAUX MECANIQUE</t>
  </si>
  <si>
    <t>CAVAILLON</t>
  </si>
  <si>
    <t>CERGY</t>
  </si>
  <si>
    <t>CERGY MECANIQUE</t>
  </si>
  <si>
    <t>CLERMONT-FERRAND</t>
  </si>
  <si>
    <t>CORBAS</t>
  </si>
  <si>
    <t>CRETEIL</t>
  </si>
  <si>
    <t>ENSISHEIM</t>
  </si>
  <si>
    <t>EREC TECHNOLOGIES</t>
  </si>
  <si>
    <t>GOUSSAINVILLE</t>
  </si>
  <si>
    <t>GRAMARI</t>
  </si>
  <si>
    <t>HTB CSE</t>
  </si>
  <si>
    <t>IMBSHEIM</t>
  </si>
  <si>
    <t>LENT</t>
  </si>
  <si>
    <t>MARANGE</t>
  </si>
  <si>
    <t>MATERIEL</t>
  </si>
  <si>
    <t>MELUN</t>
  </si>
  <si>
    <t>MONTELIMAR</t>
  </si>
  <si>
    <t>NEUVY GRANDCHAMP</t>
  </si>
  <si>
    <t>ORLEANS</t>
  </si>
  <si>
    <t>PONS</t>
  </si>
  <si>
    <t>RECYCLAGE</t>
  </si>
  <si>
    <t>RESONANCE</t>
  </si>
  <si>
    <t>ROESSEL</t>
  </si>
  <si>
    <t>SAINT ETIENNE</t>
  </si>
  <si>
    <t>SCEB</t>
  </si>
  <si>
    <t>SCIONZIER</t>
  </si>
  <si>
    <t>SELLES SUR CHER</t>
  </si>
  <si>
    <t>SERANGE</t>
  </si>
  <si>
    <t>SERVICE MATERIEL</t>
  </si>
  <si>
    <t>SOBECAMAT IDF</t>
  </si>
  <si>
    <t>SOBECAMAT MECANIQUE IDF</t>
  </si>
  <si>
    <t>SOBECAMAT RHONE ALPES</t>
  </si>
  <si>
    <t>SOMELEC CHARTRES</t>
  </si>
  <si>
    <t>SOMELEC LA ROCHELLE</t>
  </si>
  <si>
    <t>SOMELEC MONTARGIS</t>
  </si>
  <si>
    <t>TOULON</t>
  </si>
  <si>
    <t>TOULOUSE</t>
  </si>
  <si>
    <t>TULLINS</t>
  </si>
  <si>
    <t>VAL DE CHER</t>
  </si>
  <si>
    <t>VIOLA SARTROUVILLE</t>
  </si>
  <si>
    <t xml:space="preserve">AGENCE : </t>
  </si>
  <si>
    <t xml:space="preserve">DATE REELLE DE DEBUT DES TRAVAUX : </t>
  </si>
  <si>
    <t>Nom du RAF :</t>
  </si>
  <si>
    <t xml:space="preserve">DATE DE FIN DES TRAVAUX PREVUE : </t>
  </si>
  <si>
    <t xml:space="preserve">N°1 : </t>
  </si>
  <si>
    <t xml:space="preserve">N°2 : </t>
  </si>
  <si>
    <t xml:space="preserve">N°3 : </t>
  </si>
  <si>
    <t>Visite avec le RAF effectuée le  :</t>
  </si>
  <si>
    <t>Signature du RAF :</t>
  </si>
  <si>
    <t>LISTE DES POINTS CONTENUS DANS LE DOSSIER A RENSEIGNER PAR LE RAF ET A VERIFIER PAR LE CC/CE (lors de la visite de chantier)</t>
  </si>
  <si>
    <t>RAF</t>
  </si>
  <si>
    <t>Plans de travaux (vérifiiés, tamponnés, datés, signés par le RAF)</t>
  </si>
  <si>
    <r>
      <t xml:space="preserve">COUPES TYPES
</t>
    </r>
    <r>
      <rPr>
        <b/>
        <i/>
        <sz val="10"/>
        <rFont val="Arial"/>
        <family val="2"/>
      </rPr>
      <t>Document renseigné par le RAF</t>
    </r>
  </si>
  <si>
    <t xml:space="preserve">RAF : </t>
  </si>
  <si>
    <r>
      <t xml:space="preserve">ORDRE DE TRAVAIL SOUS TENSION 
</t>
    </r>
    <r>
      <rPr>
        <i/>
        <sz val="10"/>
        <rFont val="Arial"/>
        <family val="2"/>
      </rPr>
      <t>Document renseigné par le RAF</t>
    </r>
  </si>
  <si>
    <t xml:space="preserve">Nom du RAF : </t>
  </si>
  <si>
    <t>CC/CE ou Electricien</t>
  </si>
  <si>
    <t>CC/CE ou maçon</t>
  </si>
  <si>
    <t>CC/CE ou releveur</t>
  </si>
  <si>
    <t>CC/CE ou Soudeur</t>
  </si>
  <si>
    <r>
      <t xml:space="preserve">FICHE DE DEROULAGE OU DE POSE
</t>
    </r>
    <r>
      <rPr>
        <i/>
        <sz val="14"/>
        <rFont val="Arial"/>
        <family val="2"/>
      </rPr>
      <t>Document renseigné par le CC/CE</t>
    </r>
  </si>
  <si>
    <r>
      <t xml:space="preserve">Nom du testeur </t>
    </r>
    <r>
      <rPr>
        <sz val="8"/>
        <rFont val="Arial"/>
        <family val="2"/>
      </rPr>
      <t>(CC/CE ou Electricien)</t>
    </r>
  </si>
  <si>
    <t>Nom du CC/CE ou du RAF :</t>
  </si>
  <si>
    <t>Visa du CC/CE :</t>
  </si>
  <si>
    <t>RELEVE D'ALVEOLES / FICHE DE MANDRINAGE</t>
  </si>
  <si>
    <t>FICHE DE MANDRINAGE / RELEVE D'ALVEOLES</t>
  </si>
  <si>
    <t>Longueur de la section* (m) :</t>
  </si>
  <si>
    <t>* Longueur (Ls) à renseigner sur le schéma pour les relevés d'alvéoles chambres de tirage.</t>
  </si>
  <si>
    <r>
      <t>Ø</t>
    </r>
    <r>
      <rPr>
        <sz val="10"/>
        <rFont val="Arial"/>
        <family val="2"/>
      </rPr>
      <t xml:space="preserve"> 100</t>
    </r>
  </si>
  <si>
    <r>
      <t>Ø</t>
    </r>
    <r>
      <rPr>
        <sz val="10"/>
        <rFont val="Arial"/>
        <family val="2"/>
      </rPr>
      <t xml:space="preserve">  45</t>
    </r>
  </si>
  <si>
    <r>
      <t>Ø</t>
    </r>
    <r>
      <rPr>
        <sz val="10"/>
        <rFont val="Arial"/>
        <family val="2"/>
      </rPr>
      <t xml:space="preserve">  80</t>
    </r>
  </si>
  <si>
    <r>
      <t>Ø</t>
    </r>
    <r>
      <rPr>
        <sz val="10"/>
        <rFont val="Arial"/>
        <family val="2"/>
      </rPr>
      <t xml:space="preserve">  33</t>
    </r>
  </si>
  <si>
    <r>
      <t>Ø</t>
    </r>
    <r>
      <rPr>
        <sz val="10"/>
        <rFont val="Arial"/>
        <family val="2"/>
      </rPr>
      <t xml:space="preserve">  60</t>
    </r>
  </si>
  <si>
    <r>
      <t>Ø</t>
    </r>
    <r>
      <rPr>
        <sz val="10"/>
        <rFont val="Arial"/>
        <family val="2"/>
      </rPr>
      <t xml:space="preserve">  28</t>
    </r>
  </si>
  <si>
    <t>Désignation des travaux :</t>
  </si>
  <si>
    <t>Commune :</t>
  </si>
  <si>
    <t>N° de Chantier :</t>
  </si>
  <si>
    <r>
      <t xml:space="preserve">LISTE DES CONTROLES A REALISER
</t>
    </r>
    <r>
      <rPr>
        <i/>
        <sz val="10"/>
        <rFont val="Arial"/>
        <family val="2"/>
      </rPr>
      <t>Document renseigné par le RAF. Une copie est fournie au CC/CE</t>
    </r>
  </si>
  <si>
    <r>
      <t xml:space="preserve">RECEPTION D'OUVRAGES FOURNIS PAR LE CLIENT  
</t>
    </r>
    <r>
      <rPr>
        <sz val="10"/>
        <rFont val="Arial"/>
        <family val="2"/>
      </rPr>
      <t xml:space="preserve">(Réception d'ouvrages ou parties d'ouvrages non réalisés par FIRALP) </t>
    </r>
    <r>
      <rPr>
        <sz val="12"/>
        <rFont val="Arial"/>
        <family val="2"/>
      </rPr>
      <t xml:space="preserve">     
</t>
    </r>
    <r>
      <rPr>
        <i/>
        <sz val="10"/>
        <rFont val="Arial"/>
        <family val="2"/>
      </rPr>
      <t xml:space="preserve">Document renseigné par le RAF et/ou CC/CE. Une copie est fournie au CC/CE   </t>
    </r>
  </si>
  <si>
    <t>PdP/ PPSPS/ Analyse des risques (sécurité environnement)/ Consignes de sécurité</t>
  </si>
  <si>
    <t xml:space="preserve">Fournisseur : </t>
  </si>
  <si>
    <t xml:space="preserve">Libellé du marché ou de la commande : </t>
  </si>
  <si>
    <t>Marché ou commande n° :</t>
  </si>
  <si>
    <t xml:space="preserve">Commune : </t>
  </si>
  <si>
    <t xml:space="preserve">N° de l’affaire : </t>
  </si>
  <si>
    <t>PROCES VERBAL DE RECEPTION</t>
  </si>
  <si>
    <t>Je soussigné, ……………………..…..  , représentant de  …………………………..   après avoir procédé</t>
  </si>
  <si>
    <t>à la visite des travaux effectués par</t>
  </si>
  <si>
    <t>au titre du marché mentionné ci-dessus, en présence</t>
  </si>
  <si>
    <t>de ……………………..…..    représentant de ……………………..…..  et déclare que :</t>
  </si>
  <si>
    <t xml:space="preserve">          Les travaux et prestations ont été executés et/ou les ouvrages sont conformes et cela sans réserves en retenant pour l'achèvement de travaux la date du …………...</t>
  </si>
  <si>
    <t xml:space="preserve">          Les travaux et prestations ont été executés et/ou les ouvrages sont conformes, assorti des réserves mentionnées ci-après.</t>
  </si>
  <si>
    <r>
      <t xml:space="preserve">ETAT DES RESERVES </t>
    </r>
    <r>
      <rPr>
        <sz val="16"/>
        <rFont val="Arial"/>
        <family val="2"/>
      </rPr>
      <t xml:space="preserve">                    ci-après                                    sur annexe :………………………..........</t>
    </r>
  </si>
  <si>
    <t>Nature des réserves</t>
  </si>
  <si>
    <t>Travaux à exécuter</t>
  </si>
  <si>
    <t>Fait à : ……………………</t>
  </si>
  <si>
    <t xml:space="preserve">Le : ……/……/…………
</t>
  </si>
  <si>
    <t>En deux exemplaires</t>
  </si>
  <si>
    <t xml:space="preserve">Pour ……………………..….. </t>
  </si>
  <si>
    <t>PROCES VERBAL DE LEVEE DES RESERVES</t>
  </si>
  <si>
    <t xml:space="preserve">          Sans réserve, avec effet à la date du   …………...</t>
  </si>
  <si>
    <t xml:space="preserve">Fait à : ……………………….Le : ……/……/…………
En deux exemplaires
</t>
  </si>
  <si>
    <t xml:space="preserve">          Avec réserve avec effet à la date du ………………</t>
  </si>
  <si>
    <t>….……………………….</t>
  </si>
  <si>
    <r>
      <rPr>
        <sz val="16"/>
        <rFont val="Wingdings"/>
        <charset val="2"/>
      </rPr>
      <t xml:space="preserve"> o </t>
    </r>
    <r>
      <rPr>
        <sz val="16"/>
        <rFont val="Arial"/>
        <family val="2"/>
      </rPr>
      <t xml:space="preserve">Le délai contractuel </t>
    </r>
    <r>
      <rPr>
        <i/>
        <sz val="11"/>
        <rFont val="Arial"/>
        <family val="2"/>
      </rPr>
      <t>(Par défaut, le délai de levée des réserves est celui prévu par la Norme NFP 03-002, Edition octobre 2014.)</t>
    </r>
  </si>
  <si>
    <r>
      <rPr>
        <sz val="16"/>
        <rFont val="Wingdings"/>
        <charset val="2"/>
      </rPr>
      <t xml:space="preserve"> o</t>
    </r>
    <r>
      <rPr>
        <sz val="11.2"/>
        <rFont val="Arial"/>
        <family val="2"/>
      </rPr>
      <t xml:space="preserve">        </t>
    </r>
    <r>
      <rPr>
        <sz val="16"/>
        <rFont val="Arial"/>
        <family val="2"/>
      </rPr>
      <t xml:space="preserve">Un délai de : …………………………… à compter de ce jour  </t>
    </r>
  </si>
  <si>
    <r>
      <t xml:space="preserve">Pour le maître d'ouvrage
</t>
    </r>
    <r>
      <rPr>
        <i/>
        <sz val="12"/>
        <rFont val="Arial"/>
        <family val="2"/>
      </rPr>
      <t>Signature + cachet</t>
    </r>
  </si>
  <si>
    <t>PV marquage piquetage</t>
  </si>
  <si>
    <t>Mission :</t>
  </si>
  <si>
    <t>Nom du chantier :</t>
  </si>
  <si>
    <t xml:space="preserve">Adresse du chantier : </t>
  </si>
  <si>
    <t>N° de chantier :</t>
  </si>
  <si>
    <t>Contact : (Nom, Prénom, Téléphone) :</t>
  </si>
  <si>
    <t>Date de début de mission :</t>
  </si>
  <si>
    <t>Durée prévisionnelle :</t>
  </si>
  <si>
    <t>Lieu de l’accueil :</t>
  </si>
  <si>
    <t>Horaires de travail :</t>
  </si>
  <si>
    <t>Motif du recours :</t>
  </si>
  <si>
    <t>Intitulé du poste :</t>
  </si>
  <si>
    <t>(voir fiche de fonction ci-jointe)</t>
  </si>
  <si>
    <t xml:space="preserve">Niveau du personnel demandé : </t>
  </si>
  <si>
    <t>Commentaires :</t>
  </si>
  <si>
    <t>Formations, qualifications (Habilitations) requises :</t>
  </si>
  <si>
    <t>Autres :</t>
  </si>
  <si>
    <t>Risques auxquels l’intérimaire est susceptible d’être exposé :</t>
  </si>
  <si>
    <t>Accueil Chantier :</t>
  </si>
  <si>
    <t>Le personnel intérimaire passera un test « sécurité » validé par le chef de chantier. L’intérimaire se présentera obligatoirement avec ses EPI (sans sigle) spécifiés dans les accords cadres FIRALP, sous peine de renvoi.</t>
  </si>
  <si>
    <t>La liste des EPI obligatoires est la suivante : casque de chantier homologué, gilets fluo réfléchissants (baudriers) EN471, bottes et/ou chaussures de sécurité hautes, gants, vêtements de pluie.</t>
  </si>
  <si>
    <t xml:space="preserve">Envoi des offres par mail au demandeur avec les documents suivants : </t>
  </si>
  <si>
    <t xml:space="preserve">L’offre et la commande s’appuient sur : accord cadre, contrat, fiche de demande, CGA, CGV. </t>
  </si>
  <si>
    <t>Réponse de l’agence d’intérim</t>
  </si>
  <si>
    <t>Nom de l’intérimaire proposé :</t>
  </si>
  <si>
    <t>(Voir CV ci-joint)</t>
  </si>
  <si>
    <t>Tampon et signature FIRALP</t>
  </si>
  <si>
    <t>1. Nom du personnel intérimaire :</t>
  </si>
  <si>
    <t>Prénom :</t>
  </si>
  <si>
    <t>Société Intérim :</t>
  </si>
  <si>
    <t xml:space="preserve">2. Mission du </t>
  </si>
  <si>
    <t>3. Poste(s) occupé(s) :</t>
  </si>
  <si>
    <t xml:space="preserve">4. Motif de recours : </t>
  </si>
  <si>
    <t>5. Qualités personnelles et professionnelles de l’intérimaire</t>
  </si>
  <si>
    <t>Mettre une croix ou N/A si pas applicable</t>
  </si>
  <si>
    <t>Très satisfaisant</t>
  </si>
  <si>
    <t>Peu Satisfaisant</t>
  </si>
  <si>
    <t>Insatisfaisant</t>
  </si>
  <si>
    <t xml:space="preserve">Ponctualité / Assiduité </t>
  </si>
  <si>
    <t>Esprit d’équipe</t>
  </si>
  <si>
    <t>6. Motif de départ</t>
  </si>
  <si>
    <t>Pendant période d’essai</t>
  </si>
  <si>
    <t>Sur initiative Firalp</t>
  </si>
  <si>
    <t>Après période d’essai</t>
  </si>
  <si>
    <t>Sur initiative intérimaire</t>
  </si>
  <si>
    <t>Si non, veuillez remonter les dysfonctionnements au service achats (mail/fiche de progrès/ etc…)</t>
  </si>
  <si>
    <t>7. Commentaires :</t>
  </si>
  <si>
    <t>Nom/Fonction et signature de l’évaluateur :</t>
  </si>
  <si>
    <t>Tampon et signature de l'entreprise de travail temporaire</t>
  </si>
  <si>
    <t xml:space="preserve">Commentaires :
</t>
  </si>
  <si>
    <r>
      <rPr>
        <b/>
        <sz val="9"/>
        <rFont val="Wingdings"/>
        <charset val="2"/>
      </rPr>
      <t>o</t>
    </r>
    <r>
      <rPr>
        <b/>
        <sz val="9"/>
        <rFont val="Calibri"/>
        <family val="2"/>
      </rPr>
      <t xml:space="preserve"> Fin de contrat</t>
    </r>
  </si>
  <si>
    <r>
      <rPr>
        <b/>
        <sz val="9"/>
        <rFont val="Wingdings"/>
        <charset val="2"/>
      </rPr>
      <t>o</t>
    </r>
    <r>
      <rPr>
        <b/>
        <sz val="9"/>
        <rFont val="Calibri"/>
        <family val="2"/>
      </rPr>
      <t xml:space="preserve"> Départ anticipé :</t>
    </r>
  </si>
  <si>
    <t>FICHE D'EVALUATION D'UN INTERIMAIRE</t>
  </si>
  <si>
    <t>LES 3 RISQUES PRINCIPAUX DU CHANTIER (extraits de l'analyse des risques)</t>
  </si>
  <si>
    <t>CC/CE : Reportez-vous à l'analyse des risques (PPSPS, PdP, Fiche Sécurité et environnement) pour mettre en oeuvre les moyens de prévention permettant de réduire/supprimer ces risques.</t>
  </si>
  <si>
    <t>DAZSQ007 E Indice e</t>
  </si>
  <si>
    <r>
      <t>Les cellules</t>
    </r>
    <r>
      <rPr>
        <b/>
        <sz val="12"/>
        <rFont val="Arial"/>
        <family val="2"/>
      </rPr>
      <t xml:space="preserve"> JAUNES </t>
    </r>
    <r>
      <rPr>
        <sz val="12"/>
        <rFont val="Arial"/>
        <family val="2"/>
      </rPr>
      <t xml:space="preserve">sont </t>
    </r>
    <r>
      <rPr>
        <b/>
        <sz val="12"/>
        <rFont val="Arial"/>
        <family val="2"/>
      </rPr>
      <t xml:space="preserve">les cellules à saisir; elles se trouvent dans </t>
    </r>
    <r>
      <rPr>
        <sz val="12"/>
        <rFont val="Arial"/>
        <family val="2"/>
      </rPr>
      <t xml:space="preserve">l'onglet </t>
    </r>
    <r>
      <rPr>
        <b/>
        <sz val="12"/>
        <rFont val="Arial"/>
        <family val="2"/>
      </rPr>
      <t>"Page de garde"</t>
    </r>
  </si>
  <si>
    <t>L'onglet "Page de Garde" contient:</t>
  </si>
  <si>
    <t>Les renseignements du chantier à compléter (cellules jaunes)</t>
  </si>
  <si>
    <t>Classer les documents imprimés dans chacun des intercalaires du dossier chantier rose (papier).</t>
  </si>
  <si>
    <t xml:space="preserve">COORDONNEES DU CLIENT: </t>
  </si>
  <si>
    <t xml:space="preserve">COORDONNEES DU REPRESENTANT DU CLIENT: </t>
  </si>
  <si>
    <t>FICHE DE DEMANDE D'UN INTERIMAIRE</t>
  </si>
  <si>
    <r>
      <rPr>
        <sz val="11"/>
        <rFont val="Wingdings"/>
        <charset val="2"/>
      </rPr>
      <t>o</t>
    </r>
    <r>
      <rPr>
        <sz val="11"/>
        <rFont val="Calibri"/>
        <family val="2"/>
      </rPr>
      <t xml:space="preserve"> Accroissement temporaire de l’activité</t>
    </r>
  </si>
  <si>
    <r>
      <rPr>
        <sz val="11"/>
        <rFont val="Wingdings"/>
        <charset val="2"/>
      </rPr>
      <t>o</t>
    </r>
    <r>
      <rPr>
        <sz val="11"/>
        <rFont val="Calibri"/>
        <family val="2"/>
      </rPr>
      <t xml:space="preserve"> Remplacement partiel</t>
    </r>
  </si>
  <si>
    <r>
      <rPr>
        <sz val="11"/>
        <rFont val="Wingdings"/>
        <charset val="2"/>
      </rPr>
      <t>o</t>
    </r>
    <r>
      <rPr>
        <sz val="11"/>
        <rFont val="Calibri"/>
        <family val="2"/>
      </rPr>
      <t xml:space="preserve"> Non qualifié (ouvriers N1, ETAM de A à D)</t>
    </r>
  </si>
  <si>
    <r>
      <rPr>
        <sz val="11"/>
        <rFont val="Wingdings"/>
        <charset val="2"/>
      </rPr>
      <t>o</t>
    </r>
    <r>
      <rPr>
        <sz val="11"/>
        <rFont val="Calibri"/>
        <family val="2"/>
      </rPr>
      <t xml:space="preserve"> Qualifié (les autres)</t>
    </r>
  </si>
  <si>
    <r>
      <rPr>
        <sz val="11"/>
        <rFont val="Wingdings"/>
        <charset val="2"/>
      </rPr>
      <t>o</t>
    </r>
    <r>
      <rPr>
        <sz val="11"/>
        <rFont val="Calibri"/>
        <family val="2"/>
      </rPr>
      <t xml:space="preserve"> Permis B </t>
    </r>
  </si>
  <si>
    <r>
      <rPr>
        <sz val="11"/>
        <rFont val="Wingdings"/>
        <charset val="2"/>
      </rPr>
      <t>o</t>
    </r>
    <r>
      <rPr>
        <sz val="11"/>
        <rFont val="Calibri"/>
        <family val="2"/>
      </rPr>
      <t xml:space="preserve"> H0B0V </t>
    </r>
  </si>
  <si>
    <r>
      <rPr>
        <sz val="11"/>
        <rFont val="Wingdings"/>
        <charset val="2"/>
      </rPr>
      <t>o</t>
    </r>
    <r>
      <rPr>
        <sz val="11"/>
        <rFont val="Calibri"/>
        <family val="2"/>
      </rPr>
      <t xml:space="preserve"> Permis E</t>
    </r>
  </si>
  <si>
    <r>
      <rPr>
        <sz val="11"/>
        <rFont val="Wingdings"/>
        <charset val="2"/>
      </rPr>
      <t>o</t>
    </r>
    <r>
      <rPr>
        <sz val="11"/>
        <rFont val="Calibri"/>
        <family val="2"/>
      </rPr>
      <t xml:space="preserve"> CACES (préciser) : </t>
    </r>
  </si>
  <si>
    <r>
      <rPr>
        <sz val="11"/>
        <rFont val="Wingdings"/>
        <charset val="2"/>
      </rPr>
      <t>o</t>
    </r>
    <r>
      <rPr>
        <sz val="11"/>
        <rFont val="Calibri"/>
        <family val="2"/>
      </rPr>
      <t xml:space="preserve"> Postures pénibles</t>
    </r>
  </si>
  <si>
    <r>
      <rPr>
        <sz val="11"/>
        <rFont val="Wingdings"/>
        <charset val="2"/>
      </rPr>
      <t>o</t>
    </r>
    <r>
      <rPr>
        <sz val="11"/>
        <rFont val="Calibri"/>
        <family val="2"/>
      </rPr>
      <t xml:space="preserve"> Manutentions manuelles de charges </t>
    </r>
  </si>
  <si>
    <r>
      <rPr>
        <sz val="11"/>
        <rFont val="Wingdings"/>
        <charset val="2"/>
      </rPr>
      <t>o</t>
    </r>
    <r>
      <rPr>
        <sz val="11"/>
        <rFont val="Calibri"/>
        <family val="2"/>
      </rPr>
      <t xml:space="preserve"> Agents chimiques dangereux </t>
    </r>
  </si>
  <si>
    <r>
      <rPr>
        <sz val="11"/>
        <rFont val="Wingdings"/>
        <charset val="2"/>
      </rPr>
      <t>o</t>
    </r>
    <r>
      <rPr>
        <sz val="11"/>
        <rFont val="Calibri"/>
        <family val="2"/>
      </rPr>
      <t xml:space="preserve"> Bruit</t>
    </r>
  </si>
  <si>
    <r>
      <rPr>
        <sz val="11"/>
        <rFont val="Wingdings"/>
        <charset val="2"/>
      </rPr>
      <t xml:space="preserve">o </t>
    </r>
    <r>
      <rPr>
        <sz val="11"/>
        <rFont val="Calibri"/>
        <family val="2"/>
      </rPr>
      <t>Vibrations mécaniques</t>
    </r>
  </si>
  <si>
    <t>Description du poste :</t>
  </si>
  <si>
    <r>
      <t xml:space="preserve">Respect des consignes SSE </t>
    </r>
    <r>
      <rPr>
        <sz val="11"/>
        <rFont val="Calibri"/>
        <family val="2"/>
      </rPr>
      <t>(Port des EPI, etc…)</t>
    </r>
  </si>
  <si>
    <r>
      <t xml:space="preserve">Feriez-vous appel à nouveau à cet intérimaire ? </t>
    </r>
    <r>
      <rPr>
        <sz val="11"/>
        <rFont val="Calibri"/>
        <family val="2"/>
      </rPr>
      <t xml:space="preserve"> Oui  Non</t>
    </r>
  </si>
  <si>
    <r>
      <t xml:space="preserve">Feriez-vous appel à nouveau à cette agence d’intérim ? </t>
    </r>
    <r>
      <rPr>
        <sz val="11"/>
        <rFont val="Calibri"/>
        <family val="2"/>
      </rPr>
      <t xml:space="preserve"> Oui  Non</t>
    </r>
  </si>
  <si>
    <t xml:space="preserve">Nom de l’entreprise : </t>
  </si>
  <si>
    <t xml:space="preserve">Nom du demandeur : </t>
  </si>
  <si>
    <t xml:space="preserve">Nom de l’agence : </t>
  </si>
  <si>
    <t xml:space="preserve">Date de la demande : </t>
  </si>
  <si>
    <r>
      <t>G. E</t>
    </r>
    <r>
      <rPr>
        <sz val="10"/>
        <rFont val="Arial"/>
        <family val="2"/>
      </rPr>
      <t xml:space="preserve"> : GAZ ET ELECTRICITE
</t>
    </r>
    <r>
      <rPr>
        <b/>
        <sz val="10"/>
        <rFont val="Arial"/>
        <family val="2"/>
      </rPr>
      <t>Fluide Divers*</t>
    </r>
    <r>
      <rPr>
        <sz val="10"/>
        <rFont val="Arial"/>
        <family val="2"/>
      </rPr>
      <t xml:space="preserve">  Pour les "Pipe line" se réformer au cas par cas aux exigences de la société exploitante                                                                 </t>
    </r>
  </si>
  <si>
    <r>
      <t xml:space="preserve">Fluide Divers*  </t>
    </r>
    <r>
      <rPr>
        <sz val="10"/>
        <rFont val="Arial"/>
        <family val="2"/>
      </rPr>
      <t xml:space="preserve">Pour les "Pipe line" se réformer au cas par cas aux exigences de la société </t>
    </r>
    <r>
      <rPr>
        <b/>
        <sz val="10"/>
        <rFont val="Arial"/>
        <family val="2"/>
      </rPr>
      <t>exploitante</t>
    </r>
  </si>
  <si>
    <r>
      <t xml:space="preserve">EcP**  </t>
    </r>
    <r>
      <rPr>
        <sz val="10"/>
        <rFont val="Arial"/>
        <family val="2"/>
      </rPr>
      <t>Pour le réseau d'éclairage public il n'y a pas de distance mini à respecter avec la BT</t>
    </r>
  </si>
  <si>
    <t>DATRAV002 B Indice a</t>
  </si>
  <si>
    <t>Le sommaire du dossier chantier; cocher les documents mis dans le dossier chantier</t>
  </si>
  <si>
    <r>
      <t xml:space="preserve">Depuis l'onglet </t>
    </r>
    <r>
      <rPr>
        <b/>
        <sz val="12"/>
        <rFont val="Arial"/>
        <family val="2"/>
      </rPr>
      <t>"Impression"</t>
    </r>
    <r>
      <rPr>
        <sz val="12"/>
        <rFont val="Arial"/>
        <family val="2"/>
      </rPr>
      <t xml:space="preserve">, sélectionner la ligne de l'onglet à visionner, puis cliquer sur le bouton </t>
    </r>
    <r>
      <rPr>
        <b/>
        <sz val="12"/>
        <rFont val="Arial"/>
        <family val="2"/>
      </rPr>
      <t>"Afficher l'onglet"</t>
    </r>
  </si>
  <si>
    <r>
      <t xml:space="preserve">Depuis un onglet quelconque, taper </t>
    </r>
    <r>
      <rPr>
        <b/>
        <sz val="12"/>
        <rFont val="Arial"/>
        <family val="2"/>
      </rPr>
      <t xml:space="preserve">"Ctrl+r" </t>
    </r>
    <r>
      <rPr>
        <sz val="12"/>
        <rFont val="Arial"/>
        <family val="2"/>
      </rPr>
      <t xml:space="preserve">pour aller à l'onglet </t>
    </r>
    <r>
      <rPr>
        <b/>
        <sz val="12"/>
        <rFont val="Arial"/>
        <family val="2"/>
      </rPr>
      <t>"Impression"</t>
    </r>
  </si>
  <si>
    <t>Aller sur le portail, dans Processus Préparation/ Dossier chantier", sélectionner le fichier ayant l'activité concernée et enregistrer-le dans vos dossiers (sur le commun).</t>
  </si>
  <si>
    <r>
      <t xml:space="preserve">Ouvrir le fichier et aller à l'onglet </t>
    </r>
    <r>
      <rPr>
        <b/>
        <sz val="12"/>
        <rFont val="Arial"/>
        <family val="2"/>
      </rPr>
      <t>"Page de Garde" :</t>
    </r>
    <r>
      <rPr>
        <sz val="12"/>
        <rFont val="Arial"/>
        <family val="2"/>
      </rPr>
      <t xml:space="preserve"> renseigner les éléments (surtout les champs en jaune)</t>
    </r>
  </si>
  <si>
    <r>
      <t xml:space="preserve">Aller à l'onglet </t>
    </r>
    <r>
      <rPr>
        <b/>
        <sz val="12"/>
        <rFont val="Arial"/>
        <family val="2"/>
      </rPr>
      <t>"Impression"</t>
    </r>
    <r>
      <rPr>
        <sz val="12"/>
        <rFont val="Arial"/>
        <family val="2"/>
      </rPr>
      <t xml:space="preserve"> et cocher dans la colonne A l'ensemble des documents que vous voulez voir imprimer. </t>
    </r>
  </si>
  <si>
    <t>Si vous souhaitez imprimer un document en plusieurs exemplaires, préciser le nombre exacte dans la colonne D de l'onglet "Impression" (par défaut, un document coché en colonne A de l'onglet "Impression" est imprimé une fois)</t>
  </si>
  <si>
    <t>Si vous souhaitez utiliser un classeur plutôt que la pochette rose, penser à imprimer les intercalaires en cochant la case dédié (en haut à droite) dans l'onglet impression.</t>
  </si>
  <si>
    <r>
      <t xml:space="preserve">Pour lancer l'impression, cliquer sur le bouton </t>
    </r>
    <r>
      <rPr>
        <b/>
        <sz val="12"/>
        <rFont val="Arial"/>
        <family val="2"/>
      </rPr>
      <t>"Imprimer"</t>
    </r>
  </si>
  <si>
    <t>Veuillez faire part de toutes propositions d'évolution ou remarques par une fiche de progrès.</t>
  </si>
  <si>
    <t>Date de validité</t>
  </si>
  <si>
    <t>Liste des points à regarder lors de la visite sur place :</t>
  </si>
  <si>
    <t>Moyens d'accès</t>
  </si>
  <si>
    <t xml:space="preserve">                - Liste récapitulative des concessionnaires</t>
  </si>
  <si>
    <t xml:space="preserve"> - Documents des produits fournis par le client (DMR, bons de livraison…) réceptionnés sur chantier</t>
  </si>
  <si>
    <t>extérieurs, intérieurs, mesure et raccordement optique, Travaux hydrauliques...)</t>
  </si>
  <si>
    <t>CC / CE :</t>
  </si>
  <si>
    <t>Nom du CC / CE ou d'affaires :</t>
  </si>
  <si>
    <t>Responsable d'affaires (émetteur de l'autorisation)  :</t>
  </si>
  <si>
    <t>RAF :</t>
  </si>
  <si>
    <t>Au vu de la courbe ci-dessus, l'essai est estimé :</t>
  </si>
  <si>
    <t>Satisfaisant:</t>
  </si>
  <si>
    <r>
      <t>Procès Verbal d'essai d'étanchéité à l'air pour les canalisations d'EP ou EU</t>
    </r>
    <r>
      <rPr>
        <sz val="14"/>
        <rFont val="Arial"/>
        <family val="2"/>
      </rPr>
      <t xml:space="preserve">
</t>
    </r>
    <r>
      <rPr>
        <i/>
        <sz val="10"/>
        <rFont val="Arial"/>
        <family val="2"/>
      </rPr>
      <t>Document renseigné par le RAF</t>
    </r>
    <r>
      <rPr>
        <sz val="14"/>
        <rFont val="Arial"/>
        <family val="2"/>
      </rPr>
      <t xml:space="preserve">
</t>
    </r>
    <r>
      <rPr>
        <b/>
        <sz val="14"/>
        <rFont val="Arial"/>
        <family val="2"/>
      </rPr>
      <t>PROCES VERBAL PAR TRONCON</t>
    </r>
  </si>
  <si>
    <r>
      <t xml:space="preserve">              Procès Verbal d'essai de Pression</t>
    </r>
    <r>
      <rPr>
        <sz val="14"/>
        <rFont val="Arial"/>
        <family val="2"/>
      </rPr>
      <t xml:space="preserve">
               </t>
    </r>
    <r>
      <rPr>
        <i/>
        <sz val="10"/>
        <rFont val="Arial"/>
        <family val="2"/>
      </rPr>
      <t>Document renseigné par le RAF</t>
    </r>
  </si>
  <si>
    <t>N° Marché :</t>
  </si>
  <si>
    <t>Exécutant des travaux</t>
  </si>
  <si>
    <t xml:space="preserve"> - Formulaire recueil des faits AT</t>
  </si>
  <si>
    <t>S'appuyer sur le Document Unique</t>
  </si>
  <si>
    <t>A - PRESENTATION DE L'ENTREPRISE SOUS-TRAITANTE</t>
  </si>
  <si>
    <t>Date de début:</t>
  </si>
  <si>
    <t>Date de fin:</t>
  </si>
  <si>
    <t>Nom et Qualité du représentant</t>
  </si>
  <si>
    <t>Tél:
Fax:
Mail:</t>
  </si>
  <si>
    <t xml:space="preserve">- participé à  l'élaboration du plan de prévention? </t>
  </si>
  <si>
    <t>- assisté à l'accueil sécurité de l'Entreprise Utilisatrice?</t>
  </si>
  <si>
    <t>- pris connaissance de la politique et des objectifs SECURITE de FIRALP ?</t>
  </si>
  <si>
    <t xml:space="preserve">Nom du représentant sous-traitant </t>
  </si>
  <si>
    <t>- fourni à FIRALP ses indicateurs de Sécurité?</t>
  </si>
  <si>
    <t>Nom du responsable accueil FIRALP</t>
  </si>
  <si>
    <t>- son responsable de chantier formé RC 2 ou GIES 2 pour la signature des AT?</t>
  </si>
  <si>
    <t>Prénom</t>
  </si>
  <si>
    <t>Nous vous prions de bien vouloir nous excuser pour la gêne occasionnée, mais nous vous assurons que nous apporterons tout notre soin pour qu'elle soit la moins longue possible.</t>
  </si>
  <si>
    <t>En cas de problème, ou pour tout renseignement complémentaire, vous pouvez appeler :</t>
  </si>
  <si>
    <t>- notre responsable d'affaire</t>
  </si>
  <si>
    <t>- ou dans la journée, notre responsable de chantier sur place</t>
  </si>
  <si>
    <t>DAGRH003 Indice b</t>
  </si>
  <si>
    <t>Autres risques potentiels (ex :Grands déplacements, travaux en hauteur, travaux ponctuels de nuit,etc…) :</t>
  </si>
  <si>
    <t>Aptitude médicale au poste, titres de formation, carte pro BTP, permis de conduire, carte nationale d’identité/carte de séjour, N° sécurité sociale, CV, tarif horaire et des indemnités de déplacements, autres documents éventuels. L’absence de l’un de ces documents peut entrainer le refus de l’offre.</t>
  </si>
  <si>
    <t>Maître d'ouvrage :</t>
  </si>
  <si>
    <t xml:space="preserve">L’entreprise et le maître d'ouvrage conviennent que les travaux nécessités par les réserves ci-dessus seront exécutés dans :                                </t>
  </si>
  <si>
    <t>Le maître d'ouvrage, ci-dessus désigné, constate qu’il a été valablement remédié aux réserves concernées.</t>
  </si>
  <si>
    <t>Je soussigné (nom, fonction)…………………………………………….. représentant le maître d'ouvrage, en présence de
l'entrepreneur dûment convoqué; M……………………………………………….., après avoir procédé aux examens et 
vérifications nécessaires, constate que:</t>
  </si>
  <si>
    <t>Et prononce la réception des travaux:</t>
  </si>
  <si>
    <t>le Maître d'ouvrage</t>
  </si>
  <si>
    <t>Suivi médical :</t>
  </si>
  <si>
    <r>
      <rPr>
        <sz val="11"/>
        <rFont val="Wingdings"/>
        <charset val="2"/>
      </rPr>
      <t>o</t>
    </r>
    <r>
      <rPr>
        <sz val="11"/>
        <rFont val="Calibri"/>
        <family val="2"/>
      </rPr>
      <t xml:space="preserve"> Visite d'Information et de Prévention (VIP)</t>
    </r>
  </si>
  <si>
    <r>
      <rPr>
        <sz val="11"/>
        <rFont val="Wingdings"/>
        <charset val="2"/>
      </rPr>
      <t>o</t>
    </r>
    <r>
      <rPr>
        <sz val="11"/>
        <rFont val="Calibri"/>
        <family val="2"/>
      </rPr>
      <t xml:space="preserve"> Suivi Individuel Renforcé (SIR)</t>
    </r>
  </si>
  <si>
    <t>Nom/Prénom :</t>
  </si>
  <si>
    <t>CHANTONNAY</t>
  </si>
  <si>
    <t>Siège des lésions (marquer d’une croix ou entourer) :</t>
  </si>
  <si>
    <t>Nature des lésions (cochez la ou les mentions valables) :</t>
  </si>
  <si>
    <t>☐ Plaies</t>
  </si>
  <si>
    <t>☐ Piqûre</t>
  </si>
  <si>
    <t>☐ Ecorchure</t>
  </si>
  <si>
    <t>☐ Brûlure</t>
  </si>
  <si>
    <t>☐ Ecrasement</t>
  </si>
  <si>
    <t>☐ Hématomes</t>
  </si>
  <si>
    <t>☐ Foulure</t>
  </si>
  <si>
    <t>☐ Mal de dos</t>
  </si>
  <si>
    <t>☐ Contusion</t>
  </si>
  <si>
    <t xml:space="preserve">☐ Autres : </t>
  </si>
  <si>
    <t>SOINS</t>
  </si>
  <si>
    <t>☐ NON</t>
  </si>
  <si>
    <t>Agence :</t>
  </si>
  <si>
    <t>GUEUGNON</t>
  </si>
  <si>
    <t>CHATEAUROUX</t>
  </si>
  <si>
    <t>NOM / PRENOM</t>
  </si>
  <si>
    <t>Responsable chantier :</t>
  </si>
  <si>
    <t>TYPE DE MACHINE</t>
  </si>
  <si>
    <t>CONDUITE POSEE</t>
  </si>
  <si>
    <t>LONGUEUR DE TIGE</t>
  </si>
  <si>
    <t>POINT D'ENTREE :</t>
  </si>
  <si>
    <t>TYPE DE TÊTE :</t>
  </si>
  <si>
    <t>POINT DE SORTIE :</t>
  </si>
  <si>
    <t>NRO</t>
  </si>
  <si>
    <t>GC</t>
  </si>
  <si>
    <t>Temps passé au tir pilote :</t>
  </si>
  <si>
    <t>FORAGE</t>
  </si>
  <si>
    <t xml:space="preserve">VOIRIE </t>
  </si>
  <si>
    <t>N° DE CHANTIER</t>
  </si>
  <si>
    <t>ACCOTEMENT</t>
  </si>
  <si>
    <t xml:space="preserve">COMMUNE </t>
  </si>
  <si>
    <t>TOTAL :</t>
  </si>
  <si>
    <t>ADRESSE</t>
  </si>
  <si>
    <t>NATURE DE TERRAIN</t>
  </si>
  <si>
    <t>ROCHE</t>
  </si>
  <si>
    <t>STANDARD</t>
  </si>
  <si>
    <t>N° DE TIGE</t>
  </si>
  <si>
    <t>INCLINAISON</t>
  </si>
  <si>
    <t>Nature de terrain</t>
  </si>
  <si>
    <t xml:space="preserve">N° DE TIGE </t>
  </si>
  <si>
    <t>N° Forage :</t>
  </si>
  <si>
    <t>DAZSQ005 G Indice b</t>
  </si>
  <si>
    <t>Mises à jour du dossier chantier</t>
  </si>
  <si>
    <t>Onglet MAJ</t>
  </si>
  <si>
    <t>Détails de la MAJ</t>
  </si>
  <si>
    <t>M. LUCAS</t>
  </si>
  <si>
    <t>Ajout de la fiche destruction des poteaux suite à Fiche de Progrès A6920200004</t>
  </si>
  <si>
    <t>10.15 - Electricité</t>
  </si>
  <si>
    <t>5.20.Ch - SOBECAMAT</t>
  </si>
  <si>
    <t>Modification onglet suite à MAJ de la part de SOBECAMAT</t>
  </si>
  <si>
    <r>
      <t xml:space="preserve">RECUEIL DES FAITS A CHAUD 
</t>
    </r>
    <r>
      <rPr>
        <sz val="9"/>
        <rFont val="Tahoma"/>
        <family val="2"/>
      </rPr>
      <t>Document à intégrer en RH avec les photos de la reconstitution</t>
    </r>
  </si>
  <si>
    <t>DANS LES 48 HEURES QUI SUIVENT L'ACCIDENT / LE SINISTRE</t>
  </si>
  <si>
    <t>Date et heure :</t>
  </si>
  <si>
    <t>Horaires de travail le jour de l'accident / le sinistre</t>
  </si>
  <si>
    <r>
      <t xml:space="preserve">VICTIME </t>
    </r>
    <r>
      <rPr>
        <sz val="10"/>
        <color theme="0"/>
        <rFont val="Arial"/>
        <family val="2"/>
      </rPr>
      <t>(1 recueil / victime / sinistre)</t>
    </r>
  </si>
  <si>
    <t>Témoin 1</t>
  </si>
  <si>
    <t>Témoin 2</t>
  </si>
  <si>
    <t>Nom  :</t>
  </si>
  <si>
    <t xml:space="preserve">Prénom : </t>
  </si>
  <si>
    <t xml:space="preserve">Fonction : </t>
  </si>
  <si>
    <r>
      <t xml:space="preserve">Type de contrat </t>
    </r>
    <r>
      <rPr>
        <i/>
        <sz val="10"/>
        <rFont val="Arial"/>
        <family val="2"/>
      </rPr>
      <t>(intérim, CDI, CDD)</t>
    </r>
    <r>
      <rPr>
        <sz val="10"/>
        <rFont val="Arial"/>
        <family val="2"/>
      </rPr>
      <t> :</t>
    </r>
  </si>
  <si>
    <t>Type de contrat :</t>
  </si>
  <si>
    <r>
      <t xml:space="preserve">N° et type de chantier :
</t>
    </r>
    <r>
      <rPr>
        <i/>
        <sz val="9"/>
        <rFont val="Arial"/>
        <family val="2"/>
      </rPr>
      <t>Si sinistre : préciser type d'ouvrage endommagé, classification du réseau, méthode de terrassement, commentaire)</t>
    </r>
  </si>
  <si>
    <r>
      <t xml:space="preserve">Lieu précis de l'accident / sinistre </t>
    </r>
    <r>
      <rPr>
        <i/>
        <sz val="10"/>
        <rFont val="Arial"/>
        <family val="2"/>
      </rPr>
      <t>(adresse, ville, CP)</t>
    </r>
    <r>
      <rPr>
        <sz val="10"/>
        <rFont val="Arial"/>
        <family val="2"/>
      </rPr>
      <t> :</t>
    </r>
  </si>
  <si>
    <t>Gauche :</t>
  </si>
  <si>
    <t>Siege :</t>
  </si>
  <si>
    <t>Droite :</t>
  </si>
  <si>
    <t>☐ Tête</t>
  </si>
  <si>
    <t>☐ Epaule</t>
  </si>
  <si>
    <t>☐ Thorax</t>
  </si>
  <si>
    <t>☐ Dos</t>
  </si>
  <si>
    <t>☐ Bras</t>
  </si>
  <si>
    <t>☐ Mains</t>
  </si>
  <si>
    <t>☐ Jambes</t>
  </si>
  <si>
    <t>☐ Genoux</t>
  </si>
  <si>
    <t>☐ Chevilles</t>
  </si>
  <si>
    <t>☐ Pieds</t>
  </si>
  <si>
    <t xml:space="preserve">CIRCONSTANCES DETAILLEES – RECIT DES FAITS ( joindre un croquis / photos de la situation)  </t>
  </si>
  <si>
    <r>
      <rPr>
        <b/>
        <sz val="10"/>
        <rFont val="Arial"/>
        <family val="2"/>
      </rPr>
      <t xml:space="preserve">Avant l'AT / Sinistre : </t>
    </r>
    <r>
      <rPr>
        <sz val="10"/>
        <rFont val="Arial"/>
        <family val="2"/>
      </rPr>
      <t xml:space="preserve">
Que faisait la victime</t>
    </r>
    <r>
      <rPr>
        <sz val="9"/>
        <rFont val="Arial"/>
        <family val="2"/>
      </rPr>
      <t xml:space="preserve"> ?
</t>
    </r>
    <r>
      <rPr>
        <i/>
        <sz val="10"/>
        <rFont val="Arial"/>
        <family val="2"/>
      </rPr>
      <t xml:space="preserve">Contexte du chantier et circonstance </t>
    </r>
  </si>
  <si>
    <r>
      <rPr>
        <b/>
        <sz val="10"/>
        <rFont val="Arial"/>
        <family val="2"/>
      </rPr>
      <t xml:space="preserve">Pendant l'AT / Sinistre : 
</t>
    </r>
    <r>
      <rPr>
        <sz val="10"/>
        <rFont val="Arial"/>
        <family val="2"/>
      </rPr>
      <t xml:space="preserve">Que s’est-il passé exactement </t>
    </r>
    <r>
      <rPr>
        <i/>
        <sz val="10"/>
        <rFont val="Arial"/>
        <family val="2"/>
      </rPr>
      <t>(tâches effectuées,…)</t>
    </r>
    <r>
      <rPr>
        <sz val="10"/>
        <rFont val="Arial"/>
        <family val="2"/>
      </rPr>
      <t> ?</t>
    </r>
  </si>
  <si>
    <r>
      <rPr>
        <b/>
        <sz val="10"/>
        <rFont val="Arial"/>
        <family val="2"/>
      </rPr>
      <t xml:space="preserve">Après l'AT / Sinistre : </t>
    </r>
    <r>
      <rPr>
        <sz val="10"/>
        <rFont val="Arial"/>
        <family val="2"/>
      </rPr>
      <t xml:space="preserve">
Quelles mesures ont été prises sur le terrain ?</t>
    </r>
  </si>
  <si>
    <t>Premiers soins délivrés ?</t>
  </si>
  <si>
    <t xml:space="preserve">☐ OUI     ☐ NON  </t>
  </si>
  <si>
    <t xml:space="preserve">Par qui : </t>
  </si>
  <si>
    <t>Appel des services de secours</t>
  </si>
  <si>
    <t>☐ OUI :  ☐ Samu   ☐ Pompiers   ☐ Police</t>
  </si>
  <si>
    <t>L'accident a-t-il été provoqué par un tiers ?</t>
  </si>
  <si>
    <t xml:space="preserve">☐ OUI ☐ NON          </t>
  </si>
  <si>
    <t>Nom et adresse du tiers :</t>
  </si>
  <si>
    <t>L'accident a-t-il fait d'autres victimes ?</t>
  </si>
  <si>
    <t xml:space="preserve">Société d'assurance du tiers et N° du contrat : </t>
  </si>
  <si>
    <t>Recueil des faits (Observables, vérifiables, incontestables, uniques et précis. Éviter les faits négatifs*, ex : il ne portait pas, …)</t>
  </si>
  <si>
    <t>Quoi
Objet, tâche</t>
  </si>
  <si>
    <t>Quelle activité ?
Que s'est il passé ?</t>
  </si>
  <si>
    <t>Qui
Personnes concernées</t>
  </si>
  <si>
    <r>
      <t xml:space="preserve">Quelles sont les personnes, agences concernées par la situation ?
</t>
    </r>
    <r>
      <rPr>
        <i/>
        <sz val="10"/>
        <rFont val="Arial"/>
        <family val="2"/>
      </rPr>
      <t>(Ancienneté, formation, expérience…)</t>
    </r>
  </si>
  <si>
    <t>Où
Lieu, temps, environnement</t>
  </si>
  <si>
    <r>
      <t xml:space="preserve">Où cela se produit-il ? </t>
    </r>
    <r>
      <rPr>
        <i/>
        <sz val="10"/>
        <rFont val="Arial"/>
        <family val="2"/>
      </rPr>
      <t>(Précisez le contexte, l'état du terrain, la température, le climat…)</t>
    </r>
    <r>
      <rPr>
        <sz val="10"/>
        <rFont val="Arial"/>
        <family val="2"/>
      </rPr>
      <t xml:space="preserve">
Dans quel environnement ?
A quel poste de travail ?</t>
    </r>
  </si>
  <si>
    <t>Quand
Planning, durée</t>
  </si>
  <si>
    <r>
      <t xml:space="preserve">Quand a lieu l'évènement ? </t>
    </r>
    <r>
      <rPr>
        <i/>
        <sz val="10"/>
        <rFont val="Arial"/>
        <family val="2"/>
      </rPr>
      <t>(La tache était planifiée, pendant les horaires de la journée, cadence normale, horaire inhabituel, il fallait finir vite, après le repas…)</t>
    </r>
    <r>
      <rPr>
        <sz val="10"/>
        <rFont val="Arial"/>
        <family val="2"/>
      </rPr>
      <t xml:space="preserve">
L'évènement s'est il déjà produit ? </t>
    </r>
    <r>
      <rPr>
        <i/>
        <sz val="10"/>
        <rFont val="Arial"/>
        <family val="2"/>
      </rPr>
      <t xml:space="preserve">(Déjà connu, observé, à quelle fréquence...)
Combien de temps pour réaliser la tache ? </t>
    </r>
  </si>
  <si>
    <t>Comment
Matériel, moyens, manière, procédure</t>
  </si>
  <si>
    <r>
      <t xml:space="preserve">Comment s'est déroulée la tâche ?
De quelle manière : procédures, consignes, pratiques ? </t>
    </r>
    <r>
      <rPr>
        <i/>
        <sz val="10"/>
        <rFont val="Arial"/>
        <family val="2"/>
      </rPr>
      <t>(Documentation à jour, dernière version, connue, disponible…)</t>
    </r>
    <r>
      <rPr>
        <sz val="10"/>
        <rFont val="Arial"/>
        <family val="2"/>
      </rPr>
      <t xml:space="preserve">
Avec quel outil, quel matériel ? </t>
    </r>
    <r>
      <rPr>
        <i/>
        <sz val="10"/>
        <rFont val="Arial"/>
        <family val="2"/>
      </rPr>
      <t>(Entretien périodique, VGP, contrôles visuels…)</t>
    </r>
  </si>
  <si>
    <t>Pourquoi
Motif</t>
  </si>
  <si>
    <t>Dans quel but cette tâche a-t-elle été réalisée ?</t>
  </si>
  <si>
    <t>RECHERCHER LES CAUSES (une cause = un fait + son lien avec l’Accident du Travail / l’incident / le sinistre)</t>
  </si>
  <si>
    <r>
      <t xml:space="preserve">Classer les causes profondes retenues selon </t>
    </r>
    <r>
      <rPr>
        <b/>
        <sz val="10"/>
        <rFont val="Arial"/>
        <family val="2"/>
      </rPr>
      <t xml:space="preserve">les types de facteur </t>
    </r>
    <r>
      <rPr>
        <sz val="10"/>
        <rFont val="Arial"/>
        <family val="2"/>
      </rPr>
      <t xml:space="preserve">ci-dessous </t>
    </r>
  </si>
  <si>
    <t>Organisationnel</t>
  </si>
  <si>
    <t>Humain</t>
  </si>
  <si>
    <t xml:space="preserve">Technique </t>
  </si>
  <si>
    <t>LIEN AVEC LE DU / REGISTRE AT BENIN</t>
  </si>
  <si>
    <t>Le(s) risque(s) étai(en) t-il(s) identifié(s) dans le DU</t>
  </si>
  <si>
    <t>Suite à cet accident (ou incident), avez-vous mis à jour le DU ?</t>
  </si>
  <si>
    <t xml:space="preserve">Inscription au regsitre AT bénin le  </t>
  </si>
  <si>
    <t>N°Ordre</t>
  </si>
  <si>
    <r>
      <t xml:space="preserve">1. IDENTIFICATION DU CHANTIER </t>
    </r>
    <r>
      <rPr>
        <b/>
        <sz val="10"/>
        <color theme="0"/>
        <rFont val="Calibri"/>
        <family val="2"/>
        <scheme val="minor"/>
      </rPr>
      <t>(à remplir par le RAF)</t>
    </r>
  </si>
  <si>
    <t>N° dossier chantier :</t>
  </si>
  <si>
    <t>Date début travaux :</t>
  </si>
  <si>
    <t>Durée des travaux :</t>
  </si>
  <si>
    <t>N° DT :</t>
  </si>
  <si>
    <t>N° DICT :</t>
  </si>
  <si>
    <t>Eléments ayant servi au marquage des réseaux :</t>
  </si>
  <si>
    <r>
      <rPr>
        <sz val="9"/>
        <color theme="1"/>
        <rFont val="Wingdings"/>
        <charset val="2"/>
      </rPr>
      <t>o</t>
    </r>
    <r>
      <rPr>
        <sz val="9"/>
        <color theme="1"/>
        <rFont val="Calibri"/>
        <family val="2"/>
      </rPr>
      <t xml:space="preserve"> DT</t>
    </r>
  </si>
  <si>
    <r>
      <rPr>
        <sz val="9"/>
        <color theme="1"/>
        <rFont val="Wingdings"/>
        <charset val="2"/>
      </rPr>
      <t>o</t>
    </r>
    <r>
      <rPr>
        <sz val="9"/>
        <color theme="1"/>
        <rFont val="Calibri"/>
        <family val="2"/>
      </rPr>
      <t xml:space="preserve"> Plan des exploitants</t>
    </r>
  </si>
  <si>
    <r>
      <rPr>
        <sz val="9"/>
        <color theme="1"/>
        <rFont val="Wingdings"/>
        <charset val="2"/>
      </rPr>
      <t>o</t>
    </r>
    <r>
      <rPr>
        <sz val="9"/>
        <color theme="1"/>
        <rFont val="Calibri"/>
        <family val="2"/>
      </rPr>
      <t xml:space="preserve"> DICT</t>
    </r>
  </si>
  <si>
    <r>
      <rPr>
        <sz val="9"/>
        <color theme="1"/>
        <rFont val="Wingdings"/>
        <charset val="2"/>
      </rPr>
      <t>o</t>
    </r>
    <r>
      <rPr>
        <sz val="9"/>
        <color theme="1"/>
        <rFont val="Calibri"/>
        <family val="2"/>
      </rPr>
      <t xml:space="preserve"> Rapport de géo-détéction</t>
    </r>
  </si>
  <si>
    <r>
      <rPr>
        <sz val="9"/>
        <color theme="1"/>
        <rFont val="Wingdings"/>
        <charset val="2"/>
      </rPr>
      <t>o</t>
    </r>
    <r>
      <rPr>
        <sz val="9"/>
        <color theme="1"/>
        <rFont val="Calibri"/>
        <family val="2"/>
      </rPr>
      <t xml:space="preserve"> Investigation complémentaire</t>
    </r>
  </si>
  <si>
    <r>
      <rPr>
        <sz val="9"/>
        <color theme="1"/>
        <rFont val="Wingdings"/>
        <charset val="2"/>
      </rPr>
      <t>o</t>
    </r>
    <r>
      <rPr>
        <sz val="9"/>
        <color theme="1"/>
        <rFont val="Calibri"/>
        <family val="2"/>
      </rPr>
      <t xml:space="preserve"> Affleurants</t>
    </r>
  </si>
  <si>
    <r>
      <t xml:space="preserve">2. INTERLOCUTEURS </t>
    </r>
    <r>
      <rPr>
        <b/>
        <sz val="10"/>
        <color theme="0"/>
        <rFont val="Calibri"/>
        <family val="2"/>
        <scheme val="minor"/>
      </rPr>
      <t>(à remplir par le RAF)</t>
    </r>
  </si>
  <si>
    <t>Maître d'ouvrage</t>
  </si>
  <si>
    <t>Maître d'œuvre</t>
  </si>
  <si>
    <t>Entreprise :</t>
  </si>
  <si>
    <t>Présent lors du compte rendu :</t>
  </si>
  <si>
    <t>3. MARQUAGE DES RESEAUX</t>
  </si>
  <si>
    <t>Ce PV de marquage ne comprend que les réseaux marqués par l'entreprise exécutant les travaux.
Pour rappel les exploitants de réseaux dits de transport matière dangereuse (Transport Gaz, Hydrocarbures et  produits chimiques) sont tenus de réaliser le marquage eux-mêmes</t>
  </si>
  <si>
    <t>Nature du réseau présent</t>
  </si>
  <si>
    <t>Nom de l'exploitant</t>
  </si>
  <si>
    <t>Classe de précision (plan)</t>
  </si>
  <si>
    <t xml:space="preserve">Profondeur du réseau connue ? </t>
  </si>
  <si>
    <t>Réseau ayant fait objet d'une IC ?</t>
  </si>
  <si>
    <t>Marquage</t>
  </si>
  <si>
    <t>RESEAUX SENSIBLES</t>
  </si>
  <si>
    <t>Electrique</t>
  </si>
  <si>
    <r>
      <t xml:space="preserve">Fonction : 
</t>
    </r>
    <r>
      <rPr>
        <sz val="8"/>
        <color theme="1"/>
        <rFont val="Wingdings 2"/>
        <family val="1"/>
        <charset val="2"/>
      </rPr>
      <t>(</t>
    </r>
  </si>
  <si>
    <r>
      <rPr>
        <sz val="8"/>
        <color theme="1"/>
        <rFont val="Wingdings"/>
        <charset val="2"/>
      </rPr>
      <t>o</t>
    </r>
    <r>
      <rPr>
        <sz val="8"/>
        <color theme="1"/>
        <rFont val="Calibri"/>
        <family val="2"/>
        <scheme val="minor"/>
      </rPr>
      <t xml:space="preserve"> A </t>
    </r>
    <r>
      <rPr>
        <sz val="8"/>
        <color theme="1"/>
        <rFont val="Wingdings"/>
        <charset val="2"/>
      </rPr>
      <t>o</t>
    </r>
    <r>
      <rPr>
        <sz val="8"/>
        <color theme="1"/>
        <rFont val="Calibri"/>
        <family val="2"/>
        <scheme val="minor"/>
      </rPr>
      <t xml:space="preserve"> B </t>
    </r>
    <r>
      <rPr>
        <sz val="8"/>
        <color theme="1"/>
        <rFont val="Wingdings"/>
        <charset val="2"/>
      </rPr>
      <t>o</t>
    </r>
    <r>
      <rPr>
        <sz val="8"/>
        <color theme="1"/>
        <rFont val="Calibri"/>
        <family val="2"/>
        <scheme val="minor"/>
      </rPr>
      <t xml:space="preserve"> C</t>
    </r>
  </si>
  <si>
    <r>
      <rPr>
        <sz val="8"/>
        <color theme="1"/>
        <rFont val="Wingdings"/>
        <charset val="2"/>
      </rPr>
      <t>o</t>
    </r>
    <r>
      <rPr>
        <sz val="8"/>
        <color theme="1"/>
        <rFont val="Calibri"/>
        <family val="2"/>
        <scheme val="minor"/>
      </rPr>
      <t xml:space="preserve"> Oui :
……………cm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</si>
  <si>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Oui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</si>
  <si>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Réalisé en interne
</t>
    </r>
    <r>
      <rPr>
        <sz val="8"/>
        <color theme="1"/>
        <rFont val="Wingdings"/>
        <charset val="2"/>
      </rPr>
      <t>o</t>
    </r>
    <r>
      <rPr>
        <sz val="8"/>
        <color theme="1"/>
        <rFont val="Calibri"/>
        <family val="2"/>
        <scheme val="minor"/>
      </rPr>
      <t xml:space="preserve"> Réalisé par le concessionnaire</t>
    </r>
  </si>
  <si>
    <t>Gaz</t>
  </si>
  <si>
    <t>Eclairage Public</t>
  </si>
  <si>
    <t>RESEAUX NON-SENSIBLES</t>
  </si>
  <si>
    <t>Eau potable</t>
  </si>
  <si>
    <t>Eaux usées</t>
  </si>
  <si>
    <t>Eaux pluviales</t>
  </si>
  <si>
    <t>Télécom</t>
  </si>
  <si>
    <t>En cas d'absence de réponse d'un exploitant de réseaux sensibles (après avoir relancé avec accusé réception), les travaux ne peuvent pas commencer. Il faut prononcer un arrêt de travaux.</t>
  </si>
  <si>
    <t>Envoyez systématiquement les photos de votre marquage via MOBILIS</t>
  </si>
  <si>
    <r>
      <t xml:space="preserve">4. RECOMMANDATIONS ET OBSERVATIONS : DES EXPLOITANTS DE RESEAUX </t>
    </r>
    <r>
      <rPr>
        <b/>
        <sz val="8"/>
        <color theme="0"/>
        <rFont val="Calibri"/>
        <family val="2"/>
        <scheme val="minor"/>
      </rPr>
      <t>(à remplir par le RAF)</t>
    </r>
  </si>
  <si>
    <t>Des exploitants des réseaux :</t>
  </si>
  <si>
    <t>Du maitre d'ouvrage ou de l'entreprise travaux :</t>
  </si>
  <si>
    <t>5. SIGNATURE</t>
  </si>
  <si>
    <t xml:space="preserve">Nom du rédacteur : </t>
  </si>
  <si>
    <t xml:space="preserve">Date et heure de la rédaction : </t>
  </si>
  <si>
    <t>Exploitants de réseaux</t>
  </si>
  <si>
    <t>1.</t>
  </si>
  <si>
    <t>2.</t>
  </si>
  <si>
    <t>3.</t>
  </si>
  <si>
    <t>4.</t>
  </si>
  <si>
    <t>5.</t>
  </si>
  <si>
    <t>B. DEALESSANDRI</t>
  </si>
  <si>
    <t xml:space="preserve"> - Liste des vidéos disponibles</t>
  </si>
  <si>
    <t>LISTE DES VIDEOS DISPONIBLES</t>
  </si>
  <si>
    <t>TUTO' MAT</t>
  </si>
  <si>
    <t>Création de l'onglet Liste des vidéos disponibles + suppression COVID</t>
  </si>
  <si>
    <t>Fiche prépa
6,10.Ch
6.16.Ch</t>
  </si>
  <si>
    <t xml:space="preserve">                        TUTO' MAT</t>
  </si>
  <si>
    <t>ACCUEIL CHANTIER - Informations générales et personnes présentes sur chantier</t>
  </si>
  <si>
    <t>Accueil réalisé par (Nom Prénom) :</t>
  </si>
  <si>
    <t>Libellé :</t>
  </si>
  <si>
    <t>Présentation et contrôle</t>
  </si>
  <si>
    <t>Zone de travail</t>
  </si>
  <si>
    <t>Zone de stockage</t>
  </si>
  <si>
    <t>Base vie</t>
  </si>
  <si>
    <t>Zone de livraison</t>
  </si>
  <si>
    <t>Autres (à préciser) :</t>
  </si>
  <si>
    <t>Extincteur et kit anti pollution</t>
  </si>
  <si>
    <t>Rangement/propreté véhicule</t>
  </si>
  <si>
    <t>Accessoires de levage</t>
  </si>
  <si>
    <t>VGP (y compris locatier)</t>
  </si>
  <si>
    <t>Gestion des déchets</t>
  </si>
  <si>
    <t xml:space="preserve">Commentaires : </t>
  </si>
  <si>
    <t>NOM Prénom et entreprise</t>
  </si>
  <si>
    <t>EPI conformes, à disposition et en bon état</t>
  </si>
  <si>
    <t>Contrôle du passeport sécurité (ou autorisation / habilitation si externe) 
et des restriction médicales</t>
  </si>
  <si>
    <t>Présentation de l'analyse des risques (2ème page)</t>
  </si>
  <si>
    <t>Sauveteur Secouriste du Travail (SST) ?</t>
  </si>
  <si>
    <r>
      <rPr>
        <b/>
        <sz val="10"/>
        <color theme="1"/>
        <rFont val="Calibri"/>
        <family val="2"/>
        <scheme val="minor"/>
      </rPr>
      <t>Signature</t>
    </r>
    <r>
      <rPr>
        <sz val="10"/>
        <color theme="1"/>
        <rFont val="Calibri"/>
        <family val="2"/>
        <scheme val="minor"/>
      </rPr>
      <t xml:space="preserve"> - "J'ai compris les risques et les mesures de préventions, je m'engage à les respecter (notament le port des EPI)"</t>
    </r>
  </si>
  <si>
    <r>
      <t xml:space="preserve">Commentaires </t>
    </r>
    <r>
      <rPr>
        <sz val="10"/>
        <color theme="1"/>
        <rFont val="Calibri"/>
        <family val="2"/>
        <scheme val="minor"/>
      </rPr>
      <t>(dont actions correctives si case non conforme cochée)</t>
    </r>
  </si>
  <si>
    <t>Responsable du chantier</t>
  </si>
  <si>
    <t>ACCUEIL CHANTIER - Analyse des risques par phase de travail</t>
  </si>
  <si>
    <t>Phase de travail</t>
  </si>
  <si>
    <t>Risques</t>
  </si>
  <si>
    <t>Mesures de prévention</t>
  </si>
  <si>
    <t>NOTICE</t>
  </si>
  <si>
    <t>NOTICE de réalisation des dossiers</t>
  </si>
  <si>
    <t>Page de Garde</t>
  </si>
  <si>
    <t>Croisement réseaux</t>
  </si>
  <si>
    <t>Croisement des réseaux</t>
  </si>
  <si>
    <t>Fiche prépa</t>
  </si>
  <si>
    <t>Fiche préparation</t>
  </si>
  <si>
    <t>Compactage</t>
  </si>
  <si>
    <t>Guide de compactage</t>
  </si>
  <si>
    <t>1.Ch</t>
  </si>
  <si>
    <t xml:space="preserve">Intercalaire 1 : Documents d'éxécution / Projet </t>
  </si>
  <si>
    <t>1.2.Ch</t>
  </si>
  <si>
    <t>Coupes Types</t>
  </si>
  <si>
    <t>1.3.Ch</t>
  </si>
  <si>
    <t>Compte rendu réunion de chantier + Guide pour la visite sur site</t>
  </si>
  <si>
    <t>2.Ch</t>
  </si>
  <si>
    <t>Intercalaire 2 : DICT</t>
  </si>
  <si>
    <t>3.Ch</t>
  </si>
  <si>
    <t xml:space="preserve">Intercalaire 3 : Arrêtés de circulation / autorisations de travail </t>
  </si>
  <si>
    <t>4.Ch</t>
  </si>
  <si>
    <t>Intercalaire 4 : Approvisionnements</t>
  </si>
  <si>
    <t>5.Ch</t>
  </si>
  <si>
    <t>Intercalaire 5 : Enregistrements</t>
  </si>
  <si>
    <t>5.2.Ch</t>
  </si>
  <si>
    <t>Liste des contrôles à réaliser</t>
  </si>
  <si>
    <t>5.6.Ch</t>
  </si>
  <si>
    <t>5.8.Ch</t>
  </si>
  <si>
    <t>Fiche de déroulage ou de pose</t>
  </si>
  <si>
    <t>5.9.Ch</t>
  </si>
  <si>
    <t>5.11.Ch</t>
  </si>
  <si>
    <t>Réception des ouvrages fournis par le client</t>
  </si>
  <si>
    <t>5.12.Ch</t>
  </si>
  <si>
    <t>Relevé d'alvéoles chambres de tirage et fiche de mandrinage</t>
  </si>
  <si>
    <t>5.13.B.Ch</t>
  </si>
  <si>
    <t>Fiche de contrôle PEHD Fibre Optique</t>
  </si>
  <si>
    <t>5.14.Ch</t>
  </si>
  <si>
    <t>Plan de contrôle travaux électriques (BT)</t>
  </si>
  <si>
    <t>5.15.Ch</t>
  </si>
  <si>
    <t>5.16.Ch</t>
  </si>
  <si>
    <t>Fiche de branchements</t>
  </si>
  <si>
    <t>5.17.Ch</t>
  </si>
  <si>
    <t>5.18.Ch</t>
  </si>
  <si>
    <t>Plan de contrôle Réseaux Aériens</t>
  </si>
  <si>
    <t>5.18.B.Ch</t>
  </si>
  <si>
    <t>Ordre de travail sous tension</t>
  </si>
  <si>
    <t>5.19.Ch</t>
  </si>
  <si>
    <t>Plan de contrôle Chauffage Urbain</t>
  </si>
  <si>
    <t>5.20.Ch</t>
  </si>
  <si>
    <t>Formulaire profil forage</t>
  </si>
  <si>
    <t>5.21.Ch</t>
  </si>
  <si>
    <t xml:space="preserve">Carnet de relevé de pente assainissement </t>
  </si>
  <si>
    <t>5.22.B.Ch</t>
  </si>
  <si>
    <t>Procès verbal d'essai d'étanchéité à l'air pour les canalisations d'EP ou EU</t>
  </si>
  <si>
    <t>5.22.D.Ch</t>
  </si>
  <si>
    <t>Procès Verbal d'essai de Pression</t>
  </si>
  <si>
    <t>5.23.Ch</t>
  </si>
  <si>
    <t>Fiche contrôle Test Ecran</t>
  </si>
  <si>
    <t>5.24.Ch</t>
  </si>
  <si>
    <t>Fiche d'entretien d'éclairage public</t>
  </si>
  <si>
    <t>5.25.Ch</t>
  </si>
  <si>
    <t>Fiche échange systématique</t>
  </si>
  <si>
    <t>5.58.Ch</t>
  </si>
  <si>
    <t>Procès verbal de réception des travaux</t>
  </si>
  <si>
    <t>5.59.Ch</t>
  </si>
  <si>
    <t>PV de réception des remises en état des voiries</t>
  </si>
  <si>
    <t>5.67.Ch</t>
  </si>
  <si>
    <t>PV de marquage piquetage</t>
  </si>
  <si>
    <t>6.Ch</t>
  </si>
  <si>
    <t xml:space="preserve">Intercalaire 6 : Hygiène, sécurité, envionnement </t>
  </si>
  <si>
    <t>6.4.Ch</t>
  </si>
  <si>
    <t xml:space="preserve">Sécurité et Environnement </t>
  </si>
  <si>
    <t>6.5.Ch</t>
  </si>
  <si>
    <t>Recueil des faits à chaud suite à AT</t>
  </si>
  <si>
    <t>6.7.Ch</t>
  </si>
  <si>
    <t>Fiche d'accueil des entreprises sous-traitantes extérieure</t>
  </si>
  <si>
    <t>6.8.Ch</t>
  </si>
  <si>
    <t>Fiche de suivi du port des EPI</t>
  </si>
  <si>
    <t>6.10.Ch</t>
  </si>
  <si>
    <t>Accueil chantier</t>
  </si>
  <si>
    <t>6.16.Ch</t>
  </si>
  <si>
    <t>Liste des vidéos disponibles</t>
  </si>
  <si>
    <t>7.Ch</t>
  </si>
  <si>
    <t xml:space="preserve">Intercalaire 7: correspondances diverses </t>
  </si>
  <si>
    <t>7.3.Ch</t>
  </si>
  <si>
    <t>Lettre Information riverains</t>
  </si>
  <si>
    <t>13.6.Ch</t>
  </si>
  <si>
    <t>Fiche de demande et d'évaluation d'un intérimaire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</si>
</sst>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quot;F&quot;;[Red]\-#,##0.00\ &quot;F&quot;"/>
    <numFmt numFmtId="165" formatCode="dd/mm/yy;@"/>
    <numFmt numFmtId="166" formatCode="00000"/>
    <numFmt numFmtId="167" formatCode="0#&quot; &quot;##&quot; &quot;##&quot; &quot;##&quot; &quot;##"/>
    <numFmt numFmtId="168" formatCode="00"/>
    <numFmt numFmtId="169" formatCode="0.000"/>
    <numFmt numFmtId="170" formatCode="000"/>
  </numFmts>
  <fonts count="15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4"/>
      <color indexed="17"/>
      <name val="Arial"/>
      <family val="2"/>
    </font>
    <font>
      <sz val="10"/>
      <color indexed="17"/>
      <name val="Arial"/>
      <family val="2"/>
    </font>
    <font>
      <b/>
      <sz val="14"/>
      <name val="Arial"/>
      <family val="2"/>
    </font>
    <font>
      <b/>
      <u/>
      <sz val="12"/>
      <color indexed="17"/>
      <name val="Arial"/>
      <family val="2"/>
    </font>
    <font>
      <b/>
      <sz val="12"/>
      <name val="Arial"/>
      <family val="2"/>
    </font>
    <font>
      <sz val="12"/>
      <name val="Arial"/>
      <family val="2"/>
    </font>
    <font>
      <b/>
      <sz val="12"/>
      <color indexed="12"/>
      <name val="Arial"/>
      <family val="2"/>
    </font>
    <font>
      <b/>
      <sz val="10"/>
      <color indexed="12"/>
      <name val="Arial"/>
      <family val="2"/>
    </font>
    <font>
      <sz val="10"/>
      <name val="Arial"/>
      <family val="2"/>
    </font>
    <font>
      <b/>
      <sz val="12"/>
      <color indexed="10"/>
      <name val="Arial"/>
      <family val="2"/>
    </font>
    <font>
      <sz val="8"/>
      <name val="Arial"/>
      <family val="2"/>
    </font>
    <font>
      <b/>
      <sz val="8"/>
      <name val="Arial"/>
      <family val="2"/>
    </font>
    <font>
      <b/>
      <sz val="10"/>
      <name val="Arial"/>
      <family val="2"/>
    </font>
    <font>
      <b/>
      <sz val="9"/>
      <name val="Arial"/>
      <family val="2"/>
    </font>
    <font>
      <b/>
      <u/>
      <sz val="10"/>
      <name val="Arial"/>
      <family val="2"/>
    </font>
    <font>
      <b/>
      <sz val="10"/>
      <name val="Arial"/>
      <family val="2"/>
    </font>
    <font>
      <b/>
      <i/>
      <sz val="10"/>
      <name val="Arial"/>
      <family val="2"/>
    </font>
    <font>
      <sz val="16"/>
      <name val="Arial"/>
      <family val="2"/>
    </font>
    <font>
      <sz val="14"/>
      <name val="Arial"/>
      <family val="2"/>
    </font>
    <font>
      <b/>
      <sz val="16"/>
      <name val="Arial"/>
      <family val="2"/>
    </font>
    <font>
      <b/>
      <sz val="18"/>
      <name val="Arial"/>
      <family val="2"/>
    </font>
    <font>
      <b/>
      <sz val="18"/>
      <name val="Arial"/>
      <family val="2"/>
    </font>
    <font>
      <sz val="10"/>
      <color indexed="10"/>
      <name val="Arial"/>
      <family val="2"/>
    </font>
    <font>
      <b/>
      <u/>
      <sz val="12"/>
      <name val="Arial"/>
      <family val="2"/>
    </font>
    <font>
      <u/>
      <sz val="10"/>
      <name val="Arial"/>
      <family val="2"/>
    </font>
    <font>
      <b/>
      <sz val="11"/>
      <name val="Arial"/>
      <family val="2"/>
    </font>
    <font>
      <sz val="11"/>
      <name val="Arial"/>
      <family val="2"/>
    </font>
    <font>
      <sz val="10"/>
      <name val="MS Sans Serif"/>
      <family val="2"/>
    </font>
    <font>
      <i/>
      <sz val="10"/>
      <name val="Arial"/>
      <family val="2"/>
    </font>
    <font>
      <b/>
      <sz val="8"/>
      <name val="Arial"/>
      <family val="2"/>
    </font>
    <font>
      <sz val="9"/>
      <name val="Arial"/>
      <family val="2"/>
    </font>
    <font>
      <u/>
      <sz val="9"/>
      <name val="Arial"/>
      <family val="2"/>
    </font>
    <font>
      <sz val="9"/>
      <name val="Arial Narrow"/>
      <family val="2"/>
    </font>
    <font>
      <i/>
      <sz val="9"/>
      <name val="Arial"/>
      <family val="2"/>
    </font>
    <font>
      <b/>
      <i/>
      <sz val="9"/>
      <name val="Arial"/>
      <family val="2"/>
    </font>
    <font>
      <i/>
      <u/>
      <sz val="9"/>
      <name val="Arial"/>
      <family val="2"/>
    </font>
    <font>
      <b/>
      <i/>
      <u/>
      <sz val="9"/>
      <name val="Arial"/>
      <family val="2"/>
    </font>
    <font>
      <b/>
      <i/>
      <u/>
      <sz val="11"/>
      <name val="Arial"/>
      <family val="2"/>
    </font>
    <font>
      <sz val="6"/>
      <name val="Arial"/>
      <family val="2"/>
    </font>
    <font>
      <b/>
      <sz val="6"/>
      <name val="Arial"/>
      <family val="2"/>
    </font>
    <font>
      <u/>
      <sz val="6"/>
      <name val="Arial"/>
      <family val="2"/>
    </font>
    <font>
      <sz val="6"/>
      <name val="Arial Narrow"/>
      <family val="2"/>
    </font>
    <font>
      <b/>
      <i/>
      <sz val="12"/>
      <name val="Arial"/>
      <family val="2"/>
    </font>
    <font>
      <b/>
      <sz val="20"/>
      <name val="Arial"/>
      <family val="2"/>
    </font>
    <font>
      <strike/>
      <sz val="10"/>
      <name val="Arial"/>
      <family val="2"/>
    </font>
    <font>
      <i/>
      <sz val="12"/>
      <name val="Arial"/>
      <family val="2"/>
    </font>
    <font>
      <i/>
      <sz val="14"/>
      <name val="Arial"/>
      <family val="2"/>
    </font>
    <font>
      <sz val="6"/>
      <name val="Arial"/>
      <family val="2"/>
    </font>
    <font>
      <u/>
      <sz val="12"/>
      <name val="Arial"/>
      <family val="2"/>
    </font>
    <font>
      <sz val="12"/>
      <name val="Arial"/>
      <family val="2"/>
    </font>
    <font>
      <sz val="14"/>
      <name val="Arial"/>
      <family val="2"/>
    </font>
    <font>
      <sz val="10"/>
      <name val="Tw Cen MT Condensed Extra Bold"/>
      <family val="2"/>
    </font>
    <font>
      <sz val="10"/>
      <name val="Wingdings"/>
      <charset val="2"/>
    </font>
    <font>
      <i/>
      <u/>
      <sz val="10"/>
      <name val="Arial"/>
      <family val="2"/>
    </font>
    <font>
      <u/>
      <sz val="10"/>
      <name val="Arial"/>
      <family val="2"/>
    </font>
    <font>
      <b/>
      <sz val="12"/>
      <name val="Arial"/>
      <family val="2"/>
    </font>
    <font>
      <b/>
      <sz val="10"/>
      <color indexed="10"/>
      <name val="Arial"/>
      <family val="2"/>
    </font>
    <font>
      <b/>
      <sz val="13"/>
      <name val="Arial"/>
      <family val="2"/>
    </font>
    <font>
      <b/>
      <u/>
      <sz val="14"/>
      <name val="Arial"/>
      <family val="2"/>
    </font>
    <font>
      <b/>
      <i/>
      <sz val="16"/>
      <name val="Arial"/>
      <family val="2"/>
    </font>
    <font>
      <i/>
      <sz val="12"/>
      <name val="Bookman Old Style"/>
      <family val="1"/>
    </font>
    <font>
      <b/>
      <u/>
      <sz val="11"/>
      <name val="Arial"/>
      <family val="2"/>
    </font>
    <font>
      <sz val="10"/>
      <name val="Verdana"/>
      <family val="2"/>
    </font>
    <font>
      <b/>
      <sz val="14"/>
      <color indexed="18"/>
      <name val="Arial"/>
      <family val="2"/>
    </font>
    <font>
      <sz val="10"/>
      <name val="Arial"/>
      <family val="2"/>
    </font>
    <font>
      <b/>
      <sz val="12"/>
      <color indexed="8"/>
      <name val="Calibri"/>
      <family val="2"/>
    </font>
    <font>
      <sz val="12"/>
      <name val="Calibri"/>
      <family val="2"/>
    </font>
    <font>
      <sz val="10"/>
      <name val="Arial"/>
      <family val="2"/>
    </font>
    <font>
      <sz val="10"/>
      <name val="Arial"/>
      <family val="2"/>
    </font>
    <font>
      <sz val="10"/>
      <color indexed="8"/>
      <name val="Calibri"/>
      <family val="2"/>
    </font>
    <font>
      <b/>
      <sz val="11"/>
      <color indexed="8"/>
      <name val="Calibri"/>
      <family val="2"/>
    </font>
    <font>
      <sz val="10"/>
      <color indexed="8"/>
      <name val="Calibri"/>
      <family val="2"/>
    </font>
    <font>
      <sz val="10"/>
      <color indexed="10"/>
      <name val="Arial"/>
      <family val="2"/>
    </font>
    <font>
      <b/>
      <sz val="10"/>
      <color indexed="10"/>
      <name val="Arial"/>
      <family val="2"/>
    </font>
    <font>
      <sz val="9"/>
      <color indexed="8"/>
      <name val="Calibri"/>
      <family val="2"/>
    </font>
    <font>
      <u/>
      <sz val="10"/>
      <color indexed="8"/>
      <name val="Calibri"/>
      <family val="2"/>
    </font>
    <font>
      <sz val="22"/>
      <color indexed="8"/>
      <name val="Calibri"/>
      <family val="2"/>
    </font>
    <font>
      <b/>
      <sz val="12"/>
      <color indexed="8"/>
      <name val="Calibri"/>
      <family val="2"/>
    </font>
    <font>
      <b/>
      <sz val="9"/>
      <color indexed="81"/>
      <name val="Tahoma"/>
      <family val="2"/>
    </font>
    <font>
      <sz val="9"/>
      <color indexed="81"/>
      <name val="Tahoma"/>
      <family val="2"/>
    </font>
    <font>
      <sz val="10"/>
      <name val="Geneva"/>
    </font>
    <font>
      <i/>
      <sz val="8"/>
      <name val="Arial"/>
      <family val="2"/>
    </font>
    <font>
      <i/>
      <sz val="11"/>
      <name val="Arial"/>
      <family val="2"/>
    </font>
    <font>
      <sz val="7"/>
      <name val="Arial"/>
      <family val="2"/>
    </font>
    <font>
      <sz val="11"/>
      <color theme="1"/>
      <name val="Calibri"/>
      <family val="2"/>
      <scheme val="minor"/>
    </font>
    <font>
      <sz val="8"/>
      <color rgb="FF000000"/>
      <name val="Tahoma"/>
      <family val="2"/>
    </font>
    <font>
      <b/>
      <i/>
      <sz val="8"/>
      <name val="Arial"/>
      <family val="2"/>
    </font>
    <font>
      <b/>
      <u/>
      <sz val="9"/>
      <name val="Arial"/>
      <family val="2"/>
    </font>
    <font>
      <b/>
      <sz val="11"/>
      <color theme="1"/>
      <name val="Calibri"/>
      <family val="2"/>
      <scheme val="minor"/>
    </font>
    <font>
      <u/>
      <sz val="14"/>
      <name val="Arial"/>
      <family val="2"/>
    </font>
    <font>
      <b/>
      <i/>
      <u/>
      <sz val="10"/>
      <name val="Arial"/>
      <family val="2"/>
    </font>
    <font>
      <b/>
      <i/>
      <u/>
      <sz val="14"/>
      <name val="Arial"/>
      <family val="2"/>
    </font>
    <font>
      <b/>
      <i/>
      <u/>
      <sz val="16"/>
      <name val="Arial"/>
      <family val="2"/>
    </font>
    <font>
      <b/>
      <i/>
      <sz val="14"/>
      <name val="Arial"/>
      <family val="2"/>
    </font>
    <font>
      <sz val="10"/>
      <color theme="0" tint="-0.34998626667073579"/>
      <name val="Arial"/>
      <family val="2"/>
    </font>
    <font>
      <sz val="16"/>
      <name val="Wingdings"/>
      <charset val="2"/>
    </font>
    <font>
      <sz val="11.2"/>
      <name val="Arial"/>
      <family val="2"/>
    </font>
    <font>
      <b/>
      <sz val="9"/>
      <name val="Calibri"/>
      <family val="2"/>
    </font>
    <font>
      <sz val="10"/>
      <name val="Calibri"/>
      <family val="2"/>
    </font>
    <font>
      <sz val="7"/>
      <name val="Calibri"/>
      <family val="2"/>
    </font>
    <font>
      <sz val="9"/>
      <name val="Calibri"/>
      <family val="2"/>
    </font>
    <font>
      <sz val="16"/>
      <name val="Calibri"/>
      <family val="2"/>
    </font>
    <font>
      <b/>
      <sz val="9"/>
      <name val="Wingdings"/>
      <charset val="2"/>
    </font>
    <font>
      <sz val="11"/>
      <name val="Calibri"/>
      <family val="2"/>
    </font>
    <font>
      <b/>
      <sz val="11"/>
      <color rgb="FF008000"/>
      <name val="Calibri"/>
      <family val="2"/>
    </font>
    <font>
      <b/>
      <u/>
      <sz val="11"/>
      <name val="Calibri"/>
      <family val="2"/>
    </font>
    <font>
      <sz val="11"/>
      <name val="Wingdings"/>
      <charset val="2"/>
    </font>
    <font>
      <i/>
      <sz val="11"/>
      <name val="Calibri"/>
      <family val="2"/>
    </font>
    <font>
      <b/>
      <sz val="11"/>
      <color rgb="FFFF0000"/>
      <name val="Calibri"/>
      <family val="2"/>
    </font>
    <font>
      <b/>
      <sz val="11"/>
      <name val="Calibri"/>
      <family val="2"/>
    </font>
    <font>
      <b/>
      <sz val="10"/>
      <color theme="1"/>
      <name val="Arial"/>
      <family val="2"/>
    </font>
    <font>
      <sz val="10"/>
      <color theme="1"/>
      <name val="Arial"/>
      <family val="2"/>
    </font>
    <font>
      <b/>
      <sz val="11"/>
      <name val="Calibri"/>
      <family val="2"/>
      <scheme val="minor"/>
    </font>
    <font>
      <sz val="7"/>
      <color theme="1"/>
      <name val="Calibri"/>
      <family val="2"/>
    </font>
    <font>
      <sz val="9"/>
      <color theme="1"/>
      <name val="Calibri"/>
      <family val="2"/>
      <scheme val="minor"/>
    </font>
    <font>
      <sz val="10"/>
      <color rgb="FF000000"/>
      <name val="Times New Roman"/>
      <family val="1"/>
    </font>
    <font>
      <sz val="9"/>
      <name val="Calibri"/>
      <family val="2"/>
      <scheme val="minor"/>
    </font>
    <font>
      <sz val="10"/>
      <color theme="1"/>
      <name val="Calibri"/>
      <family val="2"/>
      <scheme val="minor"/>
    </font>
    <font>
      <sz val="8"/>
      <color theme="1"/>
      <name val="Calibri"/>
      <family val="2"/>
      <scheme val="minor"/>
    </font>
    <font>
      <sz val="10"/>
      <name val="Calibri"/>
      <family val="2"/>
      <scheme val="minor"/>
    </font>
    <font>
      <b/>
      <sz val="11"/>
      <color rgb="FFFF0000"/>
      <name val="Calibri"/>
      <family val="2"/>
      <scheme val="minor"/>
    </font>
    <font>
      <b/>
      <sz val="14"/>
      <name val="Tahoma"/>
      <family val="2"/>
    </font>
    <font>
      <b/>
      <sz val="8"/>
      <color rgb="FFFF0000"/>
      <name val="Tahoma"/>
      <family val="2"/>
    </font>
    <font>
      <sz val="9"/>
      <name val="Tahoma"/>
      <family val="2"/>
    </font>
    <font>
      <b/>
      <u/>
      <sz val="18"/>
      <name val="Arial"/>
      <family val="2"/>
    </font>
    <font>
      <b/>
      <sz val="10"/>
      <color theme="1"/>
      <name val="Calibri"/>
      <family val="2"/>
      <scheme val="minor"/>
    </font>
    <font>
      <b/>
      <sz val="8"/>
      <color theme="1"/>
      <name val="Calibri"/>
      <family val="2"/>
      <scheme val="minor"/>
    </font>
    <font>
      <b/>
      <sz val="11"/>
      <color theme="0"/>
      <name val="Calibri"/>
      <family val="2"/>
      <scheme val="minor"/>
    </font>
    <font>
      <b/>
      <sz val="11"/>
      <color rgb="FFFF0000"/>
      <name val="Tahoma"/>
      <family val="2"/>
    </font>
    <font>
      <b/>
      <sz val="10"/>
      <color theme="0"/>
      <name val="Arial"/>
      <family val="2"/>
    </font>
    <font>
      <sz val="10"/>
      <color theme="0"/>
      <name val="Arial"/>
      <family val="2"/>
    </font>
    <font>
      <sz val="14"/>
      <color theme="1"/>
      <name val="Calibri"/>
      <family val="2"/>
      <scheme val="minor"/>
    </font>
    <font>
      <b/>
      <sz val="10"/>
      <color theme="0"/>
      <name val="Calibri"/>
      <family val="2"/>
      <scheme val="minor"/>
    </font>
    <font>
      <sz val="9"/>
      <color theme="1"/>
      <name val="Calibri"/>
      <family val="2"/>
    </font>
    <font>
      <sz val="9"/>
      <color theme="1"/>
      <name val="Wingdings"/>
      <charset val="2"/>
    </font>
    <font>
      <b/>
      <u/>
      <sz val="10"/>
      <color theme="1"/>
      <name val="Calibri"/>
      <family val="2"/>
      <scheme val="minor"/>
    </font>
    <font>
      <b/>
      <sz val="9"/>
      <color rgb="FFFF0000"/>
      <name val="Calibri"/>
      <family val="2"/>
      <scheme val="minor"/>
    </font>
    <font>
      <sz val="8"/>
      <color theme="1"/>
      <name val="Wingdings 2"/>
      <family val="1"/>
      <charset val="2"/>
    </font>
    <font>
      <sz val="8"/>
      <color theme="1"/>
      <name val="Wingdings"/>
      <charset val="2"/>
    </font>
    <font>
      <b/>
      <sz val="8"/>
      <color rgb="FFFF0000"/>
      <name val="Calibri"/>
      <family val="2"/>
      <scheme val="minor"/>
    </font>
    <font>
      <b/>
      <sz val="8"/>
      <name val="Calibri"/>
      <family val="2"/>
      <scheme val="minor"/>
    </font>
    <font>
      <b/>
      <sz val="8"/>
      <color theme="0"/>
      <name val="Calibri"/>
      <family val="2"/>
      <scheme val="minor"/>
    </font>
    <font>
      <u/>
      <sz val="10"/>
      <color theme="1"/>
      <name val="Calibri"/>
      <family val="2"/>
      <scheme val="minor"/>
    </font>
    <font>
      <sz val="11"/>
      <color rgb="FF000000"/>
      <name val="Calibri"/>
      <family val="2"/>
    </font>
    <font>
      <b/>
      <sz val="16"/>
      <color theme="1"/>
      <name val="Arial"/>
      <family val="2"/>
    </font>
    <font>
      <b/>
      <sz val="11"/>
      <color rgb="FF00B0F0"/>
      <name val="Calibri"/>
      <family val="2"/>
      <scheme val="minor"/>
    </font>
  </fonts>
  <fills count="23">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indexed="47"/>
        <bgColor indexed="42"/>
      </patternFill>
    </fill>
    <fill>
      <patternFill patternType="solid">
        <fgColor indexed="47"/>
        <bgColor indexed="50"/>
      </patternFill>
    </fill>
    <fill>
      <patternFill patternType="solid">
        <fgColor indexed="42"/>
        <bgColor indexed="50"/>
      </patternFill>
    </fill>
    <fill>
      <patternFill patternType="solid">
        <fgColor indexed="15"/>
        <bgColor indexed="64"/>
      </patternFill>
    </fill>
    <fill>
      <patternFill patternType="solid">
        <fgColor indexed="44"/>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0"/>
        <bgColor indexed="64"/>
      </patternFill>
    </fill>
    <fill>
      <patternFill patternType="solid">
        <fgColor theme="0" tint="-4.9989318521683403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rgb="FFFFF5F5"/>
        <bgColor indexed="64"/>
      </patternFill>
    </fill>
  </fills>
  <borders count="258">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hair">
        <color indexed="64"/>
      </top>
      <bottom style="hair">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thin">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thin">
        <color indexed="64"/>
      </left>
      <right style="medium">
        <color indexed="64"/>
      </right>
      <top style="thin">
        <color indexed="64"/>
      </top>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style="hair">
        <color indexed="64"/>
      </bottom>
      <diagonal/>
    </border>
    <border>
      <left style="medium">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double">
        <color indexed="64"/>
      </right>
      <top style="double">
        <color indexed="64"/>
      </top>
      <bottom style="double">
        <color indexed="64"/>
      </bottom>
      <diagonal/>
    </border>
    <border>
      <left style="double">
        <color indexed="64"/>
      </left>
      <right style="hair">
        <color indexed="64"/>
      </right>
      <top style="double">
        <color indexed="64"/>
      </top>
      <bottom style="double">
        <color indexed="64"/>
      </bottom>
      <diagonal/>
    </border>
    <border>
      <left style="medium">
        <color indexed="64"/>
      </left>
      <right/>
      <top style="medium">
        <color indexed="64"/>
      </top>
      <bottom style="hair">
        <color indexed="64"/>
      </bottom>
      <diagonal/>
    </border>
    <border>
      <left/>
      <right style="thin">
        <color indexed="64"/>
      </right>
      <top style="medium">
        <color indexed="64"/>
      </top>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style="hair">
        <color indexed="64"/>
      </right>
      <top/>
      <bottom style="hair">
        <color indexed="64"/>
      </bottom>
      <diagonal/>
    </border>
    <border>
      <left/>
      <right style="hair">
        <color indexed="64"/>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thin">
        <color indexed="64"/>
      </left>
      <right style="hair">
        <color indexed="64"/>
      </right>
      <top style="double">
        <color indexed="64"/>
      </top>
      <bottom style="double">
        <color indexed="64"/>
      </bottom>
      <diagonal/>
    </border>
    <border>
      <left style="hair">
        <color indexed="64"/>
      </left>
      <right style="medium">
        <color indexed="64"/>
      </right>
      <top style="double">
        <color indexed="64"/>
      </top>
      <bottom style="double">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thin">
        <color indexed="64"/>
      </left>
      <right style="hair">
        <color indexed="64"/>
      </right>
      <top style="hair">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hair">
        <color indexed="64"/>
      </bottom>
      <diagonal/>
    </border>
    <border>
      <left/>
      <right/>
      <top style="hair">
        <color indexed="64"/>
      </top>
      <bottom/>
      <diagonal/>
    </border>
    <border>
      <left style="medium">
        <color indexed="64"/>
      </left>
      <right/>
      <top style="medium">
        <color indexed="64"/>
      </top>
      <bottom style="double">
        <color indexed="64"/>
      </bottom>
      <diagonal/>
    </border>
    <border>
      <left style="thin">
        <color indexed="64"/>
      </left>
      <right/>
      <top/>
      <bottom style="hair">
        <color indexed="64"/>
      </bottom>
      <diagonal/>
    </border>
    <border>
      <left/>
      <right style="medium">
        <color indexed="64"/>
      </right>
      <top style="hair">
        <color indexed="64"/>
      </top>
      <bottom/>
      <diagonal/>
    </border>
    <border>
      <left style="medium">
        <color indexed="64"/>
      </left>
      <right/>
      <top style="hair">
        <color indexed="64"/>
      </top>
      <bottom/>
      <diagonal/>
    </border>
    <border>
      <left/>
      <right style="thin">
        <color indexed="64"/>
      </right>
      <top style="hair">
        <color indexed="64"/>
      </top>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style="hair">
        <color indexed="64"/>
      </top>
      <bottom style="thin">
        <color indexed="64"/>
      </bottom>
      <diagonal/>
    </border>
    <border>
      <left style="thick">
        <color indexed="64"/>
      </left>
      <right/>
      <top/>
      <bottom/>
      <diagonal/>
    </border>
    <border>
      <left style="thick">
        <color indexed="64"/>
      </left>
      <right/>
      <top style="medium">
        <color indexed="64"/>
      </top>
      <bottom/>
      <diagonal/>
    </border>
    <border>
      <left/>
      <right style="thick">
        <color indexed="64"/>
      </right>
      <top style="medium">
        <color indexed="64"/>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double">
        <color indexed="64"/>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top style="medium">
        <color indexed="64"/>
      </top>
      <bottom style="thin">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bottom style="double">
        <color indexed="64"/>
      </bottom>
      <diagonal/>
    </border>
    <border>
      <left/>
      <right/>
      <top style="hair">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thin">
        <color indexed="64"/>
      </bottom>
      <diagonal/>
    </border>
    <border>
      <left style="double">
        <color indexed="64"/>
      </left>
      <right/>
      <top/>
      <bottom/>
      <diagonal/>
    </border>
    <border>
      <left style="thin">
        <color indexed="64"/>
      </left>
      <right style="double">
        <color indexed="64"/>
      </right>
      <top style="double">
        <color indexed="64"/>
      </top>
      <bottom/>
      <diagonal/>
    </border>
    <border>
      <left style="thin">
        <color indexed="64"/>
      </left>
      <right style="double">
        <color indexed="64"/>
      </right>
      <top/>
      <bottom/>
      <diagonal/>
    </border>
    <border>
      <left style="thin">
        <color indexed="64"/>
      </left>
      <right style="double">
        <color indexed="64"/>
      </right>
      <top/>
      <bottom style="double">
        <color indexed="64"/>
      </bottom>
      <diagonal/>
    </border>
    <border>
      <left/>
      <right style="double">
        <color indexed="64"/>
      </right>
      <top style="double">
        <color indexed="64"/>
      </top>
      <bottom/>
      <diagonal/>
    </border>
    <border>
      <left/>
      <right style="double">
        <color indexed="64"/>
      </right>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ck">
        <color indexed="64"/>
      </right>
      <top style="hair">
        <color indexed="64"/>
      </top>
      <bottom style="hair">
        <color indexed="64"/>
      </bottom>
      <diagonal/>
    </border>
    <border>
      <left style="thick">
        <color indexed="64"/>
      </left>
      <right/>
      <top/>
      <bottom style="medium">
        <color indexed="64"/>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right style="thin">
        <color indexed="64"/>
      </right>
      <top style="medium">
        <color indexed="64"/>
      </top>
      <bottom style="hair">
        <color indexed="64"/>
      </bottom>
      <diagonal/>
    </border>
    <border>
      <left style="medium">
        <color indexed="64"/>
      </left>
      <right/>
      <top/>
      <bottom style="hair">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style="double">
        <color indexed="64"/>
      </left>
      <right/>
      <top style="medium">
        <color indexed="64"/>
      </top>
      <bottom/>
      <diagonal/>
    </border>
    <border>
      <left/>
      <right style="double">
        <color indexed="64"/>
      </right>
      <top style="medium">
        <color indexed="64"/>
      </top>
      <bottom/>
      <diagonal/>
    </border>
    <border>
      <left/>
      <right style="medium">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double">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top style="double">
        <color indexed="64"/>
      </top>
      <bottom style="hair">
        <color indexed="64"/>
      </bottom>
      <diagonal/>
    </border>
    <border>
      <left/>
      <right style="thin">
        <color indexed="64"/>
      </right>
      <top style="double">
        <color indexed="64"/>
      </top>
      <bottom style="hair">
        <color indexed="64"/>
      </bottom>
      <diagonal/>
    </border>
    <border>
      <left style="medium">
        <color indexed="64"/>
      </left>
      <right/>
      <top style="double">
        <color indexed="64"/>
      </top>
      <bottom style="double">
        <color indexed="64"/>
      </bottom>
      <diagonal/>
    </border>
    <border>
      <left style="medium">
        <color indexed="64"/>
      </left>
      <right/>
      <top style="hair">
        <color indexed="64"/>
      </top>
      <bottom style="double">
        <color indexed="64"/>
      </bottom>
      <diagonal/>
    </border>
    <border>
      <left/>
      <right style="thin">
        <color indexed="64"/>
      </right>
      <top style="hair">
        <color indexed="64"/>
      </top>
      <bottom style="double">
        <color indexed="64"/>
      </bottom>
      <diagonal/>
    </border>
    <border>
      <left style="thin">
        <color indexed="64"/>
      </left>
      <right/>
      <top style="hair">
        <color indexed="64"/>
      </top>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style="double">
        <color indexed="64"/>
      </right>
      <top style="medium">
        <color indexed="64"/>
      </top>
      <bottom/>
      <diagonal/>
    </border>
    <border>
      <left style="double">
        <color indexed="64"/>
      </left>
      <right style="medium">
        <color indexed="64"/>
      </right>
      <top style="medium">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hair">
        <color indexed="64"/>
      </left>
      <right style="hair">
        <color indexed="64"/>
      </right>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bottom style="medium">
        <color rgb="FFFFFFFF"/>
      </bottom>
      <diagonal/>
    </border>
    <border>
      <left/>
      <right/>
      <top/>
      <bottom style="medium">
        <color rgb="FFFFFFFF"/>
      </bottom>
      <diagonal/>
    </border>
    <border>
      <left/>
      <right style="medium">
        <color indexed="64"/>
      </right>
      <top/>
      <bottom style="medium">
        <color rgb="FFFFFFFF"/>
      </bottom>
      <diagonal/>
    </border>
    <border>
      <left style="medium">
        <color indexed="64"/>
      </left>
      <right/>
      <top style="medium">
        <color rgb="FFFFFFFF"/>
      </top>
      <bottom/>
      <diagonal/>
    </border>
    <border>
      <left/>
      <right/>
      <top style="medium">
        <color rgb="FFFFFFFF"/>
      </top>
      <bottom/>
      <diagonal/>
    </border>
    <border>
      <left/>
      <right style="medium">
        <color indexed="64"/>
      </right>
      <top style="medium">
        <color rgb="FFFFFFFF"/>
      </top>
      <bottom/>
      <diagonal/>
    </border>
    <border>
      <left/>
      <right style="double">
        <color indexed="64"/>
      </right>
      <top style="double">
        <color indexed="64"/>
      </top>
      <bottom style="double">
        <color indexed="64"/>
      </bottom>
      <diagonal/>
    </border>
    <border>
      <left style="medium">
        <color indexed="64"/>
      </left>
      <right/>
      <top style="medium">
        <color rgb="FFFFFFFF"/>
      </top>
      <bottom style="medium">
        <color rgb="FFFFFFFF"/>
      </bottom>
      <diagonal/>
    </border>
    <border>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top style="medium">
        <color rgb="FFFFFFFF"/>
      </top>
      <bottom style="medium">
        <color indexed="64"/>
      </bottom>
      <diagonal/>
    </border>
    <border>
      <left/>
      <right/>
      <top style="medium">
        <color rgb="FFFFFFFF"/>
      </top>
      <bottom style="medium">
        <color indexed="64"/>
      </bottom>
      <diagonal/>
    </border>
    <border>
      <left/>
      <right style="medium">
        <color indexed="64"/>
      </right>
      <top style="medium">
        <color rgb="FFFFFFFF"/>
      </top>
      <bottom style="medium">
        <color indexed="64"/>
      </bottom>
      <diagonal/>
    </border>
    <border>
      <left/>
      <right/>
      <top style="medium">
        <color indexed="64"/>
      </top>
      <bottom style="medium">
        <color rgb="FFFFFFFF"/>
      </bottom>
      <diagonal/>
    </border>
    <border>
      <left style="medium">
        <color indexed="64"/>
      </left>
      <right/>
      <top style="medium">
        <color indexed="64"/>
      </top>
      <bottom style="medium">
        <color rgb="FFFFFFFF"/>
      </bottom>
      <diagonal/>
    </border>
    <border>
      <left/>
      <right style="medium">
        <color indexed="64"/>
      </right>
      <top style="medium">
        <color indexed="64"/>
      </top>
      <bottom style="medium">
        <color rgb="FFFFFFFF"/>
      </bottom>
      <diagonal/>
    </border>
    <border>
      <left/>
      <right/>
      <top/>
      <bottom style="dotted">
        <color indexed="64"/>
      </bottom>
      <diagonal/>
    </border>
    <border>
      <left style="thin">
        <color indexed="64"/>
      </left>
      <right/>
      <top/>
      <bottom style="thick">
        <color rgb="FFFF0000"/>
      </bottom>
      <diagonal/>
    </border>
    <border>
      <left/>
      <right/>
      <top/>
      <bottom style="thick">
        <color rgb="FFFF0000"/>
      </bottom>
      <diagonal/>
    </border>
    <border>
      <left/>
      <right style="thin">
        <color indexed="64"/>
      </right>
      <top/>
      <bottom style="thick">
        <color rgb="FFFF0000"/>
      </bottom>
      <diagonal/>
    </border>
    <border>
      <left style="thick">
        <color rgb="FFFF0000"/>
      </left>
      <right/>
      <top style="thick">
        <color rgb="FFFF0000"/>
      </top>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diagonal/>
    </border>
    <border>
      <left/>
      <right/>
      <top style="thick">
        <color rgb="FFFF0000"/>
      </top>
      <bottom/>
      <diagonal/>
    </border>
    <border>
      <left/>
      <right style="thin">
        <color indexed="64"/>
      </right>
      <top style="thick">
        <color rgb="FFFF0000"/>
      </top>
      <bottom/>
      <diagonal/>
    </border>
    <border>
      <left style="thin">
        <color indexed="64"/>
      </left>
      <right/>
      <top style="thick">
        <color rgb="FFFF0000"/>
      </top>
      <bottom style="thin">
        <color indexed="64"/>
      </bottom>
      <diagonal/>
    </border>
    <border>
      <left/>
      <right/>
      <top style="thick">
        <color rgb="FFFF0000"/>
      </top>
      <bottom style="thin">
        <color indexed="64"/>
      </bottom>
      <diagonal/>
    </border>
    <border>
      <left/>
      <right style="thin">
        <color indexed="64"/>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diagonal/>
    </border>
    <border>
      <left style="thick">
        <color rgb="FFFF0000"/>
      </left>
      <right/>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top style="thin">
        <color indexed="64"/>
      </top>
      <bottom style="thick">
        <color rgb="FFFF0000"/>
      </bottom>
      <diagonal/>
    </border>
    <border>
      <left/>
      <right/>
      <top style="thin">
        <color indexed="64"/>
      </top>
      <bottom style="thick">
        <color rgb="FFFF0000"/>
      </bottom>
      <diagonal/>
    </border>
    <border>
      <left/>
      <right style="thin">
        <color indexed="64"/>
      </right>
      <top style="thin">
        <color indexed="64"/>
      </top>
      <bottom style="thick">
        <color rgb="FFFF0000"/>
      </bottom>
      <diagonal/>
    </border>
    <border>
      <left/>
      <right style="thick">
        <color rgb="FFFF0000"/>
      </right>
      <top style="thin">
        <color indexed="64"/>
      </top>
      <bottom style="thick">
        <color rgb="FFFF0000"/>
      </bottom>
      <diagonal/>
    </border>
    <border>
      <left style="thin">
        <color auto="1"/>
      </left>
      <right style="thin">
        <color indexed="64"/>
      </right>
      <top style="thick">
        <color rgb="FFFF0000"/>
      </top>
      <bottom/>
      <diagonal/>
    </border>
  </borders>
  <cellStyleXfs count="25">
    <xf numFmtId="0" fontId="0" fillId="0" borderId="0"/>
    <xf numFmtId="38" fontId="93" fillId="0" borderId="0" applyFont="0" applyFill="0" applyBorder="0" applyAlignment="0" applyProtection="0"/>
    <xf numFmtId="0" fontId="21" fillId="0" borderId="0"/>
    <xf numFmtId="0" fontId="21" fillId="0" borderId="0"/>
    <xf numFmtId="0" fontId="21" fillId="0" borderId="0"/>
    <xf numFmtId="0" fontId="75" fillId="0" borderId="0"/>
    <xf numFmtId="0" fontId="97" fillId="0" borderId="0"/>
    <xf numFmtId="0" fontId="21" fillId="0" borderId="0"/>
    <xf numFmtId="0" fontId="21" fillId="0" borderId="0"/>
    <xf numFmtId="0" fontId="11" fillId="0" borderId="0"/>
    <xf numFmtId="0" fontId="11" fillId="0" borderId="0"/>
    <xf numFmtId="0" fontId="10" fillId="0" borderId="0"/>
    <xf numFmtId="0" fontId="11" fillId="0" borderId="0"/>
    <xf numFmtId="0" fontId="9" fillId="0" borderId="0"/>
    <xf numFmtId="0" fontId="11" fillId="0" borderId="0"/>
    <xf numFmtId="0" fontId="8" fillId="0" borderId="0"/>
    <xf numFmtId="0" fontId="7" fillId="0" borderId="0"/>
    <xf numFmtId="0" fontId="6" fillId="0" borderId="0"/>
    <xf numFmtId="0" fontId="128" fillId="0" borderId="0"/>
    <xf numFmtId="0" fontId="5" fillId="0" borderId="0"/>
    <xf numFmtId="0" fontId="4" fillId="0" borderId="0"/>
    <xf numFmtId="0" fontId="3" fillId="0" borderId="0"/>
    <xf numFmtId="0" fontId="2" fillId="0" borderId="0"/>
    <xf numFmtId="0" fontId="2" fillId="0" borderId="0"/>
    <xf numFmtId="0" fontId="1" fillId="0" borderId="0"/>
  </cellStyleXfs>
  <cellXfs count="2682">
    <xf numFmtId="0" fontId="0" fillId="0" borderId="0" xfId="0"/>
    <xf numFmtId="0" fontId="0" fillId="0" borderId="0" xfId="0" applyAlignment="1">
      <alignment horizontal="center" vertical="center" wrapText="1"/>
    </xf>
    <xf numFmtId="0" fontId="15" fillId="0" borderId="0" xfId="0" applyFont="1" applyAlignment="1">
      <alignment horizontal="center" vertical="center" wrapText="1"/>
    </xf>
    <xf numFmtId="0" fontId="0" fillId="0" borderId="0" xfId="0" applyAlignment="1">
      <alignment vertical="center" wrapText="1"/>
    </xf>
    <xf numFmtId="0" fontId="16" fillId="0" borderId="0" xfId="0" applyFont="1" applyAlignment="1">
      <alignment horizontal="left" vertical="center"/>
    </xf>
    <xf numFmtId="0" fontId="18" fillId="0" borderId="0" xfId="0" applyFont="1" applyAlignment="1">
      <alignment vertical="center"/>
    </xf>
    <xf numFmtId="0" fontId="0" fillId="0" borderId="0" xfId="0"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15"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0" borderId="0" xfId="0" applyFont="1" applyAlignment="1">
      <alignment horizontal="left" vertical="center" wrapText="1"/>
    </xf>
    <xf numFmtId="0" fontId="0" fillId="0" borderId="0" xfId="0" applyAlignment="1">
      <alignment horizontal="left" vertical="center" wrapText="1"/>
    </xf>
    <xf numFmtId="0" fontId="18" fillId="0" borderId="0" xfId="0" applyFont="1" applyAlignment="1">
      <alignment horizontal="left" vertical="center" wrapText="1"/>
    </xf>
    <xf numFmtId="0" fontId="21" fillId="0" borderId="0" xfId="0" applyFont="1" applyAlignment="1">
      <alignment horizontal="left" vertical="center"/>
    </xf>
    <xf numFmtId="0" fontId="18" fillId="0" borderId="0" xfId="0" applyFont="1" applyAlignment="1">
      <alignment vertical="center" wrapText="1"/>
    </xf>
    <xf numFmtId="0" fontId="21" fillId="0" borderId="0" xfId="0" applyFont="1" applyAlignment="1">
      <alignment horizontal="center"/>
    </xf>
    <xf numFmtId="0" fontId="21" fillId="0" borderId="0" xfId="0" applyFont="1"/>
    <xf numFmtId="0" fontId="0" fillId="0" borderId="0" xfId="0" applyProtection="1">
      <protection locked="0"/>
    </xf>
    <xf numFmtId="0" fontId="21" fillId="0" borderId="0" xfId="0" applyFont="1" applyAlignment="1">
      <alignment vertical="center" wrapText="1"/>
    </xf>
    <xf numFmtId="0" fontId="21" fillId="0" borderId="0" xfId="0" applyFont="1" applyAlignment="1" applyProtection="1">
      <alignment vertical="center" wrapText="1"/>
      <protection locked="0"/>
    </xf>
    <xf numFmtId="0" fontId="15" fillId="0" borderId="0" xfId="0" applyFont="1" applyAlignment="1">
      <alignment horizontal="left"/>
    </xf>
    <xf numFmtId="0" fontId="31" fillId="0" borderId="0" xfId="0" applyFont="1"/>
    <xf numFmtId="0" fontId="31" fillId="0" borderId="0" xfId="0" applyFont="1" applyAlignment="1">
      <alignment vertical="center"/>
    </xf>
    <xf numFmtId="0" fontId="15" fillId="0" borderId="0" xfId="0" applyFont="1" applyAlignment="1">
      <alignment horizontal="left" vertical="center"/>
    </xf>
    <xf numFmtId="0" fontId="17" fillId="0" borderId="0" xfId="0" applyFont="1" applyAlignment="1">
      <alignment vertical="center"/>
    </xf>
    <xf numFmtId="0" fontId="21" fillId="0" borderId="0" xfId="0" applyFont="1" applyAlignment="1" applyProtection="1">
      <alignment vertical="center"/>
      <protection locked="0"/>
    </xf>
    <xf numFmtId="0" fontId="28" fillId="0" borderId="0" xfId="0" applyFont="1" applyAlignment="1">
      <alignment horizontal="left" vertical="center"/>
    </xf>
    <xf numFmtId="0" fontId="15" fillId="0" borderId="0" xfId="0" applyFont="1"/>
    <xf numFmtId="0" fontId="11" fillId="0" borderId="0" xfId="0" applyFont="1"/>
    <xf numFmtId="0" fontId="17" fillId="0" borderId="0" xfId="0" applyFont="1" applyAlignment="1">
      <alignment horizontal="center"/>
    </xf>
    <xf numFmtId="0" fontId="21" fillId="0" borderId="0" xfId="0" applyFont="1" applyAlignment="1">
      <alignment horizontal="right"/>
    </xf>
    <xf numFmtId="0" fontId="25" fillId="0" borderId="0" xfId="0" applyFont="1" applyAlignment="1">
      <alignment horizontal="center"/>
    </xf>
    <xf numFmtId="0" fontId="28" fillId="0" borderId="0" xfId="0" applyFont="1" applyAlignment="1">
      <alignment horizontal="left"/>
    </xf>
    <xf numFmtId="0" fontId="28" fillId="0" borderId="0" xfId="0" applyFont="1"/>
    <xf numFmtId="0" fontId="25" fillId="0" borderId="0" xfId="0" applyFont="1"/>
    <xf numFmtId="0" fontId="28" fillId="0" borderId="0" xfId="0" applyFont="1" applyAlignment="1">
      <alignment horizontal="center"/>
    </xf>
    <xf numFmtId="0" fontId="0" fillId="0" borderId="0" xfId="0" applyAlignment="1">
      <alignment horizontal="left"/>
    </xf>
    <xf numFmtId="0" fontId="43" fillId="0" borderId="0" xfId="0" applyFont="1"/>
    <xf numFmtId="0" fontId="27" fillId="0" borderId="0" xfId="0" applyFont="1"/>
    <xf numFmtId="0" fontId="47" fillId="0" borderId="2" xfId="0" applyFont="1" applyBorder="1" applyAlignment="1">
      <alignment horizontal="centerContinuous" vertical="center"/>
    </xf>
    <xf numFmtId="0" fontId="26" fillId="0" borderId="2" xfId="0" applyFont="1" applyBorder="1" applyAlignment="1">
      <alignment horizontal="centerContinuous" vertical="center"/>
    </xf>
    <xf numFmtId="0" fontId="26" fillId="0" borderId="3" xfId="0" applyFont="1" applyBorder="1" applyAlignment="1">
      <alignment horizontal="centerContinuous" vertical="center"/>
    </xf>
    <xf numFmtId="0" fontId="26" fillId="0" borderId="4" xfId="0" applyFont="1" applyBorder="1" applyAlignment="1">
      <alignment horizontal="centerContinuous" vertical="center"/>
    </xf>
    <xf numFmtId="0" fontId="43" fillId="0" borderId="5" xfId="0" applyFont="1" applyBorder="1"/>
    <xf numFmtId="0" fontId="43" fillId="0" borderId="6" xfId="0" applyFont="1" applyBorder="1"/>
    <xf numFmtId="0" fontId="26" fillId="0" borderId="2" xfId="0" applyFont="1" applyBorder="1" applyAlignment="1">
      <alignment horizontal="center"/>
    </xf>
    <xf numFmtId="0" fontId="26" fillId="0" borderId="7" xfId="0" applyFont="1" applyBorder="1" applyAlignment="1">
      <alignment horizontal="center"/>
    </xf>
    <xf numFmtId="0" fontId="43" fillId="0" borderId="8" xfId="0" applyFont="1" applyBorder="1"/>
    <xf numFmtId="0" fontId="46" fillId="0" borderId="3" xfId="0" applyFont="1" applyBorder="1" applyAlignment="1">
      <alignment horizontal="center"/>
    </xf>
    <xf numFmtId="0" fontId="46" fillId="0" borderId="9" xfId="0" applyFont="1" applyBorder="1" applyAlignment="1">
      <alignment horizontal="center"/>
    </xf>
    <xf numFmtId="0" fontId="43" fillId="0" borderId="10" xfId="0" applyFont="1" applyBorder="1"/>
    <xf numFmtId="0" fontId="43" fillId="0" borderId="11" xfId="0" applyFont="1" applyBorder="1"/>
    <xf numFmtId="0" fontId="43" fillId="0" borderId="12" xfId="0" applyFont="1" applyBorder="1"/>
    <xf numFmtId="0" fontId="46" fillId="0" borderId="4" xfId="0" applyFont="1" applyBorder="1" applyAlignment="1">
      <alignment horizontal="center"/>
    </xf>
    <xf numFmtId="0" fontId="46" fillId="0" borderId="12" xfId="0" applyFont="1" applyBorder="1" applyAlignment="1">
      <alignment horizontal="center"/>
    </xf>
    <xf numFmtId="0" fontId="44" fillId="2" borderId="8" xfId="0" applyFont="1" applyFill="1" applyBorder="1"/>
    <xf numFmtId="0" fontId="43" fillId="2" borderId="0" xfId="0" applyFont="1" applyFill="1"/>
    <xf numFmtId="0" fontId="26" fillId="2" borderId="13" xfId="0" applyFont="1" applyFill="1" applyBorder="1" applyAlignment="1">
      <alignment horizontal="center"/>
    </xf>
    <xf numFmtId="0" fontId="26" fillId="2" borderId="3" xfId="0" applyFont="1" applyFill="1" applyBorder="1" applyAlignment="1">
      <alignment horizontal="center"/>
    </xf>
    <xf numFmtId="0" fontId="26" fillId="2" borderId="9" xfId="0" applyFont="1" applyFill="1" applyBorder="1" applyAlignment="1">
      <alignment horizontal="center"/>
    </xf>
    <xf numFmtId="0" fontId="43" fillId="2" borderId="10" xfId="0" applyFont="1" applyFill="1" applyBorder="1"/>
    <xf numFmtId="0" fontId="43" fillId="2" borderId="11" xfId="0" applyFont="1" applyFill="1" applyBorder="1"/>
    <xf numFmtId="0" fontId="26" fillId="2" borderId="12" xfId="0" applyFont="1" applyFill="1" applyBorder="1" applyAlignment="1">
      <alignment horizontal="center"/>
    </xf>
    <xf numFmtId="0" fontId="26" fillId="2" borderId="4" xfId="0" applyFont="1" applyFill="1" applyBorder="1" applyAlignment="1">
      <alignment horizontal="center"/>
    </xf>
    <xf numFmtId="0" fontId="44" fillId="0" borderId="8" xfId="0" applyFont="1" applyBorder="1"/>
    <xf numFmtId="0" fontId="26" fillId="0" borderId="9" xfId="0" applyFont="1" applyBorder="1" applyAlignment="1">
      <alignment horizontal="center"/>
    </xf>
    <xf numFmtId="0" fontId="26" fillId="0" borderId="3" xfId="0" applyFont="1" applyBorder="1" applyAlignment="1">
      <alignment horizontal="center"/>
    </xf>
    <xf numFmtId="0" fontId="26" fillId="0" borderId="12" xfId="0" applyFont="1" applyBorder="1" applyAlignment="1">
      <alignment horizontal="center"/>
    </xf>
    <xf numFmtId="0" fontId="26" fillId="0" borderId="4" xfId="0" applyFont="1" applyBorder="1" applyAlignment="1">
      <alignment horizontal="center"/>
    </xf>
    <xf numFmtId="0" fontId="43" fillId="2" borderId="8" xfId="0" applyFont="1" applyFill="1" applyBorder="1"/>
    <xf numFmtId="0" fontId="49" fillId="0" borderId="0" xfId="0" applyFont="1" applyAlignment="1">
      <alignment horizontal="centerContinuous" vertical="center" wrapText="1"/>
    </xf>
    <xf numFmtId="0" fontId="43" fillId="0" borderId="0" xfId="0" applyFont="1" applyAlignment="1">
      <alignment horizontal="centerContinuous" vertical="center" wrapText="1"/>
    </xf>
    <xf numFmtId="0" fontId="26" fillId="0" borderId="0" xfId="0" applyFont="1"/>
    <xf numFmtId="0" fontId="51" fillId="0" borderId="5" xfId="0" applyFont="1" applyBorder="1"/>
    <xf numFmtId="0" fontId="51" fillId="0" borderId="6" xfId="0" applyFont="1" applyBorder="1"/>
    <xf numFmtId="0" fontId="52" fillId="0" borderId="6" xfId="0" applyFont="1" applyBorder="1"/>
    <xf numFmtId="0" fontId="52" fillId="0" borderId="5" xfId="0" applyFont="1" applyBorder="1" applyAlignment="1">
      <alignment horizontal="center"/>
    </xf>
    <xf numFmtId="0" fontId="52" fillId="2" borderId="5" xfId="0" applyFont="1" applyFill="1" applyBorder="1" applyAlignment="1">
      <alignment horizontal="center"/>
    </xf>
    <xf numFmtId="0" fontId="52" fillId="0" borderId="14" xfId="0" applyFont="1" applyBorder="1" applyAlignment="1">
      <alignment horizontal="center"/>
    </xf>
    <xf numFmtId="0" fontId="51" fillId="0" borderId="8" xfId="0" applyFont="1" applyBorder="1"/>
    <xf numFmtId="0" fontId="51" fillId="0" borderId="0" xfId="0" applyFont="1"/>
    <xf numFmtId="0" fontId="53" fillId="0" borderId="0" xfId="0" applyFont="1"/>
    <xf numFmtId="0" fontId="51" fillId="0" borderId="8" xfId="0" applyFont="1" applyBorder="1" applyAlignment="1">
      <alignment horizontal="center"/>
    </xf>
    <xf numFmtId="0" fontId="51" fillId="2" borderId="8" xfId="0" applyFont="1" applyFill="1" applyBorder="1" applyAlignment="1">
      <alignment horizontal="center"/>
    </xf>
    <xf numFmtId="0" fontId="51" fillId="0" borderId="3" xfId="0" applyFont="1" applyBorder="1" applyAlignment="1">
      <alignment horizontal="center"/>
    </xf>
    <xf numFmtId="0" fontId="51" fillId="0" borderId="10" xfId="0" applyFont="1" applyBorder="1"/>
    <xf numFmtId="0" fontId="51" fillId="0" borderId="11" xfId="0" applyFont="1" applyBorder="1"/>
    <xf numFmtId="0" fontId="51" fillId="0" borderId="10" xfId="0" applyFont="1" applyBorder="1" applyAlignment="1">
      <alignment horizontal="center"/>
    </xf>
    <xf numFmtId="0" fontId="51" fillId="2" borderId="10" xfId="0" applyFont="1" applyFill="1" applyBorder="1" applyAlignment="1">
      <alignment horizontal="center"/>
    </xf>
    <xf numFmtId="0" fontId="51" fillId="0" borderId="4" xfId="0" applyFont="1" applyBorder="1" applyAlignment="1">
      <alignment horizontal="center"/>
    </xf>
    <xf numFmtId="0" fontId="53" fillId="0" borderId="8" xfId="0" applyFont="1" applyBorder="1"/>
    <xf numFmtId="0" fontId="52" fillId="0" borderId="0" xfId="0" applyFont="1" applyAlignment="1">
      <alignment horizontal="right"/>
    </xf>
    <xf numFmtId="0" fontId="52" fillId="0" borderId="8" xfId="0" applyFont="1" applyBorder="1" applyAlignment="1">
      <alignment horizontal="center"/>
    </xf>
    <xf numFmtId="0" fontId="52" fillId="0" borderId="3" xfId="0" applyFont="1" applyBorder="1" applyAlignment="1">
      <alignment horizontal="center"/>
    </xf>
    <xf numFmtId="0" fontId="12" fillId="0" borderId="0" xfId="0" applyFont="1"/>
    <xf numFmtId="0" fontId="52" fillId="0" borderId="10" xfId="0" applyFont="1" applyBorder="1" applyAlignment="1">
      <alignment horizontal="center"/>
    </xf>
    <xf numFmtId="0" fontId="52" fillId="0" borderId="4" xfId="0" applyFont="1" applyBorder="1" applyAlignment="1">
      <alignment horizontal="center"/>
    </xf>
    <xf numFmtId="0" fontId="53" fillId="2" borderId="8" xfId="0" applyFont="1" applyFill="1" applyBorder="1"/>
    <xf numFmtId="0" fontId="52" fillId="2" borderId="0" xfId="0" applyFont="1" applyFill="1" applyAlignment="1">
      <alignment horizontal="right"/>
    </xf>
    <xf numFmtId="0" fontId="51" fillId="2" borderId="0" xfId="0" applyFont="1" applyFill="1"/>
    <xf numFmtId="0" fontId="52" fillId="2" borderId="8" xfId="0" applyFont="1" applyFill="1" applyBorder="1" applyAlignment="1">
      <alignment horizontal="center"/>
    </xf>
    <xf numFmtId="0" fontId="51" fillId="2" borderId="8" xfId="0" applyFont="1" applyFill="1" applyBorder="1"/>
    <xf numFmtId="0" fontId="51" fillId="2" borderId="10" xfId="0" applyFont="1" applyFill="1" applyBorder="1"/>
    <xf numFmtId="0" fontId="51" fillId="2" borderId="11" xfId="0" applyFont="1" applyFill="1" applyBorder="1"/>
    <xf numFmtId="0" fontId="52" fillId="2" borderId="10" xfId="0" applyFont="1" applyFill="1" applyBorder="1" applyAlignment="1">
      <alignment horizontal="center"/>
    </xf>
    <xf numFmtId="0" fontId="0" fillId="0" borderId="8" xfId="0" applyBorder="1"/>
    <xf numFmtId="0" fontId="0" fillId="3" borderId="0" xfId="0" applyFill="1"/>
    <xf numFmtId="0" fontId="0" fillId="4" borderId="8" xfId="0" applyFill="1" applyBorder="1"/>
    <xf numFmtId="0" fontId="0" fillId="3" borderId="8" xfId="0" applyFill="1" applyBorder="1"/>
    <xf numFmtId="0" fontId="55" fillId="0" borderId="0" xfId="0" applyFont="1"/>
    <xf numFmtId="0" fontId="21" fillId="0" borderId="0" xfId="0" applyFont="1" applyAlignment="1">
      <alignment horizontal="centerContinuous"/>
    </xf>
    <xf numFmtId="0" fontId="21" fillId="0" borderId="0" xfId="0" applyFont="1" applyProtection="1">
      <protection locked="0"/>
    </xf>
    <xf numFmtId="15" fontId="21" fillId="0" borderId="0" xfId="0" applyNumberFormat="1" applyFont="1"/>
    <xf numFmtId="14" fontId="21" fillId="0" borderId="0" xfId="0" applyNumberFormat="1" applyFont="1" applyAlignment="1">
      <alignment horizontal="centerContinuous"/>
    </xf>
    <xf numFmtId="165" fontId="17" fillId="0" borderId="15" xfId="0" applyNumberFormat="1" applyFont="1" applyBorder="1" applyAlignment="1" applyProtection="1">
      <alignment vertical="center"/>
      <protection locked="0"/>
    </xf>
    <xf numFmtId="0" fontId="15" fillId="0" borderId="0" xfId="0" applyFont="1" applyAlignment="1" applyProtection="1">
      <alignment horizontal="center" vertical="center"/>
      <protection locked="0"/>
    </xf>
    <xf numFmtId="0" fontId="21" fillId="0" borderId="0" xfId="0" applyFont="1" applyAlignment="1">
      <alignment horizontal="left"/>
    </xf>
    <xf numFmtId="0" fontId="21" fillId="0" borderId="0" xfId="0" applyFont="1" applyAlignment="1">
      <alignment horizontal="center" vertical="center"/>
    </xf>
    <xf numFmtId="0" fontId="21" fillId="0" borderId="11" xfId="0" applyFont="1" applyBorder="1" applyAlignment="1" applyProtection="1">
      <alignment horizontal="center"/>
      <protection locked="0"/>
    </xf>
    <xf numFmtId="0" fontId="15" fillId="0" borderId="0" xfId="0" applyFont="1" applyAlignment="1">
      <alignment horizontal="centerContinuous" vertical="center"/>
    </xf>
    <xf numFmtId="0" fontId="18" fillId="0" borderId="16" xfId="0" applyFont="1" applyBorder="1" applyAlignment="1" applyProtection="1">
      <alignment horizontal="left"/>
      <protection locked="0"/>
    </xf>
    <xf numFmtId="0" fontId="56" fillId="0" borderId="0" xfId="0" applyFont="1" applyAlignment="1">
      <alignment vertical="center"/>
    </xf>
    <xf numFmtId="0" fontId="18" fillId="0" borderId="0" xfId="0" applyFont="1" applyAlignment="1" applyProtection="1">
      <alignment horizontal="left" vertical="center"/>
      <protection locked="0"/>
    </xf>
    <xf numFmtId="0" fontId="17" fillId="0" borderId="0" xfId="0" applyFont="1" applyAlignment="1">
      <alignment horizontal="center" vertical="center"/>
    </xf>
    <xf numFmtId="0" fontId="25" fillId="0" borderId="0" xfId="0" applyFont="1" applyAlignment="1">
      <alignment horizontal="center" vertical="center"/>
    </xf>
    <xf numFmtId="0" fontId="21" fillId="0" borderId="0" xfId="0" applyFont="1" applyAlignment="1" applyProtection="1">
      <alignment horizontal="center" vertical="center"/>
      <protection locked="0"/>
    </xf>
    <xf numFmtId="0" fontId="17" fillId="0" borderId="0" xfId="0" applyFont="1" applyAlignment="1">
      <alignment horizontal="right" vertical="center"/>
    </xf>
    <xf numFmtId="0" fontId="18" fillId="0" borderId="19" xfId="0" applyFont="1" applyBorder="1" applyAlignment="1">
      <alignment horizontal="center" vertical="center" wrapText="1"/>
    </xf>
    <xf numFmtId="0" fontId="18" fillId="0" borderId="20" xfId="0" applyFont="1" applyBorder="1" applyAlignment="1">
      <alignment horizontal="center" vertical="center" wrapText="1"/>
    </xf>
    <xf numFmtId="0" fontId="18" fillId="0" borderId="0" xfId="0" applyFont="1" applyAlignment="1">
      <alignment horizontal="center" vertical="center" wrapText="1"/>
    </xf>
    <xf numFmtId="0" fontId="41" fillId="0" borderId="0" xfId="0" applyFont="1" applyAlignment="1">
      <alignment horizontal="left"/>
    </xf>
    <xf numFmtId="0" fontId="18" fillId="0" borderId="23" xfId="0" applyFont="1" applyBorder="1" applyAlignment="1" applyProtection="1">
      <alignment horizontal="center" vertical="center" wrapText="1"/>
      <protection locked="0"/>
    </xf>
    <xf numFmtId="0" fontId="18" fillId="0" borderId="24" xfId="0" applyFont="1" applyBorder="1" applyAlignment="1" applyProtection="1">
      <alignment horizontal="center" vertical="center" wrapText="1"/>
      <protection locked="0"/>
    </xf>
    <xf numFmtId="0" fontId="18" fillId="0" borderId="0" xfId="0" applyFont="1" applyAlignment="1">
      <alignment horizontal="left"/>
    </xf>
    <xf numFmtId="0" fontId="18" fillId="0" borderId="25" xfId="0" applyFont="1" applyBorder="1" applyAlignment="1" applyProtection="1">
      <alignment horizontal="center" vertical="center" wrapText="1"/>
      <protection locked="0"/>
    </xf>
    <xf numFmtId="0" fontId="18" fillId="0" borderId="26" xfId="0" applyFont="1" applyBorder="1" applyAlignment="1" applyProtection="1">
      <alignment horizontal="center" vertical="center" wrapText="1"/>
      <protection locked="0"/>
    </xf>
    <xf numFmtId="0" fontId="39" fillId="0" borderId="0" xfId="0" applyFont="1" applyAlignment="1">
      <alignment horizontal="left"/>
    </xf>
    <xf numFmtId="0" fontId="35" fillId="0" borderId="0" xfId="0" applyFont="1" applyAlignment="1">
      <alignment horizontal="left" vertical="center"/>
    </xf>
    <xf numFmtId="0" fontId="21" fillId="0" borderId="0" xfId="0" applyFont="1" applyAlignment="1">
      <alignment horizontal="center" vertical="center" wrapText="1"/>
    </xf>
    <xf numFmtId="0" fontId="18" fillId="0" borderId="0" xfId="0" applyFont="1"/>
    <xf numFmtId="0" fontId="15" fillId="0" borderId="0" xfId="0" applyFont="1" applyAlignment="1">
      <alignment vertical="center" wrapText="1"/>
    </xf>
    <xf numFmtId="0" fontId="21" fillId="0" borderId="0" xfId="0" applyFont="1" applyAlignment="1" applyProtection="1">
      <alignment horizontal="center"/>
      <protection locked="0"/>
    </xf>
    <xf numFmtId="0" fontId="21" fillId="0" borderId="35" xfId="0" applyFont="1" applyBorder="1" applyProtection="1">
      <protection locked="0"/>
    </xf>
    <xf numFmtId="0" fontId="21" fillId="0" borderId="13" xfId="0" applyFont="1" applyBorder="1" applyProtection="1">
      <protection locked="0"/>
    </xf>
    <xf numFmtId="0" fontId="21" fillId="0" borderId="12" xfId="0" applyFont="1" applyBorder="1" applyProtection="1">
      <protection locked="0"/>
    </xf>
    <xf numFmtId="0" fontId="21" fillId="0" borderId="16" xfId="0" applyFont="1" applyBorder="1" applyProtection="1">
      <protection locked="0"/>
    </xf>
    <xf numFmtId="0" fontId="31" fillId="0" borderId="48" xfId="0" applyFont="1" applyBorder="1" applyAlignment="1">
      <alignment horizontal="left"/>
    </xf>
    <xf numFmtId="0" fontId="31" fillId="0" borderId="49" xfId="0" applyFont="1" applyBorder="1" applyAlignment="1">
      <alignment horizontal="left"/>
    </xf>
    <xf numFmtId="0" fontId="31" fillId="0" borderId="49" xfId="0" applyFont="1" applyBorder="1"/>
    <xf numFmtId="0" fontId="31" fillId="0" borderId="49" xfId="0" applyFont="1" applyBorder="1" applyAlignment="1">
      <alignment horizontal="center"/>
    </xf>
    <xf numFmtId="0" fontId="31" fillId="0" borderId="50" xfId="0" applyFont="1" applyBorder="1"/>
    <xf numFmtId="0" fontId="15" fillId="0" borderId="1" xfId="0" applyFont="1" applyBorder="1" applyAlignment="1">
      <alignment horizontal="left" vertical="center"/>
    </xf>
    <xf numFmtId="0" fontId="15" fillId="0" borderId="0" xfId="0" applyFont="1" applyAlignment="1">
      <alignment horizontal="right" vertical="center"/>
    </xf>
    <xf numFmtId="0" fontId="15" fillId="0" borderId="1" xfId="0" applyFont="1" applyBorder="1"/>
    <xf numFmtId="0" fontId="15" fillId="0" borderId="0" xfId="0" applyFont="1" applyAlignment="1">
      <alignment horizontal="right"/>
    </xf>
    <xf numFmtId="49" fontId="15" fillId="6" borderId="27" xfId="0" applyNumberFormat="1" applyFont="1" applyFill="1" applyBorder="1" applyAlignment="1" applyProtection="1">
      <alignment horizontal="left" vertical="center"/>
      <protection locked="0"/>
    </xf>
    <xf numFmtId="0" fontId="31" fillId="0" borderId="35" xfId="0" applyFont="1" applyBorder="1"/>
    <xf numFmtId="0" fontId="31" fillId="0" borderId="1" xfId="0" applyFont="1" applyBorder="1"/>
    <xf numFmtId="0" fontId="31" fillId="0" borderId="0" xfId="0" applyFont="1" applyAlignment="1">
      <alignment horizontal="center"/>
    </xf>
    <xf numFmtId="0" fontId="15" fillId="0" borderId="0" xfId="0" applyFont="1" applyAlignment="1">
      <alignment horizontal="center"/>
    </xf>
    <xf numFmtId="0" fontId="31" fillId="0" borderId="0" xfId="0" applyFont="1" applyAlignment="1">
      <alignment horizontal="center" vertical="center" wrapText="1"/>
    </xf>
    <xf numFmtId="0" fontId="31" fillId="0" borderId="32" xfId="0" applyFont="1" applyBorder="1" applyAlignment="1">
      <alignment horizontal="center" vertical="center" wrapText="1"/>
    </xf>
    <xf numFmtId="0" fontId="31" fillId="0" borderId="51" xfId="0" applyFont="1" applyBorder="1" applyAlignment="1">
      <alignment horizontal="center" vertical="center" wrapText="1"/>
    </xf>
    <xf numFmtId="0" fontId="31" fillId="0" borderId="52" xfId="0" applyFont="1" applyBorder="1" applyAlignment="1">
      <alignment horizontal="center" vertical="center" wrapText="1"/>
    </xf>
    <xf numFmtId="0" fontId="31" fillId="0" borderId="33" xfId="0" applyFont="1" applyBorder="1" applyAlignment="1">
      <alignment horizontal="center" vertical="center" wrapText="1"/>
    </xf>
    <xf numFmtId="0" fontId="59" fillId="0" borderId="0" xfId="0" applyFont="1" applyAlignment="1">
      <alignment vertical="center"/>
    </xf>
    <xf numFmtId="0" fontId="59" fillId="7" borderId="0" xfId="0" applyFont="1" applyFill="1" applyAlignment="1">
      <alignment vertical="center"/>
    </xf>
    <xf numFmtId="165" fontId="31" fillId="0" borderId="56" xfId="0" applyNumberFormat="1" applyFont="1" applyBorder="1" applyAlignment="1" applyProtection="1">
      <alignment horizontal="center" vertical="center"/>
      <protection locked="0"/>
    </xf>
    <xf numFmtId="0" fontId="31" fillId="0" borderId="57" xfId="0" applyFont="1" applyBorder="1" applyAlignment="1" applyProtection="1">
      <alignment horizontal="center" vertical="center"/>
      <protection locked="0"/>
    </xf>
    <xf numFmtId="0" fontId="31" fillId="0" borderId="40" xfId="0" applyFont="1" applyBorder="1" applyAlignment="1" applyProtection="1">
      <alignment horizontal="center" vertical="center"/>
      <protection locked="0"/>
    </xf>
    <xf numFmtId="0" fontId="31" fillId="0" borderId="46" xfId="0" applyFont="1" applyBorder="1" applyAlignment="1" applyProtection="1">
      <alignment horizontal="center" vertical="center"/>
      <protection locked="0"/>
    </xf>
    <xf numFmtId="0" fontId="31" fillId="0" borderId="58" xfId="0" applyFont="1" applyBorder="1" applyAlignment="1" applyProtection="1">
      <alignment horizontal="center" vertical="center"/>
      <protection locked="0"/>
    </xf>
    <xf numFmtId="0" fontId="31" fillId="0" borderId="59" xfId="0" applyFont="1" applyBorder="1" applyAlignment="1" applyProtection="1">
      <alignment horizontal="center" vertical="center"/>
      <protection locked="0"/>
    </xf>
    <xf numFmtId="0" fontId="31" fillId="0" borderId="16" xfId="0" applyFont="1" applyBorder="1" applyAlignment="1" applyProtection="1">
      <alignment horizontal="center" vertical="center"/>
      <protection locked="0"/>
    </xf>
    <xf numFmtId="0" fontId="31" fillId="0" borderId="41" xfId="0" applyFont="1" applyBorder="1" applyAlignment="1" applyProtection="1">
      <alignment vertical="center"/>
      <protection locked="0"/>
    </xf>
    <xf numFmtId="165" fontId="31" fillId="0" borderId="60" xfId="0" applyNumberFormat="1" applyFont="1" applyBorder="1" applyAlignment="1" applyProtection="1">
      <alignment horizontal="center" vertical="center"/>
      <protection locked="0"/>
    </xf>
    <xf numFmtId="0" fontId="31" fillId="0" borderId="23" xfId="0" applyFont="1" applyBorder="1" applyAlignment="1" applyProtection="1">
      <alignment horizontal="center" vertical="center"/>
      <protection locked="0"/>
    </xf>
    <xf numFmtId="0" fontId="31" fillId="0" borderId="42" xfId="0" applyFont="1" applyBorder="1" applyAlignment="1" applyProtection="1">
      <alignment horizontal="center" vertical="center"/>
      <protection locked="0"/>
    </xf>
    <xf numFmtId="0" fontId="31" fillId="0" borderId="34" xfId="0" applyFont="1" applyBorder="1" applyAlignment="1" applyProtection="1">
      <alignment horizontal="center" vertical="center"/>
      <protection locked="0"/>
    </xf>
    <xf numFmtId="0" fontId="31" fillId="0" borderId="61" xfId="0" applyFont="1" applyBorder="1" applyAlignment="1" applyProtection="1">
      <alignment horizontal="center" vertical="center"/>
      <protection locked="0"/>
    </xf>
    <xf numFmtId="0" fontId="31" fillId="0" borderId="62" xfId="0" applyFont="1" applyBorder="1" applyAlignment="1" applyProtection="1">
      <alignment horizontal="center" vertical="center"/>
      <protection locked="0"/>
    </xf>
    <xf numFmtId="0" fontId="31" fillId="0" borderId="43" xfId="0" applyFont="1" applyBorder="1" applyAlignment="1" applyProtection="1">
      <alignment vertical="center"/>
      <protection locked="0"/>
    </xf>
    <xf numFmtId="165" fontId="31" fillId="0" borderId="60" xfId="0" applyNumberFormat="1" applyFont="1" applyBorder="1" applyAlignment="1" applyProtection="1">
      <alignment horizontal="center"/>
      <protection locked="0"/>
    </xf>
    <xf numFmtId="0" fontId="31" fillId="0" borderId="42" xfId="0" applyFont="1" applyBorder="1" applyAlignment="1" applyProtection="1">
      <alignment horizontal="center"/>
      <protection locked="0"/>
    </xf>
    <xf numFmtId="165" fontId="31" fillId="0" borderId="36" xfId="0" applyNumberFormat="1" applyFont="1" applyBorder="1" applyAlignment="1" applyProtection="1">
      <alignment horizontal="center"/>
      <protection locked="0"/>
    </xf>
    <xf numFmtId="0" fontId="31" fillId="0" borderId="63" xfId="0" applyFont="1" applyBorder="1" applyAlignment="1" applyProtection="1">
      <alignment horizontal="center" vertical="center"/>
      <protection locked="0"/>
    </xf>
    <xf numFmtId="0" fontId="31" fillId="0" borderId="64" xfId="0" applyFont="1" applyBorder="1" applyAlignment="1" applyProtection="1">
      <alignment horizontal="center" vertical="center"/>
      <protection locked="0"/>
    </xf>
    <xf numFmtId="0" fontId="31" fillId="0" borderId="38" xfId="0" applyFont="1" applyBorder="1" applyAlignment="1" applyProtection="1">
      <alignment horizontal="center" vertical="center"/>
      <protection locked="0"/>
    </xf>
    <xf numFmtId="0" fontId="31" fillId="0" borderId="65" xfId="0" applyFont="1" applyBorder="1" applyAlignment="1" applyProtection="1">
      <alignment horizontal="center" vertical="center"/>
      <protection locked="0"/>
    </xf>
    <xf numFmtId="0" fontId="31" fillId="0" borderId="66" xfId="0" applyFont="1" applyBorder="1" applyAlignment="1" applyProtection="1">
      <alignment vertical="center"/>
      <protection locked="0"/>
    </xf>
    <xf numFmtId="0" fontId="31" fillId="0" borderId="0" xfId="0" applyFont="1" applyAlignment="1">
      <alignment horizontal="center" vertical="center"/>
    </xf>
    <xf numFmtId="0" fontId="27" fillId="0" borderId="0" xfId="0" applyFont="1" applyAlignment="1" applyProtection="1">
      <alignment vertical="center"/>
      <protection locked="0"/>
    </xf>
    <xf numFmtId="0" fontId="21" fillId="0" borderId="0" xfId="0" applyFont="1" applyAlignment="1" applyProtection="1">
      <alignment horizontal="left" vertical="center"/>
      <protection locked="0"/>
    </xf>
    <xf numFmtId="0" fontId="21" fillId="0" borderId="0" xfId="0" applyFont="1" applyAlignment="1" applyProtection="1">
      <alignment horizontal="center" vertical="center" wrapText="1"/>
      <protection locked="0"/>
    </xf>
    <xf numFmtId="0" fontId="21" fillId="0" borderId="0" xfId="0" applyFont="1" applyAlignment="1" applyProtection="1">
      <alignment horizontal="left"/>
      <protection locked="0"/>
    </xf>
    <xf numFmtId="0" fontId="21" fillId="0" borderId="67" xfId="0" applyFont="1" applyBorder="1" applyAlignment="1">
      <alignment horizontal="center" vertical="center" wrapText="1"/>
    </xf>
    <xf numFmtId="0" fontId="21" fillId="0" borderId="68" xfId="0" applyFont="1" applyBorder="1" applyAlignment="1">
      <alignment horizontal="center" vertical="center" wrapText="1"/>
    </xf>
    <xf numFmtId="0" fontId="21" fillId="0" borderId="19" xfId="0" applyFont="1" applyBorder="1" applyAlignment="1">
      <alignment horizontal="center" vertical="center" wrapText="1"/>
    </xf>
    <xf numFmtId="0" fontId="21" fillId="0" borderId="20" xfId="0" applyFont="1" applyBorder="1" applyAlignment="1">
      <alignment horizontal="center" vertical="center" wrapText="1"/>
    </xf>
    <xf numFmtId="14" fontId="23" fillId="0" borderId="69" xfId="0" applyNumberFormat="1" applyFont="1" applyBorder="1" applyAlignment="1" applyProtection="1">
      <alignment horizontal="left" vertical="top" wrapText="1"/>
      <protection locked="0"/>
    </xf>
    <xf numFmtId="14" fontId="23" fillId="0" borderId="3" xfId="0" applyNumberFormat="1" applyFont="1" applyBorder="1" applyAlignment="1" applyProtection="1">
      <alignment horizontal="left" vertical="top" wrapText="1"/>
      <protection locked="0"/>
    </xf>
    <xf numFmtId="14" fontId="23" fillId="0" borderId="70" xfId="0" applyNumberFormat="1" applyFont="1" applyBorder="1" applyAlignment="1" applyProtection="1">
      <alignment horizontal="left" vertical="top" wrapText="1"/>
      <protection locked="0"/>
    </xf>
    <xf numFmtId="14" fontId="21" fillId="0" borderId="9" xfId="0" applyNumberFormat="1" applyFont="1" applyBorder="1" applyAlignment="1" applyProtection="1">
      <alignment horizontal="center" vertical="center" wrapText="1"/>
      <protection locked="0"/>
    </xf>
    <xf numFmtId="14" fontId="23" fillId="0" borderId="54" xfId="0" applyNumberFormat="1" applyFont="1" applyBorder="1" applyAlignment="1" applyProtection="1">
      <alignment horizontal="left" vertical="top" wrapText="1"/>
      <protection locked="0"/>
    </xf>
    <xf numFmtId="14" fontId="23" fillId="0" borderId="4" xfId="0" applyNumberFormat="1" applyFont="1" applyBorder="1" applyAlignment="1" applyProtection="1">
      <alignment horizontal="left" vertical="top" wrapText="1"/>
      <protection locked="0"/>
    </xf>
    <xf numFmtId="14" fontId="23" fillId="0" borderId="44" xfId="0" applyNumberFormat="1" applyFont="1" applyBorder="1" applyAlignment="1" applyProtection="1">
      <alignment horizontal="left" vertical="top" wrapText="1"/>
      <protection locked="0"/>
    </xf>
    <xf numFmtId="14" fontId="21" fillId="0" borderId="12" xfId="0" applyNumberFormat="1" applyFont="1" applyBorder="1" applyAlignment="1" applyProtection="1">
      <alignment horizontal="center" vertical="center" wrapText="1"/>
      <protection locked="0"/>
    </xf>
    <xf numFmtId="14" fontId="23" fillId="0" borderId="71" xfId="0" applyNumberFormat="1" applyFont="1" applyBorder="1" applyAlignment="1" applyProtection="1">
      <alignment horizontal="left" vertical="top" wrapText="1"/>
      <protection locked="0"/>
    </xf>
    <xf numFmtId="14" fontId="23" fillId="0" borderId="14" xfId="0" applyNumberFormat="1" applyFont="1" applyBorder="1" applyAlignment="1" applyProtection="1">
      <alignment horizontal="left" vertical="top" wrapText="1"/>
      <protection locked="0"/>
    </xf>
    <xf numFmtId="14" fontId="23" fillId="0" borderId="47" xfId="0" applyNumberFormat="1" applyFont="1" applyBorder="1" applyAlignment="1" applyProtection="1">
      <alignment horizontal="left" vertical="top" wrapText="1"/>
      <protection locked="0"/>
    </xf>
    <xf numFmtId="14" fontId="21" fillId="0" borderId="13" xfId="0" applyNumberFormat="1" applyFont="1" applyBorder="1" applyAlignment="1" applyProtection="1">
      <alignment horizontal="center" vertical="center" wrapText="1"/>
      <protection locked="0"/>
    </xf>
    <xf numFmtId="14" fontId="23" fillId="0" borderId="63" xfId="0" applyNumberFormat="1" applyFont="1" applyBorder="1" applyAlignment="1" applyProtection="1">
      <alignment horizontal="left" vertical="top" wrapText="1"/>
      <protection locked="0"/>
    </xf>
    <xf numFmtId="14" fontId="23" fillId="0" borderId="64" xfId="0" applyNumberFormat="1" applyFont="1" applyBorder="1" applyAlignment="1" applyProtection="1">
      <alignment horizontal="left" vertical="top" wrapText="1"/>
      <protection locked="0"/>
    </xf>
    <xf numFmtId="14" fontId="23" fillId="0" borderId="66" xfId="0" applyNumberFormat="1" applyFont="1" applyBorder="1" applyAlignment="1" applyProtection="1">
      <alignment horizontal="left" vertical="top" wrapText="1"/>
      <protection locked="0"/>
    </xf>
    <xf numFmtId="14" fontId="21" fillId="0" borderId="65" xfId="0" applyNumberFormat="1" applyFont="1" applyBorder="1" applyAlignment="1" applyProtection="1">
      <alignment horizontal="center" vertical="center" wrapText="1"/>
      <protection locked="0"/>
    </xf>
    <xf numFmtId="0" fontId="21" fillId="0" borderId="0" xfId="0" applyFont="1" applyAlignment="1">
      <alignment horizontal="center" wrapText="1"/>
    </xf>
    <xf numFmtId="14" fontId="60" fillId="0" borderId="0" xfId="0" applyNumberFormat="1" applyFont="1" applyAlignment="1">
      <alignment horizontal="left" wrapText="1"/>
    </xf>
    <xf numFmtId="14" fontId="21" fillId="0" borderId="0" xfId="0" applyNumberFormat="1" applyFont="1" applyAlignment="1">
      <alignment horizontal="center" wrapText="1"/>
    </xf>
    <xf numFmtId="0" fontId="21" fillId="0" borderId="0" xfId="0" applyFont="1" applyAlignment="1">
      <alignment wrapText="1"/>
    </xf>
    <xf numFmtId="14" fontId="60" fillId="0" borderId="0" xfId="0" applyNumberFormat="1" applyFont="1" applyAlignment="1">
      <alignment horizontal="left"/>
    </xf>
    <xf numFmtId="14" fontId="21" fillId="0" borderId="0" xfId="0" applyNumberFormat="1" applyFont="1" applyAlignment="1">
      <alignment horizontal="center"/>
    </xf>
    <xf numFmtId="0" fontId="61" fillId="0" borderId="0" xfId="0" applyFont="1" applyAlignment="1">
      <alignment horizontal="left" vertical="center"/>
    </xf>
    <xf numFmtId="0" fontId="61" fillId="0" borderId="0" xfId="0" applyFont="1" applyAlignment="1">
      <alignment vertical="center"/>
    </xf>
    <xf numFmtId="0" fontId="21" fillId="0" borderId="0" xfId="0" applyFont="1" applyAlignment="1">
      <alignment horizontal="left" vertical="top"/>
    </xf>
    <xf numFmtId="0" fontId="18" fillId="0" borderId="0" xfId="0" applyFont="1" applyAlignment="1" applyProtection="1">
      <alignment vertical="center"/>
      <protection locked="0"/>
    </xf>
    <xf numFmtId="0" fontId="28" fillId="0" borderId="0" xfId="0" applyFont="1" applyAlignment="1">
      <alignment vertical="center"/>
    </xf>
    <xf numFmtId="0" fontId="0" fillId="0" borderId="5" xfId="0" applyBorder="1"/>
    <xf numFmtId="0" fontId="0" fillId="0" borderId="10" xfId="0" applyBorder="1"/>
    <xf numFmtId="0" fontId="18" fillId="0" borderId="0" xfId="0" applyFont="1" applyAlignment="1">
      <alignment horizontal="center" vertical="center"/>
    </xf>
    <xf numFmtId="0" fontId="21" fillId="0" borderId="0" xfId="0" applyFont="1" applyAlignment="1">
      <alignment horizontal="right" vertical="center" wrapText="1"/>
    </xf>
    <xf numFmtId="0" fontId="18" fillId="0" borderId="2" xfId="0" applyFont="1" applyBorder="1" applyAlignment="1">
      <alignment horizontal="center" vertical="center" wrapText="1"/>
    </xf>
    <xf numFmtId="0" fontId="18" fillId="0" borderId="2" xfId="0" applyFont="1" applyBorder="1" applyAlignment="1" applyProtection="1">
      <alignment horizontal="left" vertical="center" wrapText="1"/>
      <protection locked="0"/>
    </xf>
    <xf numFmtId="0" fontId="18" fillId="0" borderId="2" xfId="0" applyFont="1" applyBorder="1" applyAlignment="1" applyProtection="1">
      <alignment horizontal="center" vertical="center" wrapText="1"/>
      <protection locked="0"/>
    </xf>
    <xf numFmtId="0" fontId="18" fillId="0" borderId="2" xfId="0" applyFont="1" applyBorder="1" applyAlignment="1" applyProtection="1">
      <alignment vertical="center" wrapText="1"/>
      <protection locked="0"/>
    </xf>
    <xf numFmtId="0" fontId="18" fillId="0" borderId="2" xfId="0" applyFont="1" applyBorder="1" applyAlignment="1" applyProtection="1">
      <alignment horizontal="left" vertical="center"/>
      <protection locked="0"/>
    </xf>
    <xf numFmtId="0" fontId="18" fillId="0" borderId="2" xfId="0" applyFont="1" applyBorder="1" applyAlignment="1" applyProtection="1">
      <alignment horizontal="center" vertical="center"/>
      <protection locked="0"/>
    </xf>
    <xf numFmtId="0" fontId="18" fillId="0" borderId="2" xfId="0" applyFont="1" applyBorder="1" applyAlignment="1" applyProtection="1">
      <alignment vertical="center"/>
      <protection locked="0"/>
    </xf>
    <xf numFmtId="0" fontId="21" fillId="0" borderId="11" xfId="0" applyFont="1" applyBorder="1"/>
    <xf numFmtId="0" fontId="0" fillId="0" borderId="0" xfId="0" applyAlignment="1">
      <alignment horizontal="center"/>
    </xf>
    <xf numFmtId="0" fontId="0" fillId="0" borderId="9" xfId="0" applyBorder="1"/>
    <xf numFmtId="0" fontId="0" fillId="0" borderId="2" xfId="0" applyBorder="1" applyProtection="1">
      <protection locked="0"/>
    </xf>
    <xf numFmtId="0" fontId="28" fillId="0" borderId="8" xfId="0" applyFont="1" applyBorder="1" applyAlignment="1">
      <alignment horizontal="left"/>
    </xf>
    <xf numFmtId="0" fontId="28" fillId="0" borderId="9" xfId="0" applyFont="1" applyBorder="1" applyAlignment="1">
      <alignment horizontal="left"/>
    </xf>
    <xf numFmtId="0" fontId="0" fillId="0" borderId="9" xfId="0" applyBorder="1" applyAlignment="1">
      <alignment horizontal="left"/>
    </xf>
    <xf numFmtId="0" fontId="0" fillId="0" borderId="9" xfId="0" applyBorder="1" applyProtection="1">
      <protection locked="0"/>
    </xf>
    <xf numFmtId="0" fontId="0" fillId="0" borderId="11" xfId="0" applyBorder="1"/>
    <xf numFmtId="0" fontId="0" fillId="0" borderId="11" xfId="0" applyBorder="1" applyAlignment="1">
      <alignment horizontal="center"/>
    </xf>
    <xf numFmtId="0" fontId="21" fillId="0" borderId="0" xfId="0" applyFont="1" applyAlignment="1">
      <alignment horizontal="right" vertical="center"/>
    </xf>
    <xf numFmtId="0" fontId="0" fillId="0" borderId="28" xfId="0" applyBorder="1"/>
    <xf numFmtId="0" fontId="0" fillId="0" borderId="29" xfId="0" applyBorder="1"/>
    <xf numFmtId="0" fontId="0" fillId="0" borderId="29" xfId="0" applyBorder="1" applyAlignment="1">
      <alignment horizontal="center"/>
    </xf>
    <xf numFmtId="0" fontId="15" fillId="0" borderId="29" xfId="0" applyFont="1" applyBorder="1"/>
    <xf numFmtId="0" fontId="0" fillId="0" borderId="30" xfId="0" applyBorder="1"/>
    <xf numFmtId="0" fontId="0" fillId="0" borderId="1" xfId="0" applyBorder="1"/>
    <xf numFmtId="0" fontId="0" fillId="0" borderId="35" xfId="0" applyBorder="1"/>
    <xf numFmtId="0" fontId="28" fillId="0" borderId="2" xfId="0" applyFont="1" applyBorder="1" applyAlignment="1">
      <alignment horizontal="center"/>
    </xf>
    <xf numFmtId="0" fontId="0" fillId="0" borderId="15" xfId="0" applyBorder="1" applyProtection="1">
      <protection locked="0"/>
    </xf>
    <xf numFmtId="0" fontId="0" fillId="0" borderId="74" xfId="0" applyBorder="1" applyProtection="1">
      <protection locked="0"/>
    </xf>
    <xf numFmtId="0" fontId="66" fillId="0" borderId="0" xfId="0" applyFont="1" applyAlignment="1">
      <alignment horizontal="left"/>
    </xf>
    <xf numFmtId="0" fontId="67" fillId="0" borderId="0" xfId="0" applyFont="1" applyAlignment="1">
      <alignment horizontal="left"/>
    </xf>
    <xf numFmtId="0" fontId="67" fillId="0" borderId="9" xfId="0" applyFont="1" applyBorder="1" applyAlignment="1">
      <alignment horizontal="left"/>
    </xf>
    <xf numFmtId="0" fontId="21" fillId="0" borderId="2" xfId="0" applyFont="1" applyBorder="1" applyAlignment="1" applyProtection="1">
      <alignment horizontal="center"/>
      <protection locked="0"/>
    </xf>
    <xf numFmtId="0" fontId="67" fillId="0" borderId="0" xfId="0" applyFont="1" applyAlignment="1">
      <alignment horizontal="center"/>
    </xf>
    <xf numFmtId="0" fontId="67" fillId="0" borderId="9" xfId="0" applyFont="1" applyBorder="1" applyAlignment="1">
      <alignment horizontal="center"/>
    </xf>
    <xf numFmtId="0" fontId="67" fillId="0" borderId="0" xfId="0" applyFont="1" applyAlignment="1">
      <alignment horizontal="center" vertical="center" wrapText="1"/>
    </xf>
    <xf numFmtId="0" fontId="27" fillId="0" borderId="0" xfId="0" applyFont="1" applyAlignment="1">
      <alignment horizontal="left"/>
    </xf>
    <xf numFmtId="0" fontId="0" fillId="0" borderId="12" xfId="0" applyBorder="1"/>
    <xf numFmtId="0" fontId="0" fillId="0" borderId="11" xfId="0" applyBorder="1" applyProtection="1">
      <protection locked="0"/>
    </xf>
    <xf numFmtId="0" fontId="0" fillId="0" borderId="12" xfId="0" applyBorder="1" applyProtection="1">
      <protection locked="0"/>
    </xf>
    <xf numFmtId="0" fontId="0" fillId="0" borderId="6" xfId="0" applyBorder="1"/>
    <xf numFmtId="0" fontId="0" fillId="0" borderId="13" xfId="0" applyBorder="1"/>
    <xf numFmtId="0" fontId="0" fillId="0" borderId="11" xfId="0" applyBorder="1" applyAlignment="1">
      <alignment horizontal="left"/>
    </xf>
    <xf numFmtId="0" fontId="0" fillId="0" borderId="36" xfId="0" applyBorder="1"/>
    <xf numFmtId="0" fontId="0" fillId="0" borderId="37" xfId="0" applyBorder="1"/>
    <xf numFmtId="0" fontId="0" fillId="0" borderId="37" xfId="0" applyBorder="1" applyAlignment="1">
      <alignment horizontal="center"/>
    </xf>
    <xf numFmtId="0" fontId="0" fillId="0" borderId="38" xfId="0" applyBorder="1"/>
    <xf numFmtId="0" fontId="25" fillId="0" borderId="0" xfId="0" applyFont="1" applyAlignment="1">
      <alignment vertical="center"/>
    </xf>
    <xf numFmtId="0" fontId="68" fillId="0" borderId="0" xfId="0" applyFont="1" applyAlignment="1">
      <alignment vertical="center"/>
    </xf>
    <xf numFmtId="0" fontId="11" fillId="0" borderId="0" xfId="0" applyFont="1" applyAlignment="1">
      <alignment vertical="center"/>
    </xf>
    <xf numFmtId="0" fontId="11" fillId="0" borderId="2" xfId="0" applyFont="1" applyBorder="1" applyAlignment="1">
      <alignment horizontal="center" textRotation="90" wrapText="1"/>
    </xf>
    <xf numFmtId="0" fontId="11" fillId="0" borderId="2" xfId="0" applyFont="1" applyBorder="1" applyAlignment="1">
      <alignment horizontal="center" vertical="center" wrapText="1"/>
    </xf>
    <xf numFmtId="0" fontId="11" fillId="0" borderId="5" xfId="0" applyFont="1" applyBorder="1" applyAlignment="1">
      <alignment vertical="center"/>
    </xf>
    <xf numFmtId="0" fontId="11" fillId="0" borderId="6" xfId="0" applyFont="1" applyBorder="1" applyAlignment="1">
      <alignment vertical="center"/>
    </xf>
    <xf numFmtId="0" fontId="11" fillId="0" borderId="13" xfId="0" applyFont="1" applyBorder="1" applyAlignment="1">
      <alignment vertical="center"/>
    </xf>
    <xf numFmtId="0" fontId="11" fillId="0" borderId="2" xfId="0" applyFont="1" applyBorder="1" applyAlignment="1" applyProtection="1">
      <alignment vertical="center"/>
      <protection locked="0"/>
    </xf>
    <xf numFmtId="0" fontId="11" fillId="0" borderId="17" xfId="0" applyFont="1" applyBorder="1" applyAlignment="1">
      <alignment vertical="center"/>
    </xf>
    <xf numFmtId="0" fontId="11" fillId="0" borderId="18" xfId="0" applyFont="1" applyBorder="1" applyAlignment="1">
      <alignment vertical="center"/>
    </xf>
    <xf numFmtId="0" fontId="11" fillId="0" borderId="7" xfId="0" applyFont="1" applyBorder="1" applyAlignment="1">
      <alignment vertical="center"/>
    </xf>
    <xf numFmtId="0" fontId="11" fillId="0" borderId="8" xfId="0" applyFont="1" applyBorder="1" applyAlignment="1">
      <alignment vertical="center"/>
    </xf>
    <xf numFmtId="0" fontId="11" fillId="0" borderId="9" xfId="0" applyFont="1" applyBorder="1" applyAlignment="1">
      <alignment vertical="center"/>
    </xf>
    <xf numFmtId="0" fontId="11" fillId="0" borderId="14" xfId="0" applyFont="1" applyBorder="1" applyAlignment="1">
      <alignment horizontal="center" vertical="center" wrapText="1"/>
    </xf>
    <xf numFmtId="0" fontId="11" fillId="0" borderId="14" xfId="0" applyFont="1" applyBorder="1" applyAlignment="1">
      <alignment horizontal="center" textRotation="90" wrapText="1"/>
    </xf>
    <xf numFmtId="0" fontId="11" fillId="0" borderId="15" xfId="0" applyFont="1" applyBorder="1" applyProtection="1">
      <protection locked="0"/>
    </xf>
    <xf numFmtId="0" fontId="11" fillId="0" borderId="0" xfId="0" applyFont="1" applyProtection="1">
      <protection locked="0"/>
    </xf>
    <xf numFmtId="0" fontId="25" fillId="0" borderId="0" xfId="0" applyFont="1" applyAlignment="1">
      <alignment horizontal="right" vertical="center"/>
    </xf>
    <xf numFmtId="0" fontId="63" fillId="0" borderId="0" xfId="0" applyFont="1" applyAlignment="1">
      <alignment horizontal="left" vertical="center"/>
    </xf>
    <xf numFmtId="0" fontId="11" fillId="0" borderId="17" xfId="0" applyFont="1" applyBorder="1"/>
    <xf numFmtId="0" fontId="11" fillId="0" borderId="18" xfId="0" applyFont="1" applyBorder="1"/>
    <xf numFmtId="0" fontId="11" fillId="0" borderId="7" xfId="0" applyFont="1" applyBorder="1"/>
    <xf numFmtId="0" fontId="11" fillId="0" borderId="0" xfId="0" applyFont="1" applyAlignment="1">
      <alignment horizontal="left" vertical="center" wrapText="1"/>
    </xf>
    <xf numFmtId="0" fontId="11" fillId="0" borderId="0" xfId="0" applyFont="1" applyAlignment="1" applyProtection="1">
      <alignment vertical="center"/>
      <protection locked="0"/>
    </xf>
    <xf numFmtId="0" fontId="11" fillId="0" borderId="2" xfId="0" applyFont="1" applyBorder="1" applyAlignment="1">
      <alignment vertical="center"/>
    </xf>
    <xf numFmtId="0" fontId="34" fillId="0" borderId="0" xfId="0" applyFont="1" applyAlignment="1">
      <alignment horizontal="center" vertical="center" wrapText="1"/>
    </xf>
    <xf numFmtId="0" fontId="35" fillId="0" borderId="0" xfId="0" applyFont="1" applyAlignment="1">
      <alignment horizontal="center" vertical="center" wrapText="1"/>
    </xf>
    <xf numFmtId="0" fontId="17" fillId="0" borderId="0" xfId="0" applyFont="1"/>
    <xf numFmtId="0" fontId="0" fillId="0" borderId="6" xfId="0" applyBorder="1" applyAlignment="1">
      <alignment horizontal="center"/>
    </xf>
    <xf numFmtId="0" fontId="37" fillId="0" borderId="0" xfId="0" applyFont="1"/>
    <xf numFmtId="0" fontId="37" fillId="0" borderId="9" xfId="0" applyFont="1" applyBorder="1"/>
    <xf numFmtId="0" fontId="21" fillId="0" borderId="15" xfId="0" applyFont="1" applyBorder="1" applyAlignment="1" applyProtection="1">
      <alignment horizontal="center"/>
      <protection locked="0"/>
    </xf>
    <xf numFmtId="0" fontId="37" fillId="0" borderId="74" xfId="0" applyFont="1" applyBorder="1"/>
    <xf numFmtId="0" fontId="37" fillId="0" borderId="11" xfId="0" applyFont="1" applyBorder="1"/>
    <xf numFmtId="0" fontId="37" fillId="0" borderId="12" xfId="0" applyFont="1" applyBorder="1"/>
    <xf numFmtId="0" fontId="27" fillId="0" borderId="6" xfId="0" applyFont="1" applyBorder="1"/>
    <xf numFmtId="0" fontId="67" fillId="0" borderId="0" xfId="0" applyFont="1"/>
    <xf numFmtId="0" fontId="37" fillId="0" borderId="15" xfId="0" applyFont="1" applyBorder="1"/>
    <xf numFmtId="0" fontId="67" fillId="0" borderId="11" xfId="0" applyFont="1" applyBorder="1" applyAlignment="1">
      <alignment horizontal="left" vertical="center"/>
    </xf>
    <xf numFmtId="0" fontId="67" fillId="0" borderId="11" xfId="0" applyFont="1" applyBorder="1" applyAlignment="1">
      <alignment vertical="center" wrapText="1"/>
    </xf>
    <xf numFmtId="0" fontId="67" fillId="0" borderId="12" xfId="0" applyFont="1" applyBorder="1" applyAlignment="1">
      <alignment vertical="center" wrapText="1"/>
    </xf>
    <xf numFmtId="0" fontId="37" fillId="0" borderId="0" xfId="0" applyFont="1" applyAlignment="1">
      <alignment wrapText="1"/>
    </xf>
    <xf numFmtId="0" fontId="37" fillId="0" borderId="15" xfId="0" applyFont="1" applyBorder="1" applyAlignment="1">
      <alignment wrapText="1"/>
    </xf>
    <xf numFmtId="0" fontId="37" fillId="0" borderId="9" xfId="0" applyFont="1" applyBorder="1" applyAlignment="1">
      <alignment wrapText="1"/>
    </xf>
    <xf numFmtId="0" fontId="0" fillId="0" borderId="15" xfId="0" applyBorder="1"/>
    <xf numFmtId="0" fontId="21" fillId="0" borderId="35" xfId="0" applyFont="1" applyBorder="1" applyAlignment="1" applyProtection="1">
      <alignment horizontal="center"/>
      <protection locked="0"/>
    </xf>
    <xf numFmtId="0" fontId="21" fillId="0" borderId="11" xfId="0" applyFont="1" applyBorder="1" applyAlignment="1">
      <alignment horizontal="center"/>
    </xf>
    <xf numFmtId="0" fontId="0" fillId="0" borderId="74" xfId="0" applyBorder="1"/>
    <xf numFmtId="0" fontId="0" fillId="0" borderId="1" xfId="0" applyBorder="1" applyProtection="1">
      <protection locked="0"/>
    </xf>
    <xf numFmtId="0" fontId="21" fillId="0" borderId="74" xfId="0" applyFont="1" applyBorder="1" applyAlignment="1" applyProtection="1">
      <alignment horizontal="center"/>
      <protection locked="0"/>
    </xf>
    <xf numFmtId="0" fontId="37" fillId="0" borderId="0" xfId="0" applyFont="1" applyAlignment="1">
      <alignment horizontal="left"/>
    </xf>
    <xf numFmtId="0" fontId="37" fillId="0" borderId="9" xfId="0" applyFont="1" applyBorder="1" applyAlignment="1">
      <alignment horizontal="left"/>
    </xf>
    <xf numFmtId="0" fontId="21" fillId="0" borderId="9" xfId="0" applyFont="1" applyBorder="1" applyAlignment="1" applyProtection="1">
      <alignment horizontal="center"/>
      <protection locked="0"/>
    </xf>
    <xf numFmtId="0" fontId="37" fillId="0" borderId="9" xfId="0" applyFont="1" applyBorder="1" applyAlignment="1">
      <alignment horizontal="center"/>
    </xf>
    <xf numFmtId="0" fontId="21" fillId="0" borderId="9" xfId="0" applyFont="1" applyBorder="1" applyProtection="1">
      <protection locked="0"/>
    </xf>
    <xf numFmtId="0" fontId="21" fillId="0" borderId="12" xfId="0" applyFont="1" applyBorder="1"/>
    <xf numFmtId="0" fontId="0" fillId="0" borderId="24" xfId="0" applyBorder="1"/>
    <xf numFmtId="0" fontId="37" fillId="0" borderId="0" xfId="0" applyFont="1" applyAlignment="1">
      <alignment horizontal="center"/>
    </xf>
    <xf numFmtId="0" fontId="0" fillId="0" borderId="0" xfId="0" applyAlignment="1">
      <alignment vertical="top"/>
    </xf>
    <xf numFmtId="0" fontId="21" fillId="0" borderId="11" xfId="0" applyFont="1" applyBorder="1" applyProtection="1">
      <protection locked="0"/>
    </xf>
    <xf numFmtId="0" fontId="69" fillId="0" borderId="0" xfId="0" applyFont="1" applyAlignment="1">
      <alignment horizontal="center" vertical="center" wrapText="1"/>
    </xf>
    <xf numFmtId="0" fontId="17" fillId="0" borderId="0" xfId="0" applyFont="1" applyAlignment="1">
      <alignment horizontal="center" vertical="center" wrapText="1"/>
    </xf>
    <xf numFmtId="0" fontId="0" fillId="4" borderId="0" xfId="0" applyFill="1"/>
    <xf numFmtId="0" fontId="0" fillId="4" borderId="0" xfId="0" applyFill="1" applyAlignment="1">
      <alignment horizontal="center" vertical="center" wrapText="1"/>
    </xf>
    <xf numFmtId="0" fontId="18" fillId="4" borderId="0" xfId="0" applyFont="1" applyFill="1" applyAlignment="1">
      <alignment vertical="center" wrapText="1"/>
    </xf>
    <xf numFmtId="0" fontId="0" fillId="4" borderId="0" xfId="0" applyFill="1" applyAlignment="1">
      <alignment horizontal="right"/>
    </xf>
    <xf numFmtId="0" fontId="0" fillId="4" borderId="80" xfId="0" applyFill="1" applyBorder="1" applyProtection="1">
      <protection locked="0"/>
    </xf>
    <xf numFmtId="0" fontId="0" fillId="4" borderId="0" xfId="0" applyFill="1" applyAlignment="1">
      <alignment vertical="top"/>
    </xf>
    <xf numFmtId="0" fontId="18" fillId="0" borderId="0" xfId="0" applyFont="1" applyProtection="1">
      <protection locked="0"/>
    </xf>
    <xf numFmtId="0" fontId="17" fillId="0" borderId="0" xfId="0" applyFont="1" applyAlignment="1">
      <alignment horizontal="left"/>
    </xf>
    <xf numFmtId="0" fontId="17" fillId="0" borderId="0" xfId="0" applyFont="1" applyAlignment="1">
      <alignment horizontal="right"/>
    </xf>
    <xf numFmtId="0" fontId="18" fillId="0" borderId="0" xfId="0" applyFont="1" applyAlignment="1">
      <alignment horizontal="center"/>
    </xf>
    <xf numFmtId="0" fontId="17" fillId="0" borderId="0" xfId="0" applyFont="1" applyAlignment="1" applyProtection="1">
      <alignment vertical="center"/>
      <protection locked="0"/>
    </xf>
    <xf numFmtId="0" fontId="15" fillId="0" borderId="0" xfId="0" applyFont="1" applyAlignment="1">
      <alignment vertical="center"/>
    </xf>
    <xf numFmtId="0" fontId="18" fillId="0" borderId="51" xfId="0" applyFont="1" applyBorder="1" applyAlignment="1">
      <alignment horizontal="center" vertical="center" wrapText="1"/>
    </xf>
    <xf numFmtId="0" fontId="18" fillId="0" borderId="32" xfId="0" applyFont="1" applyBorder="1" applyAlignment="1">
      <alignment horizontal="center" vertical="center" wrapText="1"/>
    </xf>
    <xf numFmtId="0" fontId="18" fillId="0" borderId="33" xfId="0" applyFont="1" applyBorder="1" applyAlignment="1">
      <alignment horizontal="center" vertical="center" wrapText="1"/>
    </xf>
    <xf numFmtId="0" fontId="18" fillId="0" borderId="54"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44"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31" xfId="0" applyFont="1" applyBorder="1" applyAlignment="1">
      <alignment horizontal="center" vertical="center" wrapText="1"/>
    </xf>
    <xf numFmtId="169" fontId="18" fillId="0" borderId="78" xfId="0" applyNumberFormat="1" applyFont="1" applyBorder="1" applyAlignment="1">
      <alignment horizontal="center" vertical="center" wrapText="1"/>
    </xf>
    <xf numFmtId="169" fontId="18" fillId="0" borderId="2" xfId="0" applyNumberFormat="1" applyFont="1" applyBorder="1" applyAlignment="1">
      <alignment horizontal="center" vertical="center" wrapText="1"/>
    </xf>
    <xf numFmtId="169" fontId="18" fillId="0" borderId="31" xfId="0" applyNumberFormat="1" applyFont="1" applyBorder="1" applyAlignment="1">
      <alignment horizontal="center" vertical="center" wrapText="1"/>
    </xf>
    <xf numFmtId="169" fontId="18" fillId="0" borderId="51" xfId="0" applyNumberFormat="1" applyFont="1" applyBorder="1" applyAlignment="1">
      <alignment horizontal="center" vertical="center" wrapText="1"/>
    </xf>
    <xf numFmtId="169" fontId="18" fillId="0" borderId="32" xfId="0" applyNumberFormat="1" applyFont="1" applyBorder="1" applyAlignment="1">
      <alignment horizontal="center" vertical="center" wrapText="1"/>
    </xf>
    <xf numFmtId="169" fontId="18" fillId="0" borderId="33" xfId="0" applyNumberFormat="1" applyFont="1" applyBorder="1" applyAlignment="1">
      <alignment horizontal="center" vertical="center" wrapText="1"/>
    </xf>
    <xf numFmtId="0" fontId="36" fillId="0" borderId="0" xfId="0" applyFont="1"/>
    <xf numFmtId="0" fontId="15" fillId="0" borderId="0" xfId="0" applyFont="1" applyAlignment="1" applyProtection="1">
      <alignment horizontal="center" vertical="center" wrapText="1"/>
      <protection locked="0"/>
    </xf>
    <xf numFmtId="0" fontId="18" fillId="0" borderId="0" xfId="0" applyFont="1" applyAlignment="1" applyProtection="1">
      <alignment horizontal="center"/>
      <protection locked="0"/>
    </xf>
    <xf numFmtId="0" fontId="18" fillId="0" borderId="0" xfId="0" applyFont="1" applyAlignment="1" applyProtection="1">
      <alignment horizontal="left"/>
      <protection locked="0"/>
    </xf>
    <xf numFmtId="0" fontId="18" fillId="0" borderId="0" xfId="0" applyFont="1" applyAlignment="1">
      <alignment horizontal="right" vertical="center"/>
    </xf>
    <xf numFmtId="0" fontId="17" fillId="0" borderId="0" xfId="0" applyFont="1" applyAlignment="1" applyProtection="1">
      <alignment horizontal="left"/>
      <protection locked="0"/>
    </xf>
    <xf numFmtId="0" fontId="18" fillId="0" borderId="0" xfId="0" applyFont="1" applyAlignment="1" applyProtection="1">
      <alignment horizontal="right" wrapText="1"/>
      <protection locked="0"/>
    </xf>
    <xf numFmtId="0" fontId="18" fillId="0" borderId="0" xfId="0" applyFont="1" applyAlignment="1" applyProtection="1">
      <alignment vertical="center" wrapText="1"/>
      <protection locked="0"/>
    </xf>
    <xf numFmtId="0" fontId="71" fillId="0" borderId="0" xfId="0" applyFont="1"/>
    <xf numFmtId="0" fontId="28" fillId="0" borderId="2" xfId="0" applyFont="1" applyBorder="1" applyAlignment="1">
      <alignment horizontal="center" vertical="center" wrapText="1"/>
    </xf>
    <xf numFmtId="0" fontId="21" fillId="0" borderId="2" xfId="0" applyFont="1" applyBorder="1" applyAlignment="1" applyProtection="1">
      <alignment horizontal="center" vertical="center" wrapText="1"/>
      <protection locked="0"/>
    </xf>
    <xf numFmtId="0" fontId="28" fillId="0" borderId="0" xfId="0" applyFont="1" applyAlignment="1">
      <alignment vertical="center" wrapText="1"/>
    </xf>
    <xf numFmtId="0" fontId="23" fillId="0" borderId="0" xfId="0" applyFont="1" applyProtection="1">
      <protection locked="0"/>
    </xf>
    <xf numFmtId="170" fontId="23" fillId="0" borderId="0" xfId="0" applyNumberFormat="1" applyFont="1" applyAlignment="1" applyProtection="1">
      <alignment horizontal="left"/>
      <protection locked="0"/>
    </xf>
    <xf numFmtId="0" fontId="72" fillId="0" borderId="0" xfId="0" applyFont="1" applyProtection="1">
      <protection locked="0"/>
    </xf>
    <xf numFmtId="0" fontId="58" fillId="0" borderId="0" xfId="0" applyFont="1" applyAlignment="1" applyProtection="1">
      <alignment horizontal="left"/>
      <protection locked="0"/>
    </xf>
    <xf numFmtId="0" fontId="58" fillId="0" borderId="0" xfId="0" applyFont="1" applyAlignment="1" applyProtection="1">
      <alignment horizontal="right"/>
      <protection locked="0"/>
    </xf>
    <xf numFmtId="0" fontId="28" fillId="0" borderId="0" xfId="0" applyFont="1" applyAlignment="1" applyProtection="1">
      <alignment horizontal="left" vertical="center"/>
      <protection locked="0"/>
    </xf>
    <xf numFmtId="170" fontId="23" fillId="0" borderId="0" xfId="0" applyNumberFormat="1" applyFont="1" applyAlignment="1">
      <alignment horizontal="left"/>
    </xf>
    <xf numFmtId="0" fontId="23" fillId="0" borderId="0" xfId="0" applyFont="1"/>
    <xf numFmtId="0" fontId="42" fillId="0" borderId="81" xfId="0" applyFont="1" applyBorder="1" applyAlignment="1">
      <alignment horizontal="center" vertical="center"/>
    </xf>
    <xf numFmtId="0" fontId="28" fillId="0" borderId="81" xfId="0" applyFont="1" applyBorder="1" applyAlignment="1">
      <alignment vertical="center"/>
    </xf>
    <xf numFmtId="0" fontId="21" fillId="0" borderId="82" xfId="0" applyFont="1" applyBorder="1"/>
    <xf numFmtId="0" fontId="21" fillId="0" borderId="83" xfId="0" applyFont="1" applyBorder="1"/>
    <xf numFmtId="0" fontId="42" fillId="0" borderId="0" xfId="0" applyFont="1" applyAlignment="1">
      <alignment horizontal="center" vertical="center"/>
    </xf>
    <xf numFmtId="0" fontId="21" fillId="0" borderId="84" xfId="0" applyFont="1" applyBorder="1"/>
    <xf numFmtId="0" fontId="23" fillId="0" borderId="85" xfId="0" applyFont="1" applyBorder="1" applyAlignment="1">
      <alignment vertical="center"/>
    </xf>
    <xf numFmtId="3" fontId="23" fillId="0" borderId="86" xfId="0" applyNumberFormat="1" applyFont="1" applyBorder="1" applyAlignment="1">
      <alignment horizontal="left" vertical="center"/>
    </xf>
    <xf numFmtId="0" fontId="38" fillId="0" borderId="87" xfId="0" applyFont="1" applyBorder="1" applyAlignment="1">
      <alignment vertical="center"/>
    </xf>
    <xf numFmtId="0" fontId="21" fillId="0" borderId="88" xfId="0" applyFont="1" applyBorder="1"/>
    <xf numFmtId="0" fontId="18" fillId="0" borderId="88" xfId="0" applyFont="1" applyBorder="1"/>
    <xf numFmtId="0" fontId="18" fillId="0" borderId="89" xfId="0" applyFont="1" applyBorder="1"/>
    <xf numFmtId="0" fontId="23" fillId="9" borderId="60" xfId="0" applyFont="1" applyFill="1" applyBorder="1" applyAlignment="1">
      <alignment vertical="center"/>
    </xf>
    <xf numFmtId="3" fontId="23" fillId="7" borderId="61" xfId="0" applyNumberFormat="1" applyFont="1" applyFill="1" applyBorder="1" applyAlignment="1">
      <alignment horizontal="left" vertical="center"/>
    </xf>
    <xf numFmtId="0" fontId="38" fillId="7" borderId="90" xfId="0" applyFont="1" applyFill="1" applyBorder="1" applyAlignment="1">
      <alignment vertical="center"/>
    </xf>
    <xf numFmtId="0" fontId="21" fillId="7" borderId="91" xfId="0" applyFont="1" applyFill="1" applyBorder="1"/>
    <xf numFmtId="0" fontId="18" fillId="7" borderId="91" xfId="0" applyFont="1" applyFill="1" applyBorder="1"/>
    <xf numFmtId="0" fontId="18" fillId="9" borderId="91" xfId="0" applyFont="1" applyFill="1" applyBorder="1"/>
    <xf numFmtId="0" fontId="18" fillId="7" borderId="92" xfId="0" applyFont="1" applyFill="1" applyBorder="1"/>
    <xf numFmtId="0" fontId="23" fillId="0" borderId="60" xfId="0" applyFont="1" applyBorder="1" applyAlignment="1">
      <alignment vertical="center"/>
    </xf>
    <xf numFmtId="3" fontId="23" fillId="0" borderId="61" xfId="0" applyNumberFormat="1" applyFont="1" applyBorder="1" applyAlignment="1">
      <alignment horizontal="left" vertical="center"/>
    </xf>
    <xf numFmtId="0" fontId="38" fillId="0" borderId="90" xfId="0" applyFont="1" applyBorder="1" applyAlignment="1">
      <alignment vertical="center"/>
    </xf>
    <xf numFmtId="0" fontId="21" fillId="0" borderId="91" xfId="0" applyFont="1" applyBorder="1"/>
    <xf numFmtId="0" fontId="18" fillId="0" borderId="91" xfId="0" applyFont="1" applyBorder="1"/>
    <xf numFmtId="0" fontId="18" fillId="0" borderId="92" xfId="0" applyFont="1" applyBorder="1"/>
    <xf numFmtId="0" fontId="23" fillId="7" borderId="60" xfId="0" applyFont="1" applyFill="1" applyBorder="1" applyAlignment="1">
      <alignment vertical="center"/>
    </xf>
    <xf numFmtId="0" fontId="18" fillId="10" borderId="91" xfId="0" applyFont="1" applyFill="1" applyBorder="1"/>
    <xf numFmtId="0" fontId="38" fillId="7" borderId="93" xfId="0" applyFont="1" applyFill="1" applyBorder="1" applyAlignment="1">
      <alignment vertical="center"/>
    </xf>
    <xf numFmtId="0" fontId="17" fillId="7" borderId="90" xfId="0" applyFont="1" applyFill="1" applyBorder="1" applyAlignment="1">
      <alignment vertical="center"/>
    </xf>
    <xf numFmtId="0" fontId="17" fillId="0" borderId="90" xfId="0" applyFont="1" applyBorder="1" applyAlignment="1">
      <alignment vertical="center"/>
    </xf>
    <xf numFmtId="0" fontId="17" fillId="0" borderId="62" xfId="0" applyFont="1" applyBorder="1" applyAlignment="1">
      <alignment vertical="center"/>
    </xf>
    <xf numFmtId="0" fontId="21" fillId="0" borderId="94" xfId="0" applyFont="1" applyBorder="1"/>
    <xf numFmtId="0" fontId="23" fillId="7" borderId="95" xfId="0" applyFont="1" applyFill="1" applyBorder="1" applyAlignment="1">
      <alignment vertical="center"/>
    </xf>
    <xf numFmtId="170" fontId="23" fillId="7" borderId="96" xfId="0" applyNumberFormat="1" applyFont="1" applyFill="1" applyBorder="1" applyAlignment="1">
      <alignment horizontal="left" vertical="center"/>
    </xf>
    <xf numFmtId="0" fontId="17" fillId="7" borderId="97" xfId="0" applyFont="1" applyFill="1" applyBorder="1" applyAlignment="1">
      <alignment vertical="center"/>
    </xf>
    <xf numFmtId="0" fontId="21" fillId="7" borderId="98" xfId="0" applyFont="1" applyFill="1" applyBorder="1"/>
    <xf numFmtId="0" fontId="18" fillId="7" borderId="99" xfId="0" applyFont="1" applyFill="1" applyBorder="1"/>
    <xf numFmtId="0" fontId="18" fillId="10" borderId="99" xfId="0" applyFont="1" applyFill="1" applyBorder="1"/>
    <xf numFmtId="0" fontId="18" fillId="7" borderId="100" xfId="0" applyFont="1" applyFill="1" applyBorder="1"/>
    <xf numFmtId="0" fontId="23" fillId="8" borderId="0" xfId="0" applyFont="1" applyFill="1"/>
    <xf numFmtId="0" fontId="21" fillId="11" borderId="0" xfId="0" applyFont="1" applyFill="1"/>
    <xf numFmtId="0" fontId="73" fillId="0" borderId="0" xfId="0" applyFont="1" applyAlignment="1" applyProtection="1">
      <alignment horizontal="left"/>
      <protection locked="0"/>
    </xf>
    <xf numFmtId="0" fontId="0" fillId="0" borderId="0" xfId="0" applyAlignment="1" applyProtection="1">
      <alignment horizontal="center"/>
      <protection locked="0"/>
    </xf>
    <xf numFmtId="0" fontId="28" fillId="0" borderId="0" xfId="0" applyFont="1" applyAlignment="1" applyProtection="1">
      <alignment horizontal="center"/>
      <protection locked="0"/>
    </xf>
    <xf numFmtId="0" fontId="28" fillId="0" borderId="81" xfId="0" applyFont="1" applyBorder="1" applyAlignment="1">
      <alignment horizontal="center" vertical="center"/>
    </xf>
    <xf numFmtId="0" fontId="28" fillId="0" borderId="82" xfId="0" applyFont="1" applyBorder="1" applyAlignment="1">
      <alignment horizontal="center" vertical="center"/>
    </xf>
    <xf numFmtId="0" fontId="0" fillId="0" borderId="83" xfId="0" applyBorder="1"/>
    <xf numFmtId="0" fontId="28" fillId="0" borderId="0" xfId="0" applyFont="1" applyAlignment="1">
      <alignment horizontal="center" vertical="center"/>
    </xf>
    <xf numFmtId="0" fontId="28" fillId="0" borderId="87" xfId="0" applyFont="1" applyBorder="1" applyAlignment="1">
      <alignment horizontal="center" vertical="center"/>
    </xf>
    <xf numFmtId="0" fontId="28" fillId="0" borderId="88" xfId="0" applyFont="1" applyBorder="1" applyAlignment="1">
      <alignment horizontal="center" vertical="center"/>
    </xf>
    <xf numFmtId="0" fontId="28" fillId="9" borderId="90" xfId="0" applyFont="1" applyFill="1" applyBorder="1" applyAlignment="1">
      <alignment horizontal="center" vertical="center"/>
    </xf>
    <xf numFmtId="0" fontId="28" fillId="7" borderId="91" xfId="0" applyFont="1" applyFill="1" applyBorder="1" applyAlignment="1">
      <alignment horizontal="center" vertical="center"/>
    </xf>
    <xf numFmtId="0" fontId="28" fillId="9" borderId="91" xfId="0" applyFont="1" applyFill="1" applyBorder="1" applyAlignment="1">
      <alignment horizontal="center" vertical="center"/>
    </xf>
    <xf numFmtId="0" fontId="28" fillId="0" borderId="90" xfId="0" applyFont="1" applyBorder="1" applyAlignment="1">
      <alignment horizontal="center" vertical="center"/>
    </xf>
    <xf numFmtId="0" fontId="28" fillId="0" borderId="91" xfId="0" applyFont="1" applyBorder="1" applyAlignment="1">
      <alignment horizontal="center" vertical="center"/>
    </xf>
    <xf numFmtId="0" fontId="28" fillId="7" borderId="101" xfId="0" applyFont="1" applyFill="1" applyBorder="1" applyAlignment="1">
      <alignment horizontal="center" vertical="center"/>
    </xf>
    <xf numFmtId="0" fontId="28" fillId="7" borderId="102" xfId="0" applyFont="1" applyFill="1" applyBorder="1" applyAlignment="1">
      <alignment horizontal="center" vertical="center"/>
    </xf>
    <xf numFmtId="0" fontId="28" fillId="10" borderId="102" xfId="0" applyFont="1" applyFill="1" applyBorder="1" applyAlignment="1">
      <alignment horizontal="center" vertical="center"/>
    </xf>
    <xf numFmtId="0" fontId="18" fillId="7" borderId="103" xfId="0" applyFont="1" applyFill="1" applyBorder="1"/>
    <xf numFmtId="0" fontId="28" fillId="0" borderId="104" xfId="0" applyFont="1" applyBorder="1" applyAlignment="1">
      <alignment horizontal="center" vertical="center"/>
    </xf>
    <xf numFmtId="0" fontId="28" fillId="0" borderId="105" xfId="0" applyFont="1" applyBorder="1" applyAlignment="1">
      <alignment horizontal="center" vertical="center"/>
    </xf>
    <xf numFmtId="0" fontId="18" fillId="0" borderId="106" xfId="0" applyFont="1" applyBorder="1"/>
    <xf numFmtId="0" fontId="28" fillId="7" borderId="90" xfId="0" applyFont="1" applyFill="1" applyBorder="1" applyAlignment="1">
      <alignment horizontal="center" vertical="center"/>
    </xf>
    <xf numFmtId="0" fontId="28" fillId="10" borderId="91" xfId="0" applyFont="1" applyFill="1" applyBorder="1" applyAlignment="1">
      <alignment horizontal="center" vertical="center"/>
    </xf>
    <xf numFmtId="0" fontId="28" fillId="0" borderId="101" xfId="0" applyFont="1" applyBorder="1" applyAlignment="1">
      <alignment horizontal="center" vertical="center"/>
    </xf>
    <xf numFmtId="0" fontId="28" fillId="0" borderId="102" xfId="0" applyFont="1" applyBorder="1" applyAlignment="1">
      <alignment horizontal="center" vertical="center"/>
    </xf>
    <xf numFmtId="0" fontId="18" fillId="0" borderId="103" xfId="0" applyFont="1" applyBorder="1"/>
    <xf numFmtId="0" fontId="28" fillId="7" borderId="104" xfId="0" applyFont="1" applyFill="1" applyBorder="1" applyAlignment="1">
      <alignment horizontal="center" vertical="center"/>
    </xf>
    <xf numFmtId="0" fontId="28" fillId="7" borderId="105" xfId="0" applyFont="1" applyFill="1" applyBorder="1" applyAlignment="1">
      <alignment horizontal="center" vertical="center"/>
    </xf>
    <xf numFmtId="0" fontId="28" fillId="10" borderId="105" xfId="0" applyFont="1" applyFill="1" applyBorder="1" applyAlignment="1">
      <alignment horizontal="center" vertical="center"/>
    </xf>
    <xf numFmtId="0" fontId="18" fillId="7" borderId="106" xfId="0" applyFont="1" applyFill="1" applyBorder="1"/>
    <xf numFmtId="0" fontId="28" fillId="7" borderId="107" xfId="0" applyFont="1" applyFill="1" applyBorder="1" applyAlignment="1">
      <alignment horizontal="center" vertical="center"/>
    </xf>
    <xf numFmtId="0" fontId="28" fillId="7" borderId="82" xfId="0" applyFont="1" applyFill="1" applyBorder="1" applyAlignment="1">
      <alignment horizontal="center" vertical="center"/>
    </xf>
    <xf numFmtId="0" fontId="28" fillId="10" borderId="82" xfId="0" applyFont="1" applyFill="1" applyBorder="1" applyAlignment="1">
      <alignment horizontal="center" vertical="center"/>
    </xf>
    <xf numFmtId="0" fontId="18" fillId="7" borderId="108" xfId="0" applyFont="1" applyFill="1" applyBorder="1"/>
    <xf numFmtId="0" fontId="28" fillId="0" borderId="93" xfId="0" applyFont="1" applyBorder="1" applyAlignment="1">
      <alignment horizontal="center" vertical="center"/>
    </xf>
    <xf numFmtId="0" fontId="28" fillId="0" borderId="109" xfId="0" applyFont="1" applyBorder="1" applyAlignment="1">
      <alignment horizontal="center" vertical="center"/>
    </xf>
    <xf numFmtId="0" fontId="18" fillId="0" borderId="110" xfId="0" applyFont="1" applyBorder="1"/>
    <xf numFmtId="0" fontId="28" fillId="0" borderId="111" xfId="0" applyFont="1" applyBorder="1" applyAlignment="1">
      <alignment horizontal="center" vertical="center"/>
    </xf>
    <xf numFmtId="0" fontId="28" fillId="0" borderId="112" xfId="0" applyFont="1" applyBorder="1" applyAlignment="1">
      <alignment horizontal="center" vertical="center"/>
    </xf>
    <xf numFmtId="0" fontId="18" fillId="0" borderId="113" xfId="0" applyFont="1" applyBorder="1"/>
    <xf numFmtId="0" fontId="28" fillId="7" borderId="93" xfId="0" applyFont="1" applyFill="1" applyBorder="1" applyAlignment="1">
      <alignment horizontal="center" vertical="center"/>
    </xf>
    <xf numFmtId="0" fontId="28" fillId="7" borderId="109" xfId="0" applyFont="1" applyFill="1" applyBorder="1" applyAlignment="1">
      <alignment horizontal="center" vertical="center"/>
    </xf>
    <xf numFmtId="0" fontId="28" fillId="10" borderId="109" xfId="0" applyFont="1" applyFill="1" applyBorder="1" applyAlignment="1">
      <alignment horizontal="center" vertical="center"/>
    </xf>
    <xf numFmtId="0" fontId="18" fillId="7" borderId="110" xfId="0" applyFont="1" applyFill="1" applyBorder="1"/>
    <xf numFmtId="0" fontId="17" fillId="0" borderId="90" xfId="0" applyFont="1" applyBorder="1" applyAlignment="1">
      <alignment horizontal="center" vertical="center"/>
    </xf>
    <xf numFmtId="0" fontId="17" fillId="0" borderId="91" xfId="0" applyFont="1" applyBorder="1" applyAlignment="1">
      <alignment horizontal="center"/>
    </xf>
    <xf numFmtId="0" fontId="17" fillId="7" borderId="90" xfId="0" applyFont="1" applyFill="1" applyBorder="1" applyAlignment="1">
      <alignment horizontal="center" vertical="center"/>
    </xf>
    <xf numFmtId="0" fontId="17" fillId="7" borderId="91" xfId="0" applyFont="1" applyFill="1" applyBorder="1" applyAlignment="1">
      <alignment horizontal="center"/>
    </xf>
    <xf numFmtId="0" fontId="17" fillId="10" borderId="91" xfId="0" applyFont="1" applyFill="1" applyBorder="1" applyAlignment="1">
      <alignment horizontal="center"/>
    </xf>
    <xf numFmtId="0" fontId="17" fillId="0" borderId="114" xfId="0" applyFont="1" applyBorder="1" applyAlignment="1">
      <alignment horizontal="center" vertical="center"/>
    </xf>
    <xf numFmtId="0" fontId="17" fillId="0" borderId="99" xfId="0" applyFont="1" applyBorder="1" applyAlignment="1">
      <alignment horizontal="center"/>
    </xf>
    <xf numFmtId="0" fontId="18" fillId="0" borderId="99" xfId="0" applyFont="1" applyBorder="1"/>
    <xf numFmtId="0" fontId="18" fillId="0" borderId="100" xfId="0" applyFont="1" applyBorder="1"/>
    <xf numFmtId="170" fontId="23" fillId="8" borderId="0" xfId="0" applyNumberFormat="1" applyFont="1" applyFill="1" applyAlignment="1">
      <alignment horizontal="left"/>
    </xf>
    <xf numFmtId="0" fontId="0" fillId="8" borderId="0" xfId="0" applyFill="1" applyAlignment="1">
      <alignment horizontal="center"/>
    </xf>
    <xf numFmtId="0" fontId="0" fillId="11" borderId="0" xfId="0" applyFill="1"/>
    <xf numFmtId="0" fontId="11" fillId="0" borderId="0" xfId="0" applyFont="1" applyAlignment="1">
      <alignment horizontal="left" vertical="center"/>
    </xf>
    <xf numFmtId="0" fontId="21" fillId="0" borderId="119" xfId="0" applyFont="1" applyBorder="1" applyProtection="1">
      <protection locked="0"/>
    </xf>
    <xf numFmtId="0" fontId="21" fillId="0" borderId="1" xfId="0" applyFont="1" applyBorder="1" applyProtection="1">
      <protection locked="0"/>
    </xf>
    <xf numFmtId="0" fontId="15" fillId="0" borderId="121" xfId="0" applyFont="1" applyBorder="1" applyAlignment="1" applyProtection="1">
      <alignment vertical="center" wrapText="1"/>
      <protection locked="0"/>
    </xf>
    <xf numFmtId="0" fontId="21" fillId="0" borderId="6" xfId="0" applyFont="1" applyBorder="1" applyProtection="1">
      <protection locked="0"/>
    </xf>
    <xf numFmtId="0" fontId="37" fillId="0" borderId="0" xfId="0" applyFont="1" applyProtection="1">
      <protection locked="0"/>
    </xf>
    <xf numFmtId="0" fontId="21" fillId="0" borderId="60" xfId="0" applyFont="1" applyBorder="1" applyProtection="1">
      <protection locked="0"/>
    </xf>
    <xf numFmtId="0" fontId="21" fillId="0" borderId="61" xfId="0" applyFont="1" applyBorder="1" applyProtection="1">
      <protection locked="0"/>
    </xf>
    <xf numFmtId="0" fontId="21" fillId="0" borderId="122" xfId="0" applyFont="1" applyBorder="1" applyProtection="1">
      <protection locked="0"/>
    </xf>
    <xf numFmtId="0" fontId="21" fillId="0" borderId="123" xfId="0" applyFont="1" applyBorder="1" applyProtection="1">
      <protection locked="0"/>
    </xf>
    <xf numFmtId="0" fontId="21" fillId="0" borderId="124" xfId="0" applyFont="1" applyBorder="1" applyProtection="1">
      <protection locked="0"/>
    </xf>
    <xf numFmtId="0" fontId="21" fillId="0" borderId="120" xfId="0" applyFont="1" applyBorder="1" applyProtection="1">
      <protection locked="0"/>
    </xf>
    <xf numFmtId="0" fontId="21" fillId="0" borderId="125" xfId="0" applyFont="1" applyBorder="1" applyProtection="1">
      <protection locked="0"/>
    </xf>
    <xf numFmtId="0" fontId="21" fillId="0" borderId="53" xfId="0" applyFont="1" applyBorder="1" applyProtection="1">
      <protection locked="0"/>
    </xf>
    <xf numFmtId="0" fontId="38" fillId="0" borderId="1" xfId="0" applyFont="1" applyBorder="1" applyProtection="1">
      <protection locked="0"/>
    </xf>
    <xf numFmtId="0" fontId="28" fillId="0" borderId="35" xfId="0" applyFont="1" applyBorder="1" applyAlignment="1" applyProtection="1">
      <alignment horizontal="center"/>
      <protection locked="0"/>
    </xf>
    <xf numFmtId="0" fontId="21" fillId="0" borderId="78" xfId="0" applyFont="1" applyBorder="1" applyAlignment="1" applyProtection="1">
      <alignment vertical="center"/>
      <protection locked="0"/>
    </xf>
    <xf numFmtId="0" fontId="76" fillId="0" borderId="1" xfId="0" applyFont="1" applyBorder="1" applyAlignment="1" applyProtection="1">
      <alignment horizontal="center" vertical="center" wrapText="1"/>
      <protection locked="0"/>
    </xf>
    <xf numFmtId="0" fontId="76"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0" xfId="0"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3" borderId="28" xfId="0" applyFill="1" applyBorder="1" applyProtection="1">
      <protection locked="0"/>
    </xf>
    <xf numFmtId="0" fontId="0" fillId="3" borderId="29" xfId="0" applyFill="1" applyBorder="1" applyProtection="1">
      <protection locked="0"/>
    </xf>
    <xf numFmtId="0" fontId="0" fillId="3" borderId="30" xfId="0" applyFill="1" applyBorder="1" applyProtection="1">
      <protection locked="0"/>
    </xf>
    <xf numFmtId="0" fontId="0" fillId="3" borderId="1" xfId="0" applyFill="1" applyBorder="1" applyProtection="1">
      <protection locked="0"/>
    </xf>
    <xf numFmtId="0" fontId="0" fillId="3" borderId="0" xfId="0" applyFill="1" applyProtection="1">
      <protection locked="0"/>
    </xf>
    <xf numFmtId="0" fontId="0" fillId="3" borderId="35" xfId="0" applyFill="1" applyBorder="1" applyProtection="1">
      <protection locked="0"/>
    </xf>
    <xf numFmtId="0" fontId="0" fillId="0" borderId="78" xfId="0" applyBorder="1" applyProtection="1">
      <protection locked="0"/>
    </xf>
    <xf numFmtId="0" fontId="0" fillId="0" borderId="17" xfId="0" applyBorder="1" applyProtection="1">
      <protection locked="0"/>
    </xf>
    <xf numFmtId="0" fontId="0" fillId="0" borderId="31" xfId="0" applyBorder="1" applyProtection="1">
      <protection locked="0"/>
    </xf>
    <xf numFmtId="0" fontId="0" fillId="0" borderId="51" xfId="0" applyBorder="1" applyProtection="1">
      <protection locked="0"/>
    </xf>
    <xf numFmtId="0" fontId="0" fillId="0" borderId="32" xfId="0" applyBorder="1" applyProtection="1">
      <protection locked="0"/>
    </xf>
    <xf numFmtId="0" fontId="0" fillId="0" borderId="79" xfId="0" applyBorder="1" applyProtection="1">
      <protection locked="0"/>
    </xf>
    <xf numFmtId="0" fontId="0" fillId="0" borderId="33" xfId="0" applyBorder="1" applyProtection="1">
      <protection locked="0"/>
    </xf>
    <xf numFmtId="0" fontId="0" fillId="4" borderId="0" xfId="0" applyFill="1" applyAlignment="1">
      <alignment vertical="center"/>
    </xf>
    <xf numFmtId="0" fontId="37" fillId="0" borderId="0" xfId="0" applyFont="1" applyAlignment="1" applyProtection="1">
      <alignment vertical="center"/>
      <protection locked="0"/>
    </xf>
    <xf numFmtId="167" fontId="21" fillId="0" borderId="0" xfId="0" applyNumberFormat="1" applyFont="1" applyAlignment="1">
      <alignment vertical="center"/>
    </xf>
    <xf numFmtId="0" fontId="21" fillId="4" borderId="0" xfId="0" applyFont="1" applyFill="1" applyAlignment="1">
      <alignment vertical="center"/>
    </xf>
    <xf numFmtId="0" fontId="21" fillId="4" borderId="0" xfId="0" applyFont="1" applyFill="1" applyAlignment="1" applyProtection="1">
      <alignment vertical="center"/>
      <protection locked="0"/>
    </xf>
    <xf numFmtId="0" fontId="21" fillId="4" borderId="37" xfId="0" applyFont="1" applyFill="1" applyBorder="1" applyAlignment="1">
      <alignment vertical="center"/>
    </xf>
    <xf numFmtId="0" fontId="21" fillId="4" borderId="0" xfId="0" applyFont="1" applyFill="1"/>
    <xf numFmtId="0" fontId="21" fillId="4" borderId="0" xfId="0" applyFont="1" applyFill="1" applyAlignment="1">
      <alignment horizontal="left" vertical="center"/>
    </xf>
    <xf numFmtId="0" fontId="18" fillId="4" borderId="6" xfId="0" applyFont="1" applyFill="1" applyBorder="1" applyAlignment="1">
      <alignment vertical="center"/>
    </xf>
    <xf numFmtId="0" fontId="18" fillId="4" borderId="0" xfId="0" applyFont="1" applyFill="1" applyAlignment="1">
      <alignment vertical="center"/>
    </xf>
    <xf numFmtId="0" fontId="11" fillId="0" borderId="0" xfId="0" applyFont="1" applyAlignment="1">
      <alignment horizontal="right" vertical="center"/>
    </xf>
    <xf numFmtId="0" fontId="21" fillId="0" borderId="0" xfId="2"/>
    <xf numFmtId="0" fontId="27" fillId="4" borderId="0" xfId="0" applyFont="1" applyFill="1" applyAlignment="1">
      <alignment vertical="center"/>
    </xf>
    <xf numFmtId="0" fontId="25" fillId="4" borderId="0" xfId="0" applyFont="1" applyFill="1" applyAlignment="1">
      <alignment vertical="center"/>
    </xf>
    <xf numFmtId="0" fontId="38" fillId="4" borderId="0" xfId="0" applyFont="1" applyFill="1" applyAlignment="1">
      <alignment vertical="center"/>
    </xf>
    <xf numFmtId="0" fontId="25" fillId="4" borderId="0" xfId="0" applyFont="1" applyFill="1" applyAlignment="1">
      <alignment horizontal="left"/>
    </xf>
    <xf numFmtId="0" fontId="25" fillId="0" borderId="0" xfId="0" applyFont="1" applyAlignment="1">
      <alignment horizontal="left" vertical="center"/>
    </xf>
    <xf numFmtId="0" fontId="25" fillId="0" borderId="0" xfId="0" applyFont="1" applyAlignment="1">
      <alignment horizontal="left"/>
    </xf>
    <xf numFmtId="0" fontId="25" fillId="0" borderId="0" xfId="0" applyFont="1" applyAlignment="1" applyProtection="1">
      <alignment horizontal="center" vertical="center"/>
      <protection locked="0"/>
    </xf>
    <xf numFmtId="0" fontId="25" fillId="0" borderId="0" xfId="0" applyFont="1" applyAlignment="1" applyProtection="1">
      <alignment vertical="center"/>
      <protection locked="0"/>
    </xf>
    <xf numFmtId="0" fontId="18" fillId="4" borderId="0" xfId="0" applyFont="1" applyFill="1" applyAlignment="1">
      <alignment horizontal="center" vertical="center"/>
    </xf>
    <xf numFmtId="0" fontId="18" fillId="4" borderId="0" xfId="0" applyFont="1" applyFill="1" applyAlignment="1">
      <alignment horizontal="left" vertical="center"/>
    </xf>
    <xf numFmtId="0" fontId="18" fillId="4" borderId="5" xfId="0" applyFont="1" applyFill="1" applyBorder="1" applyAlignment="1">
      <alignment vertical="center"/>
    </xf>
    <xf numFmtId="0" fontId="15" fillId="4" borderId="6" xfId="0" applyFont="1" applyFill="1" applyBorder="1" applyAlignment="1">
      <alignment horizontal="center" vertical="center"/>
    </xf>
    <xf numFmtId="0" fontId="18" fillId="4" borderId="13" xfId="0" applyFont="1" applyFill="1" applyBorder="1" applyAlignment="1">
      <alignment vertical="center"/>
    </xf>
    <xf numFmtId="0" fontId="21" fillId="4" borderId="8" xfId="0" applyFont="1" applyFill="1" applyBorder="1" applyAlignment="1">
      <alignment horizontal="center" vertical="center"/>
    </xf>
    <xf numFmtId="0" fontId="25" fillId="12" borderId="0" xfId="0" applyFont="1" applyFill="1" applyAlignment="1" applyProtection="1">
      <alignment vertical="center"/>
      <protection locked="0"/>
    </xf>
    <xf numFmtId="0" fontId="25" fillId="12" borderId="0" xfId="0" applyFont="1" applyFill="1" applyAlignment="1">
      <alignment vertical="center"/>
    </xf>
    <xf numFmtId="0" fontId="21" fillId="4" borderId="0" xfId="0" applyFont="1" applyFill="1" applyAlignment="1">
      <alignment horizontal="center" vertical="center"/>
    </xf>
    <xf numFmtId="0" fontId="17" fillId="4" borderId="9" xfId="0" applyFont="1" applyFill="1" applyBorder="1" applyAlignment="1">
      <alignment horizontal="center" vertical="center"/>
    </xf>
    <xf numFmtId="0" fontId="18" fillId="4" borderId="10" xfId="0" applyFont="1" applyFill="1" applyBorder="1" applyAlignment="1">
      <alignment vertical="center"/>
    </xf>
    <xf numFmtId="0" fontId="18" fillId="4" borderId="12" xfId="0" applyFont="1" applyFill="1" applyBorder="1" applyAlignment="1">
      <alignment vertical="center" wrapText="1"/>
    </xf>
    <xf numFmtId="0" fontId="21" fillId="4" borderId="0" xfId="0" applyFont="1" applyFill="1" applyAlignment="1">
      <alignment horizontal="left" vertical="center" wrapText="1"/>
    </xf>
    <xf numFmtId="0" fontId="21" fillId="4" borderId="0" xfId="0" applyFont="1" applyFill="1" applyAlignment="1" applyProtection="1">
      <alignment horizontal="left" vertical="center"/>
      <protection locked="0"/>
    </xf>
    <xf numFmtId="0" fontId="21" fillId="4" borderId="0" xfId="0" applyFont="1" applyFill="1" applyAlignment="1" applyProtection="1">
      <alignment vertical="center" wrapText="1"/>
      <protection locked="0"/>
    </xf>
    <xf numFmtId="0" fontId="37" fillId="4" borderId="0" xfId="0" applyFont="1" applyFill="1" applyAlignment="1" applyProtection="1">
      <alignment vertical="center"/>
      <protection locked="0"/>
    </xf>
    <xf numFmtId="0" fontId="0" fillId="0" borderId="0" xfId="0" applyAlignment="1" applyProtection="1">
      <alignment vertical="center"/>
      <protection locked="0"/>
    </xf>
    <xf numFmtId="0" fontId="37" fillId="0" borderId="0" xfId="0" applyFont="1" applyAlignment="1">
      <alignment vertical="center"/>
    </xf>
    <xf numFmtId="0" fontId="21" fillId="0" borderId="0" xfId="2" applyAlignment="1">
      <alignment horizontal="center"/>
    </xf>
    <xf numFmtId="0" fontId="21" fillId="0" borderId="0" xfId="2" applyAlignment="1">
      <alignment wrapText="1"/>
    </xf>
    <xf numFmtId="0" fontId="21" fillId="0" borderId="28" xfId="2" applyBorder="1"/>
    <xf numFmtId="0" fontId="21" fillId="0" borderId="29" xfId="2" applyBorder="1"/>
    <xf numFmtId="0" fontId="21" fillId="0" borderId="29" xfId="2" applyBorder="1" applyAlignment="1">
      <alignment horizontal="center"/>
    </xf>
    <xf numFmtId="0" fontId="15" fillId="0" borderId="29" xfId="2" applyFont="1" applyBorder="1"/>
    <xf numFmtId="0" fontId="21" fillId="0" borderId="30" xfId="2" applyBorder="1"/>
    <xf numFmtId="0" fontId="21" fillId="0" borderId="1" xfId="2" applyBorder="1"/>
    <xf numFmtId="0" fontId="21" fillId="0" borderId="35" xfId="2" applyBorder="1"/>
    <xf numFmtId="0" fontId="21" fillId="0" borderId="5" xfId="2" applyBorder="1"/>
    <xf numFmtId="0" fontId="21" fillId="0" borderId="8" xfId="2" applyBorder="1"/>
    <xf numFmtId="0" fontId="21" fillId="0" borderId="0" xfId="2" applyAlignment="1">
      <alignment horizontal="left"/>
    </xf>
    <xf numFmtId="0" fontId="21" fillId="0" borderId="9" xfId="2" applyBorder="1"/>
    <xf numFmtId="0" fontId="25" fillId="0" borderId="2" xfId="2" applyFont="1" applyBorder="1" applyAlignment="1">
      <alignment horizontal="center"/>
    </xf>
    <xf numFmtId="0" fontId="25" fillId="0" borderId="0" xfId="2" applyFont="1"/>
    <xf numFmtId="0" fontId="21" fillId="0" borderId="0" xfId="2" applyAlignment="1">
      <alignment horizontal="right"/>
    </xf>
    <xf numFmtId="0" fontId="21" fillId="0" borderId="15" xfId="2" applyBorder="1" applyProtection="1">
      <protection locked="0"/>
    </xf>
    <xf numFmtId="0" fontId="21" fillId="0" borderId="74" xfId="2" applyBorder="1" applyProtection="1">
      <protection locked="0"/>
    </xf>
    <xf numFmtId="0" fontId="25" fillId="0" borderId="0" xfId="2" applyFont="1" applyAlignment="1">
      <alignment horizontal="center"/>
    </xf>
    <xf numFmtId="0" fontId="21" fillId="0" borderId="0" xfId="2" applyProtection="1">
      <protection locked="0"/>
    </xf>
    <xf numFmtId="0" fontId="21" fillId="0" borderId="9" xfId="2" applyBorder="1" applyProtection="1">
      <protection locked="0"/>
    </xf>
    <xf numFmtId="0" fontId="25" fillId="0" borderId="0" xfId="2" applyFont="1" applyAlignment="1">
      <alignment horizontal="left"/>
    </xf>
    <xf numFmtId="0" fontId="25" fillId="0" borderId="9" xfId="2" applyFont="1" applyBorder="1" applyAlignment="1">
      <alignment horizontal="left"/>
    </xf>
    <xf numFmtId="0" fontId="25" fillId="0" borderId="8" xfId="2" applyFont="1" applyBorder="1" applyAlignment="1">
      <alignment horizontal="center"/>
    </xf>
    <xf numFmtId="0" fontId="21" fillId="0" borderId="15" xfId="2" applyBorder="1" applyAlignment="1">
      <alignment horizontal="center"/>
    </xf>
    <xf numFmtId="0" fontId="66" fillId="0" borderId="0" xfId="2" applyFont="1" applyAlignment="1">
      <alignment horizontal="left"/>
    </xf>
    <xf numFmtId="0" fontId="21" fillId="0" borderId="2" xfId="2" applyBorder="1" applyAlignment="1">
      <alignment horizontal="center"/>
    </xf>
    <xf numFmtId="0" fontId="21" fillId="0" borderId="24" xfId="2" applyBorder="1" applyProtection="1">
      <protection locked="0"/>
    </xf>
    <xf numFmtId="0" fontId="21" fillId="0" borderId="10" xfId="2" applyBorder="1"/>
    <xf numFmtId="0" fontId="27" fillId="0" borderId="0" xfId="2" applyFont="1" applyAlignment="1">
      <alignment horizontal="left"/>
    </xf>
    <xf numFmtId="0" fontId="21" fillId="0" borderId="15" xfId="2" applyBorder="1"/>
    <xf numFmtId="0" fontId="25" fillId="0" borderId="8" xfId="2" applyFont="1" applyBorder="1" applyAlignment="1">
      <alignment horizontal="left"/>
    </xf>
    <xf numFmtId="0" fontId="25" fillId="0" borderId="9" xfId="2" applyFont="1" applyBorder="1" applyAlignment="1">
      <alignment horizontal="center"/>
    </xf>
    <xf numFmtId="0" fontId="66" fillId="0" borderId="0" xfId="2" applyFont="1"/>
    <xf numFmtId="0" fontId="21" fillId="0" borderId="24" xfId="2" applyBorder="1"/>
    <xf numFmtId="0" fontId="21" fillId="0" borderId="11" xfId="2" applyBorder="1" applyAlignment="1">
      <alignment horizontal="center"/>
    </xf>
    <xf numFmtId="0" fontId="21" fillId="0" borderId="11" xfId="2" applyBorder="1"/>
    <xf numFmtId="0" fontId="21" fillId="0" borderId="12" xfId="2" applyBorder="1"/>
    <xf numFmtId="0" fontId="27" fillId="0" borderId="8" xfId="2" applyFont="1" applyBorder="1" applyAlignment="1">
      <alignment horizontal="left"/>
    </xf>
    <xf numFmtId="0" fontId="27" fillId="0" borderId="9" xfId="2" applyFont="1" applyBorder="1" applyAlignment="1">
      <alignment horizontal="left"/>
    </xf>
    <xf numFmtId="0" fontId="21" fillId="0" borderId="6" xfId="2" applyBorder="1"/>
    <xf numFmtId="0" fontId="21" fillId="0" borderId="13" xfId="2" applyBorder="1"/>
    <xf numFmtId="0" fontId="21" fillId="0" borderId="2" xfId="2" applyBorder="1"/>
    <xf numFmtId="0" fontId="21" fillId="0" borderId="11" xfId="2" applyBorder="1" applyAlignment="1">
      <alignment horizontal="left"/>
    </xf>
    <xf numFmtId="0" fontId="21" fillId="0" borderId="36" xfId="2" applyBorder="1"/>
    <xf numFmtId="0" fontId="21" fillId="0" borderId="37" xfId="2" applyBorder="1"/>
    <xf numFmtId="0" fontId="21" fillId="0" borderId="37" xfId="2" applyBorder="1" applyAlignment="1">
      <alignment horizontal="center"/>
    </xf>
    <xf numFmtId="0" fontId="21" fillId="0" borderId="38" xfId="2" applyBorder="1"/>
    <xf numFmtId="0" fontId="97" fillId="0" borderId="0" xfId="6"/>
    <xf numFmtId="0" fontId="78" fillId="0" borderId="0" xfId="6" applyFont="1"/>
    <xf numFmtId="0" fontId="32" fillId="4" borderId="0" xfId="0" applyFont="1" applyFill="1" applyAlignment="1" applyProtection="1">
      <alignment vertical="center"/>
      <protection locked="0"/>
    </xf>
    <xf numFmtId="0" fontId="21" fillId="12" borderId="0" xfId="0" applyFont="1" applyFill="1" applyAlignment="1">
      <alignment vertical="center" wrapText="1"/>
    </xf>
    <xf numFmtId="0" fontId="12" fillId="4" borderId="0" xfId="0" applyFont="1" applyFill="1" applyAlignment="1">
      <alignment vertical="center"/>
    </xf>
    <xf numFmtId="0" fontId="32" fillId="4" borderId="0" xfId="0" applyFont="1" applyFill="1" applyAlignment="1">
      <alignment horizontal="center" vertical="center"/>
    </xf>
    <xf numFmtId="0" fontId="33" fillId="4" borderId="0" xfId="0" applyFont="1" applyFill="1" applyAlignment="1">
      <alignment horizontal="centerContinuous" vertical="center"/>
    </xf>
    <xf numFmtId="0" fontId="25" fillId="4" borderId="0" xfId="0" applyFont="1" applyFill="1"/>
    <xf numFmtId="0" fontId="25" fillId="4" borderId="37" xfId="0" applyFont="1" applyFill="1" applyBorder="1" applyAlignment="1">
      <alignment horizontal="left" vertical="center"/>
    </xf>
    <xf numFmtId="0" fontId="24" fillId="4" borderId="0" xfId="0" applyFont="1" applyFill="1" applyAlignment="1">
      <alignment horizontal="left" vertical="center"/>
    </xf>
    <xf numFmtId="0" fontId="25" fillId="4" borderId="126" xfId="0" applyFont="1" applyFill="1" applyBorder="1" applyAlignment="1">
      <alignment vertical="center"/>
    </xf>
    <xf numFmtId="0" fontId="25" fillId="4" borderId="126" xfId="0" applyFont="1" applyFill="1" applyBorder="1" applyAlignment="1">
      <alignment horizontal="left" vertical="center"/>
    </xf>
    <xf numFmtId="0" fontId="25" fillId="4" borderId="36" xfId="0" applyFont="1" applyFill="1" applyBorder="1" applyAlignment="1">
      <alignment vertical="center"/>
    </xf>
    <xf numFmtId="0" fontId="21" fillId="4" borderId="0" xfId="0" applyFont="1" applyFill="1" applyAlignment="1">
      <alignment horizontal="centerContinuous" vertical="center"/>
    </xf>
    <xf numFmtId="0" fontId="21" fillId="4" borderId="127" xfId="0" applyFont="1" applyFill="1" applyBorder="1" applyAlignment="1">
      <alignment vertical="top" wrapText="1"/>
    </xf>
    <xf numFmtId="0" fontId="33" fillId="4" borderId="0" xfId="0" applyFont="1" applyFill="1" applyAlignment="1">
      <alignment horizontal="center" vertical="center"/>
    </xf>
    <xf numFmtId="0" fontId="12" fillId="4" borderId="0" xfId="0" applyFont="1" applyFill="1"/>
    <xf numFmtId="0" fontId="21" fillId="4" borderId="0" xfId="0" applyFont="1" applyFill="1" applyAlignment="1">
      <alignment vertical="top"/>
    </xf>
    <xf numFmtId="0" fontId="21" fillId="4" borderId="19" xfId="0" applyFont="1" applyFill="1" applyBorder="1" applyAlignment="1">
      <alignment horizontal="center" vertical="center"/>
    </xf>
    <xf numFmtId="0" fontId="21" fillId="4" borderId="128" xfId="0" applyFont="1" applyFill="1" applyBorder="1" applyAlignment="1">
      <alignment horizontal="center" vertical="center"/>
    </xf>
    <xf numFmtId="0" fontId="21" fillId="4" borderId="68" xfId="0" applyFont="1" applyFill="1" applyBorder="1" applyAlignment="1">
      <alignment horizontal="center" vertical="center"/>
    </xf>
    <xf numFmtId="0" fontId="21" fillId="4" borderId="4" xfId="0" applyFont="1" applyFill="1" applyBorder="1" applyAlignment="1">
      <alignment horizontal="center" vertical="center"/>
    </xf>
    <xf numFmtId="0" fontId="12" fillId="4" borderId="4" xfId="0" applyFont="1" applyFill="1" applyBorder="1" applyAlignment="1">
      <alignment horizontal="center" vertical="top"/>
    </xf>
    <xf numFmtId="0" fontId="21" fillId="4" borderId="77" xfId="0" applyFont="1" applyFill="1" applyBorder="1" applyAlignment="1">
      <alignment horizontal="center" vertical="center"/>
    </xf>
    <xf numFmtId="0" fontId="12" fillId="4" borderId="44" xfId="0" applyFont="1" applyFill="1" applyBorder="1" applyAlignment="1">
      <alignment horizontal="center" vertical="top"/>
    </xf>
    <xf numFmtId="0" fontId="21" fillId="4" borderId="2" xfId="0" applyFont="1" applyFill="1" applyBorder="1" applyAlignment="1">
      <alignment horizontal="center" vertical="center"/>
    </xf>
    <xf numFmtId="0" fontId="25" fillId="4" borderId="2" xfId="0" applyFont="1" applyFill="1" applyBorder="1" applyAlignment="1">
      <alignment horizontal="center" vertical="center"/>
    </xf>
    <xf numFmtId="0" fontId="21" fillId="4" borderId="17" xfId="0" applyFont="1" applyFill="1" applyBorder="1" applyAlignment="1">
      <alignment horizontal="center" vertical="center"/>
    </xf>
    <xf numFmtId="0" fontId="25" fillId="4" borderId="31" xfId="0" applyFont="1" applyFill="1" applyBorder="1" applyAlignment="1">
      <alignment horizontal="center" vertical="center"/>
    </xf>
    <xf numFmtId="0" fontId="12" fillId="4" borderId="2" xfId="0" applyFont="1" applyFill="1" applyBorder="1" applyAlignment="1">
      <alignment horizontal="center" vertical="center"/>
    </xf>
    <xf numFmtId="0" fontId="24" fillId="4" borderId="31" xfId="0" applyFont="1" applyFill="1" applyBorder="1" applyAlignment="1">
      <alignment horizontal="center" vertical="center"/>
    </xf>
    <xf numFmtId="0" fontId="12" fillId="4" borderId="31" xfId="0" applyFont="1" applyFill="1" applyBorder="1" applyAlignment="1">
      <alignment horizontal="center" vertical="center"/>
    </xf>
    <xf numFmtId="0" fontId="21" fillId="4" borderId="32" xfId="0" applyFont="1" applyFill="1" applyBorder="1" applyAlignment="1">
      <alignment horizontal="center" vertical="center"/>
    </xf>
    <xf numFmtId="0" fontId="12" fillId="4" borderId="14" xfId="0" applyFont="1" applyFill="1" applyBorder="1" applyAlignment="1">
      <alignment horizontal="center" vertical="center"/>
    </xf>
    <xf numFmtId="0" fontId="21" fillId="4" borderId="5" xfId="0" applyFont="1" applyFill="1" applyBorder="1" applyAlignment="1">
      <alignment horizontal="center" vertical="center"/>
    </xf>
    <xf numFmtId="0" fontId="12" fillId="4" borderId="47" xfId="0" applyFont="1" applyFill="1" applyBorder="1" applyAlignment="1">
      <alignment horizontal="center" vertical="center"/>
    </xf>
    <xf numFmtId="0" fontId="24" fillId="4" borderId="0" xfId="0" applyFont="1" applyFill="1" applyAlignment="1">
      <alignment vertical="top"/>
    </xf>
    <xf numFmtId="0" fontId="15" fillId="4" borderId="0" xfId="0" applyFont="1" applyFill="1" applyAlignment="1">
      <alignment vertical="top"/>
    </xf>
    <xf numFmtId="0" fontId="21" fillId="4" borderId="38" xfId="0" applyFont="1" applyFill="1" applyBorder="1" applyAlignment="1">
      <alignment vertical="center"/>
    </xf>
    <xf numFmtId="0" fontId="80" fillId="4" borderId="0" xfId="0" applyFont="1" applyFill="1"/>
    <xf numFmtId="0" fontId="80" fillId="4" borderId="0" xfId="0" applyFont="1" applyFill="1" applyAlignment="1">
      <alignment vertical="center"/>
    </xf>
    <xf numFmtId="0" fontId="25" fillId="4" borderId="0" xfId="0" applyFont="1" applyFill="1" applyAlignment="1">
      <alignment horizontal="right" vertical="center"/>
    </xf>
    <xf numFmtId="0" fontId="80" fillId="4" borderId="0" xfId="0" applyFont="1" applyFill="1" applyAlignment="1">
      <alignment horizontal="left"/>
    </xf>
    <xf numFmtId="0" fontId="80" fillId="4" borderId="0" xfId="0" applyFont="1" applyFill="1" applyAlignment="1">
      <alignment horizontal="center"/>
    </xf>
    <xf numFmtId="0" fontId="80" fillId="4" borderId="5" xfId="0" applyFont="1" applyFill="1" applyBorder="1"/>
    <xf numFmtId="0" fontId="80" fillId="4" borderId="13" xfId="0" applyFont="1" applyFill="1" applyBorder="1"/>
    <xf numFmtId="0" fontId="80" fillId="4" borderId="8" xfId="0" applyFont="1" applyFill="1" applyBorder="1" applyAlignment="1">
      <alignment vertical="center"/>
    </xf>
    <xf numFmtId="0" fontId="80" fillId="4" borderId="9" xfId="0" applyFont="1" applyFill="1" applyBorder="1"/>
    <xf numFmtId="0" fontId="27" fillId="4" borderId="9" xfId="0" applyFont="1" applyFill="1" applyBorder="1" applyAlignment="1">
      <alignment vertical="center"/>
    </xf>
    <xf numFmtId="0" fontId="80" fillId="4" borderId="9" xfId="0" applyFont="1" applyFill="1" applyBorder="1" applyAlignment="1">
      <alignment vertical="center"/>
    </xf>
    <xf numFmtId="0" fontId="80" fillId="4" borderId="10" xfId="0" applyFont="1" applyFill="1" applyBorder="1" applyAlignment="1">
      <alignment vertical="center"/>
    </xf>
    <xf numFmtId="0" fontId="80" fillId="4" borderId="11" xfId="0" applyFont="1" applyFill="1" applyBorder="1" applyAlignment="1">
      <alignment vertical="center"/>
    </xf>
    <xf numFmtId="0" fontId="80" fillId="4" borderId="12" xfId="0" applyFont="1" applyFill="1" applyBorder="1" applyAlignment="1">
      <alignment vertical="center"/>
    </xf>
    <xf numFmtId="0" fontId="80" fillId="4" borderId="0" xfId="0" applyFont="1" applyFill="1" applyAlignment="1">
      <alignment vertical="justify"/>
    </xf>
    <xf numFmtId="0" fontId="21" fillId="4" borderId="28" xfId="0" applyFont="1" applyFill="1" applyBorder="1"/>
    <xf numFmtId="0" fontId="80" fillId="4" borderId="29" xfId="0" applyFont="1" applyFill="1" applyBorder="1"/>
    <xf numFmtId="0" fontId="80" fillId="4" borderId="30" xfId="0" applyFont="1" applyFill="1" applyBorder="1"/>
    <xf numFmtId="0" fontId="21" fillId="4" borderId="29" xfId="0" applyFont="1" applyFill="1" applyBorder="1"/>
    <xf numFmtId="0" fontId="25" fillId="13" borderId="0" xfId="0" applyFont="1" applyFill="1" applyAlignment="1">
      <alignment vertical="center"/>
    </xf>
    <xf numFmtId="0" fontId="80" fillId="4" borderId="0" xfId="0" applyFont="1" applyFill="1" applyProtection="1">
      <protection locked="0"/>
    </xf>
    <xf numFmtId="0" fontId="80" fillId="4" borderId="15" xfId="0" applyFont="1" applyFill="1" applyBorder="1" applyProtection="1">
      <protection locked="0"/>
    </xf>
    <xf numFmtId="0" fontId="25" fillId="4" borderId="15" xfId="0" applyFont="1" applyFill="1" applyBorder="1" applyProtection="1">
      <protection locked="0"/>
    </xf>
    <xf numFmtId="0" fontId="25" fillId="4" borderId="15" xfId="0" applyFont="1" applyFill="1" applyBorder="1" applyAlignment="1" applyProtection="1">
      <alignment horizontal="left"/>
      <protection locked="0"/>
    </xf>
    <xf numFmtId="0" fontId="25" fillId="4" borderId="0" xfId="0" applyFont="1" applyFill="1" applyProtection="1">
      <protection locked="0"/>
    </xf>
    <xf numFmtId="0" fontId="80" fillId="4" borderId="0" xfId="0" applyFont="1" applyFill="1" applyAlignment="1" applyProtection="1">
      <alignment horizontal="left"/>
      <protection locked="0"/>
    </xf>
    <xf numFmtId="0" fontId="80" fillId="4" borderId="0" xfId="0" applyFont="1" applyFill="1" applyAlignment="1" applyProtection="1">
      <alignment horizontal="center"/>
      <protection locked="0"/>
    </xf>
    <xf numFmtId="0" fontId="80" fillId="4" borderId="0" xfId="0" applyFont="1" applyFill="1" applyAlignment="1" applyProtection="1">
      <alignment vertical="center"/>
      <protection locked="0"/>
    </xf>
    <xf numFmtId="0" fontId="80" fillId="4" borderId="0" xfId="0" applyFont="1" applyFill="1" applyAlignment="1" applyProtection="1">
      <alignment horizontal="centerContinuous"/>
      <protection locked="0"/>
    </xf>
    <xf numFmtId="0" fontId="80" fillId="4" borderId="0" xfId="0" applyFont="1" applyFill="1" applyAlignment="1" applyProtection="1">
      <alignment vertical="justify"/>
      <protection locked="0"/>
    </xf>
    <xf numFmtId="0" fontId="80" fillId="4" borderId="1" xfId="0" applyFont="1" applyFill="1" applyBorder="1" applyProtection="1">
      <protection locked="0"/>
    </xf>
    <xf numFmtId="0" fontId="80" fillId="4" borderId="35" xfId="0" applyFont="1" applyFill="1" applyBorder="1" applyProtection="1">
      <protection locked="0"/>
    </xf>
    <xf numFmtId="0" fontId="80" fillId="4" borderId="36" xfId="0" applyFont="1" applyFill="1" applyBorder="1" applyProtection="1">
      <protection locked="0"/>
    </xf>
    <xf numFmtId="0" fontId="80" fillId="4" borderId="37" xfId="0" applyFont="1" applyFill="1" applyBorder="1" applyProtection="1">
      <protection locked="0"/>
    </xf>
    <xf numFmtId="0" fontId="80" fillId="4" borderId="38" xfId="0" applyFont="1" applyFill="1" applyBorder="1" applyProtection="1">
      <protection locked="0"/>
    </xf>
    <xf numFmtId="0" fontId="21" fillId="4" borderId="0" xfId="0" applyFont="1" applyFill="1" applyProtection="1">
      <protection locked="0"/>
    </xf>
    <xf numFmtId="0" fontId="18" fillId="0" borderId="0" xfId="0" applyFont="1" applyAlignment="1" applyProtection="1">
      <alignment horizontal="center" vertical="center"/>
      <protection locked="0"/>
    </xf>
    <xf numFmtId="0" fontId="33" fillId="0" borderId="0" xfId="0" applyFont="1" applyAlignment="1">
      <alignment horizontal="center"/>
    </xf>
    <xf numFmtId="0" fontId="33" fillId="0" borderId="0" xfId="0" applyFont="1" applyAlignment="1">
      <alignment horizontal="centerContinuous"/>
    </xf>
    <xf numFmtId="0" fontId="25" fillId="0" borderId="0" xfId="0" applyFont="1" applyAlignment="1">
      <alignment horizontal="left" wrapText="1"/>
    </xf>
    <xf numFmtId="0" fontId="97" fillId="0" borderId="0" xfId="6" applyAlignment="1">
      <alignment horizontal="center"/>
    </xf>
    <xf numFmtId="0" fontId="97" fillId="0" borderId="29" xfId="6" applyBorder="1"/>
    <xf numFmtId="0" fontId="21" fillId="4" borderId="9" xfId="0" applyFont="1" applyFill="1" applyBorder="1" applyAlignment="1">
      <alignment horizontal="center" vertical="center"/>
    </xf>
    <xf numFmtId="0" fontId="18" fillId="4" borderId="0" xfId="0" applyFont="1" applyFill="1" applyAlignment="1" applyProtection="1">
      <alignment vertical="center"/>
      <protection locked="0"/>
    </xf>
    <xf numFmtId="0" fontId="21" fillId="4" borderId="0" xfId="0" applyFont="1" applyFill="1" applyAlignment="1" applyProtection="1">
      <alignment horizontal="center" vertical="center"/>
      <protection locked="0"/>
    </xf>
    <xf numFmtId="0" fontId="18" fillId="4" borderId="0" xfId="0" applyFont="1" applyFill="1" applyAlignment="1" applyProtection="1">
      <alignment horizontal="center" vertical="center"/>
      <protection locked="0"/>
    </xf>
    <xf numFmtId="0" fontId="17"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protection locked="0"/>
    </xf>
    <xf numFmtId="0" fontId="25" fillId="4" borderId="0" xfId="0" applyFont="1" applyFill="1" applyAlignment="1" applyProtection="1">
      <alignment vertical="center"/>
      <protection locked="0"/>
    </xf>
    <xf numFmtId="0" fontId="18" fillId="4" borderId="11" xfId="0" applyFont="1" applyFill="1" applyBorder="1" applyAlignment="1" applyProtection="1">
      <alignment vertical="center"/>
      <protection locked="0"/>
    </xf>
    <xf numFmtId="0" fontId="18" fillId="4" borderId="11" xfId="0" applyFont="1" applyFill="1" applyBorder="1" applyAlignment="1" applyProtection="1">
      <alignment vertical="center" wrapText="1"/>
      <protection locked="0"/>
    </xf>
    <xf numFmtId="0" fontId="18" fillId="4" borderId="0" xfId="0" applyFont="1" applyFill="1" applyAlignment="1" applyProtection="1">
      <alignment horizontal="left" vertical="center"/>
      <protection locked="0"/>
    </xf>
    <xf numFmtId="0" fontId="17" fillId="12" borderId="0" xfId="0" applyFont="1" applyFill="1" applyAlignment="1" applyProtection="1">
      <alignment vertical="center"/>
      <protection locked="0"/>
    </xf>
    <xf numFmtId="165" fontId="21" fillId="12" borderId="0" xfId="0" applyNumberFormat="1" applyFont="1" applyFill="1" applyProtection="1">
      <protection locked="0"/>
    </xf>
    <xf numFmtId="0" fontId="17" fillId="12" borderId="0" xfId="0" applyFont="1" applyFill="1" applyAlignment="1" applyProtection="1">
      <alignment horizontal="left" vertical="center"/>
      <protection locked="0"/>
    </xf>
    <xf numFmtId="0" fontId="25" fillId="12" borderId="0" xfId="0" applyFont="1" applyFill="1" applyAlignment="1" applyProtection="1">
      <alignment horizontal="left" vertical="center"/>
      <protection locked="0"/>
    </xf>
    <xf numFmtId="0" fontId="36" fillId="0" borderId="0" xfId="0" applyFont="1" applyAlignment="1">
      <alignment vertical="center"/>
    </xf>
    <xf numFmtId="0" fontId="15" fillId="12" borderId="0" xfId="0" applyFont="1" applyFill="1"/>
    <xf numFmtId="0" fontId="15" fillId="0" borderId="35" xfId="0" applyFont="1" applyBorder="1"/>
    <xf numFmtId="0" fontId="15" fillId="0" borderId="0" xfId="0" applyFont="1" applyAlignment="1">
      <alignment horizontal="centerContinuous"/>
    </xf>
    <xf numFmtId="0" fontId="15" fillId="12" borderId="0" xfId="0" applyFont="1" applyFill="1" applyAlignment="1" applyProtection="1">
      <alignment horizontal="left" vertical="center"/>
      <protection locked="0"/>
    </xf>
    <xf numFmtId="0" fontId="21" fillId="12" borderId="0" xfId="0" applyFont="1" applyFill="1" applyAlignment="1" applyProtection="1">
      <alignment vertical="center" wrapText="1"/>
      <protection locked="0"/>
    </xf>
    <xf numFmtId="0" fontId="21" fillId="12" borderId="0" xfId="0" applyFont="1" applyFill="1" applyAlignment="1" applyProtection="1">
      <alignment vertical="center"/>
      <protection locked="0"/>
    </xf>
    <xf numFmtId="0" fontId="25" fillId="0" borderId="0" xfId="2" applyFont="1" applyAlignment="1">
      <alignment vertical="center"/>
    </xf>
    <xf numFmtId="0" fontId="25" fillId="0" borderId="0" xfId="2" applyFont="1" applyAlignment="1">
      <alignment horizontal="center" vertical="center"/>
    </xf>
    <xf numFmtId="0" fontId="25" fillId="0" borderId="0" xfId="2" applyFont="1" applyAlignment="1">
      <alignment vertical="center" wrapText="1"/>
    </xf>
    <xf numFmtId="0" fontId="25" fillId="0" borderId="0" xfId="2" applyFont="1" applyAlignment="1">
      <alignment horizontal="right" vertical="center"/>
    </xf>
    <xf numFmtId="0" fontId="77" fillId="0" borderId="0" xfId="0" applyFont="1"/>
    <xf numFmtId="0" fontId="21" fillId="13" borderId="0" xfId="0" applyFont="1" applyFill="1" applyAlignment="1">
      <alignment horizontal="left" vertical="center"/>
    </xf>
    <xf numFmtId="0" fontId="21" fillId="12" borderId="0" xfId="0" applyFont="1" applyFill="1" applyAlignment="1" applyProtection="1">
      <alignment horizontal="left" vertical="center"/>
      <protection locked="0"/>
    </xf>
    <xf numFmtId="0" fontId="21" fillId="0" borderId="37" xfId="0" applyFont="1" applyBorder="1" applyAlignment="1" applyProtection="1">
      <alignment horizontal="left" vertical="center"/>
      <protection locked="0"/>
    </xf>
    <xf numFmtId="0" fontId="18" fillId="12" borderId="0" xfId="0" applyFont="1" applyFill="1"/>
    <xf numFmtId="0" fontId="17" fillId="0" borderId="0" xfId="0" applyFont="1" applyAlignment="1">
      <alignment vertical="center" wrapText="1"/>
    </xf>
    <xf numFmtId="0" fontId="17" fillId="12" borderId="0" xfId="0" applyFont="1" applyFill="1" applyAlignment="1">
      <alignment vertical="center"/>
    </xf>
    <xf numFmtId="0" fontId="17" fillId="12" borderId="0" xfId="0" applyFont="1" applyFill="1" applyAlignment="1">
      <alignment horizontal="left" vertical="center"/>
    </xf>
    <xf numFmtId="0" fontId="25" fillId="4" borderId="0" xfId="0" applyFont="1" applyFill="1" applyAlignment="1">
      <alignment horizontal="center" vertical="center" wrapText="1"/>
    </xf>
    <xf numFmtId="0" fontId="25" fillId="12" borderId="0" xfId="0" applyFont="1" applyFill="1" applyAlignment="1">
      <alignment vertical="center" wrapText="1"/>
    </xf>
    <xf numFmtId="0" fontId="25" fillId="4" borderId="0" xfId="0" applyFont="1" applyFill="1" applyAlignment="1">
      <alignment vertical="center" wrapText="1"/>
    </xf>
    <xf numFmtId="0" fontId="27" fillId="4" borderId="0" xfId="0" applyFont="1" applyFill="1" applyAlignment="1">
      <alignment horizontal="left" vertical="center"/>
    </xf>
    <xf numFmtId="0" fontId="18" fillId="12" borderId="0" xfId="0" applyFont="1" applyFill="1" applyAlignment="1">
      <alignment vertical="center"/>
    </xf>
    <xf numFmtId="0" fontId="25" fillId="13" borderId="0" xfId="0" applyFont="1" applyFill="1" applyAlignment="1">
      <alignment horizontal="left" vertical="center"/>
    </xf>
    <xf numFmtId="0" fontId="25" fillId="0" borderId="0" xfId="0" applyFont="1" applyAlignment="1" applyProtection="1">
      <alignment horizontal="left" vertical="center"/>
      <protection locked="0"/>
    </xf>
    <xf numFmtId="0" fontId="25" fillId="12" borderId="0" xfId="0" applyFont="1" applyFill="1" applyAlignment="1">
      <alignment horizontal="left" vertical="center"/>
    </xf>
    <xf numFmtId="0" fontId="25" fillId="0" borderId="0" xfId="0" applyFont="1" applyAlignment="1" applyProtection="1">
      <alignment horizontal="right" vertical="center"/>
      <protection locked="0"/>
    </xf>
    <xf numFmtId="0" fontId="25" fillId="0" borderId="0" xfId="0" applyFont="1" applyAlignment="1">
      <alignment vertical="center" wrapText="1"/>
    </xf>
    <xf numFmtId="170" fontId="25" fillId="0" borderId="0" xfId="0" applyNumberFormat="1" applyFont="1" applyAlignment="1">
      <alignment horizontal="left"/>
    </xf>
    <xf numFmtId="0" fontId="21" fillId="12" borderId="0" xfId="0" applyFont="1" applyFill="1" applyAlignment="1">
      <alignment vertical="center"/>
    </xf>
    <xf numFmtId="0" fontId="21" fillId="12" borderId="0" xfId="0" applyFont="1" applyFill="1" applyAlignment="1">
      <alignment horizontal="left" vertical="center"/>
    </xf>
    <xf numFmtId="0" fontId="21" fillId="0" borderId="7" xfId="0" applyFont="1" applyBorder="1" applyAlignment="1">
      <alignment horizontal="center"/>
    </xf>
    <xf numFmtId="0" fontId="31" fillId="12" borderId="0" xfId="0" applyFont="1" applyFill="1" applyAlignment="1">
      <alignment horizontal="left" vertical="center"/>
    </xf>
    <xf numFmtId="0" fontId="81" fillId="0" borderId="0" xfId="0" applyFont="1"/>
    <xf numFmtId="0" fontId="81" fillId="0" borderId="0" xfId="0" applyFont="1" applyAlignment="1">
      <alignment horizontal="center"/>
    </xf>
    <xf numFmtId="0" fontId="85" fillId="0" borderId="0" xfId="0" applyFont="1"/>
    <xf numFmtId="0" fontId="31" fillId="4" borderId="0" xfId="0" applyFont="1" applyFill="1" applyAlignment="1">
      <alignment horizontal="left" vertical="center"/>
    </xf>
    <xf numFmtId="0" fontId="31" fillId="4" borderId="0" xfId="0" applyFont="1" applyFill="1" applyAlignment="1">
      <alignment horizontal="center" vertical="center" wrapText="1"/>
    </xf>
    <xf numFmtId="0" fontId="25" fillId="4" borderId="0" xfId="0" applyFont="1" applyFill="1" applyAlignment="1">
      <alignment horizontal="center"/>
    </xf>
    <xf numFmtId="0" fontId="25" fillId="0" borderId="2" xfId="0" applyFont="1" applyBorder="1" applyAlignment="1">
      <alignment horizontal="center" vertical="center"/>
    </xf>
    <xf numFmtId="0" fontId="21" fillId="0" borderId="17" xfId="0" applyFont="1" applyBorder="1"/>
    <xf numFmtId="0" fontId="21" fillId="0" borderId="18" xfId="0" applyFont="1" applyBorder="1"/>
    <xf numFmtId="0" fontId="25" fillId="0" borderId="2" xfId="0" applyFont="1" applyBorder="1"/>
    <xf numFmtId="0" fontId="25" fillId="0" borderId="2" xfId="0" applyFont="1" applyBorder="1" applyAlignment="1">
      <alignment horizontal="center"/>
    </xf>
    <xf numFmtId="0" fontId="81" fillId="0" borderId="0" xfId="0" applyFont="1" applyAlignment="1">
      <alignment vertical="center"/>
    </xf>
    <xf numFmtId="0" fontId="25" fillId="4" borderId="2" xfId="0" applyFont="1" applyFill="1" applyBorder="1" applyAlignment="1" applyProtection="1">
      <alignment horizontal="center" vertical="center"/>
      <protection locked="0"/>
    </xf>
    <xf numFmtId="0" fontId="81" fillId="0" borderId="0" xfId="0" applyFont="1" applyAlignment="1">
      <alignment horizontal="center" vertical="center"/>
    </xf>
    <xf numFmtId="0" fontId="85" fillId="0" borderId="0" xfId="0" applyFont="1" applyAlignment="1">
      <alignment horizontal="left" vertical="center"/>
    </xf>
    <xf numFmtId="0" fontId="25" fillId="8" borderId="0" xfId="0" applyFont="1" applyFill="1" applyAlignment="1">
      <alignment horizontal="center" vertical="center"/>
    </xf>
    <xf numFmtId="0" fontId="12" fillId="0" borderId="0" xfId="0" applyFont="1" applyAlignment="1">
      <alignment horizontal="center" vertical="center"/>
    </xf>
    <xf numFmtId="0" fontId="25" fillId="0" borderId="2" xfId="0" applyFont="1" applyBorder="1" applyAlignment="1" applyProtection="1">
      <alignment horizontal="center" vertical="center"/>
      <protection locked="0"/>
    </xf>
    <xf numFmtId="0" fontId="81" fillId="4" borderId="0" xfId="0" applyFont="1" applyFill="1" applyAlignment="1">
      <alignment vertical="center"/>
    </xf>
    <xf numFmtId="0" fontId="25" fillId="4" borderId="0" xfId="0" applyFont="1" applyFill="1" applyAlignment="1">
      <alignment horizontal="center" vertical="center"/>
    </xf>
    <xf numFmtId="0" fontId="81" fillId="4" borderId="0" xfId="0" applyFont="1" applyFill="1" applyAlignment="1">
      <alignment horizontal="center" vertical="center"/>
    </xf>
    <xf numFmtId="0" fontId="81" fillId="0" borderId="0" xfId="0" applyFont="1" applyAlignment="1" applyProtection="1">
      <alignment horizontal="center" vertical="center"/>
      <protection locked="0"/>
    </xf>
    <xf numFmtId="0" fontId="81" fillId="0" borderId="0" xfId="0" applyFont="1" applyAlignment="1" applyProtection="1">
      <alignment vertical="center"/>
      <protection locked="0"/>
    </xf>
    <xf numFmtId="0" fontId="81" fillId="0" borderId="6" xfId="0" applyFont="1" applyBorder="1" applyAlignment="1">
      <alignment vertical="center"/>
    </xf>
    <xf numFmtId="0" fontId="0" fillId="0" borderId="14" xfId="0" applyBorder="1" applyAlignment="1" applyProtection="1">
      <alignment vertical="center"/>
      <protection locked="0"/>
    </xf>
    <xf numFmtId="0" fontId="0" fillId="0" borderId="2" xfId="0" applyBorder="1" applyAlignment="1" applyProtection="1">
      <alignment vertical="center"/>
      <protection locked="0"/>
    </xf>
    <xf numFmtId="0" fontId="12" fillId="0" borderId="0" xfId="0" applyFont="1" applyAlignment="1">
      <alignment vertical="center"/>
    </xf>
    <xf numFmtId="0" fontId="25" fillId="0" borderId="8" xfId="0" applyFont="1" applyBorder="1" applyAlignment="1">
      <alignment horizontal="center" vertical="center"/>
    </xf>
    <xf numFmtId="0" fontId="25" fillId="0" borderId="0" xfId="0" applyFont="1" applyAlignment="1">
      <alignment horizontal="left" vertical="center" wrapText="1"/>
    </xf>
    <xf numFmtId="0" fontId="25" fillId="0" borderId="3" xfId="0" applyFont="1" applyBorder="1" applyAlignment="1">
      <alignment horizontal="center" vertical="center"/>
    </xf>
    <xf numFmtId="0" fontId="21" fillId="0" borderId="6" xfId="0" applyFont="1" applyBorder="1" applyAlignment="1">
      <alignment vertical="center"/>
    </xf>
    <xf numFmtId="0" fontId="25" fillId="0" borderId="6" xfId="0" applyFont="1" applyBorder="1" applyAlignment="1">
      <alignment horizontal="center" vertical="center"/>
    </xf>
    <xf numFmtId="0" fontId="85" fillId="0" borderId="0" xfId="0" applyFont="1" applyAlignment="1">
      <alignment vertical="center"/>
    </xf>
    <xf numFmtId="0" fontId="12" fillId="0" borderId="6" xfId="0" applyFont="1" applyBorder="1" applyAlignment="1">
      <alignment horizontal="center" vertical="center"/>
    </xf>
    <xf numFmtId="0" fontId="25" fillId="0" borderId="6" xfId="0" applyFont="1" applyBorder="1" applyAlignment="1" applyProtection="1">
      <alignment horizontal="center" vertical="center"/>
      <protection locked="0"/>
    </xf>
    <xf numFmtId="0" fontId="0" fillId="0" borderId="6" xfId="0" applyBorder="1" applyAlignment="1" applyProtection="1">
      <alignment vertical="center"/>
      <protection locked="0"/>
    </xf>
    <xf numFmtId="0" fontId="40" fillId="0" borderId="0" xfId="0" applyFont="1" applyAlignment="1">
      <alignment vertical="center"/>
    </xf>
    <xf numFmtId="0" fontId="12" fillId="0" borderId="0" xfId="0" applyFont="1" applyAlignment="1">
      <alignment horizontal="center"/>
    </xf>
    <xf numFmtId="0" fontId="86" fillId="0" borderId="0" xfId="0" applyFont="1" applyAlignment="1">
      <alignment horizontal="left" vertical="top"/>
    </xf>
    <xf numFmtId="0" fontId="21" fillId="0" borderId="0" xfId="6" applyFont="1"/>
    <xf numFmtId="0" fontId="15" fillId="0" borderId="0" xfId="6" applyFont="1"/>
    <xf numFmtId="0" fontId="15" fillId="0" borderId="0" xfId="6" applyFont="1" applyAlignment="1">
      <alignment vertical="center"/>
    </xf>
    <xf numFmtId="0" fontId="21" fillId="4" borderId="0" xfId="6" applyFont="1" applyFill="1"/>
    <xf numFmtId="0" fontId="17" fillId="4" borderId="0" xfId="6" applyFont="1" applyFill="1" applyAlignment="1">
      <alignment horizontal="left" vertical="center"/>
    </xf>
    <xf numFmtId="0" fontId="18" fillId="12" borderId="0" xfId="6" applyFont="1" applyFill="1" applyAlignment="1">
      <alignment horizontal="left" vertical="center"/>
    </xf>
    <xf numFmtId="0" fontId="21" fillId="12" borderId="0" xfId="6" applyFont="1" applyFill="1" applyAlignment="1">
      <alignment horizontal="left"/>
    </xf>
    <xf numFmtId="0" fontId="21" fillId="12" borderId="0" xfId="6" applyFont="1" applyFill="1"/>
    <xf numFmtId="0" fontId="25" fillId="4" borderId="0" xfId="6" applyFont="1" applyFill="1" applyAlignment="1">
      <alignment horizontal="left" vertical="center"/>
    </xf>
    <xf numFmtId="0" fontId="17" fillId="0" borderId="0" xfId="6" applyFont="1" applyAlignment="1">
      <alignment horizontal="left" vertical="center"/>
    </xf>
    <xf numFmtId="0" fontId="21" fillId="0" borderId="0" xfId="6" applyFont="1" applyAlignment="1">
      <alignment vertical="center"/>
    </xf>
    <xf numFmtId="0" fontId="21" fillId="0" borderId="0" xfId="6" applyFont="1" applyAlignment="1">
      <alignment vertical="center" wrapText="1"/>
    </xf>
    <xf numFmtId="0" fontId="21" fillId="0" borderId="0" xfId="6" quotePrefix="1" applyFont="1" applyAlignment="1">
      <alignment horizontal="left" vertical="center"/>
    </xf>
    <xf numFmtId="0" fontId="25" fillId="0" borderId="0" xfId="6" applyFont="1" applyAlignment="1">
      <alignment vertical="center"/>
    </xf>
    <xf numFmtId="0" fontId="21" fillId="0" borderId="0" xfId="6" applyFont="1" applyAlignment="1">
      <alignment wrapText="1"/>
    </xf>
    <xf numFmtId="0" fontId="25" fillId="0" borderId="0" xfId="6" applyFont="1" applyAlignment="1">
      <alignment horizontal="centerContinuous" vertical="center"/>
    </xf>
    <xf numFmtId="0" fontId="25" fillId="0" borderId="0" xfId="6" applyFont="1"/>
    <xf numFmtId="0" fontId="21" fillId="0" borderId="0" xfId="6" applyFont="1" applyProtection="1">
      <protection locked="0"/>
    </xf>
    <xf numFmtId="0" fontId="18" fillId="0" borderId="0" xfId="6" applyFont="1" applyAlignment="1" applyProtection="1">
      <alignment horizontal="left" wrapText="1"/>
      <protection locked="0"/>
    </xf>
    <xf numFmtId="0" fontId="21" fillId="0" borderId="0" xfId="6" applyFont="1" applyAlignment="1" applyProtection="1">
      <alignment horizontal="left" vertical="center"/>
      <protection locked="0"/>
    </xf>
    <xf numFmtId="0" fontId="18" fillId="0" borderId="0" xfId="6" applyFont="1" applyAlignment="1" applyProtection="1">
      <alignment wrapText="1"/>
      <protection locked="0"/>
    </xf>
    <xf numFmtId="0" fontId="21" fillId="4" borderId="130" xfId="6" applyFont="1" applyFill="1" applyBorder="1" applyProtection="1">
      <protection locked="0"/>
    </xf>
    <xf numFmtId="0" fontId="21" fillId="4" borderId="0" xfId="6" applyFont="1" applyFill="1" applyAlignment="1" applyProtection="1">
      <alignment vertical="center"/>
      <protection locked="0"/>
    </xf>
    <xf numFmtId="0" fontId="21" fillId="4" borderId="131" xfId="6" applyFont="1" applyFill="1" applyBorder="1" applyAlignment="1" applyProtection="1">
      <alignment vertical="center"/>
      <protection locked="0"/>
    </xf>
    <xf numFmtId="0" fontId="21" fillId="4" borderId="29" xfId="6" applyFont="1" applyFill="1" applyBorder="1" applyAlignment="1" applyProtection="1">
      <alignment vertical="center"/>
      <protection locked="0"/>
    </xf>
    <xf numFmtId="0" fontId="12" fillId="4" borderId="29" xfId="6" applyFont="1" applyFill="1" applyBorder="1" applyAlignment="1" applyProtection="1">
      <alignment vertical="center"/>
      <protection locked="0"/>
    </xf>
    <xf numFmtId="0" fontId="21" fillId="4" borderId="132" xfId="6" applyFont="1" applyFill="1" applyBorder="1" applyProtection="1">
      <protection locked="0"/>
    </xf>
    <xf numFmtId="0" fontId="21" fillId="4" borderId="0" xfId="6" applyFont="1" applyFill="1" applyProtection="1">
      <protection locked="0"/>
    </xf>
    <xf numFmtId="0" fontId="21" fillId="4" borderId="130" xfId="6" applyFont="1" applyFill="1" applyBorder="1" applyAlignment="1" applyProtection="1">
      <alignment horizontal="center"/>
      <protection locked="0"/>
    </xf>
    <xf numFmtId="0" fontId="21" fillId="4" borderId="0" xfId="6" applyFont="1" applyFill="1" applyAlignment="1" applyProtection="1">
      <alignment horizontal="center"/>
      <protection locked="0"/>
    </xf>
    <xf numFmtId="0" fontId="21" fillId="4" borderId="133" xfId="6" applyFont="1" applyFill="1" applyBorder="1" applyAlignment="1" applyProtection="1">
      <alignment vertical="center"/>
      <protection locked="0"/>
    </xf>
    <xf numFmtId="0" fontId="21" fillId="4" borderId="130" xfId="6" applyFont="1" applyFill="1" applyBorder="1" applyAlignment="1" applyProtection="1">
      <alignment vertical="center"/>
      <protection locked="0"/>
    </xf>
    <xf numFmtId="0" fontId="21" fillId="4" borderId="133" xfId="6" applyFont="1" applyFill="1" applyBorder="1" applyProtection="1">
      <protection locked="0"/>
    </xf>
    <xf numFmtId="0" fontId="12" fillId="4" borderId="0" xfId="6" applyFont="1" applyFill="1" applyAlignment="1" applyProtection="1">
      <alignment vertical="center"/>
      <protection locked="0"/>
    </xf>
    <xf numFmtId="0" fontId="21" fillId="4" borderId="134" xfId="6" applyFont="1" applyFill="1" applyBorder="1" applyProtection="1">
      <protection locked="0"/>
    </xf>
    <xf numFmtId="0" fontId="21" fillId="4" borderId="135" xfId="6" applyFont="1" applyFill="1" applyBorder="1" applyAlignment="1" applyProtection="1">
      <alignment vertical="center"/>
      <protection locked="0"/>
    </xf>
    <xf numFmtId="0" fontId="21" fillId="4" borderId="134" xfId="6" applyFont="1" applyFill="1" applyBorder="1" applyAlignment="1" applyProtection="1">
      <alignment vertical="center"/>
      <protection locked="0"/>
    </xf>
    <xf numFmtId="0" fontId="21" fillId="4" borderId="136" xfId="6" applyFont="1" applyFill="1" applyBorder="1" applyProtection="1">
      <protection locked="0"/>
    </xf>
    <xf numFmtId="0" fontId="32" fillId="0" borderId="0" xfId="7" applyFont="1" applyAlignment="1">
      <alignment horizontal="center" vertical="center" wrapText="1"/>
    </xf>
    <xf numFmtId="0" fontId="21" fillId="0" borderId="0" xfId="7" applyAlignment="1">
      <alignment horizontal="center" vertical="center"/>
    </xf>
    <xf numFmtId="0" fontId="56" fillId="0" borderId="0" xfId="7" applyFont="1" applyAlignment="1">
      <alignment vertical="center"/>
    </xf>
    <xf numFmtId="0" fontId="25" fillId="0" borderId="0" xfId="7" applyFont="1" applyAlignment="1">
      <alignment horizontal="left" vertical="center" indent="1"/>
    </xf>
    <xf numFmtId="0" fontId="26" fillId="0" borderId="0" xfId="7" applyFont="1" applyAlignment="1">
      <alignment horizontal="left" vertical="center" indent="1"/>
    </xf>
    <xf numFmtId="0" fontId="43" fillId="12" borderId="0" xfId="7" applyFont="1" applyFill="1" applyAlignment="1">
      <alignment horizontal="left" vertical="center"/>
    </xf>
    <xf numFmtId="0" fontId="87" fillId="0" borderId="0" xfId="6" applyFont="1"/>
    <xf numFmtId="0" fontId="26" fillId="0" borderId="0" xfId="7" applyFont="1" applyAlignment="1">
      <alignment horizontal="center" vertical="center"/>
    </xf>
    <xf numFmtId="0" fontId="26" fillId="0" borderId="0" xfId="7" applyFont="1" applyAlignment="1">
      <alignment vertical="center"/>
    </xf>
    <xf numFmtId="0" fontId="43" fillId="0" borderId="0" xfId="7" applyFont="1" applyAlignment="1">
      <alignment horizontal="center" vertical="center"/>
    </xf>
    <xf numFmtId="0" fontId="43" fillId="0" borderId="0" xfId="7" applyFont="1"/>
    <xf numFmtId="0" fontId="26" fillId="12" borderId="0" xfId="7" applyFont="1" applyFill="1" applyAlignment="1">
      <alignment horizontal="left" vertical="center"/>
    </xf>
    <xf numFmtId="0" fontId="17" fillId="0" borderId="0" xfId="7" applyFont="1" applyAlignment="1">
      <alignment vertical="center"/>
    </xf>
    <xf numFmtId="0" fontId="17" fillId="0" borderId="0" xfId="7" applyFont="1" applyAlignment="1">
      <alignment horizontal="left" vertical="center" indent="1"/>
    </xf>
    <xf numFmtId="165" fontId="18" fillId="0" borderId="0" xfId="7" applyNumberFormat="1" applyFont="1" applyAlignment="1">
      <alignment horizontal="left" vertical="center"/>
    </xf>
    <xf numFmtId="0" fontId="17" fillId="0" borderId="0" xfId="7" applyFont="1" applyAlignment="1">
      <alignment horizontal="center" vertical="center"/>
    </xf>
    <xf numFmtId="0" fontId="97" fillId="0" borderId="137" xfId="6" applyBorder="1" applyProtection="1">
      <protection locked="0"/>
    </xf>
    <xf numFmtId="0" fontId="97" fillId="0" borderId="86" xfId="6" applyBorder="1" applyProtection="1">
      <protection locked="0"/>
    </xf>
    <xf numFmtId="0" fontId="97" fillId="0" borderId="138" xfId="6" applyBorder="1" applyProtection="1">
      <protection locked="0"/>
    </xf>
    <xf numFmtId="0" fontId="97" fillId="0" borderId="10" xfId="6" applyBorder="1" applyProtection="1">
      <protection locked="0"/>
    </xf>
    <xf numFmtId="0" fontId="97" fillId="0" borderId="12" xfId="6" applyBorder="1" applyProtection="1">
      <protection locked="0"/>
    </xf>
    <xf numFmtId="0" fontId="97" fillId="0" borderId="4" xfId="6" applyBorder="1" applyProtection="1">
      <protection locked="0"/>
    </xf>
    <xf numFmtId="0" fontId="97" fillId="0" borderId="11" xfId="6" applyBorder="1" applyProtection="1">
      <protection locked="0"/>
    </xf>
    <xf numFmtId="0" fontId="97" fillId="0" borderId="11" xfId="6" applyBorder="1" applyAlignment="1" applyProtection="1">
      <alignment horizontal="left"/>
      <protection locked="0"/>
    </xf>
    <xf numFmtId="0" fontId="97" fillId="0" borderId="55" xfId="6" applyBorder="1" applyAlignment="1" applyProtection="1">
      <alignment horizontal="left"/>
      <protection locked="0"/>
    </xf>
    <xf numFmtId="0" fontId="97" fillId="0" borderId="10" xfId="6" applyBorder="1" applyAlignment="1" applyProtection="1">
      <alignment horizontal="center"/>
      <protection locked="0"/>
    </xf>
    <xf numFmtId="0" fontId="97" fillId="0" borderId="11" xfId="6" applyBorder="1" applyAlignment="1" applyProtection="1">
      <alignment horizontal="center"/>
      <protection locked="0"/>
    </xf>
    <xf numFmtId="0" fontId="97" fillId="0" borderId="12" xfId="6" applyBorder="1" applyAlignment="1" applyProtection="1">
      <alignment horizontal="center"/>
      <protection locked="0"/>
    </xf>
    <xf numFmtId="0" fontId="97" fillId="0" borderId="59" xfId="6" applyBorder="1" applyAlignment="1" applyProtection="1">
      <alignment horizontal="center"/>
      <protection locked="0"/>
    </xf>
    <xf numFmtId="0" fontId="97" fillId="0" borderId="139" xfId="6" applyBorder="1" applyProtection="1">
      <protection locked="0"/>
    </xf>
    <xf numFmtId="0" fontId="97" fillId="0" borderId="140" xfId="6" applyBorder="1" applyProtection="1">
      <protection locked="0"/>
    </xf>
    <xf numFmtId="0" fontId="97" fillId="0" borderId="141" xfId="6" applyBorder="1" applyProtection="1">
      <protection locked="0"/>
    </xf>
    <xf numFmtId="0" fontId="97" fillId="0" borderId="40" xfId="6" applyBorder="1" applyProtection="1">
      <protection locked="0"/>
    </xf>
    <xf numFmtId="0" fontId="97" fillId="0" borderId="59" xfId="6" applyBorder="1" applyProtection="1">
      <protection locked="0"/>
    </xf>
    <xf numFmtId="0" fontId="97" fillId="0" borderId="46" xfId="6" applyBorder="1" applyProtection="1">
      <protection locked="0"/>
    </xf>
    <xf numFmtId="0" fontId="97" fillId="0" borderId="62" xfId="6" applyBorder="1" applyAlignment="1" applyProtection="1">
      <alignment horizontal="center"/>
      <protection locked="0"/>
    </xf>
    <xf numFmtId="0" fontId="97" fillId="0" borderId="90" xfId="6" applyBorder="1" applyProtection="1">
      <protection locked="0"/>
    </xf>
    <xf numFmtId="0" fontId="97" fillId="0" borderId="91" xfId="6" applyBorder="1" applyProtection="1">
      <protection locked="0"/>
    </xf>
    <xf numFmtId="0" fontId="97" fillId="0" borderId="142" xfId="6" applyBorder="1" applyProtection="1">
      <protection locked="0"/>
    </xf>
    <xf numFmtId="0" fontId="97" fillId="0" borderId="42" xfId="6" applyBorder="1" applyProtection="1">
      <protection locked="0"/>
    </xf>
    <xf numFmtId="0" fontId="97" fillId="0" borderId="62" xfId="6" applyBorder="1" applyProtection="1">
      <protection locked="0"/>
    </xf>
    <xf numFmtId="0" fontId="97" fillId="0" borderId="34" xfId="6" applyBorder="1" applyProtection="1">
      <protection locked="0"/>
    </xf>
    <xf numFmtId="0" fontId="97" fillId="0" borderId="97" xfId="6" applyBorder="1" applyAlignment="1" applyProtection="1">
      <alignment horizontal="center"/>
      <protection locked="0"/>
    </xf>
    <xf numFmtId="0" fontId="97" fillId="0" borderId="114" xfId="6" applyBorder="1" applyProtection="1">
      <protection locked="0"/>
    </xf>
    <xf numFmtId="0" fontId="97" fillId="0" borderId="99" xfId="6" applyBorder="1" applyProtection="1">
      <protection locked="0"/>
    </xf>
    <xf numFmtId="0" fontId="97" fillId="0" borderId="143" xfId="6" applyBorder="1" applyProtection="1">
      <protection locked="0"/>
    </xf>
    <xf numFmtId="0" fontId="97" fillId="0" borderId="26" xfId="6" applyBorder="1" applyProtection="1">
      <protection locked="0"/>
    </xf>
    <xf numFmtId="0" fontId="97" fillId="0" borderId="97" xfId="6" applyBorder="1" applyProtection="1">
      <protection locked="0"/>
    </xf>
    <xf numFmtId="0" fontId="97" fillId="0" borderId="144" xfId="6" applyBorder="1" applyProtection="1">
      <protection locked="0"/>
    </xf>
    <xf numFmtId="0" fontId="97" fillId="0" borderId="0" xfId="6" applyProtection="1">
      <protection locked="0"/>
    </xf>
    <xf numFmtId="0" fontId="83" fillId="0" borderId="0" xfId="6" applyFont="1" applyAlignment="1" applyProtection="1">
      <alignment horizontal="left"/>
      <protection locked="0"/>
    </xf>
    <xf numFmtId="0" fontId="25" fillId="0" borderId="29" xfId="7" applyFont="1" applyBorder="1" applyAlignment="1" applyProtection="1">
      <alignment vertical="top" wrapText="1"/>
      <protection locked="0"/>
    </xf>
    <xf numFmtId="0" fontId="97" fillId="0" borderId="29" xfId="6" applyBorder="1" applyProtection="1">
      <protection locked="0"/>
    </xf>
    <xf numFmtId="0" fontId="25" fillId="0" borderId="29" xfId="7" applyFont="1" applyBorder="1" applyAlignment="1" applyProtection="1">
      <alignment horizontal="center" vertical="top" wrapText="1"/>
      <protection locked="0"/>
    </xf>
    <xf numFmtId="0" fontId="97" fillId="0" borderId="30" xfId="6" applyBorder="1" applyProtection="1">
      <protection locked="0"/>
    </xf>
    <xf numFmtId="0" fontId="32" fillId="12" borderId="0" xfId="7" applyFont="1" applyFill="1" applyAlignment="1" applyProtection="1">
      <alignment horizontal="center" vertical="center"/>
      <protection locked="0"/>
    </xf>
    <xf numFmtId="0" fontId="97" fillId="0" borderId="35" xfId="6" applyBorder="1" applyProtection="1">
      <protection locked="0"/>
    </xf>
    <xf numFmtId="0" fontId="83" fillId="0" borderId="1" xfId="6" applyFont="1" applyBorder="1" applyAlignment="1" applyProtection="1">
      <alignment vertical="center"/>
      <protection locked="0"/>
    </xf>
    <xf numFmtId="0" fontId="83" fillId="0" borderId="0" xfId="6" applyFont="1" applyAlignment="1" applyProtection="1">
      <alignment horizontal="left" wrapText="1"/>
      <protection locked="0"/>
    </xf>
    <xf numFmtId="0" fontId="25" fillId="0" borderId="1" xfId="7" applyFont="1" applyBorder="1" applyAlignment="1">
      <alignment horizontal="left" vertical="center"/>
    </xf>
    <xf numFmtId="0" fontId="97" fillId="0" borderId="0" xfId="6" applyAlignment="1" applyProtection="1">
      <alignment vertical="center"/>
      <protection locked="0"/>
    </xf>
    <xf numFmtId="0" fontId="25" fillId="0" borderId="0" xfId="7" applyFont="1" applyAlignment="1" applyProtection="1">
      <alignment horizontal="left" vertical="center" wrapText="1"/>
      <protection locked="0"/>
    </xf>
    <xf numFmtId="0" fontId="25" fillId="0" borderId="0" xfId="7" applyFont="1" applyAlignment="1" applyProtection="1">
      <alignment vertical="center" wrapText="1"/>
      <protection locked="0"/>
    </xf>
    <xf numFmtId="0" fontId="97" fillId="0" borderId="35" xfId="6" applyBorder="1" applyAlignment="1" applyProtection="1">
      <alignment vertical="center"/>
      <protection locked="0"/>
    </xf>
    <xf numFmtId="0" fontId="25" fillId="0" borderId="1" xfId="7" applyFont="1" applyBorder="1" applyAlignment="1" applyProtection="1">
      <alignment horizontal="left" vertical="center" wrapText="1"/>
      <protection locked="0"/>
    </xf>
    <xf numFmtId="0" fontId="97" fillId="0" borderId="0" xfId="6" applyAlignment="1">
      <alignment vertical="center"/>
    </xf>
    <xf numFmtId="0" fontId="25" fillId="0" borderId="36" xfId="7" applyFont="1" applyBorder="1" applyAlignment="1">
      <alignment vertical="top" wrapText="1"/>
    </xf>
    <xf numFmtId="0" fontId="97" fillId="0" borderId="37" xfId="6" applyBorder="1" applyProtection="1">
      <protection locked="0"/>
    </xf>
    <xf numFmtId="0" fontId="25" fillId="0" borderId="37" xfId="7" applyFont="1" applyBorder="1" applyAlignment="1" applyProtection="1">
      <alignment vertical="top" wrapText="1"/>
      <protection locked="0"/>
    </xf>
    <xf numFmtId="0" fontId="97" fillId="0" borderId="38" xfId="6" applyBorder="1" applyProtection="1">
      <protection locked="0"/>
    </xf>
    <xf numFmtId="0" fontId="25" fillId="0" borderId="36" xfId="7" applyFont="1" applyBorder="1" applyAlignment="1" applyProtection="1">
      <alignment vertical="top" wrapText="1"/>
      <protection locked="0"/>
    </xf>
    <xf numFmtId="0" fontId="21" fillId="0" borderId="0" xfId="7" applyAlignment="1">
      <alignment vertical="center" wrapText="1"/>
    </xf>
    <xf numFmtId="0" fontId="25" fillId="0" borderId="17" xfId="0" applyFont="1" applyBorder="1" applyAlignment="1">
      <alignment horizontal="center" vertical="center"/>
    </xf>
    <xf numFmtId="0" fontId="25" fillId="4" borderId="17" xfId="0" applyFont="1" applyFill="1" applyBorder="1" applyAlignment="1">
      <alignment horizontal="center" vertical="center"/>
    </xf>
    <xf numFmtId="0" fontId="21" fillId="0" borderId="0" xfId="6" applyFont="1" applyAlignment="1">
      <alignment horizontal="left" vertical="center"/>
    </xf>
    <xf numFmtId="0" fontId="26" fillId="0" borderId="0" xfId="7" applyFont="1" applyAlignment="1">
      <alignment horizontal="left" vertical="center"/>
    </xf>
    <xf numFmtId="0" fontId="26" fillId="0" borderId="0" xfId="7" applyFont="1" applyAlignment="1">
      <alignment horizontal="right" vertical="center"/>
    </xf>
    <xf numFmtId="0" fontId="89" fillId="0" borderId="0" xfId="6" applyFont="1" applyAlignment="1">
      <alignment horizontal="center" vertical="center" textRotation="90"/>
    </xf>
    <xf numFmtId="0" fontId="25" fillId="0" borderId="0" xfId="7" applyFont="1" applyAlignment="1">
      <alignment horizontal="center" vertical="top" wrapText="1"/>
    </xf>
    <xf numFmtId="0" fontId="83" fillId="0" borderId="0" xfId="6" applyFont="1" applyAlignment="1">
      <alignment horizontal="left"/>
    </xf>
    <xf numFmtId="0" fontId="25" fillId="0" borderId="0" xfId="7" applyFont="1" applyAlignment="1">
      <alignment horizontal="left" vertical="top" wrapText="1"/>
    </xf>
    <xf numFmtId="0" fontId="32" fillId="12" borderId="0" xfId="7" applyFont="1" applyFill="1" applyAlignment="1">
      <alignment horizontal="center" vertical="center"/>
    </xf>
    <xf numFmtId="0" fontId="97" fillId="0" borderId="37" xfId="6" applyBorder="1"/>
    <xf numFmtId="0" fontId="90" fillId="0" borderId="28" xfId="6" applyFont="1" applyBorder="1" applyProtection="1">
      <protection locked="0"/>
    </xf>
    <xf numFmtId="0" fontId="56" fillId="0" borderId="0" xfId="10" applyFont="1" applyAlignment="1">
      <alignment vertical="center"/>
    </xf>
    <xf numFmtId="0" fontId="10" fillId="0" borderId="0" xfId="11"/>
    <xf numFmtId="0" fontId="11" fillId="0" borderId="0" xfId="10" applyAlignment="1">
      <alignment horizontal="left"/>
    </xf>
    <xf numFmtId="0" fontId="11" fillId="0" borderId="0" xfId="10"/>
    <xf numFmtId="0" fontId="17" fillId="0" borderId="0" xfId="10" applyFont="1" applyAlignment="1">
      <alignment vertical="center"/>
    </xf>
    <xf numFmtId="0" fontId="18" fillId="12" borderId="0" xfId="10" applyFont="1" applyFill="1" applyAlignment="1">
      <alignment horizontal="left" vertical="center"/>
    </xf>
    <xf numFmtId="0" fontId="25" fillId="0" borderId="0" xfId="10" applyFont="1" applyAlignment="1">
      <alignment horizontal="center" vertical="center"/>
    </xf>
    <xf numFmtId="0" fontId="11" fillId="0" borderId="0" xfId="10" applyAlignment="1">
      <alignment horizontal="center" vertical="center"/>
    </xf>
    <xf numFmtId="0" fontId="32" fillId="12" borderId="0" xfId="10" applyFont="1" applyFill="1" applyAlignment="1">
      <alignment horizontal="left" vertical="center"/>
    </xf>
    <xf numFmtId="0" fontId="32" fillId="0" borderId="0" xfId="10" applyFont="1" applyAlignment="1">
      <alignment vertical="center"/>
    </xf>
    <xf numFmtId="0" fontId="32" fillId="0" borderId="0" xfId="10" applyFont="1" applyAlignment="1">
      <alignment horizontal="left" vertical="center"/>
    </xf>
    <xf numFmtId="0" fontId="17" fillId="0" borderId="0" xfId="10" applyFont="1" applyAlignment="1">
      <alignment horizontal="right" vertical="center"/>
    </xf>
    <xf numFmtId="0" fontId="18" fillId="0" borderId="0" xfId="10" applyFont="1" applyAlignment="1">
      <alignment horizontal="center" vertical="center"/>
    </xf>
    <xf numFmtId="0" fontId="18" fillId="0" borderId="0" xfId="10" applyFont="1" applyAlignment="1">
      <alignment vertical="center" wrapText="1"/>
    </xf>
    <xf numFmtId="165" fontId="17" fillId="0" borderId="0" xfId="10" applyNumberFormat="1" applyFont="1" applyAlignment="1">
      <alignment horizontal="right" vertical="center"/>
    </xf>
    <xf numFmtId="0" fontId="10" fillId="0" borderId="0" xfId="11" applyProtection="1">
      <protection locked="0"/>
    </xf>
    <xf numFmtId="165" fontId="18" fillId="0" borderId="0" xfId="10" applyNumberFormat="1" applyFont="1" applyAlignment="1" applyProtection="1">
      <alignment vertical="center"/>
      <protection locked="0"/>
    </xf>
    <xf numFmtId="165" fontId="18" fillId="0" borderId="0" xfId="10" applyNumberFormat="1" applyFont="1" applyAlignment="1" applyProtection="1">
      <alignment horizontal="left" vertical="center"/>
      <protection locked="0"/>
    </xf>
    <xf numFmtId="165" fontId="18" fillId="0" borderId="0" xfId="10" applyNumberFormat="1" applyFont="1" applyAlignment="1">
      <alignment horizontal="left" vertical="center"/>
    </xf>
    <xf numFmtId="0" fontId="17" fillId="0" borderId="0" xfId="10" applyFont="1" applyAlignment="1">
      <alignment horizontal="center" vertical="center"/>
    </xf>
    <xf numFmtId="0" fontId="17" fillId="0" borderId="0" xfId="10" applyFont="1" applyAlignment="1" applyProtection="1">
      <alignment horizontal="left" vertical="center" indent="1"/>
      <protection locked="0"/>
    </xf>
    <xf numFmtId="0" fontId="10" fillId="0" borderId="0" xfId="11" applyAlignment="1" applyProtection="1">
      <alignment horizontal="center" vertical="center"/>
      <protection locked="0"/>
    </xf>
    <xf numFmtId="0" fontId="43" fillId="0" borderId="0" xfId="10" applyFont="1" applyAlignment="1" applyProtection="1">
      <alignment horizontal="left" vertical="center" indent="1"/>
      <protection locked="0"/>
    </xf>
    <xf numFmtId="0" fontId="11" fillId="0" borderId="0" xfId="10" applyAlignment="1">
      <alignment horizontal="left" vertical="center" indent="1"/>
    </xf>
    <xf numFmtId="0" fontId="57" fillId="0" borderId="0" xfId="10" applyFont="1" applyProtection="1">
      <protection locked="0"/>
    </xf>
    <xf numFmtId="0" fontId="25" fillId="0" borderId="0" xfId="10" applyFont="1"/>
    <xf numFmtId="0" fontId="11" fillId="0" borderId="0" xfId="10" applyAlignment="1">
      <alignment vertical="center" wrapText="1"/>
    </xf>
    <xf numFmtId="0" fontId="25" fillId="0" borderId="0" xfId="10" applyFont="1" applyAlignment="1" applyProtection="1">
      <alignment horizontal="center" vertical="center" wrapText="1"/>
      <protection locked="0"/>
    </xf>
    <xf numFmtId="0" fontId="29" fillId="0" borderId="0" xfId="10" applyFont="1" applyAlignment="1" applyProtection="1">
      <alignment vertical="center" wrapText="1"/>
      <protection locked="0"/>
    </xf>
    <xf numFmtId="0" fontId="25" fillId="0" borderId="0" xfId="10" applyFont="1" applyProtection="1">
      <protection locked="0"/>
    </xf>
    <xf numFmtId="0" fontId="25" fillId="0" borderId="0" xfId="10" applyFont="1" applyAlignment="1" applyProtection="1">
      <alignment vertical="center" wrapText="1"/>
      <protection locked="0"/>
    </xf>
    <xf numFmtId="0" fontId="25" fillId="0" borderId="0" xfId="10" applyFont="1" applyAlignment="1" applyProtection="1">
      <alignment vertical="center"/>
      <protection locked="0"/>
    </xf>
    <xf numFmtId="0" fontId="18" fillId="2" borderId="0" xfId="10" applyFont="1" applyFill="1" applyAlignment="1">
      <alignment horizontal="left" vertical="center" indent="1"/>
    </xf>
    <xf numFmtId="0" fontId="25" fillId="2" borderId="0" xfId="10" applyFont="1" applyFill="1" applyAlignment="1">
      <alignment vertical="center" wrapText="1"/>
    </xf>
    <xf numFmtId="0" fontId="25" fillId="2" borderId="0" xfId="10" applyFont="1" applyFill="1" applyAlignment="1">
      <alignment horizontal="center" vertical="center" wrapText="1"/>
    </xf>
    <xf numFmtId="0" fontId="25" fillId="2" borderId="0" xfId="10" applyFont="1" applyFill="1" applyAlignment="1">
      <alignment vertical="center"/>
    </xf>
    <xf numFmtId="0" fontId="10" fillId="2" borderId="0" xfId="11" applyFill="1"/>
    <xf numFmtId="0" fontId="25" fillId="2" borderId="0" xfId="10" applyFont="1" applyFill="1" applyAlignment="1" applyProtection="1">
      <alignment vertical="center"/>
      <protection locked="0"/>
    </xf>
    <xf numFmtId="0" fontId="25" fillId="2" borderId="0" xfId="10" applyFont="1" applyFill="1" applyAlignment="1" applyProtection="1">
      <alignment horizontal="center" vertical="center" wrapText="1"/>
      <protection locked="0"/>
    </xf>
    <xf numFmtId="0" fontId="25" fillId="2" borderId="0" xfId="10" applyFont="1" applyFill="1" applyAlignment="1" applyProtection="1">
      <alignment vertical="center" wrapText="1"/>
      <protection locked="0"/>
    </xf>
    <xf numFmtId="0" fontId="29" fillId="2" borderId="0" xfId="10" applyFont="1" applyFill="1" applyAlignment="1" applyProtection="1">
      <alignment vertical="center" wrapText="1"/>
      <protection locked="0"/>
    </xf>
    <xf numFmtId="0" fontId="25" fillId="2" borderId="0" xfId="10" applyFont="1" applyFill="1" applyProtection="1">
      <protection locked="0"/>
    </xf>
    <xf numFmtId="0" fontId="78" fillId="0" borderId="28" xfId="11" applyFont="1" applyBorder="1"/>
    <xf numFmtId="0" fontId="25" fillId="0" borderId="29" xfId="10" applyFont="1" applyBorder="1" applyAlignment="1">
      <alignment vertical="top" wrapText="1"/>
    </xf>
    <xf numFmtId="0" fontId="25" fillId="0" borderId="30" xfId="10" applyFont="1" applyBorder="1" applyAlignment="1">
      <alignment vertical="top" wrapText="1"/>
    </xf>
    <xf numFmtId="0" fontId="10" fillId="0" borderId="29" xfId="11" applyBorder="1"/>
    <xf numFmtId="0" fontId="25" fillId="0" borderId="30" xfId="10" applyFont="1" applyBorder="1" applyAlignment="1">
      <alignment horizontal="center" vertical="top" wrapText="1"/>
    </xf>
    <xf numFmtId="0" fontId="11" fillId="0" borderId="0" xfId="12"/>
    <xf numFmtId="0" fontId="25" fillId="0" borderId="0" xfId="12" applyFont="1"/>
    <xf numFmtId="0" fontId="11" fillId="0" borderId="0" xfId="12" applyAlignment="1">
      <alignment vertical="center"/>
    </xf>
    <xf numFmtId="0" fontId="17" fillId="0" borderId="0" xfId="12" applyFont="1" applyAlignment="1">
      <alignment vertical="center"/>
    </xf>
    <xf numFmtId="0" fontId="11" fillId="4" borderId="0" xfId="12" applyFill="1"/>
    <xf numFmtId="0" fontId="11" fillId="0" borderId="2" xfId="12" applyBorder="1" applyProtection="1">
      <protection locked="0"/>
    </xf>
    <xf numFmtId="0" fontId="11" fillId="0" borderId="0" xfId="12" applyProtection="1">
      <protection locked="0"/>
    </xf>
    <xf numFmtId="0" fontId="12" fillId="4" borderId="0" xfId="12" applyFont="1" applyFill="1" applyAlignment="1">
      <alignment horizontal="center" vertical="center"/>
    </xf>
    <xf numFmtId="0" fontId="11" fillId="0" borderId="1" xfId="12" applyBorder="1"/>
    <xf numFmtId="0" fontId="11" fillId="0" borderId="35" xfId="12" applyBorder="1"/>
    <xf numFmtId="0" fontId="11" fillId="0" borderId="30" xfId="12" applyBorder="1"/>
    <xf numFmtId="0" fontId="11" fillId="0" borderId="38" xfId="12" applyBorder="1"/>
    <xf numFmtId="0" fontId="25" fillId="4" borderId="0" xfId="12" applyFont="1" applyFill="1" applyAlignment="1">
      <alignment horizontal="left" vertical="center"/>
    </xf>
    <xf numFmtId="0" fontId="11" fillId="4" borderId="0" xfId="12" applyFill="1" applyAlignment="1">
      <alignment vertical="center"/>
    </xf>
    <xf numFmtId="0" fontId="11" fillId="4" borderId="0" xfId="12" applyFill="1" applyAlignment="1">
      <alignment horizontal="center"/>
    </xf>
    <xf numFmtId="0" fontId="25" fillId="0" borderId="8" xfId="12" applyFont="1" applyBorder="1" applyAlignment="1">
      <alignment vertical="center"/>
    </xf>
    <xf numFmtId="0" fontId="11" fillId="0" borderId="8" xfId="12" applyBorder="1"/>
    <xf numFmtId="0" fontId="11" fillId="0" borderId="10" xfId="12" applyBorder="1"/>
    <xf numFmtId="0" fontId="31" fillId="4" borderId="0" xfId="12" applyFont="1" applyFill="1"/>
    <xf numFmtId="0" fontId="15" fillId="0" borderId="0" xfId="12" applyFont="1" applyAlignment="1">
      <alignment horizontal="left"/>
    </xf>
    <xf numFmtId="0" fontId="15" fillId="0" borderId="0" xfId="12" applyFont="1" applyAlignment="1">
      <alignment vertical="center"/>
    </xf>
    <xf numFmtId="0" fontId="31" fillId="0" borderId="0" xfId="12" applyFont="1" applyAlignment="1">
      <alignment vertical="center"/>
    </xf>
    <xf numFmtId="0" fontId="39" fillId="0" borderId="0" xfId="12" applyFont="1" applyAlignment="1">
      <alignment vertical="center"/>
    </xf>
    <xf numFmtId="0" fontId="15" fillId="0" borderId="0" xfId="12" applyFont="1"/>
    <xf numFmtId="0" fontId="25" fillId="0" borderId="0" xfId="12" applyFont="1" applyAlignment="1">
      <alignment horizontal="center" vertical="center" wrapText="1"/>
    </xf>
    <xf numFmtId="0" fontId="18" fillId="0" borderId="0" xfId="12" applyFont="1" applyAlignment="1">
      <alignment vertical="center"/>
    </xf>
    <xf numFmtId="0" fontId="11" fillId="0" borderId="5" xfId="12" applyBorder="1" applyAlignment="1">
      <alignment vertical="center"/>
    </xf>
    <xf numFmtId="0" fontId="11" fillId="0" borderId="6" xfId="12" applyBorder="1" applyAlignment="1">
      <alignment vertical="center"/>
    </xf>
    <xf numFmtId="0" fontId="11" fillId="0" borderId="13" xfId="12" applyBorder="1" applyAlignment="1">
      <alignment vertical="center"/>
    </xf>
    <xf numFmtId="0" fontId="11" fillId="0" borderId="6" xfId="12" applyBorder="1"/>
    <xf numFmtId="0" fontId="11" fillId="0" borderId="13" xfId="12" applyBorder="1"/>
    <xf numFmtId="0" fontId="11" fillId="0" borderId="9" xfId="12" applyBorder="1"/>
    <xf numFmtId="0" fontId="11" fillId="0" borderId="12" xfId="12" applyBorder="1"/>
    <xf numFmtId="0" fontId="11" fillId="0" borderId="36" xfId="12" applyBorder="1"/>
    <xf numFmtId="0" fontId="11" fillId="0" borderId="37" xfId="12" applyBorder="1"/>
    <xf numFmtId="0" fontId="12" fillId="0" borderId="0" xfId="12" applyFont="1" applyAlignment="1">
      <alignment horizontal="center"/>
    </xf>
    <xf numFmtId="0" fontId="36" fillId="0" borderId="0" xfId="12" applyFont="1" applyAlignment="1">
      <alignment vertical="center"/>
    </xf>
    <xf numFmtId="0" fontId="27" fillId="0" borderId="0" xfId="12" applyFont="1"/>
    <xf numFmtId="0" fontId="25" fillId="0" borderId="1" xfId="12" applyFont="1" applyBorder="1" applyAlignment="1">
      <alignment horizontal="center" vertical="center"/>
    </xf>
    <xf numFmtId="0" fontId="25" fillId="0" borderId="0" xfId="12" applyFont="1" applyAlignment="1">
      <alignment horizontal="center" vertical="center"/>
    </xf>
    <xf numFmtId="0" fontId="12" fillId="0" borderId="155" xfId="12" applyFont="1" applyBorder="1" applyAlignment="1">
      <alignment horizontal="center"/>
    </xf>
    <xf numFmtId="0" fontId="25" fillId="0" borderId="156" xfId="12" applyFont="1" applyBorder="1" applyAlignment="1">
      <alignment horizontal="center"/>
    </xf>
    <xf numFmtId="0" fontId="11" fillId="0" borderId="156" xfId="12" applyBorder="1" applyAlignment="1">
      <alignment horizontal="center"/>
    </xf>
    <xf numFmtId="0" fontId="12" fillId="0" borderId="156" xfId="12" applyFont="1" applyBorder="1" applyAlignment="1">
      <alignment horizontal="center"/>
    </xf>
    <xf numFmtId="0" fontId="41" fillId="0" borderId="0" xfId="12" applyFont="1"/>
    <xf numFmtId="0" fontId="105" fillId="0" borderId="28" xfId="12" applyFont="1" applyBorder="1" applyAlignment="1">
      <alignment horizontal="center" vertical="center"/>
    </xf>
    <xf numFmtId="0" fontId="105" fillId="0" borderId="29" xfId="12" applyFont="1" applyBorder="1" applyAlignment="1">
      <alignment horizontal="center" vertical="center"/>
    </xf>
    <xf numFmtId="0" fontId="11" fillId="0" borderId="0" xfId="12" applyAlignment="1">
      <alignment horizontal="left"/>
    </xf>
    <xf numFmtId="0" fontId="94" fillId="0" borderId="156" xfId="12" applyFont="1" applyBorder="1" applyAlignment="1">
      <alignment horizontal="center"/>
    </xf>
    <xf numFmtId="0" fontId="99" fillId="0" borderId="156" xfId="12" applyFont="1" applyBorder="1" applyAlignment="1">
      <alignment horizontal="center"/>
    </xf>
    <xf numFmtId="0" fontId="103" fillId="0" borderId="1" xfId="12" applyFont="1" applyBorder="1" applyAlignment="1">
      <alignment horizontal="left" vertical="top"/>
    </xf>
    <xf numFmtId="0" fontId="103" fillId="0" borderId="0" xfId="12" applyFont="1" applyAlignment="1">
      <alignment horizontal="left" vertical="top"/>
    </xf>
    <xf numFmtId="0" fontId="12" fillId="0" borderId="158" xfId="12" applyFont="1" applyBorder="1" applyAlignment="1">
      <alignment horizontal="center"/>
    </xf>
    <xf numFmtId="0" fontId="25" fillId="0" borderId="28" xfId="12" applyFont="1" applyBorder="1" applyAlignment="1">
      <alignment horizontal="left" vertical="top" wrapText="1"/>
    </xf>
    <xf numFmtId="0" fontId="25" fillId="0" borderId="29" xfId="12" applyFont="1" applyBorder="1" applyAlignment="1">
      <alignment horizontal="left" vertical="top" wrapText="1"/>
    </xf>
    <xf numFmtId="0" fontId="11" fillId="0" borderId="155" xfId="12" applyBorder="1" applyAlignment="1">
      <alignment horizontal="center" vertical="top" wrapText="1"/>
    </xf>
    <xf numFmtId="0" fontId="11" fillId="0" borderId="0" xfId="12" applyAlignment="1">
      <alignment horizontal="center"/>
    </xf>
    <xf numFmtId="0" fontId="11" fillId="0" borderId="156" xfId="12" applyBorder="1" applyAlignment="1">
      <alignment horizontal="center" vertical="top" wrapText="1"/>
    </xf>
    <xf numFmtId="0" fontId="29" fillId="0" borderId="0" xfId="12" applyFont="1" applyAlignment="1">
      <alignment horizontal="center"/>
    </xf>
    <xf numFmtId="0" fontId="99" fillId="0" borderId="156" xfId="12" applyFont="1" applyBorder="1" applyAlignment="1">
      <alignment horizontal="center" vertical="top" wrapText="1"/>
    </xf>
    <xf numFmtId="0" fontId="12" fillId="0" borderId="156" xfId="12" applyFont="1" applyBorder="1" applyAlignment="1">
      <alignment horizontal="center" vertical="top" wrapText="1"/>
    </xf>
    <xf numFmtId="0" fontId="25" fillId="0" borderId="1" xfId="12" applyFont="1" applyBorder="1" applyAlignment="1">
      <alignment horizontal="center" vertical="top"/>
    </xf>
    <xf numFmtId="0" fontId="25" fillId="0" borderId="0" xfId="12" applyFont="1" applyAlignment="1">
      <alignment horizontal="center" vertical="top"/>
    </xf>
    <xf numFmtId="0" fontId="25" fillId="0" borderId="194" xfId="12" applyFont="1" applyBorder="1" applyAlignment="1">
      <alignment horizontal="left"/>
    </xf>
    <xf numFmtId="0" fontId="11" fillId="0" borderId="15" xfId="12" applyBorder="1" applyAlignment="1">
      <alignment horizontal="left"/>
    </xf>
    <xf numFmtId="0" fontId="11" fillId="0" borderId="119" xfId="12" applyBorder="1" applyAlignment="1">
      <alignment horizontal="left"/>
    </xf>
    <xf numFmtId="0" fontId="25" fillId="0" borderId="0" xfId="12" applyFont="1" applyAlignment="1">
      <alignment vertical="center"/>
    </xf>
    <xf numFmtId="0" fontId="12" fillId="0" borderId="158" xfId="12" applyFont="1" applyBorder="1" applyAlignment="1">
      <alignment horizontal="center" vertical="top" wrapText="1"/>
    </xf>
    <xf numFmtId="0" fontId="31" fillId="0" borderId="0" xfId="12" applyFont="1"/>
    <xf numFmtId="0" fontId="31" fillId="0" borderId="0" xfId="12" applyFont="1" applyAlignment="1">
      <alignment horizontal="center"/>
    </xf>
    <xf numFmtId="0" fontId="59" fillId="0" borderId="0" xfId="12" applyFont="1"/>
    <xf numFmtId="0" fontId="15" fillId="0" borderId="54" xfId="12" applyFont="1" applyBorder="1" applyAlignment="1">
      <alignment horizontal="center" vertical="center"/>
    </xf>
    <xf numFmtId="0" fontId="15" fillId="0" borderId="4" xfId="12" applyFont="1" applyBorder="1" applyAlignment="1">
      <alignment horizontal="center" vertical="center" wrapText="1"/>
    </xf>
    <xf numFmtId="0" fontId="15" fillId="0" borderId="55" xfId="12" applyFont="1" applyBorder="1" applyAlignment="1">
      <alignment horizontal="center" vertical="center" wrapText="1"/>
    </xf>
    <xf numFmtId="0" fontId="15" fillId="0" borderId="44" xfId="12" applyFont="1" applyBorder="1" applyAlignment="1">
      <alignment horizontal="center" wrapText="1"/>
    </xf>
    <xf numFmtId="0" fontId="31" fillId="0" borderId="71" xfId="12" applyFont="1" applyBorder="1" applyAlignment="1">
      <alignment horizontal="center"/>
    </xf>
    <xf numFmtId="0" fontId="31" fillId="0" borderId="14" xfId="12" applyFont="1" applyBorder="1" applyAlignment="1">
      <alignment horizontal="center"/>
    </xf>
    <xf numFmtId="0" fontId="31" fillId="0" borderId="47" xfId="12" applyFont="1" applyBorder="1" applyAlignment="1">
      <alignment horizontal="center"/>
    </xf>
    <xf numFmtId="0" fontId="31" fillId="0" borderId="69" xfId="12" applyFont="1" applyBorder="1" applyAlignment="1">
      <alignment horizontal="center"/>
    </xf>
    <xf numFmtId="0" fontId="31" fillId="0" borderId="3" xfId="12" applyFont="1" applyBorder="1" applyAlignment="1">
      <alignment horizontal="center"/>
    </xf>
    <xf numFmtId="0" fontId="31" fillId="0" borderId="70" xfId="12" applyFont="1" applyBorder="1" applyAlignment="1">
      <alignment horizontal="center"/>
    </xf>
    <xf numFmtId="0" fontId="31" fillId="0" borderId="63" xfId="12" applyFont="1" applyBorder="1" applyAlignment="1">
      <alignment horizontal="center"/>
    </xf>
    <xf numFmtId="0" fontId="31" fillId="0" borderId="64" xfId="12" applyFont="1" applyBorder="1" applyAlignment="1">
      <alignment horizontal="center"/>
    </xf>
    <xf numFmtId="0" fontId="31" fillId="0" borderId="66" xfId="12" applyFont="1" applyBorder="1" applyAlignment="1">
      <alignment horizontal="center"/>
    </xf>
    <xf numFmtId="0" fontId="15" fillId="0" borderId="12" xfId="12" applyFont="1" applyBorder="1" applyAlignment="1">
      <alignment horizontal="center" vertical="center"/>
    </xf>
    <xf numFmtId="0" fontId="15" fillId="0" borderId="4" xfId="12" applyFont="1" applyBorder="1" applyAlignment="1">
      <alignment horizontal="center" vertical="center"/>
    </xf>
    <xf numFmtId="0" fontId="15" fillId="0" borderId="12" xfId="12" applyFont="1" applyBorder="1" applyAlignment="1">
      <alignment horizontal="center" vertical="center" wrapText="1"/>
    </xf>
    <xf numFmtId="0" fontId="15" fillId="0" borderId="44" xfId="12" applyFont="1" applyBorder="1" applyAlignment="1">
      <alignment horizontal="center" vertical="center" wrapText="1"/>
    </xf>
    <xf numFmtId="0" fontId="15" fillId="0" borderId="13" xfId="12" applyFont="1" applyBorder="1" applyAlignment="1">
      <alignment horizontal="center" vertical="center"/>
    </xf>
    <xf numFmtId="0" fontId="15" fillId="0" borderId="14" xfId="12" applyFont="1" applyBorder="1" applyAlignment="1">
      <alignment horizontal="center" vertical="center"/>
    </xf>
    <xf numFmtId="0" fontId="15" fillId="0" borderId="14" xfId="12" applyFont="1" applyBorder="1" applyAlignment="1">
      <alignment horizontal="center" vertical="center" wrapText="1"/>
    </xf>
    <xf numFmtId="0" fontId="15" fillId="0" borderId="47" xfId="12" applyFont="1" applyBorder="1" applyAlignment="1">
      <alignment horizontal="center" vertical="center" wrapText="1"/>
    </xf>
    <xf numFmtId="0" fontId="15" fillId="0" borderId="9" xfId="12" applyFont="1" applyBorder="1" applyAlignment="1">
      <alignment horizontal="center" vertical="center"/>
    </xf>
    <xf numFmtId="0" fontId="15" fillId="0" borderId="3" xfId="12" applyFont="1" applyBorder="1" applyAlignment="1">
      <alignment horizontal="center" vertical="center"/>
    </xf>
    <xf numFmtId="0" fontId="15" fillId="0" borderId="3" xfId="12" applyFont="1" applyBorder="1" applyAlignment="1">
      <alignment horizontal="center" vertical="center" wrapText="1"/>
    </xf>
    <xf numFmtId="0" fontId="15" fillId="0" borderId="70" xfId="12" applyFont="1" applyBorder="1" applyAlignment="1">
      <alignment horizontal="center" vertical="center" wrapText="1"/>
    </xf>
    <xf numFmtId="0" fontId="15" fillId="0" borderId="9" xfId="12" applyFont="1" applyBorder="1" applyAlignment="1">
      <alignment horizontal="center"/>
    </xf>
    <xf numFmtId="0" fontId="15" fillId="0" borderId="3" xfId="12" applyFont="1" applyBorder="1" applyAlignment="1">
      <alignment horizontal="center"/>
    </xf>
    <xf numFmtId="0" fontId="15" fillId="0" borderId="70" xfId="12" applyFont="1" applyBorder="1" applyAlignment="1">
      <alignment horizontal="center"/>
    </xf>
    <xf numFmtId="0" fontId="15" fillId="0" borderId="65" xfId="12" applyFont="1" applyBorder="1" applyAlignment="1">
      <alignment horizontal="center" vertical="center"/>
    </xf>
    <xf numFmtId="0" fontId="15" fillId="0" borderId="64" xfId="12" applyFont="1" applyBorder="1" applyAlignment="1">
      <alignment horizontal="center" vertical="center"/>
    </xf>
    <xf numFmtId="0" fontId="15" fillId="0" borderId="64" xfId="12" applyFont="1" applyBorder="1" applyAlignment="1">
      <alignment horizontal="center" vertical="center" wrapText="1"/>
    </xf>
    <xf numFmtId="0" fontId="15" fillId="0" borderId="66" xfId="12" applyFont="1" applyBorder="1" applyAlignment="1">
      <alignment horizontal="center" vertical="center" wrapText="1"/>
    </xf>
    <xf numFmtId="0" fontId="15" fillId="0" borderId="10" xfId="12" applyFont="1" applyBorder="1" applyAlignment="1">
      <alignment horizontal="center" vertical="center" wrapText="1"/>
    </xf>
    <xf numFmtId="0" fontId="15" fillId="0" borderId="76" xfId="12" applyFont="1" applyBorder="1" applyAlignment="1">
      <alignment horizontal="center" vertical="center" wrapText="1"/>
    </xf>
    <xf numFmtId="0" fontId="15" fillId="0" borderId="13" xfId="12" applyFont="1" applyBorder="1" applyAlignment="1">
      <alignment horizontal="center"/>
    </xf>
    <xf numFmtId="0" fontId="15" fillId="0" borderId="14" xfId="12" applyFont="1" applyBorder="1" applyAlignment="1">
      <alignment horizontal="center"/>
    </xf>
    <xf numFmtId="0" fontId="15" fillId="0" borderId="5" xfId="12" applyFont="1" applyBorder="1" applyAlignment="1">
      <alignment horizontal="center"/>
    </xf>
    <xf numFmtId="0" fontId="15" fillId="0" borderId="47" xfId="12" applyFont="1" applyBorder="1" applyAlignment="1">
      <alignment horizontal="center"/>
    </xf>
    <xf numFmtId="0" fontId="15" fillId="0" borderId="8" xfId="12" applyFont="1" applyBorder="1" applyAlignment="1">
      <alignment horizontal="center"/>
    </xf>
    <xf numFmtId="0" fontId="15" fillId="0" borderId="65" xfId="12" applyFont="1" applyBorder="1" applyAlignment="1">
      <alignment horizontal="center"/>
    </xf>
    <xf numFmtId="0" fontId="15" fillId="0" borderId="64" xfId="12" applyFont="1" applyBorder="1" applyAlignment="1">
      <alignment horizontal="center"/>
    </xf>
    <xf numFmtId="0" fontId="15" fillId="0" borderId="117" xfId="12" applyFont="1" applyBorder="1" applyAlignment="1">
      <alignment horizontal="center"/>
    </xf>
    <xf numFmtId="0" fontId="15" fillId="0" borderId="66" xfId="12" applyFont="1" applyBorder="1" applyAlignment="1">
      <alignment horizontal="center"/>
    </xf>
    <xf numFmtId="0" fontId="15" fillId="0" borderId="35" xfId="12" applyFont="1" applyBorder="1" applyAlignment="1">
      <alignment horizontal="center"/>
    </xf>
    <xf numFmtId="0" fontId="15" fillId="0" borderId="38" xfId="12" applyFont="1" applyBorder="1" applyAlignment="1">
      <alignment horizontal="center"/>
    </xf>
    <xf numFmtId="14" fontId="25" fillId="12" borderId="0" xfId="0" applyNumberFormat="1" applyFont="1" applyFill="1" applyAlignment="1">
      <alignment horizontal="left" vertical="center"/>
    </xf>
    <xf numFmtId="0" fontId="15" fillId="12" borderId="0" xfId="0" applyFont="1" applyFill="1" applyAlignment="1">
      <alignment vertical="center"/>
    </xf>
    <xf numFmtId="0" fontId="15" fillId="12" borderId="0" xfId="0" applyFont="1" applyFill="1" applyAlignment="1">
      <alignment horizontal="left" vertical="center"/>
    </xf>
    <xf numFmtId="0" fontId="25" fillId="12" borderId="0" xfId="12" applyFont="1" applyFill="1" applyAlignment="1">
      <alignment vertical="center"/>
    </xf>
    <xf numFmtId="49" fontId="12" fillId="17" borderId="0" xfId="12" applyNumberFormat="1" applyFont="1" applyFill="1" applyAlignment="1">
      <alignment horizontal="center" vertical="center"/>
    </xf>
    <xf numFmtId="0" fontId="12" fillId="17" borderId="0" xfId="12" applyFont="1" applyFill="1" applyAlignment="1">
      <alignment vertical="center"/>
    </xf>
    <xf numFmtId="0" fontId="12" fillId="17" borderId="0" xfId="12" applyFont="1" applyFill="1" applyAlignment="1">
      <alignment horizontal="right" vertical="center"/>
    </xf>
    <xf numFmtId="0" fontId="24" fillId="0" borderId="2" xfId="12" applyFont="1" applyBorder="1" applyAlignment="1">
      <alignment horizontal="center" vertical="center" wrapText="1"/>
    </xf>
    <xf numFmtId="0" fontId="25" fillId="17" borderId="0" xfId="12" applyFont="1" applyFill="1"/>
    <xf numFmtId="0" fontId="11" fillId="0" borderId="0" xfId="12" applyAlignment="1">
      <alignment horizontal="right"/>
    </xf>
    <xf numFmtId="0" fontId="12" fillId="17" borderId="0" xfId="12" applyFont="1" applyFill="1" applyAlignment="1">
      <alignment horizontal="center" vertical="center"/>
    </xf>
    <xf numFmtId="0" fontId="12" fillId="0" borderId="0" xfId="12" applyFont="1" applyAlignment="1">
      <alignment vertical="center"/>
    </xf>
    <xf numFmtId="0" fontId="11" fillId="2" borderId="91" xfId="12" applyFill="1" applyBorder="1" applyAlignment="1" applyProtection="1">
      <alignment horizontal="center" vertical="center"/>
      <protection locked="0"/>
    </xf>
    <xf numFmtId="0" fontId="25" fillId="0" borderId="102" xfId="12" applyFont="1" applyBorder="1" applyAlignment="1">
      <alignment vertical="center"/>
    </xf>
    <xf numFmtId="0" fontId="11" fillId="0" borderId="102" xfId="12" applyBorder="1" applyAlignment="1">
      <alignment horizontal="center" vertical="center"/>
    </xf>
    <xf numFmtId="1" fontId="11" fillId="2" borderId="102" xfId="12" applyNumberFormat="1" applyFill="1" applyBorder="1" applyAlignment="1" applyProtection="1">
      <alignment horizontal="center" vertical="center"/>
      <protection locked="0"/>
    </xf>
    <xf numFmtId="0" fontId="26" fillId="0" borderId="102" xfId="12" applyFont="1" applyBorder="1" applyAlignment="1">
      <alignment horizontal="left" vertical="center" wrapText="1"/>
    </xf>
    <xf numFmtId="0" fontId="96" fillId="17" borderId="0" xfId="12" applyFont="1" applyFill="1" applyAlignment="1">
      <alignment horizontal="center" vertical="center"/>
    </xf>
    <xf numFmtId="0" fontId="96" fillId="0" borderId="0" xfId="12" applyFont="1" applyAlignment="1">
      <alignment horizontal="right"/>
    </xf>
    <xf numFmtId="0" fontId="11" fillId="0" borderId="91" xfId="12" applyBorder="1" applyAlignment="1">
      <alignment vertical="center"/>
    </xf>
    <xf numFmtId="0" fontId="11" fillId="5" borderId="91" xfId="12" applyFill="1" applyBorder="1" applyAlignment="1">
      <alignment horizontal="center" vertical="center"/>
    </xf>
    <xf numFmtId="0" fontId="11" fillId="0" borderId="91" xfId="12" applyBorder="1" applyAlignment="1">
      <alignment horizontal="left" vertical="center" wrapText="1"/>
    </xf>
    <xf numFmtId="0" fontId="96" fillId="17" borderId="216" xfId="12" applyFont="1" applyFill="1" applyBorder="1" applyAlignment="1">
      <alignment horizontal="center" vertical="center"/>
    </xf>
    <xf numFmtId="0" fontId="11" fillId="0" borderId="91" xfId="12" applyBorder="1" applyAlignment="1">
      <alignment horizontal="center" vertical="center"/>
    </xf>
    <xf numFmtId="0" fontId="11" fillId="8" borderId="91" xfId="12" applyFill="1" applyBorder="1" applyAlignment="1">
      <alignment vertical="center"/>
    </xf>
    <xf numFmtId="0" fontId="11" fillId="8" borderId="91" xfId="12" applyFill="1" applyBorder="1" applyAlignment="1">
      <alignment horizontal="center" vertical="center"/>
    </xf>
    <xf numFmtId="1" fontId="11" fillId="8" borderId="102" xfId="12" applyNumberFormat="1" applyFill="1" applyBorder="1" applyAlignment="1" applyProtection="1">
      <alignment horizontal="center" vertical="center"/>
      <protection locked="0"/>
    </xf>
    <xf numFmtId="0" fontId="11" fillId="8" borderId="91" xfId="12" applyFill="1" applyBorder="1" applyAlignment="1">
      <alignment horizontal="left" vertical="center" wrapText="1"/>
    </xf>
    <xf numFmtId="1" fontId="11" fillId="8" borderId="91" xfId="12" applyNumberFormat="1" applyFill="1" applyBorder="1" applyAlignment="1" applyProtection="1">
      <alignment horizontal="center" vertical="center"/>
      <protection locked="0"/>
    </xf>
    <xf numFmtId="0" fontId="11" fillId="0" borderId="91" xfId="12" applyBorder="1" applyAlignment="1" applyProtection="1">
      <alignment horizontal="center" vertical="center"/>
      <protection locked="0"/>
    </xf>
    <xf numFmtId="0" fontId="11" fillId="8" borderId="91" xfId="12" applyFill="1" applyBorder="1" applyAlignment="1" applyProtection="1">
      <alignment horizontal="center" vertical="center"/>
      <protection locked="0"/>
    </xf>
    <xf numFmtId="165" fontId="11" fillId="0" borderId="0" xfId="12" applyNumberFormat="1"/>
    <xf numFmtId="49" fontId="11" fillId="0" borderId="0" xfId="12" applyNumberFormat="1"/>
    <xf numFmtId="11" fontId="11" fillId="8" borderId="91" xfId="12" applyNumberFormat="1" applyFill="1" applyBorder="1" applyAlignment="1">
      <alignment horizontal="center" vertical="center"/>
    </xf>
    <xf numFmtId="0" fontId="11" fillId="8" borderId="0" xfId="12" applyFill="1"/>
    <xf numFmtId="0" fontId="11" fillId="8" borderId="91" xfId="12" applyFill="1" applyBorder="1" applyAlignment="1">
      <alignment vertical="center" wrapText="1"/>
    </xf>
    <xf numFmtId="0" fontId="11" fillId="17" borderId="0" xfId="12" applyFill="1" applyAlignment="1">
      <alignment vertical="center"/>
    </xf>
    <xf numFmtId="0" fontId="11" fillId="17" borderId="0" xfId="12" applyFill="1" applyAlignment="1">
      <alignment horizontal="center" vertical="center"/>
    </xf>
    <xf numFmtId="0" fontId="17" fillId="12" borderId="0" xfId="10" applyFont="1" applyFill="1" applyAlignment="1">
      <alignment vertical="center"/>
    </xf>
    <xf numFmtId="0" fontId="31" fillId="0" borderId="0" xfId="12" applyFont="1" applyAlignment="1">
      <alignment horizontal="center" vertical="center"/>
    </xf>
    <xf numFmtId="0" fontId="15" fillId="0" borderId="0" xfId="12" applyFont="1" applyAlignment="1">
      <alignment horizontal="center"/>
    </xf>
    <xf numFmtId="0" fontId="15" fillId="0" borderId="0" xfId="12" applyFont="1" applyAlignment="1">
      <alignment horizontal="center" vertical="center" wrapText="1"/>
    </xf>
    <xf numFmtId="0" fontId="100" fillId="0" borderId="0" xfId="12" applyFont="1" applyAlignment="1">
      <alignment vertical="top" wrapText="1"/>
    </xf>
    <xf numFmtId="0" fontId="107" fillId="0" borderId="0" xfId="12" applyFont="1" applyAlignment="1">
      <alignment horizontal="right"/>
    </xf>
    <xf numFmtId="0" fontId="100" fillId="0" borderId="0" xfId="12" applyFont="1" applyAlignment="1">
      <alignment vertical="center" wrapText="1"/>
    </xf>
    <xf numFmtId="0" fontId="15" fillId="0" borderId="75" xfId="12" applyFont="1" applyBorder="1" applyAlignment="1">
      <alignment horizontal="center" vertical="center"/>
    </xf>
    <xf numFmtId="0" fontId="15" fillId="0" borderId="154" xfId="12" applyFont="1" applyBorder="1" applyAlignment="1">
      <alignment horizontal="center" vertical="center"/>
    </xf>
    <xf numFmtId="0" fontId="15" fillId="0" borderId="76" xfId="12" applyFont="1" applyBorder="1" applyAlignment="1">
      <alignment horizontal="center" vertical="center"/>
    </xf>
    <xf numFmtId="0" fontId="15" fillId="0" borderId="71" xfId="12" applyFont="1" applyBorder="1" applyAlignment="1">
      <alignment horizontal="center"/>
    </xf>
    <xf numFmtId="0" fontId="15" fillId="0" borderId="63" xfId="12" applyFont="1" applyBorder="1" applyAlignment="1">
      <alignment horizontal="center"/>
    </xf>
    <xf numFmtId="0" fontId="38" fillId="0" borderId="0" xfId="12" applyFont="1" applyAlignment="1">
      <alignment horizontal="center" vertical="center"/>
    </xf>
    <xf numFmtId="0" fontId="96" fillId="0" borderId="0" xfId="12" applyFont="1"/>
    <xf numFmtId="0" fontId="32" fillId="12" borderId="0" xfId="10" applyFont="1" applyFill="1" applyAlignment="1">
      <alignment vertical="center"/>
    </xf>
    <xf numFmtId="0" fontId="38" fillId="0" borderId="80" xfId="12" applyFont="1" applyBorder="1" applyAlignment="1" applyProtection="1">
      <alignment horizontal="center" vertical="center"/>
      <protection locked="0"/>
    </xf>
    <xf numFmtId="0" fontId="15" fillId="4" borderId="0" xfId="12" applyFont="1" applyFill="1" applyAlignment="1">
      <alignment horizontal="left"/>
    </xf>
    <xf numFmtId="0" fontId="15" fillId="4" borderId="0" xfId="12" applyFont="1" applyFill="1" applyAlignment="1">
      <alignment vertical="center"/>
    </xf>
    <xf numFmtId="0" fontId="32" fillId="4" borderId="0" xfId="12" applyFont="1" applyFill="1" applyAlignment="1">
      <alignment vertical="center"/>
    </xf>
    <xf numFmtId="0" fontId="33" fillId="4" borderId="0" xfId="12" applyFont="1" applyFill="1" applyAlignment="1">
      <alignment horizontal="centerContinuous"/>
    </xf>
    <xf numFmtId="0" fontId="11" fillId="4" borderId="0" xfId="12" applyFill="1" applyAlignment="1">
      <alignment horizontal="centerContinuous"/>
    </xf>
    <xf numFmtId="0" fontId="31" fillId="4" borderId="0" xfId="12" applyFont="1" applyFill="1" applyAlignment="1">
      <alignment vertical="center"/>
    </xf>
    <xf numFmtId="0" fontId="33" fillId="4" borderId="0" xfId="12" applyFont="1" applyFill="1" applyAlignment="1">
      <alignment horizontal="centerContinuous" vertical="center"/>
    </xf>
    <xf numFmtId="0" fontId="11" fillId="4" borderId="0" xfId="12" applyFill="1" applyAlignment="1">
      <alignment horizontal="centerContinuous" vertical="center"/>
    </xf>
    <xf numFmtId="0" fontId="11" fillId="12" borderId="0" xfId="12" applyFill="1" applyAlignment="1">
      <alignment vertical="center"/>
    </xf>
    <xf numFmtId="0" fontId="27" fillId="4" borderId="0" xfId="12" applyFont="1" applyFill="1" applyAlignment="1">
      <alignment vertical="center"/>
    </xf>
    <xf numFmtId="0" fontId="15" fillId="4" borderId="28" xfId="12" applyFont="1" applyFill="1" applyBorder="1" applyAlignment="1">
      <alignment vertical="center"/>
    </xf>
    <xf numFmtId="0" fontId="15" fillId="4" borderId="29" xfId="12" applyFont="1" applyFill="1" applyBorder="1" applyAlignment="1">
      <alignment horizontal="left" vertical="center"/>
    </xf>
    <xf numFmtId="0" fontId="11" fillId="4" borderId="29" xfId="12" applyFill="1" applyBorder="1" applyAlignment="1">
      <alignment vertical="center"/>
    </xf>
    <xf numFmtId="0" fontId="32" fillId="4" borderId="29" xfId="12" applyFont="1" applyFill="1" applyBorder="1" applyAlignment="1">
      <alignment vertical="center"/>
    </xf>
    <xf numFmtId="0" fontId="32" fillId="4" borderId="30" xfId="12" applyFont="1" applyFill="1" applyBorder="1" applyAlignment="1">
      <alignment vertical="center"/>
    </xf>
    <xf numFmtId="0" fontId="17" fillId="4" borderId="1" xfId="12" applyFont="1" applyFill="1" applyBorder="1" applyAlignment="1">
      <alignment vertical="center"/>
    </xf>
    <xf numFmtId="0" fontId="17" fillId="4" borderId="0" xfId="12" applyFont="1" applyFill="1" applyAlignment="1">
      <alignment vertical="center"/>
    </xf>
    <xf numFmtId="0" fontId="11" fillId="4" borderId="35" xfId="12" applyFill="1" applyBorder="1" applyAlignment="1">
      <alignment vertical="center"/>
    </xf>
    <xf numFmtId="0" fontId="31" fillId="4" borderId="0" xfId="12" applyFont="1" applyFill="1" applyAlignment="1">
      <alignment horizontal="left" vertical="center"/>
    </xf>
    <xf numFmtId="0" fontId="35" fillId="4" borderId="1" xfId="12" applyFont="1" applyFill="1" applyBorder="1" applyAlignment="1">
      <alignment vertical="center"/>
    </xf>
    <xf numFmtId="0" fontId="11" fillId="4" borderId="36" xfId="12" applyFill="1" applyBorder="1" applyAlignment="1">
      <alignment vertical="center"/>
    </xf>
    <xf numFmtId="0" fontId="11" fillId="4" borderId="37" xfId="12" applyFill="1" applyBorder="1" applyAlignment="1">
      <alignment vertical="center"/>
    </xf>
    <xf numFmtId="0" fontId="11" fillId="4" borderId="38" xfId="12" applyFill="1" applyBorder="1" applyAlignment="1">
      <alignment vertical="center"/>
    </xf>
    <xf numFmtId="0" fontId="36" fillId="4" borderId="0" xfId="12" applyFont="1" applyFill="1" applyAlignment="1">
      <alignment horizontal="left" vertical="center"/>
    </xf>
    <xf numFmtId="165" fontId="11" fillId="4" borderId="0" xfId="12" applyNumberFormat="1" applyFill="1" applyAlignment="1">
      <alignment horizontal="left" vertical="center"/>
    </xf>
    <xf numFmtId="0" fontId="25" fillId="4" borderId="0" xfId="12" applyFont="1" applyFill="1" applyAlignment="1">
      <alignment vertical="center"/>
    </xf>
    <xf numFmtId="0" fontId="11" fillId="4" borderId="15" xfId="12" applyFill="1" applyBorder="1" applyAlignment="1">
      <alignment vertical="center"/>
    </xf>
    <xf numFmtId="0" fontId="17" fillId="4" borderId="15" xfId="12" applyFont="1" applyFill="1" applyBorder="1" applyAlignment="1">
      <alignment horizontal="left" vertical="center"/>
    </xf>
    <xf numFmtId="0" fontId="18" fillId="4" borderId="15" xfId="12" applyFont="1" applyFill="1" applyBorder="1" applyAlignment="1">
      <alignment vertical="center"/>
    </xf>
    <xf numFmtId="0" fontId="27" fillId="4" borderId="0" xfId="12" applyFont="1" applyFill="1" applyAlignment="1">
      <alignment horizontal="right" vertical="center"/>
    </xf>
    <xf numFmtId="0" fontId="31" fillId="4" borderId="120" xfId="12" applyFont="1" applyFill="1" applyBorder="1" applyAlignment="1">
      <alignment vertical="center"/>
    </xf>
    <xf numFmtId="0" fontId="18" fillId="4" borderId="120" xfId="12" applyFont="1" applyFill="1" applyBorder="1" applyAlignment="1">
      <alignment vertical="center"/>
    </xf>
    <xf numFmtId="0" fontId="17" fillId="4" borderId="120" xfId="12" applyFont="1" applyFill="1" applyBorder="1" applyAlignment="1">
      <alignment horizontal="left" vertical="center"/>
    </xf>
    <xf numFmtId="0" fontId="27" fillId="4" borderId="0" xfId="12" applyFont="1" applyFill="1" applyAlignment="1">
      <alignment horizontal="left" vertical="center"/>
    </xf>
    <xf numFmtId="0" fontId="11" fillId="4" borderId="0" xfId="12" applyFill="1" applyAlignment="1">
      <alignment vertical="top"/>
    </xf>
    <xf numFmtId="0" fontId="18" fillId="4" borderId="15" xfId="12" applyFont="1" applyFill="1" applyBorder="1" applyAlignment="1" applyProtection="1">
      <alignment vertical="center"/>
      <protection locked="0"/>
    </xf>
    <xf numFmtId="0" fontId="17" fillId="4" borderId="16" xfId="12" applyFont="1" applyFill="1" applyBorder="1" applyAlignment="1" applyProtection="1">
      <alignment vertical="center"/>
      <protection locked="0"/>
    </xf>
    <xf numFmtId="0" fontId="18" fillId="4" borderId="16" xfId="12" applyFont="1" applyFill="1" applyBorder="1" applyAlignment="1" applyProtection="1">
      <alignment vertical="center"/>
      <protection locked="0"/>
    </xf>
    <xf numFmtId="0" fontId="31" fillId="0" borderId="15" xfId="12" applyFont="1" applyBorder="1" applyAlignment="1">
      <alignment horizontal="left" vertical="center"/>
    </xf>
    <xf numFmtId="0" fontId="18" fillId="4" borderId="16" xfId="12" applyFont="1" applyFill="1" applyBorder="1" applyAlignment="1">
      <alignment vertical="center"/>
    </xf>
    <xf numFmtId="0" fontId="17" fillId="4" borderId="16" xfId="12" applyFont="1" applyFill="1" applyBorder="1" applyAlignment="1">
      <alignment horizontal="left" vertical="center"/>
    </xf>
    <xf numFmtId="0" fontId="31" fillId="4" borderId="16" xfId="12" applyFont="1" applyFill="1" applyBorder="1" applyAlignment="1">
      <alignment horizontal="left" vertical="center"/>
    </xf>
    <xf numFmtId="0" fontId="11" fillId="4" borderId="0" xfId="12" applyFill="1" applyAlignment="1" applyProtection="1">
      <alignment vertical="center"/>
      <protection locked="0"/>
    </xf>
    <xf numFmtId="0" fontId="11" fillId="4" borderId="0" xfId="12" applyFill="1" applyAlignment="1">
      <alignment horizontal="left" vertical="center"/>
    </xf>
    <xf numFmtId="0" fontId="37" fillId="4" borderId="0" xfId="12" applyFont="1" applyFill="1" applyAlignment="1">
      <alignment horizontal="right" vertical="center"/>
    </xf>
    <xf numFmtId="0" fontId="38" fillId="4" borderId="0" xfId="12" applyFont="1" applyFill="1" applyAlignment="1">
      <alignment vertical="center"/>
    </xf>
    <xf numFmtId="0" fontId="39" fillId="4" borderId="0" xfId="12" applyFont="1" applyFill="1" applyAlignment="1">
      <alignment vertical="center"/>
    </xf>
    <xf numFmtId="0" fontId="74" fillId="4" borderId="0" xfId="12" applyFont="1" applyFill="1" applyAlignment="1">
      <alignment vertical="center"/>
    </xf>
    <xf numFmtId="0" fontId="38" fillId="4" borderId="15" xfId="12" applyFont="1" applyFill="1" applyBorder="1" applyAlignment="1" applyProtection="1">
      <alignment vertical="center"/>
      <protection locked="0"/>
    </xf>
    <xf numFmtId="0" fontId="39" fillId="4" borderId="15" xfId="12" applyFont="1" applyFill="1" applyBorder="1" applyAlignment="1" applyProtection="1">
      <alignment vertical="center"/>
      <protection locked="0"/>
    </xf>
    <xf numFmtId="0" fontId="11" fillId="4" borderId="15" xfId="12" applyFill="1" applyBorder="1" applyAlignment="1" applyProtection="1">
      <alignment vertical="center"/>
      <protection locked="0"/>
    </xf>
    <xf numFmtId="0" fontId="11" fillId="4" borderId="15" xfId="12" applyFill="1" applyBorder="1" applyAlignment="1" applyProtection="1">
      <alignment horizontal="left" vertical="center"/>
      <protection locked="0"/>
    </xf>
    <xf numFmtId="0" fontId="38" fillId="4" borderId="16" xfId="12" applyFont="1" applyFill="1" applyBorder="1" applyAlignment="1" applyProtection="1">
      <alignment vertical="center"/>
      <protection locked="0"/>
    </xf>
    <xf numFmtId="0" fontId="39" fillId="4" borderId="16" xfId="12" applyFont="1" applyFill="1" applyBorder="1" applyAlignment="1" applyProtection="1">
      <alignment vertical="center"/>
      <protection locked="0"/>
    </xf>
    <xf numFmtId="0" fontId="11" fillId="4" borderId="16" xfId="12" applyFill="1" applyBorder="1" applyAlignment="1" applyProtection="1">
      <alignment vertical="center"/>
      <protection locked="0"/>
    </xf>
    <xf numFmtId="0" fontId="11" fillId="4" borderId="16" xfId="12" applyFill="1" applyBorder="1" applyAlignment="1" applyProtection="1">
      <alignment horizontal="left" vertical="center"/>
      <protection locked="0"/>
    </xf>
    <xf numFmtId="0" fontId="25" fillId="2" borderId="59" xfId="12" applyFont="1" applyFill="1" applyBorder="1" applyAlignment="1">
      <alignment vertical="center"/>
    </xf>
    <xf numFmtId="0" fontId="25" fillId="2" borderId="45" xfId="12" applyFont="1" applyFill="1" applyBorder="1" applyAlignment="1">
      <alignment vertical="center"/>
    </xf>
    <xf numFmtId="0" fontId="18" fillId="4" borderId="62" xfId="12" applyFont="1" applyFill="1" applyBorder="1" applyAlignment="1" applyProtection="1">
      <alignment vertical="center"/>
      <protection locked="0"/>
    </xf>
    <xf numFmtId="0" fontId="11" fillId="4" borderId="11" xfId="12" applyFill="1" applyBorder="1" applyAlignment="1" applyProtection="1">
      <alignment vertical="center"/>
      <protection locked="0"/>
    </xf>
    <xf numFmtId="0" fontId="18" fillId="4" borderId="129" xfId="12" applyFont="1" applyFill="1" applyBorder="1" applyAlignment="1" applyProtection="1">
      <alignment vertical="center"/>
      <protection locked="0"/>
    </xf>
    <xf numFmtId="0" fontId="25" fillId="4" borderId="0" xfId="12" applyFont="1" applyFill="1" applyAlignment="1">
      <alignment horizontal="left"/>
    </xf>
    <xf numFmtId="0" fontId="39" fillId="4" borderId="0" xfId="12" applyFont="1" applyFill="1"/>
    <xf numFmtId="0" fontId="15" fillId="4" borderId="0" xfId="12" applyFont="1" applyFill="1"/>
    <xf numFmtId="164" fontId="15" fillId="4" borderId="0" xfId="12" applyNumberFormat="1" applyFont="1" applyFill="1"/>
    <xf numFmtId="0" fontId="11" fillId="4" borderId="0" xfId="12" applyFill="1" applyAlignment="1">
      <alignment vertical="justify"/>
    </xf>
    <xf numFmtId="0" fontId="25" fillId="4" borderId="0" xfId="12" applyFont="1" applyFill="1"/>
    <xf numFmtId="0" fontId="11" fillId="4" borderId="0" xfId="12" applyFill="1" applyAlignment="1">
      <alignment horizontal="right"/>
    </xf>
    <xf numFmtId="14" fontId="31" fillId="0" borderId="0" xfId="12" applyNumberFormat="1" applyFont="1" applyAlignment="1">
      <alignment horizontal="left" vertical="center"/>
    </xf>
    <xf numFmtId="0" fontId="39" fillId="0" borderId="0" xfId="12" applyFont="1" applyAlignment="1">
      <alignment horizontal="left" vertical="center"/>
    </xf>
    <xf numFmtId="0" fontId="31" fillId="0" borderId="0" xfId="12" applyFont="1" applyAlignment="1">
      <alignment horizontal="left" vertical="center"/>
    </xf>
    <xf numFmtId="0" fontId="11" fillId="4" borderId="35" xfId="12" applyFill="1" applyBorder="1"/>
    <xf numFmtId="0" fontId="11" fillId="4" borderId="35" xfId="12" applyFill="1" applyBorder="1" applyAlignment="1">
      <alignment horizontal="centerContinuous"/>
    </xf>
    <xf numFmtId="0" fontId="32" fillId="4" borderId="35" xfId="12" applyFont="1" applyFill="1" applyBorder="1" applyAlignment="1">
      <alignment vertical="center"/>
    </xf>
    <xf numFmtId="0" fontId="38" fillId="4" borderId="0" xfId="12" applyFont="1" applyFill="1" applyAlignment="1" applyProtection="1">
      <alignment horizontal="right" vertical="center"/>
      <protection locked="0"/>
    </xf>
    <xf numFmtId="0" fontId="78" fillId="0" borderId="28" xfId="6" applyFont="1" applyBorder="1"/>
    <xf numFmtId="0" fontId="11" fillId="0" borderId="0" xfId="0" applyFont="1" applyAlignment="1">
      <alignment vertical="center" wrapText="1"/>
    </xf>
    <xf numFmtId="0" fontId="11" fillId="0" borderId="19" xfId="0" applyFont="1" applyBorder="1" applyAlignment="1">
      <alignment horizontal="center" vertical="center" wrapText="1"/>
    </xf>
    <xf numFmtId="0" fontId="11" fillId="0" borderId="0" xfId="2" applyFont="1"/>
    <xf numFmtId="0" fontId="41" fillId="4" borderId="0" xfId="12" applyFont="1" applyFill="1" applyAlignment="1">
      <alignment vertical="center"/>
    </xf>
    <xf numFmtId="0" fontId="39" fillId="4" borderId="0" xfId="12" applyFont="1" applyFill="1" applyAlignment="1" applyProtection="1">
      <alignment vertical="center"/>
      <protection locked="0"/>
    </xf>
    <xf numFmtId="0" fontId="11" fillId="4" borderId="0" xfId="12" applyFill="1" applyAlignment="1" applyProtection="1">
      <alignment horizontal="left" vertical="center"/>
      <protection locked="0"/>
    </xf>
    <xf numFmtId="0" fontId="11" fillId="0" borderId="9" xfId="12" applyBorder="1" applyProtection="1">
      <protection locked="0"/>
    </xf>
    <xf numFmtId="0" fontId="11" fillId="0" borderId="8" xfId="12" applyBorder="1" applyAlignment="1" applyProtection="1">
      <alignment horizontal="center"/>
      <protection locked="0"/>
    </xf>
    <xf numFmtId="0" fontId="11" fillId="0" borderId="7" xfId="12" applyBorder="1" applyAlignment="1">
      <alignment horizontal="center"/>
    </xf>
    <xf numFmtId="0" fontId="11" fillId="0" borderId="2" xfId="12" applyBorder="1"/>
    <xf numFmtId="0" fontId="11" fillId="0" borderId="7" xfId="12" applyBorder="1" applyAlignment="1">
      <alignment horizontal="center" vertical="center"/>
    </xf>
    <xf numFmtId="0" fontId="11" fillId="0" borderId="5" xfId="12" applyBorder="1" applyAlignment="1">
      <alignment horizontal="center" vertical="center"/>
    </xf>
    <xf numFmtId="0" fontId="11" fillId="0" borderId="6" xfId="12" applyBorder="1" applyAlignment="1">
      <alignment horizontal="center" vertical="center"/>
    </xf>
    <xf numFmtId="0" fontId="11" fillId="0" borderId="5" xfId="12" applyBorder="1" applyAlignment="1">
      <alignment horizontal="center"/>
    </xf>
    <xf numFmtId="0" fontId="11" fillId="0" borderId="6" xfId="12" applyBorder="1" applyAlignment="1">
      <alignment horizontal="center"/>
    </xf>
    <xf numFmtId="0" fontId="11" fillId="0" borderId="13" xfId="12" applyBorder="1" applyAlignment="1">
      <alignment horizontal="center"/>
    </xf>
    <xf numFmtId="0" fontId="11" fillId="0" borderId="8" xfId="12" applyBorder="1" applyAlignment="1">
      <alignment horizontal="center"/>
    </xf>
    <xf numFmtId="0" fontId="32" fillId="0" borderId="11" xfId="12" applyFont="1" applyBorder="1"/>
    <xf numFmtId="0" fontId="11" fillId="0" borderId="11" xfId="12" applyBorder="1" applyAlignment="1">
      <alignment vertical="center"/>
    </xf>
    <xf numFmtId="0" fontId="25" fillId="0" borderId="8" xfId="12" applyFont="1" applyBorder="1" applyAlignment="1">
      <alignment horizontal="left" vertical="center"/>
    </xf>
    <xf numFmtId="0" fontId="11" fillId="0" borderId="0" xfId="12" applyAlignment="1" applyProtection="1">
      <alignment vertical="center" wrapText="1"/>
      <protection locked="0"/>
    </xf>
    <xf numFmtId="0" fontId="11" fillId="0" borderId="9" xfId="12" applyBorder="1" applyAlignment="1" applyProtection="1">
      <alignment vertical="center" wrapText="1"/>
      <protection locked="0"/>
    </xf>
    <xf numFmtId="0" fontId="11" fillId="0" borderId="2" xfId="12" applyBorder="1" applyAlignment="1">
      <alignment horizontal="center" vertical="center"/>
    </xf>
    <xf numFmtId="0" fontId="11" fillId="0" borderId="0" xfId="12" applyAlignment="1">
      <alignment vertical="center" wrapText="1"/>
    </xf>
    <xf numFmtId="0" fontId="11" fillId="0" borderId="8" xfId="12" applyBorder="1" applyAlignment="1">
      <alignment vertical="center" wrapText="1"/>
    </xf>
    <xf numFmtId="0" fontId="11" fillId="0" borderId="10" xfId="12" applyBorder="1" applyAlignment="1" applyProtection="1">
      <alignment vertical="center" wrapText="1"/>
      <protection locked="0"/>
    </xf>
    <xf numFmtId="0" fontId="11" fillId="0" borderId="11" xfId="12" applyBorder="1" applyAlignment="1" applyProtection="1">
      <alignment vertical="center" wrapText="1"/>
      <protection locked="0"/>
    </xf>
    <xf numFmtId="0" fontId="11" fillId="0" borderId="12" xfId="12" applyBorder="1" applyAlignment="1" applyProtection="1">
      <alignment vertical="center" wrapText="1"/>
      <protection locked="0"/>
    </xf>
    <xf numFmtId="0" fontId="11" fillId="0" borderId="8" xfId="12" applyBorder="1" applyAlignment="1" applyProtection="1">
      <alignment vertical="center"/>
      <protection locked="0"/>
    </xf>
    <xf numFmtId="0" fontId="11" fillId="0" borderId="0" xfId="12" applyAlignment="1" applyProtection="1">
      <alignment vertical="center"/>
      <protection locked="0"/>
    </xf>
    <xf numFmtId="0" fontId="11" fillId="0" borderId="9" xfId="12" applyBorder="1" applyAlignment="1" applyProtection="1">
      <alignment vertical="center"/>
      <protection locked="0"/>
    </xf>
    <xf numFmtId="0" fontId="11" fillId="0" borderId="10" xfId="12" applyBorder="1" applyAlignment="1" applyProtection="1">
      <alignment vertical="center"/>
      <protection locked="0"/>
    </xf>
    <xf numFmtId="0" fontId="11" fillId="0" borderId="11" xfId="12" applyBorder="1" applyAlignment="1" applyProtection="1">
      <alignment vertical="center"/>
      <protection locked="0"/>
    </xf>
    <xf numFmtId="0" fontId="11" fillId="0" borderId="12" xfId="12" applyBorder="1" applyAlignment="1" applyProtection="1">
      <alignment vertical="center"/>
      <protection locked="0"/>
    </xf>
    <xf numFmtId="0" fontId="38" fillId="0" borderId="5" xfId="12" applyFont="1" applyBorder="1" applyAlignment="1">
      <alignment horizontal="left" vertical="center"/>
    </xf>
    <xf numFmtId="0" fontId="11" fillId="0" borderId="17" xfId="12" applyBorder="1" applyAlignment="1">
      <alignment vertical="center"/>
    </xf>
    <xf numFmtId="0" fontId="11" fillId="0" borderId="7" xfId="12" applyBorder="1" applyAlignment="1">
      <alignment vertical="center"/>
    </xf>
    <xf numFmtId="0" fontId="65" fillId="0" borderId="11" xfId="12" applyFont="1" applyBorder="1"/>
    <xf numFmtId="0" fontId="11" fillId="0" borderId="11" xfId="12" applyBorder="1"/>
    <xf numFmtId="0" fontId="65" fillId="0" borderId="12" xfId="12" applyFont="1" applyBorder="1"/>
    <xf numFmtId="0" fontId="11" fillId="0" borderId="5" xfId="12" applyBorder="1"/>
    <xf numFmtId="0" fontId="11" fillId="0" borderId="6" xfId="12" applyBorder="1" applyAlignment="1">
      <alignment horizontal="right" vertical="top"/>
    </xf>
    <xf numFmtId="0" fontId="11" fillId="0" borderId="6" xfId="12" applyBorder="1" applyAlignment="1">
      <alignment horizontal="left" vertical="top"/>
    </xf>
    <xf numFmtId="0" fontId="11" fillId="0" borderId="13" xfId="12" applyBorder="1" applyAlignment="1">
      <alignment horizontal="left" vertical="top"/>
    </xf>
    <xf numFmtId="0" fontId="11" fillId="0" borderId="5" xfId="12" applyBorder="1" applyAlignment="1" applyProtection="1">
      <alignment vertical="top"/>
      <protection locked="0"/>
    </xf>
    <xf numFmtId="0" fontId="11" fillId="0" borderId="6" xfId="12" applyBorder="1" applyAlignment="1" applyProtection="1">
      <alignment vertical="top"/>
      <protection locked="0"/>
    </xf>
    <xf numFmtId="0" fontId="11" fillId="0" borderId="13" xfId="12" applyBorder="1" applyAlignment="1" applyProtection="1">
      <alignment vertical="top"/>
      <protection locked="0"/>
    </xf>
    <xf numFmtId="0" fontId="11" fillId="0" borderId="8" xfId="12" applyBorder="1" applyAlignment="1" applyProtection="1">
      <alignment vertical="top"/>
      <protection locked="0"/>
    </xf>
    <xf numFmtId="0" fontId="11" fillId="0" borderId="0" xfId="12" applyAlignment="1" applyProtection="1">
      <alignment vertical="top"/>
      <protection locked="0"/>
    </xf>
    <xf numFmtId="0" fontId="11" fillId="0" borderId="9" xfId="12" applyBorder="1" applyAlignment="1" applyProtection="1">
      <alignment vertical="top"/>
      <protection locked="0"/>
    </xf>
    <xf numFmtId="0" fontId="38" fillId="0" borderId="8" xfId="12" applyFont="1" applyBorder="1"/>
    <xf numFmtId="0" fontId="31" fillId="0" borderId="0" xfId="0" applyFont="1" applyAlignment="1">
      <alignment vertical="center" wrapText="1"/>
    </xf>
    <xf numFmtId="0" fontId="26" fillId="12" borderId="0" xfId="7" applyFont="1" applyFill="1" applyAlignment="1">
      <alignment vertical="center"/>
    </xf>
    <xf numFmtId="0" fontId="15" fillId="12" borderId="1" xfId="7" applyFont="1" applyFill="1" applyBorder="1" applyAlignment="1">
      <alignment horizontal="left" vertical="center"/>
    </xf>
    <xf numFmtId="0" fontId="11" fillId="0" borderId="0" xfId="12" applyAlignment="1" applyProtection="1">
      <alignment horizontal="left" vertical="center" wrapText="1"/>
      <protection locked="0"/>
    </xf>
    <xf numFmtId="0" fontId="11" fillId="0" borderId="0" xfId="12" applyAlignment="1" applyProtection="1">
      <alignment horizontal="center" vertical="center" wrapText="1"/>
      <protection locked="0"/>
    </xf>
    <xf numFmtId="0" fontId="18" fillId="0" borderId="0" xfId="12" applyFont="1" applyAlignment="1" applyProtection="1">
      <alignment horizontal="center" vertical="center" wrapText="1"/>
      <protection locked="0"/>
    </xf>
    <xf numFmtId="0" fontId="30" fillId="0" borderId="0" xfId="12" applyFont="1" applyAlignment="1" applyProtection="1">
      <alignment horizontal="center" vertical="center" wrapText="1"/>
      <protection locked="0"/>
    </xf>
    <xf numFmtId="0" fontId="30" fillId="0" borderId="0" xfId="12" applyFont="1" applyAlignment="1" applyProtection="1">
      <alignment vertical="center" wrapText="1"/>
      <protection locked="0"/>
    </xf>
    <xf numFmtId="0" fontId="29" fillId="0" borderId="0" xfId="12" applyFont="1" applyAlignment="1" applyProtection="1">
      <alignment horizontal="center" vertical="center" wrapText="1"/>
      <protection locked="0"/>
    </xf>
    <xf numFmtId="0" fontId="30" fillId="0" borderId="5" xfId="12" applyFont="1" applyBorder="1" applyAlignment="1" applyProtection="1">
      <alignment horizontal="left" vertical="center"/>
      <protection locked="0"/>
    </xf>
    <xf numFmtId="0" fontId="30" fillId="0" borderId="6" xfId="12" applyFont="1" applyBorder="1" applyAlignment="1" applyProtection="1">
      <alignment horizontal="left" vertical="center" wrapText="1"/>
      <protection locked="0"/>
    </xf>
    <xf numFmtId="0" fontId="30" fillId="0" borderId="8" xfId="12" applyFont="1" applyBorder="1" applyAlignment="1" applyProtection="1">
      <alignment horizontal="left" vertical="center"/>
      <protection locked="0"/>
    </xf>
    <xf numFmtId="0" fontId="30" fillId="0" borderId="0" xfId="12" applyFont="1" applyAlignment="1" applyProtection="1">
      <alignment horizontal="left" vertical="center" wrapText="1"/>
      <protection locked="0"/>
    </xf>
    <xf numFmtId="0" fontId="30" fillId="0" borderId="9" xfId="12" applyFont="1" applyBorder="1" applyAlignment="1" applyProtection="1">
      <alignment horizontal="center" vertical="center" wrapText="1"/>
      <protection locked="0"/>
    </xf>
    <xf numFmtId="0" fontId="31" fillId="12" borderId="0" xfId="12" applyFont="1" applyFill="1" applyAlignment="1">
      <alignment vertical="center" wrapText="1"/>
    </xf>
    <xf numFmtId="0" fontId="32" fillId="0" borderId="0" xfId="12" applyFont="1" applyAlignment="1" applyProtection="1">
      <alignment vertical="center" wrapText="1"/>
      <protection locked="0"/>
    </xf>
    <xf numFmtId="0" fontId="32" fillId="0" borderId="9" xfId="12" applyFont="1" applyBorder="1" applyAlignment="1" applyProtection="1">
      <alignment vertical="center" wrapText="1"/>
      <protection locked="0"/>
    </xf>
    <xf numFmtId="0" fontId="30" fillId="0" borderId="8" xfId="12" applyFont="1" applyBorder="1" applyAlignment="1" applyProtection="1">
      <alignment vertical="center"/>
      <protection locked="0"/>
    </xf>
    <xf numFmtId="0" fontId="30" fillId="0" borderId="9" xfId="12" applyFont="1" applyBorder="1" applyAlignment="1" applyProtection="1">
      <alignment vertical="center"/>
      <protection locked="0"/>
    </xf>
    <xf numFmtId="0" fontId="31" fillId="0" borderId="10" xfId="12" applyFont="1" applyBorder="1" applyAlignment="1" applyProtection="1">
      <alignment horizontal="center" vertical="center"/>
      <protection locked="0"/>
    </xf>
    <xf numFmtId="0" fontId="31" fillId="0" borderId="11" xfId="12" applyFont="1" applyBorder="1" applyAlignment="1" applyProtection="1">
      <alignment horizontal="center" vertical="center" wrapText="1"/>
      <protection locked="0"/>
    </xf>
    <xf numFmtId="0" fontId="31" fillId="0" borderId="12" xfId="12" applyFont="1" applyBorder="1" applyAlignment="1" applyProtection="1">
      <alignment horizontal="center" vertical="center" wrapText="1"/>
      <protection locked="0"/>
    </xf>
    <xf numFmtId="0" fontId="31" fillId="0" borderId="0" xfId="12" applyFont="1" applyAlignment="1" applyProtection="1">
      <alignment horizontal="center" vertical="center" wrapText="1"/>
      <protection locked="0"/>
    </xf>
    <xf numFmtId="0" fontId="25" fillId="0" borderId="0" xfId="12" applyFont="1" applyAlignment="1" applyProtection="1">
      <alignment horizontal="center" vertical="center" wrapText="1"/>
      <protection locked="0"/>
    </xf>
    <xf numFmtId="0" fontId="31" fillId="0" borderId="11" xfId="12" applyFont="1" applyBorder="1" applyAlignment="1" applyProtection="1">
      <alignment horizontal="left" vertical="center" wrapText="1"/>
      <protection locked="0"/>
    </xf>
    <xf numFmtId="0" fontId="31" fillId="0" borderId="12" xfId="12" applyFont="1" applyBorder="1" applyAlignment="1" applyProtection="1">
      <alignment horizontal="left" vertical="center" wrapText="1"/>
      <protection locked="0"/>
    </xf>
    <xf numFmtId="0" fontId="31" fillId="0" borderId="0" xfId="12" applyFont="1" applyAlignment="1">
      <alignment vertical="center" wrapText="1"/>
    </xf>
    <xf numFmtId="0" fontId="38" fillId="0" borderId="0" xfId="12" applyFont="1" applyAlignment="1">
      <alignment vertical="center"/>
    </xf>
    <xf numFmtId="0" fontId="38" fillId="0" borderId="9" xfId="12" applyFont="1" applyBorder="1" applyAlignment="1">
      <alignment vertical="center"/>
    </xf>
    <xf numFmtId="0" fontId="15" fillId="12" borderId="0" xfId="12" applyFont="1" applyFill="1" applyAlignment="1">
      <alignment vertical="center"/>
    </xf>
    <xf numFmtId="0" fontId="30" fillId="0" borderId="0" xfId="12" applyFont="1" applyAlignment="1" applyProtection="1">
      <alignment horizontal="center" vertical="center"/>
      <protection locked="0"/>
    </xf>
    <xf numFmtId="0" fontId="31" fillId="12" borderId="0" xfId="0" applyFont="1" applyFill="1" applyAlignment="1">
      <alignment vertical="center"/>
    </xf>
    <xf numFmtId="0" fontId="31" fillId="0" borderId="0" xfId="0" applyFont="1" applyAlignment="1">
      <alignment horizontal="left" vertical="center"/>
    </xf>
    <xf numFmtId="0" fontId="38" fillId="4" borderId="0" xfId="12" applyFont="1" applyFill="1" applyProtection="1">
      <protection locked="0"/>
    </xf>
    <xf numFmtId="0" fontId="31" fillId="15" borderId="0" xfId="12" applyFont="1" applyFill="1" applyAlignment="1">
      <alignment horizontal="left" vertical="center"/>
    </xf>
    <xf numFmtId="0" fontId="32" fillId="15" borderId="0" xfId="12" applyFont="1" applyFill="1" applyAlignment="1">
      <alignment horizontal="left" vertical="center"/>
    </xf>
    <xf numFmtId="0" fontId="11" fillId="15" borderId="0" xfId="12" applyFill="1" applyAlignment="1">
      <alignment vertical="center"/>
    </xf>
    <xf numFmtId="166" fontId="31" fillId="15" borderId="15" xfId="12" applyNumberFormat="1" applyFont="1" applyFill="1" applyBorder="1" applyAlignment="1">
      <alignment horizontal="left" vertical="center"/>
    </xf>
    <xf numFmtId="14" fontId="31" fillId="15" borderId="0" xfId="12" applyNumberFormat="1" applyFont="1" applyFill="1" applyAlignment="1">
      <alignment horizontal="left" vertical="center"/>
    </xf>
    <xf numFmtId="0" fontId="31" fillId="15" borderId="15" xfId="12" applyFont="1" applyFill="1" applyBorder="1" applyAlignment="1">
      <alignment horizontal="left" vertical="center"/>
    </xf>
    <xf numFmtId="166" fontId="31" fillId="15" borderId="0" xfId="12" applyNumberFormat="1" applyFont="1" applyFill="1" applyAlignment="1">
      <alignment horizontal="left" vertical="center"/>
    </xf>
    <xf numFmtId="0" fontId="18" fillId="15" borderId="15" xfId="12" applyFont="1" applyFill="1" applyBorder="1" applyAlignment="1">
      <alignment vertical="center"/>
    </xf>
    <xf numFmtId="167" fontId="31" fillId="15" borderId="16" xfId="12" applyNumberFormat="1" applyFont="1" applyFill="1" applyBorder="1" applyAlignment="1">
      <alignment vertical="center"/>
    </xf>
    <xf numFmtId="0" fontId="15" fillId="4" borderId="0" xfId="0" applyFont="1" applyFill="1" applyAlignment="1">
      <alignment horizontal="center" vertical="center"/>
    </xf>
    <xf numFmtId="0" fontId="21" fillId="0" borderId="15" xfId="0" applyFont="1" applyBorder="1" applyProtection="1">
      <protection locked="0"/>
    </xf>
    <xf numFmtId="0" fontId="58" fillId="0" borderId="21" xfId="0" applyFont="1" applyBorder="1" applyAlignment="1">
      <alignment horizontal="center" vertical="center" wrapText="1"/>
    </xf>
    <xf numFmtId="0" fontId="58" fillId="0" borderId="22" xfId="0" applyFont="1" applyBorder="1" applyAlignment="1">
      <alignment horizontal="center" vertical="center" wrapText="1"/>
    </xf>
    <xf numFmtId="165" fontId="59" fillId="0" borderId="53" xfId="0" applyNumberFormat="1" applyFont="1" applyBorder="1" applyAlignment="1">
      <alignment horizontal="center" vertical="center"/>
    </xf>
    <xf numFmtId="0" fontId="59" fillId="0" borderId="4" xfId="0" applyFont="1" applyBorder="1" applyAlignment="1">
      <alignment horizontal="center" vertical="center" wrapText="1"/>
    </xf>
    <xf numFmtId="0" fontId="59" fillId="0" borderId="55" xfId="0" applyFont="1" applyBorder="1" applyAlignment="1">
      <alignment horizontal="center" vertical="center"/>
    </xf>
    <xf numFmtId="0" fontId="59" fillId="0" borderId="54" xfId="0" applyFont="1" applyBorder="1" applyAlignment="1">
      <alignment horizontal="center" vertical="center"/>
    </xf>
    <xf numFmtId="0" fontId="59" fillId="0" borderId="12" xfId="0" applyFont="1" applyBorder="1" applyAlignment="1">
      <alignment horizontal="center" vertical="center"/>
    </xf>
    <xf numFmtId="0" fontId="59" fillId="0" borderId="4" xfId="0" applyFont="1" applyBorder="1" applyAlignment="1">
      <alignment horizontal="center" vertical="center"/>
    </xf>
    <xf numFmtId="0" fontId="59" fillId="0" borderId="3" xfId="0" applyFont="1" applyBorder="1" applyAlignment="1">
      <alignment horizontal="center" vertical="center"/>
    </xf>
    <xf numFmtId="0" fontId="59" fillId="0" borderId="44" xfId="0" applyFont="1" applyBorder="1" applyAlignment="1">
      <alignment vertical="center"/>
    </xf>
    <xf numFmtId="0" fontId="11" fillId="0" borderId="0" xfId="0" applyFont="1" applyAlignment="1">
      <alignment horizontal="left" vertical="top"/>
    </xf>
    <xf numFmtId="0" fontId="11" fillId="0" borderId="1" xfId="0" quotePrefix="1" applyFont="1" applyBorder="1" applyProtection="1">
      <protection locked="0"/>
    </xf>
    <xf numFmtId="0" fontId="11" fillId="0" borderId="51" xfId="0" applyFont="1" applyBorder="1" applyAlignment="1" applyProtection="1">
      <alignment vertical="center"/>
      <protection locked="0"/>
    </xf>
    <xf numFmtId="0" fontId="0" fillId="0" borderId="1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44" xfId="0" applyBorder="1" applyAlignment="1" applyProtection="1">
      <alignment horizontal="center"/>
      <protection locked="0"/>
    </xf>
    <xf numFmtId="0" fontId="11" fillId="0" borderId="0" xfId="0" quotePrefix="1" applyFont="1" applyAlignment="1">
      <alignment horizontal="left" vertical="center"/>
    </xf>
    <xf numFmtId="0" fontId="126" fillId="0" borderId="73" xfId="12" applyFont="1" applyBorder="1" applyAlignment="1">
      <alignment vertical="center" wrapText="1"/>
    </xf>
    <xf numFmtId="0" fontId="111" fillId="0" borderId="29" xfId="12" applyFont="1" applyBorder="1" applyAlignment="1">
      <alignment vertical="center" wrapText="1"/>
    </xf>
    <xf numFmtId="0" fontId="116" fillId="0" borderId="28" xfId="12" applyFont="1" applyBorder="1" applyAlignment="1">
      <alignment vertical="center" wrapText="1"/>
    </xf>
    <xf numFmtId="0" fontId="116" fillId="0" borderId="29" xfId="12" applyFont="1" applyBorder="1" applyAlignment="1">
      <alignment vertical="center" wrapText="1"/>
    </xf>
    <xf numFmtId="0" fontId="116" fillId="0" borderId="232" xfId="12" applyFont="1" applyBorder="1" applyAlignment="1">
      <alignment vertical="center" wrapText="1"/>
    </xf>
    <xf numFmtId="0" fontId="116" fillId="0" borderId="30" xfId="12" applyFont="1" applyBorder="1" applyAlignment="1">
      <alignment vertical="center" wrapText="1"/>
    </xf>
    <xf numFmtId="0" fontId="116" fillId="0" borderId="219" xfId="12" applyFont="1" applyBorder="1" applyAlignment="1">
      <alignment vertical="center" wrapText="1"/>
    </xf>
    <xf numFmtId="0" fontId="116" fillId="0" borderId="220" xfId="12" applyFont="1" applyBorder="1" applyAlignment="1">
      <alignment vertical="center" wrapText="1"/>
    </xf>
    <xf numFmtId="0" fontId="116" fillId="0" borderId="221" xfId="12" applyFont="1" applyBorder="1" applyAlignment="1">
      <alignment vertical="center" wrapText="1"/>
    </xf>
    <xf numFmtId="0" fontId="111" fillId="0" borderId="0" xfId="12" applyFont="1" applyAlignment="1">
      <alignment vertical="center" wrapText="1"/>
    </xf>
    <xf numFmtId="0" fontId="112" fillId="0" borderId="73" xfId="12" applyFont="1" applyBorder="1" applyAlignment="1">
      <alignment vertical="center" wrapText="1"/>
    </xf>
    <xf numFmtId="0" fontId="122" fillId="0" borderId="126" xfId="12" applyFont="1" applyBorder="1" applyAlignment="1">
      <alignment vertical="center" wrapText="1"/>
    </xf>
    <xf numFmtId="0" fontId="122" fillId="0" borderId="73" xfId="12" applyFont="1" applyBorder="1" applyAlignment="1">
      <alignment vertical="center" wrapText="1"/>
    </xf>
    <xf numFmtId="0" fontId="122" fillId="0" borderId="72" xfId="12" applyFont="1" applyBorder="1" applyAlignment="1">
      <alignment vertical="center" wrapText="1"/>
    </xf>
    <xf numFmtId="0" fontId="122" fillId="0" borderId="72" xfId="12" applyFont="1" applyBorder="1" applyAlignment="1">
      <alignment horizontal="center" vertical="center" wrapText="1"/>
    </xf>
    <xf numFmtId="0" fontId="122" fillId="0" borderId="73" xfId="12" applyFont="1" applyBorder="1" applyAlignment="1">
      <alignment horizontal="center" vertical="center" wrapText="1"/>
    </xf>
    <xf numFmtId="0" fontId="110" fillId="0" borderId="28" xfId="12" applyFont="1" applyBorder="1" applyAlignment="1">
      <alignment vertical="center" wrapText="1"/>
    </xf>
    <xf numFmtId="0" fontId="113" fillId="0" borderId="0" xfId="12" applyFont="1" applyAlignment="1">
      <alignment vertical="center"/>
    </xf>
    <xf numFmtId="0" fontId="11" fillId="4" borderId="0" xfId="0" applyFont="1" applyFill="1" applyAlignment="1" applyProtection="1">
      <alignment vertical="center"/>
      <protection locked="0"/>
    </xf>
    <xf numFmtId="0" fontId="116" fillId="0" borderId="126" xfId="12" applyFont="1" applyBorder="1" applyAlignment="1">
      <alignment vertical="center" wrapText="1"/>
    </xf>
    <xf numFmtId="0" fontId="135" fillId="0" borderId="0" xfId="12" applyFont="1" applyAlignment="1">
      <alignment horizontal="center" vertical="center"/>
    </xf>
    <xf numFmtId="0" fontId="11" fillId="0" borderId="2" xfId="12" applyBorder="1" applyAlignment="1">
      <alignment vertical="center"/>
    </xf>
    <xf numFmtId="0" fontId="137" fillId="0" borderId="0" xfId="0" applyFont="1" applyAlignment="1">
      <alignment horizontal="centerContinuous"/>
    </xf>
    <xf numFmtId="0" fontId="137" fillId="0" borderId="0" xfId="0" applyFont="1" applyAlignment="1">
      <alignment horizontal="left"/>
    </xf>
    <xf numFmtId="0" fontId="17" fillId="0" borderId="11" xfId="12" applyFont="1" applyBorder="1" applyAlignment="1">
      <alignment horizontal="center"/>
    </xf>
    <xf numFmtId="0" fontId="31" fillId="0" borderId="0" xfId="12" applyFont="1" applyAlignment="1">
      <alignment horizontal="center" vertical="center" wrapText="1"/>
    </xf>
    <xf numFmtId="0" fontId="31" fillId="0" borderId="74" xfId="12" applyFont="1" applyBorder="1" applyAlignment="1">
      <alignment horizontal="center" vertical="center" wrapText="1"/>
    </xf>
    <xf numFmtId="0" fontId="39" fillId="0" borderId="0" xfId="12" applyFont="1" applyAlignment="1">
      <alignment horizontal="left"/>
    </xf>
    <xf numFmtId="0" fontId="39" fillId="0" borderId="0" xfId="12" applyFont="1"/>
    <xf numFmtId="0" fontId="25" fillId="14" borderId="0" xfId="0" applyFont="1" applyFill="1" applyAlignment="1">
      <alignment horizontal="center" vertical="center"/>
    </xf>
    <xf numFmtId="0" fontId="15" fillId="14" borderId="0" xfId="0" applyFont="1" applyFill="1" applyAlignment="1">
      <alignment horizontal="left" vertical="center"/>
    </xf>
    <xf numFmtId="0" fontId="11" fillId="0" borderId="17" xfId="12" applyBorder="1" applyAlignment="1">
      <alignment horizontal="center"/>
    </xf>
    <xf numFmtId="0" fontId="11" fillId="0" borderId="18" xfId="12" applyBorder="1" applyAlignment="1">
      <alignment horizontal="center"/>
    </xf>
    <xf numFmtId="0" fontId="11" fillId="0" borderId="2" xfId="12" applyBorder="1" applyAlignment="1">
      <alignment horizontal="center"/>
    </xf>
    <xf numFmtId="0" fontId="101" fillId="16" borderId="2" xfId="12" applyFont="1" applyFill="1" applyBorder="1" applyAlignment="1">
      <alignment horizontal="center"/>
    </xf>
    <xf numFmtId="0" fontId="101" fillId="0" borderId="116" xfId="12" applyFont="1" applyBorder="1"/>
    <xf numFmtId="0" fontId="11" fillId="0" borderId="115" xfId="12" applyBorder="1"/>
    <xf numFmtId="0" fontId="11" fillId="0" borderId="53" xfId="12" applyBorder="1"/>
    <xf numFmtId="0" fontId="11" fillId="0" borderId="55" xfId="12" applyBorder="1"/>
    <xf numFmtId="0" fontId="11" fillId="0" borderId="17" xfId="12" applyBorder="1"/>
    <xf numFmtId="0" fontId="11" fillId="0" borderId="7" xfId="12" applyBorder="1"/>
    <xf numFmtId="0" fontId="101" fillId="0" borderId="78" xfId="12" applyFont="1" applyBorder="1"/>
    <xf numFmtId="0" fontId="101" fillId="0" borderId="17" xfId="12" applyFont="1" applyBorder="1"/>
    <xf numFmtId="0" fontId="101" fillId="0" borderId="31" xfId="12" applyFont="1" applyBorder="1"/>
    <xf numFmtId="0" fontId="11" fillId="0" borderId="151" xfId="12" applyBorder="1"/>
    <xf numFmtId="0" fontId="11" fillId="0" borderId="148" xfId="12" applyBorder="1"/>
    <xf numFmtId="0" fontId="101" fillId="16" borderId="28" xfId="12" applyFont="1" applyFill="1" applyBorder="1"/>
    <xf numFmtId="0" fontId="101" fillId="16" borderId="86" xfId="12" applyFont="1" applyFill="1" applyBorder="1"/>
    <xf numFmtId="0" fontId="11" fillId="0" borderId="77" xfId="12" applyBorder="1"/>
    <xf numFmtId="0" fontId="11" fillId="0" borderId="127" xfId="12" applyBorder="1"/>
    <xf numFmtId="0" fontId="101" fillId="16" borderId="118" xfId="12" applyFont="1" applyFill="1" applyBorder="1"/>
    <xf numFmtId="0" fontId="101" fillId="16" borderId="7" xfId="12" applyFont="1" applyFill="1" applyBorder="1"/>
    <xf numFmtId="0" fontId="11" fillId="0" borderId="39" xfId="12" applyBorder="1"/>
    <xf numFmtId="0" fontId="11" fillId="0" borderId="137" xfId="12" applyBorder="1"/>
    <xf numFmtId="0" fontId="101" fillId="16" borderId="36" xfId="12" applyFont="1" applyFill="1" applyBorder="1"/>
    <xf numFmtId="0" fontId="101" fillId="16" borderId="65" xfId="12" applyFont="1" applyFill="1" applyBorder="1"/>
    <xf numFmtId="0" fontId="11" fillId="0" borderId="117" xfId="12" applyBorder="1"/>
    <xf numFmtId="0" fontId="101" fillId="0" borderId="0" xfId="12" applyFont="1"/>
    <xf numFmtId="0" fontId="11" fillId="0" borderId="126" xfId="12" applyBorder="1"/>
    <xf numFmtId="0" fontId="11" fillId="0" borderId="73" xfId="12" applyBorder="1"/>
    <xf numFmtId="0" fontId="11" fillId="0" borderId="0" xfId="12" applyAlignment="1">
      <alignment horizontal="center" vertical="center"/>
    </xf>
    <xf numFmtId="0" fontId="101" fillId="16" borderId="145" xfId="12" applyFont="1" applyFill="1" applyBorder="1" applyAlignment="1">
      <alignment horizontal="center"/>
    </xf>
    <xf numFmtId="0" fontId="11" fillId="0" borderId="166" xfId="12" applyBorder="1" applyAlignment="1">
      <alignment horizontal="center"/>
    </xf>
    <xf numFmtId="0" fontId="11" fillId="14" borderId="154" xfId="12" applyFill="1" applyBorder="1" applyAlignment="1">
      <alignment horizontal="center"/>
    </xf>
    <xf numFmtId="0" fontId="11" fillId="18" borderId="77" xfId="12" applyFill="1" applyBorder="1" applyAlignment="1">
      <alignment horizontal="center"/>
    </xf>
    <xf numFmtId="0" fontId="11" fillId="14" borderId="77" xfId="12" applyFill="1" applyBorder="1" applyAlignment="1">
      <alignment horizontal="center"/>
    </xf>
    <xf numFmtId="0" fontId="11" fillId="14" borderId="160" xfId="12" applyFill="1" applyBorder="1" applyAlignment="1">
      <alignment horizontal="center"/>
    </xf>
    <xf numFmtId="0" fontId="11" fillId="18" borderId="145" xfId="12" applyFill="1" applyBorder="1" applyAlignment="1">
      <alignment horizontal="center"/>
    </xf>
    <xf numFmtId="0" fontId="101" fillId="16" borderId="146" xfId="12" applyFont="1" applyFill="1" applyBorder="1" applyAlignment="1">
      <alignment horizontal="center"/>
    </xf>
    <xf numFmtId="0" fontId="11" fillId="14" borderId="2" xfId="12" applyFill="1" applyBorder="1" applyAlignment="1">
      <alignment horizontal="center"/>
    </xf>
    <xf numFmtId="0" fontId="11" fillId="18" borderId="17" xfId="12" applyFill="1" applyBorder="1" applyAlignment="1">
      <alignment horizontal="center"/>
    </xf>
    <xf numFmtId="0" fontId="11" fillId="14" borderId="17" xfId="12" applyFill="1" applyBorder="1" applyAlignment="1">
      <alignment horizontal="center"/>
    </xf>
    <xf numFmtId="0" fontId="11" fillId="14" borderId="18" xfId="12" applyFill="1" applyBorder="1" applyAlignment="1">
      <alignment horizontal="center"/>
    </xf>
    <xf numFmtId="0" fontId="11" fillId="18" borderId="146" xfId="12" applyFill="1" applyBorder="1" applyAlignment="1">
      <alignment horizontal="center"/>
    </xf>
    <xf numFmtId="0" fontId="101" fillId="16" borderId="159" xfId="12" applyFont="1" applyFill="1" applyBorder="1" applyAlignment="1">
      <alignment horizontal="center"/>
    </xf>
    <xf numFmtId="0" fontId="101" fillId="16" borderId="147" xfId="12" applyFont="1" applyFill="1" applyBorder="1" applyAlignment="1">
      <alignment horizontal="center"/>
    </xf>
    <xf numFmtId="0" fontId="11" fillId="0" borderId="52" xfId="12" applyBorder="1" applyAlignment="1">
      <alignment horizontal="center"/>
    </xf>
    <xf numFmtId="0" fontId="11" fillId="0" borderId="32" xfId="12" applyBorder="1" applyAlignment="1">
      <alignment horizontal="center"/>
    </xf>
    <xf numFmtId="0" fontId="11" fillId="18" borderId="79" xfId="12" applyFill="1" applyBorder="1" applyAlignment="1">
      <alignment horizontal="center"/>
    </xf>
    <xf numFmtId="0" fontId="11" fillId="0" borderId="79" xfId="12" applyBorder="1" applyAlignment="1">
      <alignment horizontal="center"/>
    </xf>
    <xf numFmtId="0" fontId="11" fillId="0" borderId="151" xfId="12" applyBorder="1" applyAlignment="1">
      <alignment horizontal="center"/>
    </xf>
    <xf numFmtId="0" fontId="11" fillId="18" borderId="147" xfId="12" applyFill="1" applyBorder="1" applyAlignment="1">
      <alignment horizontal="center"/>
    </xf>
    <xf numFmtId="0" fontId="62" fillId="0" borderId="0" xfId="0" applyFont="1" applyAlignment="1">
      <alignment vertical="center" wrapText="1"/>
    </xf>
    <xf numFmtId="0" fontId="101" fillId="0" borderId="0" xfId="12" applyFont="1" applyAlignment="1">
      <alignment horizontal="center"/>
    </xf>
    <xf numFmtId="0" fontId="101" fillId="16" borderId="72" xfId="12" applyFont="1" applyFill="1" applyBorder="1" applyAlignment="1">
      <alignment horizontal="right"/>
    </xf>
    <xf numFmtId="0" fontId="101" fillId="16" borderId="20" xfId="12" applyFont="1" applyFill="1" applyBorder="1" applyAlignment="1">
      <alignment horizontal="right"/>
    </xf>
    <xf numFmtId="0" fontId="101" fillId="14" borderId="0" xfId="12" applyFont="1" applyFill="1"/>
    <xf numFmtId="0" fontId="11" fillId="14" borderId="0" xfId="12" applyFill="1"/>
    <xf numFmtId="0" fontId="138" fillId="16" borderId="80" xfId="12" applyFont="1" applyFill="1" applyBorder="1" applyAlignment="1">
      <alignment horizontal="center" vertical="center" wrapText="1"/>
    </xf>
    <xf numFmtId="0" fontId="138" fillId="16" borderId="86" xfId="12" applyFont="1" applyFill="1" applyBorder="1" applyAlignment="1">
      <alignment horizontal="center" vertical="center" wrapText="1"/>
    </xf>
    <xf numFmtId="0" fontId="138" fillId="16" borderId="138" xfId="12" applyFont="1" applyFill="1" applyBorder="1" applyAlignment="1">
      <alignment horizontal="center" vertical="center" wrapText="1"/>
    </xf>
    <xf numFmtId="0" fontId="138" fillId="16" borderId="137" xfId="12" applyFont="1" applyFill="1" applyBorder="1" applyAlignment="1">
      <alignment horizontal="center" vertical="center" wrapText="1"/>
    </xf>
    <xf numFmtId="0" fontId="139" fillId="16" borderId="80" xfId="12" applyFont="1" applyFill="1" applyBorder="1" applyAlignment="1">
      <alignment horizontal="center" vertical="center" wrapText="1"/>
    </xf>
    <xf numFmtId="0" fontId="38" fillId="0" borderId="0" xfId="0" applyFont="1" applyAlignment="1">
      <alignment vertical="center" wrapText="1"/>
    </xf>
    <xf numFmtId="0" fontId="38" fillId="0" borderId="0" xfId="0" applyFont="1" applyAlignment="1">
      <alignment vertical="center"/>
    </xf>
    <xf numFmtId="0" fontId="11" fillId="0" borderId="0" xfId="12" applyAlignment="1">
      <alignment horizontal="left" vertical="center" wrapText="1"/>
    </xf>
    <xf numFmtId="0" fontId="11" fillId="0" borderId="9" xfId="12" applyBorder="1" applyAlignment="1">
      <alignment horizontal="left" vertical="center" wrapText="1"/>
    </xf>
    <xf numFmtId="0" fontId="18" fillId="0" borderId="0" xfId="12" applyFont="1" applyAlignment="1">
      <alignment horizontal="center" vertical="center"/>
    </xf>
    <xf numFmtId="0" fontId="134" fillId="0" borderId="0" xfId="12" applyFont="1" applyAlignment="1">
      <alignment vertical="top" wrapText="1"/>
    </xf>
    <xf numFmtId="0" fontId="134" fillId="0" borderId="0" xfId="12" applyFont="1" applyAlignment="1">
      <alignment horizontal="center" vertical="top" wrapText="1"/>
    </xf>
    <xf numFmtId="0" fontId="141" fillId="0" borderId="0" xfId="12" applyFont="1" applyAlignment="1">
      <alignment horizontal="center" vertical="center"/>
    </xf>
    <xf numFmtId="0" fontId="135" fillId="0" borderId="0" xfId="12" applyFont="1" applyAlignment="1">
      <alignment horizontal="left" vertical="center"/>
    </xf>
    <xf numFmtId="0" fontId="11" fillId="0" borderId="11" xfId="12" applyBorder="1" applyAlignment="1">
      <alignment vertical="center" wrapText="1"/>
    </xf>
    <xf numFmtId="0" fontId="142" fillId="19" borderId="2" xfId="12" applyFont="1" applyFill="1" applyBorder="1" applyAlignment="1">
      <alignment horizontal="right" vertical="center" wrapText="1"/>
    </xf>
    <xf numFmtId="0" fontId="11" fillId="0" borderId="17" xfId="12" applyBorder="1" applyAlignment="1">
      <alignment vertical="center" wrapText="1"/>
    </xf>
    <xf numFmtId="0" fontId="11" fillId="0" borderId="18" xfId="12" applyBorder="1" applyAlignment="1">
      <alignment vertical="center" wrapText="1"/>
    </xf>
    <xf numFmtId="0" fontId="11" fillId="0" borderId="8" xfId="12" applyBorder="1" applyAlignment="1">
      <alignment horizontal="left" vertical="center" wrapText="1"/>
    </xf>
    <xf numFmtId="0" fontId="142" fillId="0" borderId="2" xfId="12" applyFont="1" applyBorder="1" applyAlignment="1">
      <alignment horizontal="right" vertical="center" wrapText="1"/>
    </xf>
    <xf numFmtId="0" fontId="11" fillId="0" borderId="7" xfId="12" applyBorder="1" applyAlignment="1">
      <alignment vertical="center" wrapText="1"/>
    </xf>
    <xf numFmtId="0" fontId="11" fillId="18" borderId="2" xfId="12" applyFill="1" applyBorder="1" applyAlignment="1">
      <alignment horizontal="right" vertical="center" wrapText="1"/>
    </xf>
    <xf numFmtId="0" fontId="11" fillId="0" borderId="31" xfId="12" applyBorder="1" applyAlignment="1">
      <alignment vertical="center" wrapText="1"/>
    </xf>
    <xf numFmtId="0" fontId="11" fillId="18" borderId="7" xfId="12" applyFill="1" applyBorder="1" applyAlignment="1">
      <alignment horizontal="right" vertical="center" wrapText="1"/>
    </xf>
    <xf numFmtId="0" fontId="11" fillId="0" borderId="2" xfId="12" applyBorder="1" applyAlignment="1">
      <alignment vertical="center" wrapText="1"/>
    </xf>
    <xf numFmtId="0" fontId="11" fillId="18" borderId="2" xfId="12" applyFill="1" applyBorder="1" applyAlignment="1">
      <alignment vertical="center" wrapText="1"/>
    </xf>
    <xf numFmtId="0" fontId="11" fillId="14" borderId="8" xfId="12" applyFill="1" applyBorder="1" applyAlignment="1">
      <alignment horizontal="left" vertical="center" wrapText="1"/>
    </xf>
    <xf numFmtId="0" fontId="41" fillId="14" borderId="0" xfId="12" applyFont="1" applyFill="1" applyAlignment="1">
      <alignment horizontal="center" vertical="center" wrapText="1"/>
    </xf>
    <xf numFmtId="0" fontId="25" fillId="0" borderId="1" xfId="12" applyFont="1" applyBorder="1" applyAlignment="1">
      <alignment horizontal="center" vertical="center" wrapText="1"/>
    </xf>
    <xf numFmtId="0" fontId="25" fillId="20" borderId="0" xfId="12" applyFont="1" applyFill="1" applyAlignment="1">
      <alignment horizontal="center" vertical="center" wrapText="1"/>
    </xf>
    <xf numFmtId="0" fontId="41" fillId="0" borderId="9" xfId="12" applyFont="1" applyBorder="1" applyAlignment="1">
      <alignment vertical="center" wrapText="1"/>
    </xf>
    <xf numFmtId="0" fontId="41" fillId="0" borderId="0" xfId="12" applyFont="1" applyAlignment="1">
      <alignment horizontal="center" vertical="center" wrapText="1"/>
    </xf>
    <xf numFmtId="0" fontId="11" fillId="0" borderId="1" xfId="12" applyBorder="1" applyAlignment="1">
      <alignment horizontal="left" vertical="center" wrapText="1"/>
    </xf>
    <xf numFmtId="0" fontId="11" fillId="20" borderId="0" xfId="12" applyFill="1" applyAlignment="1">
      <alignment horizontal="left" vertical="center" wrapText="1"/>
    </xf>
    <xf numFmtId="0" fontId="41" fillId="0" borderId="9" xfId="12" applyFont="1" applyBorder="1" applyAlignment="1">
      <alignment horizontal="center" vertical="center" wrapText="1"/>
    </xf>
    <xf numFmtId="0" fontId="11" fillId="0" borderId="10" xfId="12" applyBorder="1" applyAlignment="1">
      <alignment horizontal="left" vertical="center" wrapText="1"/>
    </xf>
    <xf numFmtId="0" fontId="41" fillId="0" borderId="11" xfId="12" applyFont="1" applyBorder="1" applyAlignment="1">
      <alignment horizontal="center" vertical="center" wrapText="1"/>
    </xf>
    <xf numFmtId="0" fontId="11" fillId="0" borderId="36" xfId="12" applyBorder="1" applyAlignment="1">
      <alignment horizontal="left" vertical="center" wrapText="1"/>
    </xf>
    <xf numFmtId="0" fontId="11" fillId="20" borderId="37" xfId="12" applyFill="1" applyBorder="1" applyAlignment="1">
      <alignment horizontal="left" vertical="center" wrapText="1"/>
    </xf>
    <xf numFmtId="0" fontId="11" fillId="0" borderId="37" xfId="12" applyBorder="1" applyAlignment="1">
      <alignment horizontal="left" vertical="center" wrapText="1"/>
    </xf>
    <xf numFmtId="0" fontId="41" fillId="0" borderId="12" xfId="12" applyFont="1" applyBorder="1" applyAlignment="1">
      <alignment horizontal="center" vertical="center" wrapText="1"/>
    </xf>
    <xf numFmtId="0" fontId="11" fillId="18" borderId="2" xfId="12" applyFill="1" applyBorder="1" applyAlignment="1">
      <alignment horizontal="left" vertical="center" wrapText="1"/>
    </xf>
    <xf numFmtId="0" fontId="11" fillId="18" borderId="2" xfId="12" applyFill="1" applyBorder="1" applyAlignment="1">
      <alignment horizontal="center" vertical="center" wrapText="1"/>
    </xf>
    <xf numFmtId="0" fontId="11" fillId="0" borderId="5" xfId="12" applyBorder="1" applyAlignment="1">
      <alignment vertical="center" wrapText="1"/>
    </xf>
    <xf numFmtId="0" fontId="11" fillId="0" borderId="6" xfId="12" applyBorder="1" applyAlignment="1">
      <alignment horizontal="left" vertical="center" wrapText="1"/>
    </xf>
    <xf numFmtId="0" fontId="11" fillId="0" borderId="13" xfId="12" applyBorder="1" applyAlignment="1">
      <alignment horizontal="left" vertical="center" wrapText="1"/>
    </xf>
    <xf numFmtId="0" fontId="11" fillId="0" borderId="10" xfId="12" applyBorder="1" applyAlignment="1">
      <alignmen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11" fillId="0" borderId="6" xfId="12" applyBorder="1" applyAlignment="1">
      <alignment vertical="center" wrapText="1"/>
    </xf>
    <xf numFmtId="0" fontId="11" fillId="0" borderId="13" xfId="12" applyBorder="1" applyAlignment="1">
      <alignment vertical="center" wrapText="1"/>
    </xf>
    <xf numFmtId="0" fontId="11" fillId="0" borderId="9" xfId="12" applyBorder="1" applyAlignment="1">
      <alignment vertical="center" wrapText="1"/>
    </xf>
    <xf numFmtId="0" fontId="11" fillId="0" borderId="12" xfId="12" applyBorder="1" applyAlignment="1">
      <alignment vertical="center" wrapText="1"/>
    </xf>
    <xf numFmtId="0" fontId="25" fillId="18" borderId="0" xfId="12" applyFont="1" applyFill="1" applyAlignment="1">
      <alignment vertical="center" wrapText="1"/>
    </xf>
    <xf numFmtId="0" fontId="11" fillId="18" borderId="0" xfId="12" applyFill="1" applyAlignment="1">
      <alignment vertical="center" wrapText="1"/>
    </xf>
    <xf numFmtId="0" fontId="11" fillId="0" borderId="2" xfId="12" applyBorder="1" applyAlignment="1">
      <alignment horizontal="right" vertical="center" wrapText="1"/>
    </xf>
    <xf numFmtId="0" fontId="2" fillId="0" borderId="0" xfId="22"/>
    <xf numFmtId="0" fontId="2" fillId="22" borderId="0" xfId="22" applyFill="1"/>
    <xf numFmtId="0" fontId="130" fillId="22" borderId="0" xfId="22" applyFont="1" applyFill="1"/>
    <xf numFmtId="0" fontId="130" fillId="22" borderId="0" xfId="23" applyFont="1" applyFill="1"/>
    <xf numFmtId="0" fontId="127" fillId="22" borderId="17" xfId="22" applyFont="1" applyFill="1" applyBorder="1"/>
    <xf numFmtId="0" fontId="127" fillId="22" borderId="18" xfId="22" applyFont="1" applyFill="1" applyBorder="1"/>
    <xf numFmtId="0" fontId="127" fillId="22" borderId="7" xfId="22" applyFont="1" applyFill="1" applyBorder="1"/>
    <xf numFmtId="0" fontId="127" fillId="22" borderId="5" xfId="22" applyFont="1" applyFill="1" applyBorder="1"/>
    <xf numFmtId="0" fontId="127" fillId="22" borderId="6" xfId="23" applyFont="1" applyFill="1" applyBorder="1"/>
    <xf numFmtId="0" fontId="127" fillId="22" borderId="6" xfId="22" applyFont="1" applyFill="1" applyBorder="1"/>
    <xf numFmtId="0" fontId="130" fillId="22" borderId="6" xfId="22" applyFont="1" applyFill="1" applyBorder="1"/>
    <xf numFmtId="0" fontId="2" fillId="22" borderId="6" xfId="22" applyFill="1" applyBorder="1"/>
    <xf numFmtId="0" fontId="2" fillId="22" borderId="13" xfId="22" applyFill="1" applyBorder="1"/>
    <xf numFmtId="0" fontId="127" fillId="22" borderId="18" xfId="23" applyFont="1" applyFill="1" applyBorder="1"/>
    <xf numFmtId="0" fontId="130" fillId="22" borderId="18" xfId="22" applyFont="1" applyFill="1" applyBorder="1"/>
    <xf numFmtId="0" fontId="2" fillId="22" borderId="18" xfId="22" applyFill="1" applyBorder="1"/>
    <xf numFmtId="0" fontId="2" fillId="22" borderId="7" xfId="22" applyFill="1" applyBorder="1"/>
    <xf numFmtId="0" fontId="127" fillId="22" borderId="10" xfId="22" applyFont="1" applyFill="1" applyBorder="1"/>
    <xf numFmtId="0" fontId="127" fillId="22" borderId="11" xfId="23" applyFont="1" applyFill="1" applyBorder="1"/>
    <xf numFmtId="0" fontId="127" fillId="22" borderId="10" xfId="23" applyFont="1" applyFill="1" applyBorder="1"/>
    <xf numFmtId="0" fontId="127" fillId="22" borderId="11" xfId="22" applyFont="1" applyFill="1" applyBorder="1"/>
    <xf numFmtId="0" fontId="130" fillId="22" borderId="11" xfId="22" applyFont="1" applyFill="1" applyBorder="1"/>
    <xf numFmtId="0" fontId="130" fillId="22" borderId="12" xfId="22" applyFont="1" applyFill="1" applyBorder="1"/>
    <xf numFmtId="0" fontId="2" fillId="22" borderId="11" xfId="22" applyFill="1" applyBorder="1"/>
    <xf numFmtId="0" fontId="2" fillId="22" borderId="12" xfId="22" applyFill="1" applyBorder="1"/>
    <xf numFmtId="0" fontId="127" fillId="22" borderId="17" xfId="23" applyFont="1" applyFill="1" applyBorder="1"/>
    <xf numFmtId="0" fontId="130" fillId="22" borderId="7" xfId="22" applyFont="1" applyFill="1" applyBorder="1"/>
    <xf numFmtId="0" fontId="2" fillId="22" borderId="17" xfId="22" applyFill="1" applyBorder="1"/>
    <xf numFmtId="0" fontId="130" fillId="22" borderId="6" xfId="23" applyFont="1" applyFill="1" applyBorder="1"/>
    <xf numFmtId="0" fontId="130" fillId="22" borderId="8" xfId="22" applyFont="1" applyFill="1" applyBorder="1"/>
    <xf numFmtId="0" fontId="2" fillId="22" borderId="9" xfId="22" applyFill="1" applyBorder="1"/>
    <xf numFmtId="0" fontId="130" fillId="22" borderId="10" xfId="22" applyFont="1" applyFill="1" applyBorder="1"/>
    <xf numFmtId="0" fontId="130" fillId="22" borderId="11" xfId="23" applyFont="1" applyFill="1" applyBorder="1"/>
    <xf numFmtId="0" fontId="130" fillId="22" borderId="0" xfId="23" applyFont="1" applyFill="1" applyAlignment="1">
      <alignment horizontal="left"/>
    </xf>
    <xf numFmtId="0" fontId="127" fillId="22" borderId="0" xfId="22" applyFont="1" applyFill="1" applyAlignment="1">
      <alignment vertical="center"/>
    </xf>
    <xf numFmtId="0" fontId="127" fillId="22" borderId="8" xfId="22" applyFont="1" applyFill="1" applyBorder="1" applyAlignment="1">
      <alignment vertical="center"/>
    </xf>
    <xf numFmtId="0" fontId="146" fillId="22" borderId="0" xfId="23" applyFont="1" applyFill="1" applyAlignment="1">
      <alignment vertical="center"/>
    </xf>
    <xf numFmtId="0" fontId="127" fillId="22" borderId="0" xfId="23" applyFont="1" applyFill="1" applyAlignment="1">
      <alignment vertical="center"/>
    </xf>
    <xf numFmtId="0" fontId="127" fillId="22" borderId="9" xfId="23" applyFont="1" applyFill="1" applyBorder="1" applyAlignment="1">
      <alignment vertical="center"/>
    </xf>
    <xf numFmtId="0" fontId="127" fillId="0" borderId="0" xfId="22" applyFont="1" applyAlignment="1">
      <alignment vertical="center"/>
    </xf>
    <xf numFmtId="0" fontId="127" fillId="22" borderId="10" xfId="22" applyFont="1" applyFill="1" applyBorder="1" applyAlignment="1">
      <alignment vertical="center"/>
    </xf>
    <xf numFmtId="0" fontId="146" fillId="22" borderId="11" xfId="23" applyFont="1" applyFill="1" applyBorder="1" applyAlignment="1">
      <alignment vertical="center"/>
    </xf>
    <xf numFmtId="0" fontId="127" fillId="22" borderId="11" xfId="23" applyFont="1" applyFill="1" applyBorder="1" applyAlignment="1">
      <alignment vertical="center"/>
    </xf>
    <xf numFmtId="0" fontId="127" fillId="22" borderId="12" xfId="23" applyFont="1" applyFill="1" applyBorder="1" applyAlignment="1">
      <alignment vertical="center"/>
    </xf>
    <xf numFmtId="0" fontId="148" fillId="22" borderId="0" xfId="22" applyFont="1" applyFill="1"/>
    <xf numFmtId="0" fontId="2" fillId="22" borderId="0" xfId="23" applyFill="1"/>
    <xf numFmtId="0" fontId="138" fillId="22" borderId="17" xfId="22" applyFont="1" applyFill="1" applyBorder="1"/>
    <xf numFmtId="0" fontId="101" fillId="22" borderId="18" xfId="22" applyFont="1" applyFill="1" applyBorder="1"/>
    <xf numFmtId="0" fontId="101" fillId="22" borderId="7" xfId="22" applyFont="1" applyFill="1" applyBorder="1"/>
    <xf numFmtId="0" fontId="130" fillId="0" borderId="0" xfId="23" applyFont="1"/>
    <xf numFmtId="0" fontId="125" fillId="0" borderId="0" xfId="23" applyFont="1" applyAlignment="1">
      <alignment vertical="center" wrapText="1"/>
    </xf>
    <xf numFmtId="0" fontId="2" fillId="0" borderId="0" xfId="23"/>
    <xf numFmtId="0" fontId="131" fillId="0" borderId="5" xfId="23" applyFont="1" applyBorder="1" applyAlignment="1">
      <alignment vertical="top"/>
    </xf>
    <xf numFmtId="0" fontId="131" fillId="0" borderId="6" xfId="23" applyFont="1" applyBorder="1"/>
    <xf numFmtId="0" fontId="2" fillId="0" borderId="6" xfId="23" applyBorder="1"/>
    <xf numFmtId="0" fontId="2" fillId="0" borderId="13" xfId="23" applyBorder="1"/>
    <xf numFmtId="0" fontId="131" fillId="0" borderId="10" xfId="23" applyFont="1" applyBorder="1" applyAlignment="1">
      <alignment vertical="top"/>
    </xf>
    <xf numFmtId="0" fontId="131" fillId="0" borderId="11" xfId="23" applyFont="1" applyBorder="1"/>
    <xf numFmtId="0" fontId="2" fillId="0" borderId="11" xfId="23" applyBorder="1"/>
    <xf numFmtId="0" fontId="2" fillId="0" borderId="12" xfId="23" applyBorder="1"/>
    <xf numFmtId="0" fontId="2" fillId="0" borderId="10" xfId="23" applyBorder="1"/>
    <xf numFmtId="0" fontId="2" fillId="0" borderId="235" xfId="23" applyBorder="1"/>
    <xf numFmtId="0" fontId="139" fillId="0" borderId="17" xfId="23" applyFont="1" applyBorder="1"/>
    <xf numFmtId="0" fontId="139" fillId="0" borderId="18" xfId="23" applyFont="1" applyBorder="1"/>
    <xf numFmtId="0" fontId="131" fillId="0" borderId="18" xfId="23" applyFont="1" applyBorder="1"/>
    <xf numFmtId="0" fontId="131" fillId="0" borderId="18" xfId="22" applyFont="1" applyBorder="1"/>
    <xf numFmtId="0" fontId="131" fillId="0" borderId="7" xfId="23" applyFont="1" applyBorder="1"/>
    <xf numFmtId="0" fontId="2" fillId="0" borderId="18" xfId="22" applyBorder="1"/>
    <xf numFmtId="0" fontId="138" fillId="0" borderId="18" xfId="23" applyFont="1" applyBorder="1"/>
    <xf numFmtId="0" fontId="138" fillId="0" borderId="18" xfId="23" applyFont="1" applyBorder="1" applyAlignment="1">
      <alignment horizontal="right"/>
    </xf>
    <xf numFmtId="0" fontId="130" fillId="0" borderId="18" xfId="23" applyFont="1" applyBorder="1"/>
    <xf numFmtId="0" fontId="130" fillId="0" borderId="7" xfId="23" applyFont="1" applyBorder="1"/>
    <xf numFmtId="0" fontId="127" fillId="0" borderId="0" xfId="22" applyFont="1"/>
    <xf numFmtId="0" fontId="2" fillId="0" borderId="0" xfId="22" applyAlignment="1">
      <alignment horizontal="left" vertical="center"/>
    </xf>
    <xf numFmtId="0" fontId="127" fillId="0" borderId="17" xfId="22" applyFont="1" applyBorder="1" applyAlignment="1">
      <alignment vertical="center"/>
    </xf>
    <xf numFmtId="0" fontId="130" fillId="0" borderId="18" xfId="22" applyFont="1" applyBorder="1" applyAlignment="1">
      <alignment vertical="center"/>
    </xf>
    <xf numFmtId="0" fontId="2" fillId="0" borderId="17" xfId="23" applyBorder="1" applyAlignment="1">
      <alignment vertical="center"/>
    </xf>
    <xf numFmtId="0" fontId="2" fillId="0" borderId="18" xfId="23" applyBorder="1" applyAlignment="1">
      <alignment vertical="center"/>
    </xf>
    <xf numFmtId="0" fontId="2" fillId="0" borderId="7" xfId="23" applyBorder="1" applyAlignment="1">
      <alignment vertical="center"/>
    </xf>
    <xf numFmtId="0" fontId="2" fillId="0" borderId="0" xfId="23" applyAlignment="1">
      <alignment horizontal="center" vertical="center"/>
    </xf>
    <xf numFmtId="0" fontId="127" fillId="0" borderId="17" xfId="23" applyFont="1" applyBorder="1" applyAlignment="1">
      <alignment vertical="center"/>
    </xf>
    <xf numFmtId="0" fontId="130" fillId="0" borderId="18" xfId="23" applyFont="1" applyBorder="1" applyAlignment="1">
      <alignment vertical="center"/>
    </xf>
    <xf numFmtId="0" fontId="129" fillId="0" borderId="17" xfId="22" applyFont="1" applyBorder="1" applyAlignment="1">
      <alignment vertical="center"/>
    </xf>
    <xf numFmtId="0" fontId="132" fillId="0" borderId="18" xfId="22" applyFont="1" applyBorder="1" applyAlignment="1">
      <alignment vertical="center"/>
    </xf>
    <xf numFmtId="0" fontId="2" fillId="0" borderId="10" xfId="23" applyBorder="1" applyAlignment="1">
      <alignment vertical="center"/>
    </xf>
    <xf numFmtId="0" fontId="2" fillId="0" borderId="11" xfId="23" applyBorder="1" applyAlignment="1">
      <alignment vertical="center"/>
    </xf>
    <xf numFmtId="0" fontId="2" fillId="0" borderId="12" xfId="23" applyBorder="1" applyAlignment="1">
      <alignment vertical="center"/>
    </xf>
    <xf numFmtId="0" fontId="155" fillId="0" borderId="18" xfId="23" applyFont="1" applyBorder="1" applyAlignment="1">
      <alignment vertical="center"/>
    </xf>
    <xf numFmtId="0" fontId="130" fillId="0" borderId="17" xfId="22" applyFont="1" applyBorder="1"/>
    <xf numFmtId="0" fontId="2" fillId="0" borderId="7" xfId="22" applyBorder="1"/>
    <xf numFmtId="0" fontId="25" fillId="0" borderId="0" xfId="0" quotePrefix="1" applyFont="1"/>
    <xf numFmtId="0" fontId="32" fillId="0" borderId="0" xfId="12" applyFont="1"/>
    <xf numFmtId="0" fontId="36" fillId="0" borderId="0" xfId="12" applyFont="1" applyAlignment="1">
      <alignment horizontal="center" vertical="center"/>
    </xf>
    <xf numFmtId="0" fontId="17" fillId="0" borderId="0" xfId="12" applyFont="1"/>
    <xf numFmtId="0" fontId="123" fillId="0" borderId="2" xfId="24" applyFont="1" applyBorder="1" applyAlignment="1">
      <alignment vertical="center"/>
    </xf>
    <xf numFmtId="0" fontId="1" fillId="0" borderId="0" xfId="24" applyAlignment="1">
      <alignment horizontal="center" vertical="center"/>
    </xf>
    <xf numFmtId="0" fontId="1" fillId="0" borderId="0" xfId="24"/>
    <xf numFmtId="0" fontId="123" fillId="0" borderId="0" xfId="24" applyFont="1" applyAlignment="1">
      <alignment vertical="center"/>
    </xf>
    <xf numFmtId="0" fontId="157" fillId="0" borderId="0" xfId="24" applyFont="1" applyAlignment="1">
      <alignment horizontal="center" vertical="center" wrapText="1"/>
    </xf>
    <xf numFmtId="0" fontId="157" fillId="0" borderId="0" xfId="24" applyFont="1" applyAlignment="1">
      <alignment horizontal="center" vertical="center"/>
    </xf>
    <xf numFmtId="0" fontId="157" fillId="0" borderId="9" xfId="24" applyFont="1" applyBorder="1" applyAlignment="1">
      <alignment horizontal="center" vertical="center"/>
    </xf>
    <xf numFmtId="0" fontId="124" fillId="16" borderId="2" xfId="24" applyFont="1" applyFill="1" applyBorder="1" applyAlignment="1">
      <alignment horizontal="right" vertical="center"/>
    </xf>
    <xf numFmtId="0" fontId="124" fillId="0" borderId="2" xfId="24" applyFont="1" applyBorder="1" applyAlignment="1">
      <alignment vertical="center"/>
    </xf>
    <xf numFmtId="0" fontId="130" fillId="0" borderId="0" xfId="24" applyFont="1"/>
    <xf numFmtId="0" fontId="130" fillId="0" borderId="9" xfId="24" applyFont="1" applyBorder="1"/>
    <xf numFmtId="0" fontId="124" fillId="0" borderId="2" xfId="24" applyFont="1" applyBorder="1" applyAlignment="1">
      <alignment horizontal="left" vertical="center"/>
    </xf>
    <xf numFmtId="0" fontId="124" fillId="0" borderId="17" xfId="24" applyFont="1" applyBorder="1" applyAlignment="1">
      <alignment horizontal="left" vertical="center"/>
    </xf>
    <xf numFmtId="0" fontId="124" fillId="0" borderId="0" xfId="24" applyFont="1" applyAlignment="1">
      <alignment horizontal="center" vertical="center"/>
    </xf>
    <xf numFmtId="0" fontId="124" fillId="0" borderId="9" xfId="24" applyFont="1" applyBorder="1" applyAlignment="1">
      <alignment horizontal="center" vertical="center"/>
    </xf>
    <xf numFmtId="0" fontId="124" fillId="0" borderId="2" xfId="24" applyFont="1" applyBorder="1" applyAlignment="1">
      <alignment horizontal="center" vertical="top"/>
    </xf>
    <xf numFmtId="0" fontId="130" fillId="16" borderId="2" xfId="24" applyFont="1" applyFill="1" applyBorder="1" applyAlignment="1">
      <alignment horizontal="center" vertical="center"/>
    </xf>
    <xf numFmtId="0" fontId="130" fillId="16" borderId="2" xfId="24" applyFont="1" applyFill="1" applyBorder="1" applyAlignment="1">
      <alignment horizontal="center" vertical="center" wrapText="1"/>
    </xf>
    <xf numFmtId="0" fontId="130" fillId="16" borderId="17" xfId="24" applyFont="1" applyFill="1" applyBorder="1" applyAlignment="1">
      <alignment horizontal="center" vertical="center" wrapText="1"/>
    </xf>
    <xf numFmtId="0" fontId="138" fillId="16" borderId="2" xfId="24" applyFont="1" applyFill="1" applyBorder="1" applyAlignment="1">
      <alignment horizontal="center" vertical="center" wrapText="1"/>
    </xf>
    <xf numFmtId="0" fontId="1" fillId="0" borderId="2" xfId="24" applyBorder="1" applyAlignment="1">
      <alignment horizontal="center"/>
    </xf>
    <xf numFmtId="0" fontId="131" fillId="0" borderId="2" xfId="24" applyFont="1" applyBorder="1" applyAlignment="1">
      <alignment horizontal="center" vertical="top"/>
    </xf>
    <xf numFmtId="0" fontId="1" fillId="0" borderId="17" xfId="24" applyBorder="1" applyAlignment="1">
      <alignment horizontal="center"/>
    </xf>
    <xf numFmtId="0" fontId="158" fillId="0" borderId="0" xfId="24" applyFont="1" applyAlignment="1">
      <alignment horizontal="left" vertical="center"/>
    </xf>
    <xf numFmtId="0" fontId="157" fillId="0" borderId="0" xfId="24" applyFont="1" applyAlignment="1">
      <alignment vertical="center" wrapText="1"/>
    </xf>
    <xf numFmtId="0" fontId="1" fillId="0" borderId="0" xfId="24" applyAlignment="1">
      <alignment vertical="center"/>
    </xf>
    <xf numFmtId="0" fontId="1" fillId="16" borderId="2" xfId="24" applyFill="1" applyBorder="1" applyAlignment="1">
      <alignment horizontal="center" vertical="center"/>
    </xf>
    <xf numFmtId="0" fontId="1" fillId="0" borderId="2" xfId="24" applyBorder="1"/>
    <xf numFmtId="0" fontId="11" fillId="2" borderId="91" xfId="12" applyFill="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wrapText="1"/>
    </xf>
    <xf numFmtId="0" fontId="19" fillId="0" borderId="0" xfId="0" applyFont="1" applyAlignment="1">
      <alignment horizontal="left" vertical="center"/>
    </xf>
    <xf numFmtId="0" fontId="18" fillId="0" borderId="0" xfId="0" applyFont="1" applyAlignment="1">
      <alignment horizontal="left" vertical="center"/>
    </xf>
    <xf numFmtId="0" fontId="17" fillId="0" borderId="0" xfId="0" applyFont="1" applyAlignment="1">
      <alignment horizontal="left" vertical="center"/>
    </xf>
    <xf numFmtId="0" fontId="15" fillId="0" borderId="0" xfId="0" applyFont="1" applyAlignment="1">
      <alignment horizontal="center" vertical="center" wrapText="1"/>
    </xf>
    <xf numFmtId="0" fontId="0" fillId="0" borderId="0" xfId="0" applyAlignment="1">
      <alignment vertical="center" wrapText="1"/>
    </xf>
    <xf numFmtId="0" fontId="18" fillId="0" borderId="0" xfId="0" applyFont="1" applyAlignment="1">
      <alignment horizontal="left" vertical="center" wrapText="1"/>
    </xf>
    <xf numFmtId="0" fontId="18" fillId="0" borderId="0" xfId="0" applyFont="1" applyAlignment="1">
      <alignment vertical="center"/>
    </xf>
    <xf numFmtId="0" fontId="0" fillId="0" borderId="0" xfId="0" applyAlignment="1">
      <alignment vertical="center"/>
    </xf>
    <xf numFmtId="0" fontId="11" fillId="0" borderId="2" xfId="0" applyFont="1" applyBorder="1" applyAlignment="1">
      <alignment horizontal="center" vertical="center"/>
    </xf>
    <xf numFmtId="14" fontId="11" fillId="0" borderId="2" xfId="0" applyNumberFormat="1" applyFont="1" applyBorder="1" applyAlignment="1">
      <alignment horizontal="center" vertical="center"/>
    </xf>
    <xf numFmtId="0" fontId="38" fillId="0" borderId="2" xfId="0" applyFont="1" applyBorder="1" applyAlignment="1">
      <alignment horizontal="center" vertical="center"/>
    </xf>
    <xf numFmtId="0" fontId="11" fillId="0" borderId="2" xfId="0" applyFont="1" applyBorder="1" applyAlignment="1">
      <alignment horizontal="center" vertical="center" wrapText="1"/>
    </xf>
    <xf numFmtId="0" fontId="12" fillId="17" borderId="174" xfId="12" applyFont="1" applyFill="1" applyBorder="1" applyAlignment="1">
      <alignment horizontal="center" vertical="center"/>
    </xf>
    <xf numFmtId="0" fontId="12" fillId="17" borderId="129" xfId="12" applyFont="1" applyFill="1" applyBorder="1" applyAlignment="1">
      <alignment horizontal="center" vertical="center"/>
    </xf>
    <xf numFmtId="0" fontId="25" fillId="0" borderId="17" xfId="12" applyFont="1" applyBorder="1" applyAlignment="1">
      <alignment horizontal="center" wrapText="1"/>
    </xf>
    <xf numFmtId="0" fontId="25" fillId="0" borderId="18" xfId="12" applyFont="1" applyBorder="1" applyAlignment="1">
      <alignment horizontal="center" wrapText="1"/>
    </xf>
    <xf numFmtId="0" fontId="11" fillId="0" borderId="18" xfId="12" applyBorder="1" applyAlignment="1">
      <alignment horizontal="center" wrapText="1"/>
    </xf>
    <xf numFmtId="0" fontId="38" fillId="4" borderId="37" xfId="12" applyFont="1" applyFill="1" applyBorder="1" applyAlignment="1">
      <alignment horizontal="left"/>
    </xf>
    <xf numFmtId="0" fontId="18" fillId="4" borderId="173" xfId="12" applyFont="1" applyFill="1" applyBorder="1" applyAlignment="1" applyProtection="1">
      <alignment horizontal="left" vertical="center"/>
      <protection locked="0"/>
    </xf>
    <xf numFmtId="0" fontId="18" fillId="4" borderId="174" xfId="12" applyFont="1" applyFill="1" applyBorder="1" applyAlignment="1" applyProtection="1">
      <alignment horizontal="center" vertical="center"/>
      <protection locked="0"/>
    </xf>
    <xf numFmtId="0" fontId="18" fillId="4" borderId="129" xfId="12" applyFont="1" applyFill="1" applyBorder="1" applyAlignment="1" applyProtection="1">
      <alignment horizontal="center" vertical="center"/>
      <protection locked="0"/>
    </xf>
    <xf numFmtId="0" fontId="18" fillId="4" borderId="175" xfId="12" applyFont="1" applyFill="1" applyBorder="1" applyAlignment="1" applyProtection="1">
      <alignment horizontal="center" vertical="center"/>
      <protection locked="0"/>
    </xf>
    <xf numFmtId="167" fontId="18" fillId="4" borderId="175" xfId="12" applyNumberFormat="1" applyFont="1" applyFill="1" applyBorder="1" applyAlignment="1" applyProtection="1">
      <alignment horizontal="center" vertical="center"/>
      <protection locked="0"/>
    </xf>
    <xf numFmtId="167" fontId="18" fillId="4" borderId="173" xfId="12" applyNumberFormat="1" applyFont="1" applyFill="1" applyBorder="1" applyAlignment="1" applyProtection="1">
      <alignment horizontal="center" vertical="center"/>
      <protection locked="0"/>
    </xf>
    <xf numFmtId="0" fontId="18" fillId="4" borderId="42" xfId="12" applyFont="1" applyFill="1" applyBorder="1" applyAlignment="1" applyProtection="1">
      <alignment horizontal="left" vertical="center"/>
      <protection locked="0"/>
    </xf>
    <xf numFmtId="0" fontId="18" fillId="4" borderId="62" xfId="12" applyFont="1" applyFill="1" applyBorder="1" applyAlignment="1" applyProtection="1">
      <alignment horizontal="center" vertical="center"/>
      <protection locked="0"/>
    </xf>
    <xf numFmtId="0" fontId="18" fillId="4" borderId="16" xfId="12" applyFont="1" applyFill="1" applyBorder="1" applyAlignment="1" applyProtection="1">
      <alignment horizontal="center" vertical="center"/>
      <protection locked="0"/>
    </xf>
    <xf numFmtId="0" fontId="18" fillId="4" borderId="176" xfId="12" applyFont="1" applyFill="1" applyBorder="1" applyAlignment="1" applyProtection="1">
      <alignment horizontal="center" vertical="center"/>
      <protection locked="0"/>
    </xf>
    <xf numFmtId="0" fontId="18" fillId="4" borderId="61" xfId="12" applyFont="1" applyFill="1" applyBorder="1" applyAlignment="1" applyProtection="1">
      <alignment horizontal="center" vertical="center"/>
      <protection locked="0"/>
    </xf>
    <xf numFmtId="0" fontId="25" fillId="2" borderId="59" xfId="12" applyFont="1" applyFill="1" applyBorder="1" applyAlignment="1">
      <alignment horizontal="center" vertical="center"/>
    </xf>
    <xf numFmtId="0" fontId="25" fillId="2" borderId="177" xfId="12" applyFont="1" applyFill="1" applyBorder="1" applyAlignment="1">
      <alignment horizontal="center" vertical="center"/>
    </xf>
    <xf numFmtId="0" fontId="25" fillId="2" borderId="178" xfId="12" applyFont="1" applyFill="1" applyBorder="1" applyAlignment="1">
      <alignment horizontal="center" vertical="center"/>
    </xf>
    <xf numFmtId="0" fontId="25" fillId="2" borderId="58" xfId="12" applyFont="1" applyFill="1" applyBorder="1" applyAlignment="1">
      <alignment horizontal="center" vertical="center"/>
    </xf>
    <xf numFmtId="0" fontId="25" fillId="2" borderId="40" xfId="12" applyFont="1" applyFill="1" applyBorder="1" applyAlignment="1">
      <alignment horizontal="center" vertical="center"/>
    </xf>
    <xf numFmtId="0" fontId="18" fillId="4" borderId="42" xfId="12" applyFont="1" applyFill="1" applyBorder="1" applyAlignment="1" applyProtection="1">
      <alignment horizontal="center" vertical="center"/>
      <protection locked="0"/>
    </xf>
    <xf numFmtId="167" fontId="18" fillId="4" borderId="42" xfId="12" applyNumberFormat="1" applyFont="1" applyFill="1" applyBorder="1" applyAlignment="1" applyProtection="1">
      <alignment horizontal="center" vertical="center"/>
      <protection locked="0"/>
    </xf>
    <xf numFmtId="0" fontId="18" fillId="4" borderId="4" xfId="12" applyFont="1" applyFill="1" applyBorder="1" applyAlignment="1" applyProtection="1">
      <alignment horizontal="center" vertical="center"/>
      <protection locked="0"/>
    </xf>
    <xf numFmtId="167" fontId="18" fillId="4" borderId="4" xfId="12" applyNumberFormat="1" applyFont="1" applyFill="1" applyBorder="1" applyAlignment="1" applyProtection="1">
      <alignment horizontal="center" vertical="center"/>
      <protection locked="0"/>
    </xf>
    <xf numFmtId="0" fontId="25" fillId="2" borderId="2" xfId="12" applyFont="1" applyFill="1" applyBorder="1" applyAlignment="1">
      <alignment horizontal="center" vertical="center"/>
    </xf>
    <xf numFmtId="0" fontId="18" fillId="4" borderId="40" xfId="12" applyFont="1" applyFill="1" applyBorder="1" applyAlignment="1" applyProtection="1">
      <alignment horizontal="center" vertical="center"/>
      <protection locked="0"/>
    </xf>
    <xf numFmtId="167" fontId="18" fillId="4" borderId="40" xfId="12" applyNumberFormat="1" applyFont="1" applyFill="1" applyBorder="1" applyAlignment="1" applyProtection="1">
      <alignment horizontal="center" vertical="center"/>
      <protection locked="0"/>
    </xf>
    <xf numFmtId="0" fontId="18" fillId="4" borderId="24" xfId="12" applyFont="1" applyFill="1" applyBorder="1" applyAlignment="1" applyProtection="1">
      <alignment horizontal="center" vertical="center"/>
      <protection locked="0"/>
    </xf>
    <xf numFmtId="167" fontId="18" fillId="4" borderId="24" xfId="12" applyNumberFormat="1" applyFont="1" applyFill="1" applyBorder="1" applyAlignment="1" applyProtection="1">
      <alignment horizontal="center" vertical="center"/>
      <protection locked="0"/>
    </xf>
    <xf numFmtId="167" fontId="31" fillId="15" borderId="16" xfId="12" applyNumberFormat="1" applyFont="1" applyFill="1" applyBorder="1" applyAlignment="1">
      <alignment horizontal="left" vertical="center"/>
    </xf>
    <xf numFmtId="0" fontId="25" fillId="2" borderId="2" xfId="12" applyFont="1" applyFill="1" applyBorder="1" applyAlignment="1">
      <alignment horizontal="center" vertical="center" wrapText="1"/>
    </xf>
    <xf numFmtId="167" fontId="31" fillId="0" borderId="16" xfId="12" applyNumberFormat="1" applyFont="1" applyBorder="1" applyAlignment="1">
      <alignment horizontal="center" vertical="center"/>
    </xf>
    <xf numFmtId="0" fontId="18" fillId="4" borderId="0" xfId="12" applyFont="1" applyFill="1" applyAlignment="1">
      <alignment horizontal="center" vertical="center"/>
    </xf>
    <xf numFmtId="0" fontId="32" fillId="4" borderId="0" xfId="12" applyFont="1" applyFill="1" applyAlignment="1">
      <alignment horizontal="center"/>
    </xf>
    <xf numFmtId="0" fontId="31" fillId="15" borderId="0" xfId="12" applyFont="1" applyFill="1" applyAlignment="1">
      <alignment horizontal="left" vertical="center"/>
    </xf>
    <xf numFmtId="0" fontId="31" fillId="15" borderId="15" xfId="12" applyFont="1" applyFill="1" applyBorder="1" applyAlignment="1">
      <alignment horizontal="left" vertical="center" wrapText="1"/>
    </xf>
    <xf numFmtId="167" fontId="31" fillId="0" borderId="15" xfId="12" applyNumberFormat="1" applyFont="1" applyBorder="1" applyAlignment="1">
      <alignment horizontal="center" vertical="center"/>
    </xf>
    <xf numFmtId="0" fontId="25" fillId="0" borderId="155" xfId="12" applyFont="1" applyBorder="1" applyAlignment="1">
      <alignment horizontal="center" vertical="center"/>
    </xf>
    <xf numFmtId="0" fontId="25" fillId="0" borderId="156" xfId="12" applyFont="1" applyBorder="1" applyAlignment="1">
      <alignment horizontal="center" vertical="center"/>
    </xf>
    <xf numFmtId="0" fontId="25" fillId="0" borderId="158" xfId="12" applyFont="1" applyBorder="1" applyAlignment="1">
      <alignment horizontal="center" vertical="center"/>
    </xf>
    <xf numFmtId="0" fontId="25" fillId="0" borderId="1" xfId="12" applyFont="1" applyBorder="1" applyAlignment="1">
      <alignment horizontal="center" vertical="top"/>
    </xf>
    <xf numFmtId="0" fontId="25" fillId="0" borderId="0" xfId="12" applyFont="1" applyAlignment="1">
      <alignment horizontal="center" vertical="top"/>
    </xf>
    <xf numFmtId="0" fontId="25" fillId="0" borderId="1" xfId="12" applyFont="1" applyBorder="1" applyAlignment="1">
      <alignment horizontal="left"/>
    </xf>
    <xf numFmtId="0" fontId="11" fillId="0" borderId="0" xfId="12" applyAlignment="1">
      <alignment horizontal="left"/>
    </xf>
    <xf numFmtId="0" fontId="24" fillId="0" borderId="1" xfId="12" applyFont="1" applyBorder="1" applyAlignment="1">
      <alignment horizontal="center" vertical="center"/>
    </xf>
    <xf numFmtId="0" fontId="24" fillId="0" borderId="0" xfId="12" applyFont="1" applyAlignment="1">
      <alignment horizontal="center" vertical="center"/>
    </xf>
    <xf numFmtId="0" fontId="24" fillId="0" borderId="36" xfId="12" applyFont="1" applyBorder="1" applyAlignment="1">
      <alignment horizontal="center" vertical="center"/>
    </xf>
    <xf numFmtId="0" fontId="24" fillId="0" borderId="37" xfId="12" applyFont="1" applyBorder="1" applyAlignment="1">
      <alignment horizontal="center" vertical="center"/>
    </xf>
    <xf numFmtId="0" fontId="25" fillId="0" borderId="1" xfId="12" applyFont="1" applyBorder="1" applyAlignment="1">
      <alignment horizontal="left" vertical="top" wrapText="1"/>
    </xf>
    <xf numFmtId="0" fontId="25" fillId="0" borderId="0" xfId="12" applyFont="1" applyAlignment="1">
      <alignment horizontal="left" vertical="top" wrapText="1"/>
    </xf>
    <xf numFmtId="0" fontId="25" fillId="0" borderId="35" xfId="12" applyFont="1" applyBorder="1" applyAlignment="1">
      <alignment horizontal="left" vertical="top" wrapText="1"/>
    </xf>
    <xf numFmtId="0" fontId="25" fillId="0" borderId="1" xfId="12" applyFont="1" applyBorder="1" applyAlignment="1">
      <alignment horizontal="left" vertical="top"/>
    </xf>
    <xf numFmtId="0" fontId="103" fillId="0" borderId="0" xfId="12" applyFont="1" applyAlignment="1">
      <alignment horizontal="left" vertical="top"/>
    </xf>
    <xf numFmtId="0" fontId="103" fillId="0" borderId="1" xfId="12" applyFont="1" applyBorder="1" applyAlignment="1">
      <alignment horizontal="left" vertical="top"/>
    </xf>
    <xf numFmtId="0" fontId="103" fillId="0" borderId="194" xfId="12" applyFont="1" applyBorder="1" applyAlignment="1">
      <alignment horizontal="left" vertical="top"/>
    </xf>
    <xf numFmtId="0" fontId="103" fillId="0" borderId="15" xfId="12" applyFont="1" applyBorder="1" applyAlignment="1">
      <alignment horizontal="left" vertical="top"/>
    </xf>
    <xf numFmtId="0" fontId="17" fillId="0" borderId="29" xfId="12" applyFont="1" applyBorder="1" applyAlignment="1">
      <alignment horizontal="center" vertical="center"/>
    </xf>
    <xf numFmtId="0" fontId="17" fillId="0" borderId="37" xfId="12" applyFont="1" applyBorder="1" applyAlignment="1">
      <alignment horizontal="center" vertical="center"/>
    </xf>
    <xf numFmtId="0" fontId="11" fillId="0" borderId="30" xfId="12" applyBorder="1" applyAlignment="1">
      <alignment horizontal="center" vertical="center"/>
    </xf>
    <xf numFmtId="0" fontId="11" fillId="0" borderId="38" xfId="12" applyBorder="1" applyAlignment="1">
      <alignment horizontal="center" vertical="center"/>
    </xf>
    <xf numFmtId="0" fontId="25" fillId="0" borderId="0" xfId="12" applyFont="1" applyAlignment="1">
      <alignment horizontal="left"/>
    </xf>
    <xf numFmtId="0" fontId="25" fillId="0" borderId="1" xfId="12" applyFont="1" applyBorder="1" applyAlignment="1">
      <alignment horizontal="center"/>
    </xf>
    <xf numFmtId="0" fontId="25" fillId="0" borderId="0" xfId="12" applyFont="1" applyAlignment="1">
      <alignment horizontal="center"/>
    </xf>
    <xf numFmtId="0" fontId="11" fillId="0" borderId="1" xfId="12" applyBorder="1" applyAlignment="1">
      <alignment horizontal="left"/>
    </xf>
    <xf numFmtId="0" fontId="104" fillId="0" borderId="28" xfId="12" applyFont="1" applyBorder="1" applyAlignment="1">
      <alignment horizontal="center" vertical="center"/>
    </xf>
    <xf numFmtId="0" fontId="104" fillId="0" borderId="29" xfId="12" applyFont="1" applyBorder="1" applyAlignment="1">
      <alignment horizontal="center" vertical="center"/>
    </xf>
    <xf numFmtId="0" fontId="104" fillId="0" borderId="1" xfId="12" applyFont="1" applyBorder="1" applyAlignment="1">
      <alignment horizontal="center" vertical="center"/>
    </xf>
    <xf numFmtId="0" fontId="104" fillId="0" borderId="0" xfId="12" applyFont="1" applyAlignment="1">
      <alignment horizontal="center" vertical="center"/>
    </xf>
    <xf numFmtId="0" fontId="104" fillId="0" borderId="36" xfId="12" applyFont="1" applyBorder="1" applyAlignment="1">
      <alignment horizontal="center" vertical="center"/>
    </xf>
    <xf numFmtId="0" fontId="104" fillId="0" borderId="37" xfId="12" applyFont="1" applyBorder="1" applyAlignment="1">
      <alignment horizontal="center" vertical="center"/>
    </xf>
    <xf numFmtId="0" fontId="15" fillId="0" borderId="0" xfId="12" applyFont="1" applyAlignment="1">
      <alignment horizontal="center"/>
    </xf>
    <xf numFmtId="0" fontId="59" fillId="2" borderId="72" xfId="12" applyFont="1" applyFill="1" applyBorder="1" applyAlignment="1">
      <alignment horizontal="center"/>
    </xf>
    <xf numFmtId="0" fontId="59" fillId="2" borderId="126" xfId="12" applyFont="1" applyFill="1" applyBorder="1" applyAlignment="1">
      <alignment horizontal="center"/>
    </xf>
    <xf numFmtId="0" fontId="59" fillId="2" borderId="73" xfId="12" applyFont="1" applyFill="1" applyBorder="1" applyAlignment="1">
      <alignment horizontal="center"/>
    </xf>
    <xf numFmtId="0" fontId="102" fillId="0" borderId="1" xfId="12" applyFont="1" applyBorder="1" applyAlignment="1">
      <alignment horizontal="center" vertical="center"/>
    </xf>
    <xf numFmtId="0" fontId="102" fillId="0" borderId="0" xfId="12" applyFont="1" applyAlignment="1">
      <alignment horizontal="center" vertical="center"/>
    </xf>
    <xf numFmtId="0" fontId="102" fillId="0" borderId="35" xfId="12" applyFont="1" applyBorder="1" applyAlignment="1">
      <alignment horizontal="center" vertical="center"/>
    </xf>
    <xf numFmtId="0" fontId="102" fillId="0" borderId="36" xfId="12" applyFont="1" applyBorder="1" applyAlignment="1">
      <alignment horizontal="center" vertical="center"/>
    </xf>
    <xf numFmtId="0" fontId="102" fillId="0" borderId="37" xfId="12" applyFont="1" applyBorder="1" applyAlignment="1">
      <alignment horizontal="center" vertical="center"/>
    </xf>
    <xf numFmtId="0" fontId="102" fillId="0" borderId="38" xfId="12" applyFont="1" applyBorder="1" applyAlignment="1">
      <alignment horizontal="center" vertical="center"/>
    </xf>
    <xf numFmtId="0" fontId="31" fillId="0" borderId="36" xfId="12" applyFont="1" applyBorder="1" applyAlignment="1">
      <alignment horizontal="center"/>
    </xf>
    <xf numFmtId="0" fontId="31" fillId="0" borderId="37" xfId="12" applyFont="1" applyBorder="1" applyAlignment="1">
      <alignment horizontal="center"/>
    </xf>
    <xf numFmtId="0" fontId="31" fillId="0" borderId="38" xfId="12" applyFont="1" applyBorder="1" applyAlignment="1">
      <alignment horizontal="center"/>
    </xf>
    <xf numFmtId="0" fontId="15" fillId="0" borderId="28" xfId="12" applyFont="1" applyBorder="1" applyAlignment="1">
      <alignment horizontal="center" vertical="center" wrapText="1"/>
    </xf>
    <xf numFmtId="0" fontId="15" fillId="0" borderId="29" xfId="12" applyFont="1" applyBorder="1" applyAlignment="1">
      <alignment horizontal="center" vertical="center" wrapText="1"/>
    </xf>
    <xf numFmtId="0" fontId="15" fillId="0" borderId="30" xfId="12" applyFont="1" applyBorder="1" applyAlignment="1">
      <alignment horizontal="center" vertical="center" wrapText="1"/>
    </xf>
    <xf numFmtId="0" fontId="15" fillId="0" borderId="1" xfId="12" applyFont="1" applyBorder="1" applyAlignment="1">
      <alignment horizontal="center" vertical="center" wrapText="1"/>
    </xf>
    <xf numFmtId="0" fontId="15" fillId="0" borderId="0" xfId="12" applyFont="1" applyAlignment="1">
      <alignment horizontal="center" vertical="center" wrapText="1"/>
    </xf>
    <xf numFmtId="0" fontId="15" fillId="0" borderId="35" xfId="12" applyFont="1" applyBorder="1" applyAlignment="1">
      <alignment horizontal="center" vertical="center" wrapText="1"/>
    </xf>
    <xf numFmtId="0" fontId="15" fillId="0" borderId="36" xfId="12" applyFont="1" applyBorder="1" applyAlignment="1">
      <alignment horizontal="center" vertical="center" wrapText="1"/>
    </xf>
    <xf numFmtId="0" fontId="15" fillId="0" borderId="37" xfId="12" applyFont="1" applyBorder="1" applyAlignment="1">
      <alignment horizontal="center" vertical="center" wrapText="1"/>
    </xf>
    <xf numFmtId="0" fontId="15" fillId="0" borderId="38" xfId="12" applyFont="1" applyBorder="1" applyAlignment="1">
      <alignment horizontal="center" vertical="center" wrapText="1"/>
    </xf>
    <xf numFmtId="0" fontId="31" fillId="0" borderId="28" xfId="12" applyFont="1" applyBorder="1" applyAlignment="1">
      <alignment horizontal="left"/>
    </xf>
    <xf numFmtId="0" fontId="31" fillId="0" borderId="29" xfId="12" applyFont="1" applyBorder="1" applyAlignment="1">
      <alignment horizontal="left"/>
    </xf>
    <xf numFmtId="0" fontId="31" fillId="0" borderId="30" xfId="12" applyFont="1" applyBorder="1" applyAlignment="1">
      <alignment horizontal="left"/>
    </xf>
    <xf numFmtId="0" fontId="31" fillId="0" borderId="1" xfId="12" applyFont="1" applyBorder="1" applyAlignment="1">
      <alignment horizontal="left"/>
    </xf>
    <xf numFmtId="0" fontId="31" fillId="0" borderId="0" xfId="12" applyFont="1" applyAlignment="1">
      <alignment horizontal="left"/>
    </xf>
    <xf numFmtId="0" fontId="31" fillId="0" borderId="35" xfId="12" applyFont="1" applyBorder="1" applyAlignment="1">
      <alignment horizontal="left"/>
    </xf>
    <xf numFmtId="0" fontId="31" fillId="0" borderId="36" xfId="12" applyFont="1" applyBorder="1" applyAlignment="1">
      <alignment horizontal="left"/>
    </xf>
    <xf numFmtId="0" fontId="31" fillId="0" borderId="37" xfId="12" applyFont="1" applyBorder="1" applyAlignment="1">
      <alignment horizontal="left"/>
    </xf>
    <xf numFmtId="0" fontId="31" fillId="0" borderId="38" xfId="12" applyFont="1" applyBorder="1" applyAlignment="1">
      <alignment horizontal="left"/>
    </xf>
    <xf numFmtId="0" fontId="15" fillId="0" borderId="72" xfId="12" applyFont="1" applyBorder="1" applyAlignment="1">
      <alignment horizontal="center"/>
    </xf>
    <xf numFmtId="0" fontId="15" fillId="0" borderId="126" xfId="12" applyFont="1" applyBorder="1" applyAlignment="1">
      <alignment horizontal="center"/>
    </xf>
    <xf numFmtId="0" fontId="15" fillId="0" borderId="73" xfId="12" applyFont="1" applyBorder="1" applyAlignment="1">
      <alignment horizontal="center"/>
    </xf>
    <xf numFmtId="0" fontId="31" fillId="0" borderId="0" xfId="12" applyFont="1" applyAlignment="1">
      <alignment horizontal="center" vertical="center"/>
    </xf>
    <xf numFmtId="0" fontId="15" fillId="2" borderId="72" xfId="12" applyFont="1" applyFill="1" applyBorder="1" applyAlignment="1">
      <alignment horizontal="center"/>
    </xf>
    <xf numFmtId="0" fontId="15" fillId="2" borderId="126" xfId="12" applyFont="1" applyFill="1" applyBorder="1" applyAlignment="1">
      <alignment horizontal="center"/>
    </xf>
    <xf numFmtId="0" fontId="15" fillId="2" borderId="73" xfId="12" applyFont="1" applyFill="1" applyBorder="1" applyAlignment="1">
      <alignment horizontal="center"/>
    </xf>
    <xf numFmtId="0" fontId="102" fillId="0" borderId="28" xfId="12" applyFont="1" applyBorder="1" applyAlignment="1">
      <alignment horizontal="center" vertical="center"/>
    </xf>
    <xf numFmtId="0" fontId="102" fillId="0" borderId="29" xfId="12" applyFont="1" applyBorder="1" applyAlignment="1">
      <alignment horizontal="center" vertical="center"/>
    </xf>
    <xf numFmtId="0" fontId="102" fillId="0" borderId="30" xfId="12" applyFont="1" applyBorder="1" applyAlignment="1">
      <alignment horizontal="center" vertical="center"/>
    </xf>
    <xf numFmtId="0" fontId="31" fillId="0" borderId="126" xfId="12" applyFont="1" applyBorder="1" applyAlignment="1">
      <alignment horizontal="center"/>
    </xf>
    <xf numFmtId="0" fontId="31" fillId="0" borderId="73" xfId="12" applyFont="1" applyBorder="1" applyAlignment="1">
      <alignment horizontal="center"/>
    </xf>
    <xf numFmtId="0" fontId="31" fillId="0" borderId="72" xfId="12" applyFont="1" applyBorder="1" applyAlignment="1">
      <alignment horizontal="center"/>
    </xf>
    <xf numFmtId="0" fontId="85" fillId="0" borderId="0" xfId="0" applyFont="1" applyAlignment="1">
      <alignment horizontal="left" vertical="center" wrapText="1"/>
    </xf>
    <xf numFmtId="0" fontId="21" fillId="0" borderId="2" xfId="0" applyFont="1" applyBorder="1" applyAlignment="1">
      <alignment horizontal="left" vertical="center" wrapText="1"/>
    </xf>
    <xf numFmtId="0" fontId="11" fillId="0" borderId="2" xfId="0" applyFont="1" applyBorder="1" applyAlignment="1">
      <alignment horizontal="left" vertical="center" wrapText="1"/>
    </xf>
    <xf numFmtId="0" fontId="26" fillId="0" borderId="0" xfId="0" applyFont="1" applyAlignment="1">
      <alignment horizontal="center" vertical="center"/>
    </xf>
    <xf numFmtId="0" fontId="15" fillId="0" borderId="161"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167" xfId="0" applyFont="1" applyBorder="1" applyAlignment="1">
      <alignment horizontal="center" vertical="center" wrapText="1"/>
    </xf>
    <xf numFmtId="0" fontId="15" fillId="0" borderId="162" xfId="0" applyFont="1" applyBorder="1" applyAlignment="1">
      <alignment horizontal="center" vertical="center" wrapText="1"/>
    </xf>
    <xf numFmtId="0" fontId="15" fillId="0" borderId="163" xfId="0" applyFont="1" applyBorder="1" applyAlignment="1">
      <alignment horizontal="center" vertical="center" wrapText="1"/>
    </xf>
    <xf numFmtId="0" fontId="21" fillId="0" borderId="168" xfId="0" applyFont="1" applyBorder="1" applyAlignment="1">
      <alignment horizontal="center" vertical="center" wrapText="1"/>
    </xf>
    <xf numFmtId="0" fontId="21" fillId="0" borderId="169" xfId="0" applyFont="1" applyBorder="1" applyAlignment="1">
      <alignment horizontal="center" vertical="center" wrapText="1"/>
    </xf>
    <xf numFmtId="0" fontId="21" fillId="0" borderId="170" xfId="0" applyFont="1" applyBorder="1" applyAlignment="1">
      <alignment horizontal="center" vertical="center" wrapText="1"/>
    </xf>
    <xf numFmtId="0" fontId="25" fillId="0" borderId="0" xfId="12" applyFont="1" applyAlignment="1">
      <alignment horizontal="center" vertical="center" wrapText="1"/>
    </xf>
    <xf numFmtId="0" fontId="36" fillId="0" borderId="0" xfId="12" applyFont="1" applyAlignment="1">
      <alignment horizontal="center" vertical="center"/>
    </xf>
    <xf numFmtId="0" fontId="36" fillId="0" borderId="0" xfId="12" applyFont="1" applyAlignment="1">
      <alignment horizontal="left" vertical="center" wrapText="1"/>
    </xf>
    <xf numFmtId="0" fontId="43" fillId="2" borderId="8" xfId="0" applyFont="1" applyFill="1" applyBorder="1" applyAlignment="1">
      <alignment horizontal="right"/>
    </xf>
    <xf numFmtId="0" fontId="43" fillId="2" borderId="9" xfId="0" applyFont="1" applyFill="1" applyBorder="1" applyAlignment="1">
      <alignment horizontal="right"/>
    </xf>
    <xf numFmtId="0" fontId="43" fillId="2" borderId="10" xfId="0" applyFont="1" applyFill="1" applyBorder="1" applyAlignment="1">
      <alignment horizontal="center"/>
    </xf>
    <xf numFmtId="0" fontId="43" fillId="2" borderId="12" xfId="0" applyFont="1" applyFill="1" applyBorder="1" applyAlignment="1">
      <alignment horizontal="center"/>
    </xf>
    <xf numFmtId="0" fontId="15" fillId="0" borderId="0" xfId="0" applyFont="1" applyAlignment="1">
      <alignment horizontal="center" vertical="center"/>
    </xf>
    <xf numFmtId="0" fontId="43" fillId="0" borderId="0" xfId="0" applyFont="1" applyAlignment="1">
      <alignment horizontal="center" vertical="center"/>
    </xf>
    <xf numFmtId="0" fontId="50" fillId="0" borderId="0" xfId="0" applyFont="1" applyAlignment="1">
      <alignment horizontal="center"/>
    </xf>
    <xf numFmtId="0" fontId="43" fillId="0" borderId="8" xfId="0" applyFont="1" applyBorder="1" applyAlignment="1">
      <alignment horizontal="center"/>
    </xf>
    <xf numFmtId="0" fontId="43" fillId="0" borderId="9" xfId="0" applyFont="1" applyBorder="1" applyAlignment="1">
      <alignment horizontal="center"/>
    </xf>
    <xf numFmtId="0" fontId="43" fillId="0" borderId="8" xfId="0" applyFont="1" applyBorder="1" applyAlignment="1">
      <alignment horizontal="right"/>
    </xf>
    <xf numFmtId="0" fontId="43" fillId="0" borderId="9" xfId="0" applyFont="1" applyBorder="1" applyAlignment="1">
      <alignment horizontal="right"/>
    </xf>
    <xf numFmtId="0" fontId="43" fillId="0" borderId="10" xfId="0" applyFont="1" applyBorder="1" applyAlignment="1">
      <alignment horizontal="center"/>
    </xf>
    <xf numFmtId="0" fontId="43" fillId="0" borderId="12" xfId="0" applyFont="1" applyBorder="1" applyAlignment="1">
      <alignment horizontal="center"/>
    </xf>
    <xf numFmtId="0" fontId="43" fillId="2" borderId="8" xfId="0" applyFont="1" applyFill="1" applyBorder="1" applyAlignment="1">
      <alignment horizontal="center"/>
    </xf>
    <xf numFmtId="0" fontId="43" fillId="2" borderId="9" xfId="0" applyFont="1" applyFill="1" applyBorder="1" applyAlignment="1">
      <alignment horizontal="center"/>
    </xf>
    <xf numFmtId="0" fontId="43" fillId="2" borderId="5" xfId="0" applyFont="1" applyFill="1" applyBorder="1" applyAlignment="1">
      <alignment horizontal="center"/>
    </xf>
    <xf numFmtId="0" fontId="43" fillId="2" borderId="13" xfId="0" applyFont="1" applyFill="1" applyBorder="1" applyAlignment="1">
      <alignment horizontal="center"/>
    </xf>
    <xf numFmtId="0" fontId="43" fillId="2" borderId="10" xfId="0" applyFont="1" applyFill="1" applyBorder="1" applyAlignment="1">
      <alignment horizontal="right"/>
    </xf>
    <xf numFmtId="0" fontId="43" fillId="2" borderId="12" xfId="0" applyFont="1" applyFill="1" applyBorder="1" applyAlignment="1">
      <alignment horizontal="right"/>
    </xf>
    <xf numFmtId="0" fontId="43" fillId="0" borderId="17" xfId="0" applyFont="1" applyBorder="1" applyAlignment="1">
      <alignment horizontal="center" vertical="center"/>
    </xf>
    <xf numFmtId="0" fontId="43" fillId="0" borderId="7" xfId="0" applyFont="1" applyBorder="1" applyAlignment="1">
      <alignment horizontal="center" vertical="center"/>
    </xf>
    <xf numFmtId="0" fontId="43" fillId="0" borderId="18" xfId="0" applyFont="1" applyBorder="1" applyAlignment="1">
      <alignment horizontal="center" vertical="center"/>
    </xf>
    <xf numFmtId="0" fontId="43" fillId="0" borderId="17" xfId="0" applyFont="1" applyBorder="1" applyAlignment="1">
      <alignment horizontal="center"/>
    </xf>
    <xf numFmtId="0" fontId="43" fillId="0" borderId="7" xfId="0" applyFont="1" applyBorder="1" applyAlignment="1">
      <alignment horizontal="center"/>
    </xf>
    <xf numFmtId="0" fontId="48" fillId="0" borderId="0" xfId="0" applyFont="1" applyAlignment="1">
      <alignment horizontal="center"/>
    </xf>
    <xf numFmtId="0" fontId="48" fillId="0" borderId="9" xfId="0" applyFont="1" applyBorder="1" applyAlignment="1">
      <alignment horizontal="center"/>
    </xf>
    <xf numFmtId="0" fontId="46" fillId="0" borderId="17" xfId="0" applyFont="1" applyBorder="1" applyAlignment="1">
      <alignment horizontal="center" vertical="center"/>
    </xf>
    <xf numFmtId="0" fontId="46" fillId="0" borderId="18" xfId="0" applyFont="1" applyBorder="1" applyAlignment="1">
      <alignment horizontal="center" vertical="center"/>
    </xf>
    <xf numFmtId="0" fontId="46" fillId="0" borderId="7" xfId="0" applyFont="1" applyBorder="1" applyAlignment="1">
      <alignment horizontal="center" vertical="center"/>
    </xf>
    <xf numFmtId="0" fontId="0" fillId="0" borderId="0" xfId="0" applyAlignment="1">
      <alignment horizontal="center" vertical="center"/>
    </xf>
    <xf numFmtId="0" fontId="43" fillId="0" borderId="0" xfId="0" applyFont="1" applyAlignment="1">
      <alignment horizontal="center"/>
    </xf>
    <xf numFmtId="0" fontId="55" fillId="0" borderId="0" xfId="0" applyFont="1" applyAlignment="1">
      <alignment horizontal="center"/>
    </xf>
    <xf numFmtId="0" fontId="21" fillId="4" borderId="16" xfId="6" applyFont="1" applyFill="1" applyBorder="1" applyAlignment="1" applyProtection="1">
      <alignment horizontal="left" vertical="center"/>
      <protection locked="0"/>
    </xf>
    <xf numFmtId="0" fontId="97" fillId="4" borderId="16" xfId="6" applyFill="1" applyBorder="1" applyAlignment="1" applyProtection="1">
      <alignment horizontal="left" vertical="center"/>
      <protection locked="0"/>
    </xf>
    <xf numFmtId="0" fontId="97" fillId="4" borderId="179" xfId="6" applyFill="1" applyBorder="1" applyAlignment="1" applyProtection="1">
      <alignment horizontal="left" vertical="center"/>
      <protection locked="0"/>
    </xf>
    <xf numFmtId="0" fontId="21" fillId="4" borderId="0" xfId="6" applyFont="1" applyFill="1" applyAlignment="1" applyProtection="1">
      <alignment horizontal="left" vertical="center"/>
      <protection locked="0"/>
    </xf>
    <xf numFmtId="0" fontId="25" fillId="4" borderId="72" xfId="6" applyFont="1" applyFill="1" applyBorder="1" applyAlignment="1" applyProtection="1">
      <alignment horizontal="left" vertical="center"/>
      <protection locked="0"/>
    </xf>
    <xf numFmtId="0" fontId="25" fillId="4" borderId="126" xfId="6" applyFont="1" applyFill="1" applyBorder="1" applyAlignment="1" applyProtection="1">
      <alignment horizontal="left" vertical="center"/>
      <protection locked="0"/>
    </xf>
    <xf numFmtId="0" fontId="25" fillId="4" borderId="73" xfId="6" applyFont="1" applyFill="1" applyBorder="1" applyAlignment="1" applyProtection="1">
      <alignment horizontal="left" vertical="center"/>
      <protection locked="0"/>
    </xf>
    <xf numFmtId="0" fontId="25" fillId="4" borderId="130" xfId="6" applyFont="1" applyFill="1" applyBorder="1" applyAlignment="1" applyProtection="1">
      <alignment horizontal="center"/>
      <protection locked="0"/>
    </xf>
    <xf numFmtId="0" fontId="25" fillId="4" borderId="35" xfId="6" applyFont="1" applyFill="1" applyBorder="1" applyAlignment="1" applyProtection="1">
      <alignment horizontal="center"/>
      <protection locked="0"/>
    </xf>
    <xf numFmtId="0" fontId="25" fillId="4" borderId="180" xfId="6" applyFont="1" applyFill="1" applyBorder="1" applyAlignment="1" applyProtection="1">
      <alignment horizontal="center"/>
      <protection locked="0"/>
    </xf>
    <xf numFmtId="0" fontId="25" fillId="4" borderId="38" xfId="6" applyFont="1" applyFill="1" applyBorder="1" applyAlignment="1" applyProtection="1">
      <alignment horizontal="center"/>
      <protection locked="0"/>
    </xf>
    <xf numFmtId="0" fontId="25" fillId="4" borderId="0" xfId="6" applyFont="1" applyFill="1" applyAlignment="1" applyProtection="1">
      <alignment horizontal="center"/>
      <protection locked="0"/>
    </xf>
    <xf numFmtId="0" fontId="24" fillId="4" borderId="131" xfId="6" applyFont="1" applyFill="1" applyBorder="1" applyAlignment="1" applyProtection="1">
      <alignment horizontal="center"/>
      <protection locked="0"/>
    </xf>
    <xf numFmtId="0" fontId="24" fillId="4" borderId="30" xfId="6" applyFont="1" applyFill="1" applyBorder="1" applyAlignment="1" applyProtection="1">
      <alignment horizontal="center"/>
      <protection locked="0"/>
    </xf>
    <xf numFmtId="0" fontId="25" fillId="4" borderId="184" xfId="6" applyFont="1" applyFill="1" applyBorder="1" applyAlignment="1" applyProtection="1">
      <alignment horizontal="left"/>
      <protection locked="0"/>
    </xf>
    <xf numFmtId="0" fontId="25" fillId="4" borderId="185" xfId="6" applyFont="1" applyFill="1" applyBorder="1" applyAlignment="1" applyProtection="1">
      <alignment horizontal="left"/>
      <protection locked="0"/>
    </xf>
    <xf numFmtId="0" fontId="25" fillId="4" borderId="186" xfId="6" applyFont="1" applyFill="1" applyBorder="1" applyAlignment="1" applyProtection="1">
      <alignment horizontal="left"/>
      <protection locked="0"/>
    </xf>
    <xf numFmtId="0" fontId="25" fillId="4" borderId="181" xfId="6" applyFont="1" applyFill="1" applyBorder="1" applyAlignment="1" applyProtection="1">
      <alignment horizontal="left"/>
      <protection locked="0"/>
    </xf>
    <xf numFmtId="0" fontId="25" fillId="4" borderId="151" xfId="6" applyFont="1" applyFill="1" applyBorder="1" applyAlignment="1" applyProtection="1">
      <alignment horizontal="left"/>
      <protection locked="0"/>
    </xf>
    <xf numFmtId="0" fontId="97" fillId="4" borderId="151" xfId="6" applyFill="1" applyBorder="1" applyAlignment="1" applyProtection="1">
      <alignment horizontal="left"/>
      <protection locked="0"/>
    </xf>
    <xf numFmtId="0" fontId="97" fillId="4" borderId="182" xfId="6" applyFill="1" applyBorder="1" applyAlignment="1" applyProtection="1">
      <alignment horizontal="left"/>
      <protection locked="0"/>
    </xf>
    <xf numFmtId="0" fontId="12" fillId="4" borderId="29" xfId="6" applyFont="1" applyFill="1" applyBorder="1" applyAlignment="1" applyProtection="1">
      <alignment horizontal="left" vertical="center"/>
      <protection locked="0"/>
    </xf>
    <xf numFmtId="0" fontId="21" fillId="4" borderId="15" xfId="6" applyFont="1" applyFill="1" applyBorder="1" applyAlignment="1" applyProtection="1">
      <alignment horizontal="left" vertical="center"/>
      <protection locked="0"/>
    </xf>
    <xf numFmtId="0" fontId="97" fillId="4" borderId="15" xfId="6" applyFill="1" applyBorder="1" applyAlignment="1" applyProtection="1">
      <alignment horizontal="left" vertical="center"/>
      <protection locked="0"/>
    </xf>
    <xf numFmtId="0" fontId="97" fillId="4" borderId="183" xfId="6" applyFill="1" applyBorder="1" applyAlignment="1" applyProtection="1">
      <alignment horizontal="left" vertical="center"/>
      <protection locked="0"/>
    </xf>
    <xf numFmtId="0" fontId="21" fillId="4" borderId="179" xfId="6" applyFont="1" applyFill="1" applyBorder="1" applyAlignment="1" applyProtection="1">
      <alignment horizontal="left" vertical="center"/>
      <protection locked="0"/>
    </xf>
    <xf numFmtId="0" fontId="21" fillId="4" borderId="183" xfId="6" applyFont="1" applyFill="1" applyBorder="1" applyAlignment="1" applyProtection="1">
      <alignment horizontal="left" vertical="center"/>
      <protection locked="0"/>
    </xf>
    <xf numFmtId="0" fontId="15" fillId="0" borderId="189" xfId="6" applyFont="1" applyBorder="1" applyAlignment="1">
      <alignment horizontal="center"/>
    </xf>
    <xf numFmtId="0" fontId="15" fillId="0" borderId="190" xfId="6" applyFont="1" applyBorder="1" applyAlignment="1">
      <alignment horizontal="center"/>
    </xf>
    <xf numFmtId="0" fontId="15" fillId="0" borderId="161" xfId="6" applyFont="1" applyBorder="1" applyAlignment="1">
      <alignment horizontal="center" vertical="center" wrapText="1"/>
    </xf>
    <xf numFmtId="0" fontId="15" fillId="0" borderId="49" xfId="6" applyFont="1" applyBorder="1" applyAlignment="1">
      <alignment horizontal="center" vertical="center" wrapText="1"/>
    </xf>
    <xf numFmtId="0" fontId="15" fillId="0" borderId="162" xfId="6" applyFont="1" applyBorder="1" applyAlignment="1">
      <alignment horizontal="center" vertical="center" wrapText="1"/>
    </xf>
    <xf numFmtId="0" fontId="15" fillId="0" borderId="163" xfId="6" applyFont="1" applyBorder="1" applyAlignment="1">
      <alignment horizontal="center" vertical="center" wrapText="1"/>
    </xf>
    <xf numFmtId="0" fontId="21" fillId="0" borderId="49" xfId="6" applyFont="1" applyBorder="1" applyAlignment="1">
      <alignment horizontal="center" vertical="center" wrapText="1"/>
    </xf>
    <xf numFmtId="0" fontId="21" fillId="0" borderId="171" xfId="6" applyFont="1" applyBorder="1" applyAlignment="1">
      <alignment horizontal="center" vertical="center" wrapText="1"/>
    </xf>
    <xf numFmtId="0" fontId="21" fillId="0" borderId="163" xfId="6" applyFont="1" applyBorder="1" applyAlignment="1">
      <alignment horizontal="center" vertical="center" wrapText="1"/>
    </xf>
    <xf numFmtId="0" fontId="21" fillId="0" borderId="172" xfId="6" applyFont="1" applyBorder="1" applyAlignment="1">
      <alignment horizontal="center" vertical="center" wrapText="1"/>
    </xf>
    <xf numFmtId="0" fontId="32" fillId="12" borderId="0" xfId="6" applyFont="1" applyFill="1" applyAlignment="1">
      <alignment horizontal="left" vertical="center"/>
    </xf>
    <xf numFmtId="0" fontId="25" fillId="4" borderId="0" xfId="6" applyFont="1" applyFill="1" applyAlignment="1">
      <alignment horizontal="right" vertical="center"/>
    </xf>
    <xf numFmtId="0" fontId="18" fillId="12" borderId="0" xfId="6" applyFont="1" applyFill="1" applyAlignment="1">
      <alignment horizontal="left" vertical="center" wrapText="1"/>
    </xf>
    <xf numFmtId="0" fontId="25" fillId="4" borderId="187" xfId="6" applyFont="1" applyFill="1" applyBorder="1" applyAlignment="1" applyProtection="1">
      <alignment horizontal="left"/>
      <protection locked="0"/>
    </xf>
    <xf numFmtId="0" fontId="25" fillId="4" borderId="188" xfId="6" applyFont="1" applyFill="1" applyBorder="1" applyAlignment="1" applyProtection="1">
      <alignment horizontal="left"/>
      <protection locked="0"/>
    </xf>
    <xf numFmtId="0" fontId="25" fillId="4" borderId="148" xfId="6" applyFont="1" applyFill="1" applyBorder="1" applyAlignment="1" applyProtection="1">
      <alignment horizontal="left"/>
      <protection locked="0"/>
    </xf>
    <xf numFmtId="0" fontId="25" fillId="4" borderId="150" xfId="6" applyFont="1" applyFill="1" applyBorder="1" applyAlignment="1" applyProtection="1">
      <alignment horizontal="left"/>
      <protection locked="0"/>
    </xf>
    <xf numFmtId="0" fontId="25" fillId="12" borderId="0" xfId="0" applyFont="1" applyFill="1" applyAlignment="1">
      <alignment horizontal="left" vertical="center" wrapText="1"/>
    </xf>
    <xf numFmtId="0" fontId="17" fillId="0" borderId="0" xfId="0" applyFont="1" applyAlignment="1">
      <alignment horizontal="center" vertical="center" wrapText="1"/>
    </xf>
    <xf numFmtId="0" fontId="21" fillId="0" borderId="0" xfId="0" applyFont="1" applyAlignment="1">
      <alignment horizontal="left" wrapText="1"/>
    </xf>
    <xf numFmtId="0" fontId="18" fillId="0" borderId="16" xfId="0" applyFont="1" applyBorder="1" applyAlignment="1" applyProtection="1">
      <alignment horizontal="left"/>
      <protection locked="0"/>
    </xf>
    <xf numFmtId="0" fontId="21" fillId="0" borderId="0" xfId="0" applyFont="1" applyAlignment="1">
      <alignment horizontal="center"/>
    </xf>
    <xf numFmtId="0" fontId="15" fillId="0" borderId="0" xfId="0" applyFont="1" applyAlignment="1">
      <alignment horizontal="center"/>
    </xf>
    <xf numFmtId="0" fontId="18" fillId="0" borderId="15" xfId="0" applyFont="1" applyBorder="1" applyAlignment="1" applyProtection="1">
      <alignment horizontal="left"/>
      <protection locked="0"/>
    </xf>
    <xf numFmtId="0" fontId="21" fillId="0" borderId="4" xfId="0" applyFont="1" applyBorder="1" applyAlignment="1" applyProtection="1">
      <alignment horizontal="left" vertical="center" wrapText="1"/>
      <protection locked="0"/>
    </xf>
    <xf numFmtId="0" fontId="21" fillId="0" borderId="4" xfId="0" applyFont="1" applyBorder="1" applyAlignment="1" applyProtection="1">
      <alignment horizontal="left" vertical="center"/>
      <protection locked="0"/>
    </xf>
    <xf numFmtId="0" fontId="21" fillId="0" borderId="4" xfId="0" applyFont="1" applyBorder="1" applyAlignment="1" applyProtection="1">
      <alignment horizontal="center"/>
      <protection locked="0"/>
    </xf>
    <xf numFmtId="0" fontId="21" fillId="0" borderId="11" xfId="0" applyFont="1" applyBorder="1" applyAlignment="1" applyProtection="1">
      <alignment horizontal="center"/>
      <protection locked="0"/>
    </xf>
    <xf numFmtId="0" fontId="21" fillId="0" borderId="12" xfId="0" applyFont="1" applyBorder="1" applyAlignment="1" applyProtection="1">
      <alignment horizontal="center"/>
      <protection locked="0"/>
    </xf>
    <xf numFmtId="0" fontId="21" fillId="0" borderId="42" xfId="0" applyFont="1" applyBorder="1" applyAlignment="1" applyProtection="1">
      <alignment horizontal="center"/>
      <protection locked="0"/>
    </xf>
    <xf numFmtId="0" fontId="21" fillId="0" borderId="42" xfId="0" applyFont="1" applyBorder="1" applyAlignment="1" applyProtection="1">
      <alignment horizontal="left" vertical="center" wrapText="1"/>
      <protection locked="0"/>
    </xf>
    <xf numFmtId="0" fontId="21" fillId="0" borderId="42" xfId="0" applyFont="1" applyBorder="1" applyAlignment="1" applyProtection="1">
      <alignment horizontal="left" vertical="center"/>
      <protection locked="0"/>
    </xf>
    <xf numFmtId="0" fontId="21" fillId="0" borderId="16" xfId="0" applyFont="1" applyBorder="1" applyAlignment="1" applyProtection="1">
      <alignment horizontal="center"/>
      <protection locked="0"/>
    </xf>
    <xf numFmtId="0" fontId="21" fillId="0" borderId="61" xfId="0" applyFont="1" applyBorder="1" applyAlignment="1" applyProtection="1">
      <alignment horizontal="center"/>
      <protection locked="0"/>
    </xf>
    <xf numFmtId="0" fontId="21" fillId="0" borderId="189" xfId="0" applyFont="1" applyBorder="1" applyAlignment="1">
      <alignment horizontal="center"/>
    </xf>
    <xf numFmtId="0" fontId="21" fillId="0" borderId="190" xfId="0" applyFont="1" applyBorder="1" applyAlignment="1">
      <alignment horizontal="center"/>
    </xf>
    <xf numFmtId="0" fontId="21" fillId="0" borderId="2" xfId="0" applyFont="1" applyBorder="1" applyAlignment="1">
      <alignment horizontal="center" vertical="center"/>
    </xf>
    <xf numFmtId="0" fontId="21" fillId="0" borderId="40" xfId="0" applyFont="1" applyBorder="1" applyAlignment="1" applyProtection="1">
      <alignment horizontal="center"/>
      <protection locked="0"/>
    </xf>
    <xf numFmtId="0" fontId="21" fillId="0" borderId="49" xfId="0" applyFont="1" applyBorder="1" applyAlignment="1">
      <alignment horizontal="center" vertical="center" wrapText="1"/>
    </xf>
    <xf numFmtId="0" fontId="21" fillId="0" borderId="171" xfId="0" applyFont="1" applyBorder="1" applyAlignment="1">
      <alignment horizontal="center" vertical="center" wrapText="1"/>
    </xf>
    <xf numFmtId="0" fontId="21" fillId="0" borderId="163" xfId="0" applyFont="1" applyBorder="1" applyAlignment="1">
      <alignment horizontal="center" vertical="center" wrapText="1"/>
    </xf>
    <xf numFmtId="0" fontId="21" fillId="0" borderId="172" xfId="0" applyFont="1" applyBorder="1" applyAlignment="1">
      <alignment horizontal="center" vertical="center" wrapText="1"/>
    </xf>
    <xf numFmtId="0" fontId="21" fillId="0" borderId="45" xfId="0" applyFont="1" applyBorder="1" applyAlignment="1" applyProtection="1">
      <alignment horizontal="center"/>
      <protection locked="0"/>
    </xf>
    <xf numFmtId="0" fontId="21" fillId="0" borderId="58" xfId="0" applyFont="1" applyBorder="1" applyAlignment="1" applyProtection="1">
      <alignment horizontal="center"/>
      <protection locked="0"/>
    </xf>
    <xf numFmtId="0" fontId="21" fillId="0" borderId="2" xfId="0" applyFont="1" applyBorder="1" applyAlignment="1">
      <alignment horizontal="center"/>
    </xf>
    <xf numFmtId="0" fontId="21" fillId="0" borderId="18" xfId="0" applyFont="1" applyBorder="1" applyAlignment="1">
      <alignment horizontal="center"/>
    </xf>
    <xf numFmtId="0" fontId="21" fillId="0" borderId="7" xfId="0" applyFont="1" applyBorder="1" applyAlignment="1">
      <alignment horizontal="center"/>
    </xf>
    <xf numFmtId="0" fontId="21" fillId="0" borderId="40" xfId="0" applyFont="1" applyBorder="1" applyAlignment="1" applyProtection="1">
      <alignment horizontal="left" vertical="center" wrapText="1"/>
      <protection locked="0"/>
    </xf>
    <xf numFmtId="0" fontId="21" fillId="0" borderId="40" xfId="0" applyFont="1" applyBorder="1" applyAlignment="1" applyProtection="1">
      <alignment horizontal="left" vertical="center"/>
      <protection locked="0"/>
    </xf>
    <xf numFmtId="0" fontId="25" fillId="0" borderId="0" xfId="0" applyFont="1" applyAlignment="1">
      <alignment horizontal="left" wrapText="1"/>
    </xf>
    <xf numFmtId="0" fontId="25" fillId="0" borderId="0" xfId="0" applyFont="1" applyAlignment="1">
      <alignment horizontal="left"/>
    </xf>
    <xf numFmtId="0" fontId="21" fillId="0" borderId="15" xfId="0" applyFont="1" applyBorder="1" applyAlignment="1" applyProtection="1">
      <alignment horizontal="left" vertical="center"/>
      <protection locked="0"/>
    </xf>
    <xf numFmtId="0" fontId="21" fillId="0" borderId="16" xfId="0" applyFont="1" applyBorder="1" applyAlignment="1" applyProtection="1">
      <alignment horizontal="left" vertical="center"/>
      <protection locked="0"/>
    </xf>
    <xf numFmtId="0" fontId="21" fillId="0" borderId="191" xfId="0" applyFont="1" applyBorder="1" applyAlignment="1">
      <alignment horizontal="center"/>
    </xf>
    <xf numFmtId="0" fontId="21" fillId="0" borderId="192" xfId="0" applyFont="1" applyBorder="1" applyAlignment="1">
      <alignment horizontal="center"/>
    </xf>
    <xf numFmtId="0" fontId="56" fillId="0" borderId="161" xfId="0" applyFont="1" applyBorder="1" applyAlignment="1">
      <alignment horizontal="center" vertical="center" wrapText="1"/>
    </xf>
    <xf numFmtId="0" fontId="56" fillId="0" borderId="49" xfId="0" applyFont="1" applyBorder="1" applyAlignment="1">
      <alignment horizontal="center" vertical="center" wrapText="1"/>
    </xf>
    <xf numFmtId="0" fontId="56" fillId="0" borderId="171" xfId="0" applyFont="1" applyBorder="1" applyAlignment="1">
      <alignment horizontal="center" vertical="center" wrapText="1"/>
    </xf>
    <xf numFmtId="0" fontId="56" fillId="0" borderId="162" xfId="0" applyFont="1" applyBorder="1" applyAlignment="1">
      <alignment horizontal="center" vertical="center" wrapText="1"/>
    </xf>
    <xf numFmtId="0" fontId="56" fillId="0" borderId="163" xfId="0" applyFont="1" applyBorder="1" applyAlignment="1">
      <alignment horizontal="center" vertical="center" wrapText="1"/>
    </xf>
    <xf numFmtId="0" fontId="56" fillId="0" borderId="172" xfId="0" applyFont="1" applyBorder="1" applyAlignment="1">
      <alignment horizontal="center" vertical="center" wrapText="1"/>
    </xf>
    <xf numFmtId="0" fontId="21" fillId="0" borderId="171" xfId="0" applyFont="1" applyBorder="1" applyAlignment="1">
      <alignment horizontal="center" vertical="center"/>
    </xf>
    <xf numFmtId="0" fontId="21" fillId="0" borderId="172" xfId="0" applyFont="1" applyBorder="1" applyAlignment="1">
      <alignment horizontal="center" vertical="center"/>
    </xf>
    <xf numFmtId="0" fontId="17" fillId="12" borderId="0" xfId="0" applyFont="1" applyFill="1" applyAlignment="1">
      <alignment horizontal="left" vertical="center" wrapText="1"/>
    </xf>
    <xf numFmtId="14" fontId="38" fillId="12" borderId="0" xfId="0" applyNumberFormat="1" applyFont="1" applyFill="1" applyAlignment="1">
      <alignment horizontal="left" vertical="center"/>
    </xf>
    <xf numFmtId="0" fontId="18" fillId="0" borderId="67" xfId="0" applyFont="1" applyBorder="1" applyAlignment="1">
      <alignment horizontal="center" vertical="center" wrapText="1"/>
    </xf>
    <xf numFmtId="0" fontId="18" fillId="0" borderId="19" xfId="0" applyFont="1" applyBorder="1" applyAlignment="1">
      <alignment horizontal="center" vertical="center" wrapText="1"/>
    </xf>
    <xf numFmtId="0" fontId="18" fillId="0" borderId="68" xfId="0" applyFont="1" applyBorder="1" applyAlignment="1">
      <alignment horizontal="center" vertical="center" wrapText="1"/>
    </xf>
    <xf numFmtId="0" fontId="18" fillId="0" borderId="60" xfId="0" applyFont="1" applyBorder="1" applyAlignment="1" applyProtection="1">
      <alignment horizontal="center" vertical="center" wrapText="1"/>
      <protection locked="0"/>
    </xf>
    <xf numFmtId="0" fontId="18" fillId="0" borderId="16" xfId="0" applyFont="1" applyBorder="1" applyAlignment="1" applyProtection="1">
      <alignment horizontal="center" vertical="center" wrapText="1"/>
      <protection locked="0"/>
    </xf>
    <xf numFmtId="0" fontId="18" fillId="0" borderId="34" xfId="0" applyFont="1" applyBorder="1" applyAlignment="1" applyProtection="1">
      <alignment horizontal="center" vertical="center" wrapText="1"/>
      <protection locked="0"/>
    </xf>
    <xf numFmtId="0" fontId="58" fillId="0" borderId="152" xfId="0" applyFont="1" applyBorder="1" applyAlignment="1">
      <alignment horizontal="center" vertical="center" wrapText="1"/>
    </xf>
    <xf numFmtId="0" fontId="58" fillId="0" borderId="165" xfId="0" applyFont="1" applyBorder="1" applyAlignment="1">
      <alignment horizontal="center" vertical="center" wrapText="1"/>
    </xf>
    <xf numFmtId="0" fontId="58" fillId="0" borderId="193" xfId="0" applyFont="1" applyBorder="1" applyAlignment="1">
      <alignment horizontal="center" vertical="center" wrapText="1"/>
    </xf>
    <xf numFmtId="0" fontId="58" fillId="0" borderId="149" xfId="0" applyFont="1" applyBorder="1" applyAlignment="1">
      <alignment horizontal="center" vertical="center" wrapText="1"/>
    </xf>
    <xf numFmtId="0" fontId="18" fillId="0" borderId="62" xfId="0" applyFont="1" applyBorder="1" applyAlignment="1" applyProtection="1">
      <alignment horizontal="center" vertical="center" wrapText="1"/>
      <protection locked="0"/>
    </xf>
    <xf numFmtId="0" fontId="18" fillId="0" borderId="61" xfId="0" applyFont="1" applyBorder="1" applyAlignment="1" applyProtection="1">
      <alignment horizontal="center" vertical="center" wrapText="1"/>
      <protection locked="0"/>
    </xf>
    <xf numFmtId="0" fontId="18" fillId="0" borderId="95" xfId="0" applyFont="1" applyBorder="1" applyAlignment="1" applyProtection="1">
      <alignment horizontal="center" vertical="center" wrapText="1"/>
      <protection locked="0"/>
    </xf>
    <xf numFmtId="0" fontId="18" fillId="0" borderId="164" xfId="0" applyFont="1" applyBorder="1" applyAlignment="1" applyProtection="1">
      <alignment horizontal="center" vertical="center" wrapText="1"/>
      <protection locked="0"/>
    </xf>
    <xf numFmtId="0" fontId="18" fillId="0" borderId="144" xfId="0" applyFont="1" applyBorder="1" applyAlignment="1" applyProtection="1">
      <alignment horizontal="center" vertical="center" wrapText="1"/>
      <protection locked="0"/>
    </xf>
    <xf numFmtId="0" fontId="18" fillId="0" borderId="97" xfId="0" applyFont="1" applyBorder="1" applyAlignment="1" applyProtection="1">
      <alignment horizontal="center" vertical="center" wrapText="1"/>
      <protection locked="0"/>
    </xf>
    <xf numFmtId="0" fontId="18" fillId="0" borderId="96" xfId="0" applyFont="1" applyBorder="1" applyAlignment="1" applyProtection="1">
      <alignment horizontal="center" vertical="center" wrapText="1"/>
      <protection locked="0"/>
    </xf>
    <xf numFmtId="0" fontId="15" fillId="4" borderId="0" xfId="0" applyFont="1" applyFill="1" applyAlignment="1">
      <alignment horizontal="center" vertical="center" wrapText="1"/>
    </xf>
    <xf numFmtId="0" fontId="41" fillId="4" borderId="37" xfId="0" applyFont="1" applyFill="1" applyBorder="1" applyAlignment="1">
      <alignment horizontal="right" vertical="center"/>
    </xf>
    <xf numFmtId="0" fontId="25" fillId="4" borderId="37" xfId="0" applyFont="1" applyFill="1" applyBorder="1" applyAlignment="1">
      <alignment horizontal="right" vertical="center"/>
    </xf>
    <xf numFmtId="0" fontId="38" fillId="4" borderId="28" xfId="0" applyFont="1" applyFill="1" applyBorder="1" applyAlignment="1">
      <alignment horizontal="center" vertical="center"/>
    </xf>
    <xf numFmtId="0" fontId="38" fillId="4" borderId="29" xfId="0" applyFont="1" applyFill="1" applyBorder="1" applyAlignment="1">
      <alignment horizontal="center" vertical="center"/>
    </xf>
    <xf numFmtId="0" fontId="38" fillId="4" borderId="30" xfId="0" applyFont="1" applyFill="1" applyBorder="1" applyAlignment="1">
      <alignment horizontal="center" vertical="center"/>
    </xf>
    <xf numFmtId="0" fontId="25" fillId="4" borderId="72" xfId="0" applyFont="1" applyFill="1" applyBorder="1" applyAlignment="1">
      <alignment horizontal="center" vertical="center"/>
    </xf>
    <xf numFmtId="0" fontId="25" fillId="4" borderId="126"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72" xfId="0" applyFont="1" applyFill="1" applyBorder="1" applyAlignment="1">
      <alignment horizontal="left" vertical="center"/>
    </xf>
    <xf numFmtId="0" fontId="25" fillId="4" borderId="126" xfId="0" applyFont="1" applyFill="1" applyBorder="1" applyAlignment="1">
      <alignment horizontal="left" vertical="center"/>
    </xf>
    <xf numFmtId="0" fontId="21" fillId="13" borderId="126" xfId="0" applyFont="1" applyFill="1" applyBorder="1" applyAlignment="1">
      <alignment horizontal="center" vertical="center"/>
    </xf>
    <xf numFmtId="0" fontId="21" fillId="13" borderId="73" xfId="0" applyFont="1" applyFill="1" applyBorder="1" applyAlignment="1">
      <alignment horizontal="center" vertical="center"/>
    </xf>
    <xf numFmtId="0" fontId="25" fillId="4" borderId="153" xfId="0" applyFont="1" applyFill="1" applyBorder="1" applyAlignment="1">
      <alignment horizontal="left" vertical="top" wrapText="1"/>
    </xf>
    <xf numFmtId="0" fontId="25" fillId="4" borderId="160" xfId="0" applyFont="1" applyFill="1" applyBorder="1" applyAlignment="1">
      <alignment horizontal="left" vertical="top" wrapText="1"/>
    </xf>
    <xf numFmtId="0" fontId="21" fillId="4" borderId="160" xfId="0" applyFont="1" applyFill="1" applyBorder="1" applyAlignment="1">
      <alignment horizontal="left" vertical="top" wrapText="1"/>
    </xf>
    <xf numFmtId="0" fontId="25" fillId="4" borderId="160" xfId="0" applyFont="1" applyFill="1" applyBorder="1" applyAlignment="1">
      <alignment horizontal="left" vertical="top"/>
    </xf>
    <xf numFmtId="0" fontId="21" fillId="4" borderId="150" xfId="0" applyFont="1" applyFill="1" applyBorder="1" applyAlignment="1">
      <alignment horizontal="left" vertical="top"/>
    </xf>
    <xf numFmtId="0" fontId="21" fillId="4" borderId="151" xfId="0" applyFont="1" applyFill="1" applyBorder="1" applyAlignment="1">
      <alignment horizontal="left" vertical="top"/>
    </xf>
    <xf numFmtId="0" fontId="21" fillId="4" borderId="148" xfId="0" applyFont="1" applyFill="1" applyBorder="1" applyAlignment="1">
      <alignment horizontal="left" vertical="top"/>
    </xf>
    <xf numFmtId="0" fontId="25" fillId="4" borderId="72" xfId="0" applyFont="1" applyFill="1" applyBorder="1" applyAlignment="1">
      <alignment horizontal="left" vertical="top" wrapText="1"/>
    </xf>
    <xf numFmtId="0" fontId="25" fillId="4" borderId="126" xfId="0" applyFont="1" applyFill="1" applyBorder="1" applyAlignment="1">
      <alignment horizontal="left" vertical="top" wrapText="1"/>
    </xf>
    <xf numFmtId="0" fontId="25" fillId="4" borderId="73" xfId="0" applyFont="1" applyFill="1" applyBorder="1" applyAlignment="1">
      <alignment horizontal="left" vertical="top" wrapText="1"/>
    </xf>
    <xf numFmtId="0" fontId="25" fillId="4" borderId="72" xfId="0" applyFont="1" applyFill="1" applyBorder="1" applyAlignment="1">
      <alignment horizontal="left" vertical="top"/>
    </xf>
    <xf numFmtId="0" fontId="25" fillId="4" borderId="126" xfId="0" applyFont="1" applyFill="1" applyBorder="1" applyAlignment="1">
      <alignment horizontal="left" vertical="top"/>
    </xf>
    <xf numFmtId="0" fontId="25" fillId="4" borderId="37" xfId="0" applyFont="1" applyFill="1" applyBorder="1" applyAlignment="1">
      <alignment horizontal="left" vertical="top"/>
    </xf>
    <xf numFmtId="0" fontId="25" fillId="4" borderId="38" xfId="0" applyFont="1" applyFill="1" applyBorder="1" applyAlignment="1">
      <alignment horizontal="left" vertical="top"/>
    </xf>
    <xf numFmtId="0" fontId="25" fillId="4" borderId="73" xfId="0" applyFont="1" applyFill="1" applyBorder="1" applyAlignment="1">
      <alignment horizontal="left" vertical="top"/>
    </xf>
    <xf numFmtId="0" fontId="21" fillId="4" borderId="67" xfId="0" applyFont="1" applyFill="1" applyBorder="1" applyAlignment="1">
      <alignment horizontal="center" vertical="center"/>
    </xf>
    <xf numFmtId="0" fontId="21" fillId="4" borderId="19" xfId="0" applyFont="1" applyFill="1" applyBorder="1" applyAlignment="1">
      <alignment horizontal="center" vertical="center"/>
    </xf>
    <xf numFmtId="0" fontId="21" fillId="4" borderId="153" xfId="0" applyFont="1" applyFill="1" applyBorder="1" applyAlignment="1">
      <alignment horizontal="center" vertical="center"/>
    </xf>
    <xf numFmtId="0" fontId="21" fillId="4" borderId="160" xfId="0" applyFont="1" applyFill="1" applyBorder="1" applyAlignment="1">
      <alignment horizontal="center" vertical="center"/>
    </xf>
    <xf numFmtId="0" fontId="21" fillId="4" borderId="166" xfId="0" applyFont="1" applyFill="1" applyBorder="1" applyAlignment="1">
      <alignment horizontal="center" vertical="center"/>
    </xf>
    <xf numFmtId="0" fontId="21" fillId="4" borderId="28" xfId="0" applyFont="1" applyFill="1" applyBorder="1" applyAlignment="1">
      <alignment horizontal="left" vertical="top" wrapText="1"/>
    </xf>
    <xf numFmtId="0" fontId="21" fillId="4" borderId="36" xfId="0" applyFont="1" applyFill="1" applyBorder="1" applyAlignment="1">
      <alignment horizontal="left" vertical="top" wrapText="1"/>
    </xf>
    <xf numFmtId="0" fontId="21" fillId="4" borderId="29" xfId="0" applyFont="1" applyFill="1" applyBorder="1" applyAlignment="1">
      <alignment horizontal="left" vertical="top" wrapText="1"/>
    </xf>
    <xf numFmtId="0" fontId="21" fillId="4" borderId="30" xfId="0" applyFont="1" applyFill="1" applyBorder="1" applyAlignment="1">
      <alignment horizontal="left" vertical="top" wrapText="1"/>
    </xf>
    <xf numFmtId="0" fontId="21" fillId="4" borderId="37" xfId="0" applyFont="1" applyFill="1" applyBorder="1" applyAlignment="1">
      <alignment horizontal="left" vertical="top" wrapText="1"/>
    </xf>
    <xf numFmtId="0" fontId="21" fillId="4" borderId="38" xfId="0" applyFont="1" applyFill="1" applyBorder="1" applyAlignment="1">
      <alignment horizontal="left" vertical="top" wrapText="1"/>
    </xf>
    <xf numFmtId="0" fontId="25" fillId="4" borderId="72" xfId="0" applyFont="1" applyFill="1" applyBorder="1" applyAlignment="1">
      <alignment horizontal="center" vertical="top"/>
    </xf>
    <xf numFmtId="0" fontId="25" fillId="4" borderId="126" xfId="0" applyFont="1" applyFill="1" applyBorder="1" applyAlignment="1">
      <alignment horizontal="center" vertical="top"/>
    </xf>
    <xf numFmtId="0" fontId="25" fillId="4" borderId="37" xfId="0" applyFont="1" applyFill="1" applyBorder="1" applyAlignment="1">
      <alignment horizontal="center" vertical="top"/>
    </xf>
    <xf numFmtId="0" fontId="25" fillId="4" borderId="38" xfId="0" applyFont="1" applyFill="1" applyBorder="1" applyAlignment="1">
      <alignment horizontal="center" vertical="top"/>
    </xf>
    <xf numFmtId="0" fontId="21" fillId="4" borderId="118" xfId="0" applyFont="1" applyFill="1" applyBorder="1" applyAlignment="1">
      <alignment horizontal="center" vertical="center"/>
    </xf>
    <xf numFmtId="0" fontId="21" fillId="4" borderId="18"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150" xfId="0" applyFont="1" applyFill="1" applyBorder="1" applyAlignment="1">
      <alignment horizontal="center" vertical="center"/>
    </xf>
    <xf numFmtId="0" fontId="21" fillId="4" borderId="151" xfId="0" applyFont="1" applyFill="1" applyBorder="1" applyAlignment="1">
      <alignment horizontal="center" vertical="center"/>
    </xf>
    <xf numFmtId="0" fontId="21" fillId="4" borderId="52" xfId="0" applyFont="1" applyFill="1" applyBorder="1" applyAlignment="1">
      <alignment horizontal="center" vertical="center"/>
    </xf>
    <xf numFmtId="0" fontId="21" fillId="4" borderId="29" xfId="0" applyFont="1" applyFill="1" applyBorder="1" applyAlignment="1">
      <alignment horizontal="left" vertical="top"/>
    </xf>
    <xf numFmtId="0" fontId="21" fillId="4" borderId="36" xfId="0" applyFont="1" applyFill="1" applyBorder="1" applyAlignment="1">
      <alignment horizontal="left" vertical="top"/>
    </xf>
    <xf numFmtId="0" fontId="21" fillId="4" borderId="37" xfId="0" applyFont="1" applyFill="1" applyBorder="1" applyAlignment="1">
      <alignment horizontal="left" vertical="top"/>
    </xf>
    <xf numFmtId="0" fontId="31" fillId="0" borderId="195" xfId="0" applyFont="1" applyBorder="1" applyAlignment="1">
      <alignment horizontal="center"/>
    </xf>
    <xf numFmtId="0" fontId="31" fillId="0" borderId="196" xfId="0" applyFont="1" applyBorder="1" applyAlignment="1">
      <alignment horizontal="center"/>
    </xf>
    <xf numFmtId="0" fontId="15" fillId="0" borderId="197"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198" xfId="0" applyFont="1" applyBorder="1" applyAlignment="1">
      <alignment horizontal="center" vertical="center" wrapText="1"/>
    </xf>
    <xf numFmtId="0" fontId="15" fillId="0" borderId="172" xfId="0" applyFont="1" applyBorder="1" applyAlignment="1">
      <alignment horizontal="center" vertical="center" wrapText="1"/>
    </xf>
    <xf numFmtId="0" fontId="31" fillId="0" borderId="29" xfId="0" applyFont="1" applyBorder="1" applyAlignment="1">
      <alignment horizontal="center" vertical="center" wrapText="1"/>
    </xf>
    <xf numFmtId="0" fontId="31" fillId="0" borderId="30" xfId="0" applyFont="1" applyBorder="1" applyAlignment="1">
      <alignment horizontal="center" vertical="center" wrapText="1"/>
    </xf>
    <xf numFmtId="0" fontId="31" fillId="0" borderId="163" xfId="0" applyFont="1" applyBorder="1" applyAlignment="1">
      <alignment horizontal="center" vertical="center" wrapText="1"/>
    </xf>
    <xf numFmtId="0" fontId="31" fillId="0" borderId="199" xfId="0" applyFont="1" applyBorder="1" applyAlignment="1">
      <alignment horizontal="center" vertical="center" wrapText="1"/>
    </xf>
    <xf numFmtId="0" fontId="31" fillId="0" borderId="153" xfId="0" applyFont="1" applyBorder="1" applyAlignment="1">
      <alignment horizontal="center" vertical="center" wrapText="1"/>
    </xf>
    <xf numFmtId="0" fontId="31" fillId="0" borderId="150" xfId="0" applyFont="1" applyBorder="1" applyAlignment="1">
      <alignment horizontal="center" vertical="center" wrapText="1"/>
    </xf>
    <xf numFmtId="0" fontId="31" fillId="0" borderId="28" xfId="0" applyFont="1" applyBorder="1" applyAlignment="1">
      <alignment horizontal="center" vertical="center" wrapText="1"/>
    </xf>
    <xf numFmtId="0" fontId="31" fillId="0" borderId="86" xfId="0" applyFont="1" applyBorder="1" applyAlignment="1">
      <alignment horizontal="center" vertical="center" wrapText="1"/>
    </xf>
    <xf numFmtId="0" fontId="31" fillId="0" borderId="36" xfId="0" applyFont="1" applyBorder="1" applyAlignment="1">
      <alignment horizontal="center" vertical="center" wrapText="1"/>
    </xf>
    <xf numFmtId="0" fontId="31" fillId="0" borderId="65" xfId="0" applyFont="1" applyBorder="1" applyAlignment="1">
      <alignment horizontal="center" vertical="center" wrapText="1"/>
    </xf>
    <xf numFmtId="0" fontId="31" fillId="0" borderId="154" xfId="0" applyFont="1" applyBorder="1" applyAlignment="1">
      <alignment horizontal="center" vertical="center" wrapText="1"/>
    </xf>
    <xf numFmtId="0" fontId="31" fillId="0" borderId="32" xfId="0" applyFont="1" applyBorder="1" applyAlignment="1">
      <alignment horizontal="center" vertical="center" wrapText="1"/>
    </xf>
    <xf numFmtId="0" fontId="31" fillId="0" borderId="160" xfId="0" applyFont="1" applyBorder="1" applyAlignment="1">
      <alignment horizontal="center" vertical="center" wrapText="1"/>
    </xf>
    <xf numFmtId="0" fontId="31" fillId="0" borderId="151" xfId="0" applyFont="1" applyBorder="1" applyAlignment="1">
      <alignment horizontal="center" vertical="center" wrapText="1"/>
    </xf>
    <xf numFmtId="0" fontId="31" fillId="0" borderId="137" xfId="0" applyFont="1" applyBorder="1" applyAlignment="1">
      <alignment horizontal="center" vertical="center" wrapText="1"/>
    </xf>
    <xf numFmtId="0" fontId="31" fillId="0" borderId="77" xfId="0" applyFont="1" applyBorder="1" applyAlignment="1">
      <alignment horizontal="center" vertical="center" wrapText="1"/>
    </xf>
    <xf numFmtId="0" fontId="31" fillId="0" borderId="166" xfId="0" applyFont="1" applyBorder="1" applyAlignment="1">
      <alignment horizontal="center" vertical="center" wrapText="1"/>
    </xf>
    <xf numFmtId="0" fontId="15" fillId="12" borderId="0" xfId="0" applyFont="1" applyFill="1" applyAlignment="1">
      <alignment horizontal="left" vertical="center" wrapText="1"/>
    </xf>
    <xf numFmtId="0" fontId="15" fillId="12" borderId="35" xfId="0" applyFont="1" applyFill="1" applyBorder="1" applyAlignment="1">
      <alignment horizontal="left" vertical="center" wrapText="1"/>
    </xf>
    <xf numFmtId="0" fontId="59" fillId="0" borderId="54" xfId="0" applyFont="1" applyBorder="1" applyAlignment="1">
      <alignment horizontal="center" vertical="center"/>
    </xf>
    <xf numFmtId="0" fontId="59" fillId="0" borderId="4" xfId="0" applyFont="1" applyBorder="1" applyAlignment="1">
      <alignment horizontal="center" vertical="center"/>
    </xf>
    <xf numFmtId="0" fontId="31" fillId="0" borderId="57" xfId="0" applyFont="1" applyBorder="1" applyAlignment="1" applyProtection="1">
      <alignment horizontal="center" vertical="center"/>
      <protection locked="0"/>
    </xf>
    <xf numFmtId="0" fontId="31" fillId="0" borderId="40" xfId="0" applyFont="1" applyBorder="1" applyAlignment="1" applyProtection="1">
      <alignment horizontal="center" vertical="center"/>
      <protection locked="0"/>
    </xf>
    <xf numFmtId="0" fontId="31" fillId="0" borderId="23" xfId="0" applyFont="1" applyBorder="1" applyAlignment="1" applyProtection="1">
      <alignment horizontal="center" vertical="center"/>
      <protection locked="0"/>
    </xf>
    <xf numFmtId="0" fontId="31" fillId="0" borderId="42" xfId="0" applyFont="1" applyBorder="1" applyAlignment="1" applyProtection="1">
      <alignment horizontal="center" vertical="center"/>
      <protection locked="0"/>
    </xf>
    <xf numFmtId="0" fontId="31" fillId="0" borderId="75" xfId="0" applyFont="1" applyBorder="1" applyAlignment="1">
      <alignment horizontal="center" vertical="center" wrapText="1"/>
    </xf>
    <xf numFmtId="0" fontId="31" fillId="0" borderId="63" xfId="0" applyFont="1" applyBorder="1" applyAlignment="1" applyProtection="1">
      <alignment horizontal="center" vertical="center"/>
      <protection locked="0"/>
    </xf>
    <xf numFmtId="0" fontId="31" fillId="0" borderId="64" xfId="0" applyFont="1" applyBorder="1" applyAlignment="1" applyProtection="1">
      <alignment horizontal="center" vertical="center"/>
      <protection locked="0"/>
    </xf>
    <xf numFmtId="0" fontId="21" fillId="0" borderId="0" xfId="0" applyFont="1" applyAlignment="1">
      <alignment horizontal="center" vertical="center" wrapText="1"/>
    </xf>
    <xf numFmtId="0" fontId="21" fillId="0" borderId="69" xfId="0" applyFont="1" applyBorder="1" applyAlignment="1" applyProtection="1">
      <alignment horizontal="center" vertical="center" wrapText="1"/>
      <protection locked="0"/>
    </xf>
    <xf numFmtId="0" fontId="21" fillId="0" borderId="54" xfId="0" applyFont="1" applyBorder="1" applyAlignment="1" applyProtection="1">
      <alignment horizontal="center" vertical="center" wrapText="1"/>
      <protection locked="0"/>
    </xf>
    <xf numFmtId="0" fontId="21" fillId="0" borderId="70" xfId="0" applyFont="1" applyBorder="1" applyAlignment="1" applyProtection="1">
      <alignment horizontal="center" vertical="center" wrapText="1"/>
      <protection locked="0"/>
    </xf>
    <xf numFmtId="0" fontId="21" fillId="0" borderId="44" xfId="0" applyFont="1" applyBorder="1" applyAlignment="1" applyProtection="1">
      <alignment horizontal="center" vertical="center" wrapText="1"/>
      <protection locked="0"/>
    </xf>
    <xf numFmtId="14" fontId="21" fillId="0" borderId="69" xfId="0" applyNumberFormat="1" applyFont="1" applyBorder="1" applyAlignment="1" applyProtection="1">
      <alignment horizontal="center" vertical="center" wrapText="1"/>
      <protection locked="0"/>
    </xf>
    <xf numFmtId="14" fontId="21" fillId="0" borderId="54" xfId="0" applyNumberFormat="1" applyFont="1" applyBorder="1" applyAlignment="1" applyProtection="1">
      <alignment horizontal="center" vertical="center" wrapText="1"/>
      <protection locked="0"/>
    </xf>
    <xf numFmtId="14" fontId="21" fillId="0" borderId="3" xfId="0" applyNumberFormat="1" applyFont="1" applyBorder="1" applyAlignment="1" applyProtection="1">
      <alignment horizontal="center" vertical="center" wrapText="1"/>
      <protection locked="0"/>
    </xf>
    <xf numFmtId="14" fontId="21" fillId="0" borderId="4" xfId="0" applyNumberFormat="1" applyFont="1" applyBorder="1" applyAlignment="1" applyProtection="1">
      <alignment horizontal="center" vertical="center" wrapText="1"/>
      <protection locked="0"/>
    </xf>
    <xf numFmtId="14" fontId="21" fillId="0" borderId="70" xfId="0" applyNumberFormat="1" applyFont="1" applyBorder="1" applyAlignment="1" applyProtection="1">
      <alignment horizontal="center" vertical="center" wrapText="1"/>
      <protection locked="0"/>
    </xf>
    <xf numFmtId="14" fontId="21" fillId="0" borderId="44" xfId="0" applyNumberFormat="1" applyFont="1" applyBorder="1" applyAlignment="1" applyProtection="1">
      <alignment horizontal="center" vertical="center" wrapText="1"/>
      <protection locked="0"/>
    </xf>
    <xf numFmtId="0" fontId="21" fillId="0" borderId="71" xfId="0" applyFont="1" applyBorder="1" applyAlignment="1" applyProtection="1">
      <alignment horizontal="center" vertical="center" wrapText="1"/>
      <protection locked="0"/>
    </xf>
    <xf numFmtId="0" fontId="21" fillId="0" borderId="47" xfId="0" applyFont="1" applyBorder="1" applyAlignment="1" applyProtection="1">
      <alignment horizontal="center" vertical="center" wrapText="1"/>
      <protection locked="0"/>
    </xf>
    <xf numFmtId="14" fontId="21" fillId="0" borderId="71" xfId="0" applyNumberFormat="1" applyFont="1" applyBorder="1" applyAlignment="1" applyProtection="1">
      <alignment horizontal="center" vertical="center" wrapText="1"/>
      <protection locked="0"/>
    </xf>
    <xf numFmtId="14" fontId="21" fillId="0" borderId="14" xfId="0" applyNumberFormat="1" applyFont="1" applyBorder="1" applyAlignment="1" applyProtection="1">
      <alignment horizontal="center" vertical="center" wrapText="1"/>
      <protection locked="0"/>
    </xf>
    <xf numFmtId="14" fontId="21" fillId="0" borderId="47" xfId="0" applyNumberFormat="1" applyFont="1" applyBorder="1" applyAlignment="1" applyProtection="1">
      <alignment horizontal="center" vertical="center" wrapText="1"/>
      <protection locked="0"/>
    </xf>
    <xf numFmtId="14" fontId="21" fillId="0" borderId="64" xfId="0" applyNumberFormat="1" applyFont="1" applyBorder="1" applyAlignment="1" applyProtection="1">
      <alignment horizontal="center" vertical="center" wrapText="1"/>
      <protection locked="0"/>
    </xf>
    <xf numFmtId="14" fontId="21" fillId="0" borderId="66" xfId="0" applyNumberFormat="1" applyFont="1" applyBorder="1" applyAlignment="1" applyProtection="1">
      <alignment horizontal="center" vertical="center" wrapText="1"/>
      <protection locked="0"/>
    </xf>
    <xf numFmtId="0" fontId="21" fillId="0" borderId="63" xfId="0" applyFont="1" applyBorder="1" applyAlignment="1" applyProtection="1">
      <alignment horizontal="center" vertical="center" wrapText="1"/>
      <protection locked="0"/>
    </xf>
    <xf numFmtId="0" fontId="21" fillId="0" borderId="66" xfId="0" applyFont="1" applyBorder="1" applyAlignment="1" applyProtection="1">
      <alignment horizontal="center" vertical="center" wrapText="1"/>
      <protection locked="0"/>
    </xf>
    <xf numFmtId="14" fontId="21" fillId="0" borderId="63" xfId="0" applyNumberFormat="1" applyFont="1" applyBorder="1" applyAlignment="1" applyProtection="1">
      <alignment horizontal="center" vertical="center" wrapText="1"/>
      <protection locked="0"/>
    </xf>
    <xf numFmtId="0" fontId="18" fillId="0" borderId="2" xfId="0" applyFont="1" applyBorder="1" applyAlignment="1">
      <alignment horizontal="left" vertical="center"/>
    </xf>
    <xf numFmtId="0" fontId="18" fillId="0" borderId="2" xfId="0" applyFont="1" applyBorder="1" applyAlignment="1" applyProtection="1">
      <alignment horizontal="center" vertical="center" wrapText="1"/>
      <protection locked="0"/>
    </xf>
    <xf numFmtId="0" fontId="18" fillId="0" borderId="0" xfId="0" applyFont="1" applyAlignment="1">
      <alignment horizontal="center" vertical="center"/>
    </xf>
    <xf numFmtId="0" fontId="21" fillId="0" borderId="0" xfId="0" applyFont="1" applyAlignment="1">
      <alignment horizontal="right" vertical="center" wrapText="1"/>
    </xf>
    <xf numFmtId="0" fontId="18" fillId="0" borderId="2" xfId="0" applyFont="1" applyBorder="1" applyAlignment="1">
      <alignment horizontal="center" vertical="center" wrapText="1"/>
    </xf>
    <xf numFmtId="0" fontId="18" fillId="0" borderId="2" xfId="0" applyFont="1" applyBorder="1" applyAlignment="1">
      <alignment horizontal="left" vertical="center" wrapText="1"/>
    </xf>
    <xf numFmtId="0" fontId="18" fillId="0" borderId="17" xfId="0" applyFont="1" applyBorder="1" applyAlignment="1">
      <alignment horizontal="left" vertical="center"/>
    </xf>
    <xf numFmtId="0" fontId="18" fillId="0" borderId="18" xfId="0" applyFont="1" applyBorder="1" applyAlignment="1">
      <alignment horizontal="left" vertical="center"/>
    </xf>
    <xf numFmtId="0" fontId="18" fillId="0" borderId="7" xfId="0" applyFont="1" applyBorder="1" applyAlignment="1">
      <alignment horizontal="left" vertical="center"/>
    </xf>
    <xf numFmtId="0" fontId="18" fillId="0" borderId="17"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18" fillId="0" borderId="7" xfId="0" applyFont="1" applyBorder="1" applyAlignment="1" applyProtection="1">
      <alignment horizontal="center" vertical="center" wrapText="1"/>
      <protection locked="0"/>
    </xf>
    <xf numFmtId="0" fontId="18" fillId="0" borderId="17" xfId="0" applyFont="1" applyBorder="1" applyAlignment="1">
      <alignment horizontal="left" vertical="top"/>
    </xf>
    <xf numFmtId="0" fontId="18" fillId="0" borderId="18" xfId="0" applyFont="1" applyBorder="1" applyAlignment="1">
      <alignment horizontal="left" vertical="top"/>
    </xf>
    <xf numFmtId="0" fontId="18" fillId="0" borderId="7" xfId="0" applyFont="1" applyBorder="1" applyAlignment="1">
      <alignment horizontal="left" vertical="top"/>
    </xf>
    <xf numFmtId="0" fontId="18" fillId="0" borderId="0" xfId="0" applyFont="1" applyAlignment="1" applyProtection="1">
      <alignment horizontal="center" vertical="center"/>
      <protection locked="0"/>
    </xf>
    <xf numFmtId="0" fontId="17" fillId="0" borderId="0" xfId="0" applyFont="1" applyAlignment="1">
      <alignment horizontal="center" vertical="center"/>
    </xf>
    <xf numFmtId="0" fontId="11" fillId="0" borderId="5" xfId="12" applyBorder="1" applyAlignment="1">
      <alignment horizontal="center" vertical="center"/>
    </xf>
    <xf numFmtId="0" fontId="11" fillId="0" borderId="6" xfId="12" applyBorder="1" applyAlignment="1">
      <alignment horizontal="center" vertical="center"/>
    </xf>
    <xf numFmtId="0" fontId="11" fillId="0" borderId="10" xfId="12" applyBorder="1" applyAlignment="1">
      <alignment horizontal="center" vertical="center"/>
    </xf>
    <xf numFmtId="0" fontId="11" fillId="0" borderId="11" xfId="12" applyBorder="1" applyAlignment="1">
      <alignment horizontal="center" vertical="center"/>
    </xf>
    <xf numFmtId="0" fontId="11" fillId="12" borderId="6" xfId="12" applyFill="1" applyBorder="1" applyAlignment="1">
      <alignment horizontal="left" vertical="center"/>
    </xf>
    <xf numFmtId="0" fontId="11" fillId="12" borderId="13" xfId="12" applyFill="1" applyBorder="1" applyAlignment="1">
      <alignment horizontal="left" vertical="center"/>
    </xf>
    <xf numFmtId="0" fontId="11" fillId="12" borderId="11" xfId="12" applyFill="1" applyBorder="1" applyAlignment="1">
      <alignment horizontal="left" vertical="center"/>
    </xf>
    <xf numFmtId="0" fontId="11" fillId="12" borderId="12" xfId="12" applyFill="1" applyBorder="1" applyAlignment="1">
      <alignment horizontal="left" vertical="center"/>
    </xf>
    <xf numFmtId="0" fontId="11" fillId="0" borderId="8" xfId="12" applyBorder="1" applyAlignment="1" applyProtection="1">
      <alignment horizontal="left" vertical="center" wrapText="1"/>
      <protection locked="0"/>
    </xf>
    <xf numFmtId="0" fontId="11" fillId="0" borderId="0" xfId="12" applyAlignment="1" applyProtection="1">
      <alignment horizontal="left" vertical="center" wrapText="1"/>
      <protection locked="0"/>
    </xf>
    <xf numFmtId="0" fontId="11" fillId="0" borderId="9" xfId="12" applyBorder="1" applyAlignment="1" applyProtection="1">
      <alignment horizontal="left" vertical="center" wrapText="1"/>
      <protection locked="0"/>
    </xf>
    <xf numFmtId="0" fontId="11" fillId="0" borderId="17" xfId="12" applyBorder="1" applyAlignment="1" applyProtection="1">
      <alignment horizontal="center"/>
      <protection locked="0"/>
    </xf>
    <xf numFmtId="0" fontId="11" fillId="0" borderId="18" xfId="12" applyBorder="1" applyAlignment="1" applyProtection="1">
      <alignment horizontal="center"/>
      <protection locked="0"/>
    </xf>
    <xf numFmtId="0" fontId="11" fillId="0" borderId="7" xfId="12" applyBorder="1" applyAlignment="1" applyProtection="1">
      <alignment horizontal="center"/>
      <protection locked="0"/>
    </xf>
    <xf numFmtId="0" fontId="32" fillId="0" borderId="6" xfId="12" applyFont="1" applyBorder="1" applyAlignment="1">
      <alignment horizontal="center" vertical="center"/>
    </xf>
    <xf numFmtId="0" fontId="32" fillId="0" borderId="11" xfId="12" applyFont="1" applyBorder="1" applyAlignment="1">
      <alignment horizontal="center" vertical="center"/>
    </xf>
    <xf numFmtId="0" fontId="124" fillId="0" borderId="11" xfId="12" applyFont="1" applyBorder="1" applyAlignment="1">
      <alignment horizontal="center" vertical="top" wrapText="1"/>
    </xf>
    <xf numFmtId="0" fontId="124" fillId="0" borderId="12" xfId="12" applyFont="1" applyBorder="1" applyAlignment="1">
      <alignment horizontal="center" vertical="top" wrapText="1"/>
    </xf>
    <xf numFmtId="0" fontId="11" fillId="0" borderId="17" xfId="12" applyBorder="1" applyAlignment="1">
      <alignment horizontal="center"/>
    </xf>
    <xf numFmtId="0" fontId="11" fillId="0" borderId="18" xfId="12" applyBorder="1" applyAlignment="1">
      <alignment horizontal="center"/>
    </xf>
    <xf numFmtId="0" fontId="11" fillId="0" borderId="7" xfId="12" applyBorder="1" applyAlignment="1">
      <alignment horizontal="center"/>
    </xf>
    <xf numFmtId="0" fontId="11" fillId="0" borderId="8" xfId="12" applyBorder="1" applyAlignment="1" applyProtection="1">
      <alignment horizontal="center" vertical="center" wrapText="1"/>
      <protection locked="0"/>
    </xf>
    <xf numFmtId="0" fontId="11" fillId="0" borderId="0" xfId="12" applyAlignment="1" applyProtection="1">
      <alignment horizontal="center" vertical="center" wrapText="1"/>
      <protection locked="0"/>
    </xf>
    <xf numFmtId="0" fontId="11" fillId="0" borderId="17" xfId="12" applyBorder="1" applyAlignment="1" applyProtection="1">
      <alignment horizontal="left" vertical="center"/>
      <protection locked="0"/>
    </xf>
    <xf numFmtId="0" fontId="11" fillId="0" borderId="18" xfId="12" applyBorder="1" applyAlignment="1" applyProtection="1">
      <alignment horizontal="left" vertical="center"/>
      <protection locked="0"/>
    </xf>
    <xf numFmtId="0" fontId="11" fillId="0" borderId="7" xfId="12" applyBorder="1" applyAlignment="1" applyProtection="1">
      <alignment horizontal="left" vertical="center"/>
      <protection locked="0"/>
    </xf>
    <xf numFmtId="0" fontId="11" fillId="0" borderId="10" xfId="12" applyBorder="1" applyAlignment="1">
      <alignment horizontal="lef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24" fillId="0" borderId="17" xfId="12" applyFont="1" applyBorder="1" applyAlignment="1">
      <alignment horizontal="left" vertical="center" wrapText="1"/>
    </xf>
    <xf numFmtId="0" fontId="24" fillId="0" borderId="18" xfId="12" applyFont="1" applyBorder="1" applyAlignment="1">
      <alignment horizontal="left" vertical="center" wrapText="1"/>
    </xf>
    <xf numFmtId="0" fontId="24" fillId="0" borderId="7" xfId="12" applyFont="1" applyBorder="1" applyAlignment="1">
      <alignment horizontal="left" vertical="center" wrapText="1"/>
    </xf>
    <xf numFmtId="0" fontId="11" fillId="0" borderId="8" xfId="12" applyBorder="1" applyAlignment="1" applyProtection="1">
      <alignment horizontal="left" vertical="center"/>
      <protection locked="0"/>
    </xf>
    <xf numFmtId="0" fontId="11" fillId="0" borderId="0" xfId="12" applyAlignment="1" applyProtection="1">
      <alignment horizontal="left" vertical="center"/>
      <protection locked="0"/>
    </xf>
    <xf numFmtId="0" fontId="11" fillId="0" borderId="9" xfId="12" applyBorder="1" applyAlignment="1" applyProtection="1">
      <alignment horizontal="left" vertical="center"/>
      <protection locked="0"/>
    </xf>
    <xf numFmtId="0" fontId="11" fillId="0" borderId="10" xfId="12" applyBorder="1" applyAlignment="1" applyProtection="1">
      <alignment horizontal="left" vertical="center"/>
      <protection locked="0"/>
    </xf>
    <xf numFmtId="0" fontId="11" fillId="0" borderId="11" xfId="12" applyBorder="1" applyAlignment="1" applyProtection="1">
      <alignment horizontal="left" vertical="center"/>
      <protection locked="0"/>
    </xf>
    <xf numFmtId="0" fontId="11" fillId="0" borderId="12" xfId="12" applyBorder="1" applyAlignment="1" applyProtection="1">
      <alignment horizontal="left" vertical="center"/>
      <protection locked="0"/>
    </xf>
    <xf numFmtId="0" fontId="11" fillId="0" borderId="5" xfId="12" applyBorder="1" applyAlignment="1" applyProtection="1">
      <alignment horizontal="left" vertical="center"/>
      <protection locked="0"/>
    </xf>
    <xf numFmtId="0" fontId="11" fillId="0" borderId="6" xfId="12" applyBorder="1" applyAlignment="1" applyProtection="1">
      <alignment horizontal="left" vertical="center"/>
      <protection locked="0"/>
    </xf>
    <xf numFmtId="0" fontId="11" fillId="0" borderId="13" xfId="12" applyBorder="1" applyAlignment="1" applyProtection="1">
      <alignment horizontal="left" vertical="center"/>
      <protection locked="0"/>
    </xf>
    <xf numFmtId="0" fontId="24" fillId="0" borderId="17" xfId="12" applyFont="1" applyBorder="1" applyAlignment="1" applyProtection="1">
      <alignment horizontal="left" vertical="center"/>
      <protection locked="0"/>
    </xf>
    <xf numFmtId="0" fontId="24" fillId="0" borderId="18" xfId="12" applyFont="1" applyBorder="1" applyAlignment="1" applyProtection="1">
      <alignment horizontal="left" vertical="center"/>
      <protection locked="0"/>
    </xf>
    <xf numFmtId="0" fontId="24" fillId="0" borderId="7" xfId="12" applyFont="1" applyBorder="1" applyAlignment="1" applyProtection="1">
      <alignment horizontal="left" vertical="center"/>
      <protection locked="0"/>
    </xf>
    <xf numFmtId="0" fontId="11" fillId="0" borderId="17" xfId="12" applyBorder="1" applyAlignment="1">
      <alignment horizontal="center" vertical="center"/>
    </xf>
    <xf numFmtId="0" fontId="11" fillId="0" borderId="18" xfId="12" applyBorder="1" applyAlignment="1">
      <alignment horizontal="center" vertical="center"/>
    </xf>
    <xf numFmtId="0" fontId="11" fillId="0" borderId="7" xfId="12" applyBorder="1" applyAlignment="1">
      <alignment horizontal="center" vertical="center"/>
    </xf>
    <xf numFmtId="0" fontId="11" fillId="0" borderId="13" xfId="12" applyBorder="1" applyAlignment="1" applyProtection="1">
      <alignment horizontal="center"/>
      <protection locked="0"/>
    </xf>
    <xf numFmtId="0" fontId="11" fillId="0" borderId="9" xfId="12" applyBorder="1" applyAlignment="1" applyProtection="1">
      <alignment horizontal="center"/>
      <protection locked="0"/>
    </xf>
    <xf numFmtId="0" fontId="11" fillId="0" borderId="12" xfId="12" applyBorder="1" applyAlignment="1" applyProtection="1">
      <alignment horizontal="center"/>
      <protection locked="0"/>
    </xf>
    <xf numFmtId="0" fontId="11" fillId="0" borderId="8" xfId="12" applyBorder="1" applyAlignment="1">
      <alignment horizontal="left" vertical="top" wrapText="1"/>
    </xf>
    <xf numFmtId="0" fontId="11" fillId="0" borderId="0" xfId="12" applyAlignment="1">
      <alignment horizontal="left" vertical="top" wrapText="1"/>
    </xf>
    <xf numFmtId="0" fontId="11" fillId="0" borderId="9" xfId="12" applyBorder="1" applyAlignment="1">
      <alignment horizontal="left" vertical="top" wrapText="1"/>
    </xf>
    <xf numFmtId="0" fontId="11" fillId="0" borderId="10" xfId="12" applyBorder="1" applyAlignment="1">
      <alignment horizontal="left" vertical="top" wrapText="1"/>
    </xf>
    <xf numFmtId="0" fontId="11" fillId="0" borderId="11" xfId="12" applyBorder="1" applyAlignment="1">
      <alignment horizontal="left" vertical="top" wrapText="1"/>
    </xf>
    <xf numFmtId="0" fontId="11" fillId="0" borderId="12" xfId="12" applyBorder="1" applyAlignment="1">
      <alignment horizontal="left" vertical="top" wrapText="1"/>
    </xf>
    <xf numFmtId="0" fontId="11" fillId="0" borderId="5" xfId="12" applyBorder="1" applyAlignment="1" applyProtection="1">
      <alignment horizontal="left" vertical="top"/>
      <protection locked="0"/>
    </xf>
    <xf numFmtId="0" fontId="11" fillId="0" borderId="13" xfId="12" applyBorder="1" applyAlignment="1" applyProtection="1">
      <alignment horizontal="left" vertical="top"/>
      <protection locked="0"/>
    </xf>
    <xf numFmtId="0" fontId="11" fillId="0" borderId="8" xfId="12" applyBorder="1" applyAlignment="1" applyProtection="1">
      <alignment horizontal="left" vertical="top"/>
      <protection locked="0"/>
    </xf>
    <xf numFmtId="0" fontId="11" fillId="0" borderId="9" xfId="12" applyBorder="1" applyAlignment="1" applyProtection="1">
      <alignment horizontal="left" vertical="top"/>
      <protection locked="0"/>
    </xf>
    <xf numFmtId="0" fontId="11" fillId="0" borderId="10" xfId="12" applyBorder="1" applyAlignment="1" applyProtection="1">
      <alignment horizontal="left" vertical="top"/>
      <protection locked="0"/>
    </xf>
    <xf numFmtId="0" fontId="11" fillId="0" borderId="12" xfId="12" applyBorder="1" applyAlignment="1" applyProtection="1">
      <alignment horizontal="left" vertical="top"/>
      <protection locked="0"/>
    </xf>
    <xf numFmtId="0" fontId="25" fillId="0" borderId="8" xfId="12" applyFont="1" applyBorder="1" applyAlignment="1">
      <alignment horizontal="left"/>
    </xf>
    <xf numFmtId="0" fontId="25" fillId="0" borderId="9" xfId="12" applyFont="1" applyBorder="1" applyAlignment="1">
      <alignment horizontal="left"/>
    </xf>
    <xf numFmtId="0" fontId="11" fillId="0" borderId="8" xfId="12" applyBorder="1" applyAlignment="1">
      <alignment horizontal="left"/>
    </xf>
    <xf numFmtId="0" fontId="11" fillId="0" borderId="9" xfId="12" applyBorder="1" applyAlignment="1">
      <alignment horizontal="left"/>
    </xf>
    <xf numFmtId="0" fontId="11" fillId="0" borderId="13" xfId="12" applyBorder="1" applyAlignment="1">
      <alignment horizontal="center" vertical="center"/>
    </xf>
    <xf numFmtId="0" fontId="11" fillId="0" borderId="9" xfId="12" applyBorder="1" applyAlignment="1">
      <alignment horizontal="center" vertical="center"/>
    </xf>
    <xf numFmtId="0" fontId="11" fillId="0" borderId="12" xfId="12" applyBorder="1" applyAlignment="1">
      <alignment horizontal="center" vertical="center"/>
    </xf>
    <xf numFmtId="0" fontId="11" fillId="0" borderId="5" xfId="12" applyBorder="1" applyAlignment="1">
      <alignment horizontal="right" vertical="top"/>
    </xf>
    <xf numFmtId="0" fontId="11" fillId="0" borderId="6" xfId="12" applyBorder="1" applyAlignment="1">
      <alignment horizontal="right" vertical="top"/>
    </xf>
    <xf numFmtId="0" fontId="11" fillId="0" borderId="13" xfId="12" applyBorder="1" applyAlignment="1">
      <alignment horizontal="right" vertical="top"/>
    </xf>
    <xf numFmtId="0" fontId="11" fillId="0" borderId="8" xfId="12" applyBorder="1" applyAlignment="1">
      <alignment horizontal="right" vertical="top"/>
    </xf>
    <xf numFmtId="0" fontId="11" fillId="0" borderId="0" xfId="12" applyAlignment="1">
      <alignment horizontal="right" vertical="top"/>
    </xf>
    <xf numFmtId="0" fontId="11" fillId="0" borderId="9" xfId="12" applyBorder="1" applyAlignment="1">
      <alignment horizontal="right" vertical="top"/>
    </xf>
    <xf numFmtId="0" fontId="11" fillId="0" borderId="10" xfId="12" applyBorder="1" applyAlignment="1">
      <alignment horizontal="right" vertical="top"/>
    </xf>
    <xf numFmtId="0" fontId="11" fillId="0" borderId="11" xfId="12" applyBorder="1" applyAlignment="1">
      <alignment horizontal="right" vertical="top"/>
    </xf>
    <xf numFmtId="0" fontId="11" fillId="0" borderId="12" xfId="12" applyBorder="1" applyAlignment="1">
      <alignment horizontal="right" vertical="top"/>
    </xf>
    <xf numFmtId="0" fontId="11" fillId="0" borderId="5" xfId="12" applyBorder="1" applyAlignment="1">
      <alignment horizontal="left" vertical="top"/>
    </xf>
    <xf numFmtId="0" fontId="11" fillId="0" borderId="13" xfId="12" applyBorder="1" applyAlignment="1">
      <alignment horizontal="left" vertical="top"/>
    </xf>
    <xf numFmtId="0" fontId="11" fillId="0" borderId="8" xfId="12" applyBorder="1" applyAlignment="1">
      <alignment horizontal="left" vertical="top"/>
    </xf>
    <xf numFmtId="0" fontId="11" fillId="0" borderId="9" xfId="12" applyBorder="1" applyAlignment="1">
      <alignment horizontal="left" vertical="top"/>
    </xf>
    <xf numFmtId="0" fontId="11" fillId="0" borderId="10" xfId="12" applyBorder="1" applyAlignment="1">
      <alignment horizontal="left" vertical="top"/>
    </xf>
    <xf numFmtId="0" fontId="11" fillId="0" borderId="12" xfId="12" applyBorder="1" applyAlignment="1">
      <alignment horizontal="left" vertical="top"/>
    </xf>
    <xf numFmtId="0" fontId="11" fillId="0" borderId="11" xfId="12" applyBorder="1" applyAlignment="1">
      <alignment horizontal="center"/>
    </xf>
    <xf numFmtId="0" fontId="26" fillId="12" borderId="0" xfId="7" applyFont="1" applyFill="1" applyAlignment="1">
      <alignment horizontal="left" vertical="center" wrapText="1"/>
    </xf>
    <xf numFmtId="0" fontId="89" fillId="0" borderId="28" xfId="6" applyFont="1" applyBorder="1" applyAlignment="1">
      <alignment horizontal="center" vertical="center" textRotation="90"/>
    </xf>
    <xf numFmtId="0" fontId="89" fillId="0" borderId="1" xfId="6" applyFont="1" applyBorder="1" applyAlignment="1">
      <alignment horizontal="center" vertical="center" textRotation="90"/>
    </xf>
    <xf numFmtId="0" fontId="89" fillId="0" borderId="36" xfId="6" applyFont="1" applyBorder="1" applyAlignment="1">
      <alignment horizontal="center" vertical="center" textRotation="90"/>
    </xf>
    <xf numFmtId="0" fontId="97" fillId="0" borderId="137" xfId="6" applyBorder="1" applyAlignment="1" applyProtection="1">
      <alignment horizontal="center"/>
      <protection locked="0"/>
    </xf>
    <xf numFmtId="0" fontId="97" fillId="0" borderId="29" xfId="6" applyBorder="1" applyAlignment="1" applyProtection="1">
      <alignment horizontal="center"/>
      <protection locked="0"/>
    </xf>
    <xf numFmtId="0" fontId="97" fillId="0" borderId="30" xfId="6" applyBorder="1" applyAlignment="1" applyProtection="1">
      <alignment horizontal="center"/>
      <protection locked="0"/>
    </xf>
    <xf numFmtId="0" fontId="97" fillId="0" borderId="14" xfId="6" applyBorder="1" applyAlignment="1" applyProtection="1">
      <alignment horizontal="center" vertical="center"/>
      <protection locked="0"/>
    </xf>
    <xf numFmtId="0" fontId="97" fillId="0" borderId="3" xfId="6" applyBorder="1" applyAlignment="1" applyProtection="1">
      <alignment horizontal="center" vertical="center"/>
      <protection locked="0"/>
    </xf>
    <xf numFmtId="0" fontId="97" fillId="0" borderId="4" xfId="6" applyBorder="1" applyAlignment="1" applyProtection="1">
      <alignment horizontal="center" vertical="center"/>
      <protection locked="0"/>
    </xf>
    <xf numFmtId="0" fontId="97" fillId="0" borderId="17" xfId="6" applyBorder="1" applyAlignment="1" applyProtection="1">
      <alignment horizontal="center"/>
      <protection locked="0"/>
    </xf>
    <xf numFmtId="0" fontId="97" fillId="0" borderId="18" xfId="6" applyBorder="1" applyAlignment="1" applyProtection="1">
      <alignment horizontal="center"/>
      <protection locked="0"/>
    </xf>
    <xf numFmtId="0" fontId="97" fillId="0" borderId="7" xfId="6" applyBorder="1" applyAlignment="1" applyProtection="1">
      <alignment horizontal="center"/>
      <protection locked="0"/>
    </xf>
    <xf numFmtId="0" fontId="97" fillId="0" borderId="5" xfId="6" applyBorder="1" applyAlignment="1" applyProtection="1">
      <alignment horizontal="center" vertical="center"/>
      <protection locked="0"/>
    </xf>
    <xf numFmtId="0" fontId="97" fillId="0" borderId="115" xfId="6" applyBorder="1" applyAlignment="1" applyProtection="1">
      <alignment horizontal="center" vertical="center"/>
      <protection locked="0"/>
    </xf>
    <xf numFmtId="0" fontId="97" fillId="0" borderId="8" xfId="6" applyBorder="1" applyAlignment="1" applyProtection="1">
      <alignment horizontal="center" vertical="center"/>
      <protection locked="0"/>
    </xf>
    <xf numFmtId="0" fontId="97" fillId="0" borderId="35" xfId="6" applyBorder="1" applyAlignment="1" applyProtection="1">
      <alignment horizontal="center" vertical="center"/>
      <protection locked="0"/>
    </xf>
    <xf numFmtId="0" fontId="97" fillId="0" borderId="10" xfId="6" applyBorder="1" applyAlignment="1" applyProtection="1">
      <alignment horizontal="center" vertical="center"/>
      <protection locked="0"/>
    </xf>
    <xf numFmtId="0" fontId="97" fillId="0" borderId="55" xfId="6" applyBorder="1" applyAlignment="1" applyProtection="1">
      <alignment horizontal="center" vertical="center"/>
      <protection locked="0"/>
    </xf>
    <xf numFmtId="0" fontId="97" fillId="0" borderId="5" xfId="6" applyBorder="1" applyAlignment="1" applyProtection="1">
      <alignment horizontal="center"/>
      <protection locked="0"/>
    </xf>
    <xf numFmtId="0" fontId="97" fillId="0" borderId="6" xfId="6" applyBorder="1" applyAlignment="1" applyProtection="1">
      <alignment horizontal="center"/>
      <protection locked="0"/>
    </xf>
    <xf numFmtId="0" fontId="97" fillId="0" borderId="13" xfId="6" applyBorder="1" applyAlignment="1" applyProtection="1">
      <alignment horizontal="center"/>
      <protection locked="0"/>
    </xf>
    <xf numFmtId="0" fontId="97" fillId="0" borderId="6" xfId="6" applyBorder="1" applyAlignment="1" applyProtection="1">
      <alignment horizontal="center" vertical="center" wrapText="1"/>
      <protection locked="0"/>
    </xf>
    <xf numFmtId="0" fontId="97" fillId="0" borderId="11" xfId="6" applyBorder="1" applyAlignment="1" applyProtection="1">
      <alignment horizontal="center" vertical="center" wrapText="1"/>
      <protection locked="0"/>
    </xf>
    <xf numFmtId="0" fontId="97" fillId="0" borderId="13" xfId="6" applyBorder="1" applyAlignment="1" applyProtection="1">
      <alignment horizontal="center" vertical="center"/>
      <protection locked="0"/>
    </xf>
    <xf numFmtId="0" fontId="97" fillId="0" borderId="12" xfId="6" applyBorder="1" applyAlignment="1" applyProtection="1">
      <alignment horizontal="center" vertical="center"/>
      <protection locked="0"/>
    </xf>
    <xf numFmtId="0" fontId="32" fillId="0" borderId="5" xfId="7" applyFont="1" applyBorder="1" applyAlignment="1">
      <alignment horizontal="center" vertical="center" wrapText="1"/>
    </xf>
    <xf numFmtId="0" fontId="32" fillId="0" borderId="6" xfId="7" applyFont="1" applyBorder="1" applyAlignment="1">
      <alignment horizontal="center" vertical="center" wrapText="1"/>
    </xf>
    <xf numFmtId="0" fontId="32" fillId="0" borderId="13" xfId="7" applyFont="1" applyBorder="1" applyAlignment="1">
      <alignment horizontal="center" vertical="center" wrapText="1"/>
    </xf>
    <xf numFmtId="0" fontId="32" fillId="0" borderId="200" xfId="7" applyFont="1" applyBorder="1" applyAlignment="1">
      <alignment horizontal="center" vertical="center" wrapText="1"/>
    </xf>
    <xf numFmtId="0" fontId="32" fillId="0" borderId="163" xfId="7" applyFont="1" applyBorder="1" applyAlignment="1">
      <alignment horizontal="center" vertical="center" wrapText="1"/>
    </xf>
    <xf numFmtId="0" fontId="32" fillId="0" borderId="201" xfId="7" applyFont="1" applyBorder="1" applyAlignment="1">
      <alignment horizontal="center" vertical="center" wrapText="1"/>
    </xf>
    <xf numFmtId="0" fontId="39" fillId="0" borderId="5" xfId="7" applyFont="1" applyBorder="1" applyAlignment="1">
      <alignment horizontal="center" vertical="center" wrapText="1"/>
    </xf>
    <xf numFmtId="0" fontId="39" fillId="0" borderId="13" xfId="7" applyFont="1" applyBorder="1" applyAlignment="1">
      <alignment horizontal="center" vertical="center" wrapText="1"/>
    </xf>
    <xf numFmtId="0" fontId="39" fillId="0" borderId="200" xfId="7" applyFont="1" applyBorder="1" applyAlignment="1">
      <alignment horizontal="center" vertical="center" wrapText="1"/>
    </xf>
    <xf numFmtId="0" fontId="39" fillId="0" borderId="201" xfId="7" applyFont="1" applyBorder="1" applyAlignment="1">
      <alignment horizontal="center" vertical="center" wrapText="1"/>
    </xf>
    <xf numFmtId="0" fontId="84" fillId="0" borderId="0" xfId="6" applyFont="1" applyAlignment="1">
      <alignment horizontal="left" vertical="top" wrapText="1"/>
    </xf>
    <xf numFmtId="0" fontId="26" fillId="12" borderId="0" xfId="7" applyFont="1" applyFill="1" applyAlignment="1">
      <alignment horizontal="left" vertical="center"/>
    </xf>
    <xf numFmtId="0" fontId="25" fillId="0" borderId="8" xfId="2" applyFont="1" applyBorder="1" applyAlignment="1">
      <alignment horizontal="left"/>
    </xf>
    <xf numFmtId="0" fontId="25" fillId="0" borderId="0" xfId="2" applyFont="1" applyAlignment="1">
      <alignment horizontal="left"/>
    </xf>
    <xf numFmtId="0" fontId="25" fillId="0" borderId="9" xfId="2" applyFont="1" applyBorder="1" applyAlignment="1">
      <alignment horizontal="left"/>
    </xf>
    <xf numFmtId="0" fontId="25" fillId="0" borderId="0" xfId="2" applyFont="1" applyAlignment="1">
      <alignment horizontal="center"/>
    </xf>
    <xf numFmtId="0" fontId="25" fillId="0" borderId="9" xfId="2" applyFont="1" applyBorder="1" applyAlignment="1">
      <alignment horizontal="center"/>
    </xf>
    <xf numFmtId="0" fontId="21" fillId="0" borderId="0" xfId="2" applyAlignment="1">
      <alignment horizontal="left" vertical="center" wrapText="1"/>
    </xf>
    <xf numFmtId="0" fontId="21" fillId="0" borderId="11" xfId="2" applyBorder="1" applyAlignment="1">
      <alignment horizontal="left" vertical="center" wrapText="1"/>
    </xf>
    <xf numFmtId="0" fontId="27" fillId="0" borderId="5" xfId="2" applyFont="1" applyBorder="1" applyAlignment="1">
      <alignment horizontal="left"/>
    </xf>
    <xf numFmtId="0" fontId="27" fillId="0" borderId="6" xfId="2" applyFont="1" applyBorder="1" applyAlignment="1">
      <alignment horizontal="left"/>
    </xf>
    <xf numFmtId="0" fontId="27" fillId="0" borderId="13" xfId="2" applyFont="1" applyBorder="1" applyAlignment="1">
      <alignment horizontal="left"/>
    </xf>
    <xf numFmtId="0" fontId="21" fillId="0" borderId="0" xfId="2" applyAlignment="1">
      <alignment horizontal="left"/>
    </xf>
    <xf numFmtId="0" fontId="21" fillId="0" borderId="9" xfId="2" applyBorder="1" applyAlignment="1">
      <alignment horizontal="left"/>
    </xf>
    <xf numFmtId="0" fontId="37" fillId="0" borderId="0" xfId="2" applyFont="1" applyAlignment="1">
      <alignment horizontal="center"/>
    </xf>
    <xf numFmtId="0" fontId="21" fillId="0" borderId="0" xfId="2"/>
    <xf numFmtId="0" fontId="21" fillId="0" borderId="9" xfId="2" applyBorder="1"/>
    <xf numFmtId="0" fontId="37" fillId="0" borderId="11" xfId="2" applyFont="1" applyBorder="1" applyAlignment="1">
      <alignment horizontal="center" vertical="center" wrapText="1"/>
    </xf>
    <xf numFmtId="0" fontId="37" fillId="0" borderId="12" xfId="2" applyFont="1" applyBorder="1" applyAlignment="1">
      <alignment horizontal="center" vertical="center" wrapText="1"/>
    </xf>
    <xf numFmtId="0" fontId="25" fillId="0" borderId="5" xfId="2" applyFont="1" applyBorder="1" applyAlignment="1">
      <alignment horizontal="left"/>
    </xf>
    <xf numFmtId="0" fontId="25" fillId="0" borderId="6" xfId="2" applyFont="1" applyBorder="1" applyAlignment="1">
      <alignment horizontal="left"/>
    </xf>
    <xf numFmtId="0" fontId="25" fillId="0" borderId="13" xfId="2" applyFont="1" applyBorder="1" applyAlignment="1">
      <alignment horizontal="left"/>
    </xf>
    <xf numFmtId="0" fontId="33" fillId="0" borderId="0" xfId="2" applyFont="1" applyAlignment="1">
      <alignment horizontal="center" wrapText="1"/>
    </xf>
    <xf numFmtId="0" fontId="21" fillId="0" borderId="0" xfId="2" applyAlignment="1">
      <alignment horizontal="center" vertical="center" wrapText="1"/>
    </xf>
    <xf numFmtId="0" fontId="25" fillId="0" borderId="5" xfId="2" applyFont="1" applyBorder="1" applyAlignment="1">
      <alignment horizontal="center"/>
    </xf>
    <xf numFmtId="0" fontId="25" fillId="0" borderId="6" xfId="2" applyFont="1" applyBorder="1" applyAlignment="1">
      <alignment horizontal="center"/>
    </xf>
    <xf numFmtId="0" fontId="25" fillId="0" borderId="13" xfId="2" applyFont="1" applyBorder="1" applyAlignment="1">
      <alignment horizontal="center"/>
    </xf>
    <xf numFmtId="0" fontId="37" fillId="0" borderId="0" xfId="2" applyFont="1" applyAlignment="1">
      <alignment horizontal="left"/>
    </xf>
    <xf numFmtId="0" fontId="37" fillId="0" borderId="9" xfId="2" applyFont="1" applyBorder="1" applyAlignment="1">
      <alignment horizontal="left"/>
    </xf>
    <xf numFmtId="0" fontId="11" fillId="0" borderId="0" xfId="0" applyFont="1" applyAlignment="1">
      <alignment horizontal="right" vertical="center"/>
    </xf>
    <xf numFmtId="0" fontId="11" fillId="0" borderId="17" xfId="0" applyFont="1" applyBorder="1" applyAlignment="1">
      <alignment horizontal="center" vertical="center" wrapText="1"/>
    </xf>
    <xf numFmtId="0" fontId="11" fillId="0" borderId="7" xfId="0" applyFont="1" applyBorder="1" applyAlignment="1">
      <alignment horizontal="center" vertical="center" wrapText="1"/>
    </xf>
    <xf numFmtId="0" fontId="11" fillId="0" borderId="11" xfId="0" applyFont="1" applyBorder="1" applyAlignment="1" applyProtection="1">
      <alignment horizontal="center" vertical="center" wrapText="1"/>
      <protection locked="0"/>
    </xf>
    <xf numFmtId="0" fontId="11" fillId="0" borderId="12" xfId="0" applyFont="1" applyBorder="1" applyAlignment="1" applyProtection="1">
      <alignment horizontal="center" vertical="center" wrapText="1"/>
      <protection locked="0"/>
    </xf>
    <xf numFmtId="0" fontId="32" fillId="0" borderId="0" xfId="0" applyFont="1" applyAlignment="1">
      <alignment horizontal="center" vertical="center"/>
    </xf>
    <xf numFmtId="0" fontId="0" fillId="0" borderId="0" xfId="0"/>
    <xf numFmtId="0" fontId="11" fillId="0" borderId="17" xfId="0" applyFont="1" applyBorder="1" applyAlignment="1">
      <alignment horizontal="left" vertical="center" wrapText="1"/>
    </xf>
    <xf numFmtId="0" fontId="11" fillId="0" borderId="18" xfId="0" applyFont="1" applyBorder="1" applyAlignment="1">
      <alignment horizontal="left" vertical="center" wrapText="1"/>
    </xf>
    <xf numFmtId="0" fontId="11" fillId="0" borderId="7" xfId="0" applyFont="1" applyBorder="1" applyAlignment="1">
      <alignment horizontal="left" vertical="center" wrapText="1"/>
    </xf>
    <xf numFmtId="0" fontId="80" fillId="4" borderId="15" xfId="0" applyFont="1" applyFill="1" applyBorder="1" applyAlignment="1" applyProtection="1">
      <alignment horizontal="center"/>
      <protection locked="0"/>
    </xf>
    <xf numFmtId="0" fontId="80" fillId="4" borderId="17" xfId="0" applyFont="1" applyFill="1" applyBorder="1" applyAlignment="1" applyProtection="1">
      <alignment horizontal="left" vertical="top"/>
      <protection locked="0"/>
    </xf>
    <xf numFmtId="0" fontId="80" fillId="4" borderId="18" xfId="0" applyFont="1" applyFill="1" applyBorder="1" applyAlignment="1" applyProtection="1">
      <alignment horizontal="left" vertical="top"/>
      <protection locked="0"/>
    </xf>
    <xf numFmtId="0" fontId="80" fillId="4" borderId="7" xfId="0" applyFont="1" applyFill="1" applyBorder="1" applyAlignment="1" applyProtection="1">
      <alignment horizontal="left" vertical="top"/>
      <protection locked="0"/>
    </xf>
    <xf numFmtId="0" fontId="80" fillId="4" borderId="17" xfId="0" applyFont="1" applyFill="1" applyBorder="1" applyAlignment="1" applyProtection="1">
      <alignment horizontal="center" vertical="center"/>
      <protection locked="0"/>
    </xf>
    <xf numFmtId="0" fontId="80" fillId="4" borderId="18" xfId="0" applyFont="1" applyFill="1" applyBorder="1" applyAlignment="1" applyProtection="1">
      <alignment horizontal="center" vertical="center"/>
      <protection locked="0"/>
    </xf>
    <xf numFmtId="0" fontId="80" fillId="4" borderId="7" xfId="0" applyFont="1" applyFill="1" applyBorder="1" applyAlignment="1" applyProtection="1">
      <alignment horizontal="center" vertical="center"/>
      <protection locked="0"/>
    </xf>
    <xf numFmtId="0" fontId="37" fillId="4" borderId="0" xfId="0" applyFont="1" applyFill="1" applyAlignment="1">
      <alignment horizontal="left"/>
    </xf>
    <xf numFmtId="0" fontId="25" fillId="4" borderId="0" xfId="0" applyFont="1" applyFill="1" applyAlignment="1">
      <alignment horizontal="center" vertical="center"/>
    </xf>
    <xf numFmtId="0" fontId="80" fillId="4" borderId="17" xfId="0" applyFont="1" applyFill="1" applyBorder="1" applyAlignment="1" applyProtection="1">
      <alignment horizontal="left" vertical="top" wrapText="1"/>
      <protection locked="0"/>
    </xf>
    <xf numFmtId="0" fontId="80" fillId="4" borderId="18" xfId="0" applyFont="1" applyFill="1" applyBorder="1" applyAlignment="1" applyProtection="1">
      <alignment horizontal="left" vertical="top" wrapText="1"/>
      <protection locked="0"/>
    </xf>
    <xf numFmtId="0" fontId="80" fillId="4" borderId="7" xfId="0" applyFont="1" applyFill="1" applyBorder="1" applyAlignment="1" applyProtection="1">
      <alignment horizontal="left" vertical="top" wrapText="1"/>
      <protection locked="0"/>
    </xf>
    <xf numFmtId="0" fontId="32" fillId="4" borderId="0" xfId="0" applyFont="1" applyFill="1" applyAlignment="1">
      <alignment horizontal="center" vertical="center"/>
    </xf>
    <xf numFmtId="0" fontId="21" fillId="4" borderId="0" xfId="0" applyFont="1" applyFill="1" applyAlignment="1">
      <alignment horizontal="center" vertical="center" wrapText="1"/>
    </xf>
    <xf numFmtId="14" fontId="80" fillId="4" borderId="15" xfId="0" applyNumberFormat="1" applyFont="1" applyFill="1" applyBorder="1" applyAlignment="1" applyProtection="1">
      <alignment horizontal="left"/>
      <protection locked="0"/>
    </xf>
    <xf numFmtId="0" fontId="15" fillId="4" borderId="6" xfId="0" applyFont="1" applyFill="1" applyBorder="1" applyAlignment="1">
      <alignment horizontal="center"/>
    </xf>
    <xf numFmtId="0" fontId="21" fillId="13" borderId="0" xfId="0" applyFont="1" applyFill="1" applyAlignment="1">
      <alignment horizontal="left" vertical="center" wrapText="1"/>
    </xf>
    <xf numFmtId="0" fontId="68" fillId="0" borderId="0" xfId="0" applyFont="1" applyAlignment="1">
      <alignment horizontal="left" vertical="center" wrapText="1"/>
    </xf>
    <xf numFmtId="0" fontId="27" fillId="0" borderId="5" xfId="0" applyFont="1" applyBorder="1" applyAlignment="1">
      <alignment horizontal="left"/>
    </xf>
    <xf numFmtId="0" fontId="28" fillId="0" borderId="6" xfId="0" applyFont="1" applyBorder="1" applyAlignment="1">
      <alignment horizontal="left"/>
    </xf>
    <xf numFmtId="0" fontId="28" fillId="0" borderId="13" xfId="0" applyFont="1" applyBorder="1" applyAlignment="1">
      <alignment horizontal="left"/>
    </xf>
    <xf numFmtId="0" fontId="27" fillId="0" borderId="8" xfId="0" applyFont="1" applyBorder="1" applyAlignment="1">
      <alignment horizontal="left"/>
    </xf>
    <xf numFmtId="0" fontId="27" fillId="0" borderId="0" xfId="0" applyFont="1" applyAlignment="1">
      <alignment horizontal="left"/>
    </xf>
    <xf numFmtId="0" fontId="27" fillId="0" borderId="9" xfId="0" applyFont="1" applyBorder="1" applyAlignment="1">
      <alignment horizontal="left"/>
    </xf>
    <xf numFmtId="0" fontId="34" fillId="0" borderId="0" xfId="0" applyFont="1" applyAlignment="1">
      <alignment horizontal="center" vertical="center" wrapText="1"/>
    </xf>
    <xf numFmtId="0" fontId="28" fillId="0" borderId="5" xfId="0" applyFont="1" applyBorder="1" applyAlignment="1">
      <alignment horizontal="center"/>
    </xf>
    <xf numFmtId="0" fontId="28" fillId="0" borderId="6" xfId="0" applyFont="1" applyBorder="1" applyAlignment="1">
      <alignment horizontal="center"/>
    </xf>
    <xf numFmtId="0" fontId="28" fillId="0" borderId="13" xfId="0" applyFont="1" applyBorder="1" applyAlignment="1">
      <alignment horizontal="center"/>
    </xf>
    <xf numFmtId="0" fontId="67" fillId="0" borderId="0" xfId="0" applyFont="1" applyAlignment="1">
      <alignment horizontal="left"/>
    </xf>
    <xf numFmtId="0" fontId="67" fillId="0" borderId="9" xfId="0" applyFont="1" applyBorder="1" applyAlignment="1">
      <alignment horizontal="left"/>
    </xf>
    <xf numFmtId="0" fontId="0" fillId="0" borderId="0" xfId="0" applyAlignment="1">
      <alignment horizontal="left"/>
    </xf>
    <xf numFmtId="0" fontId="0" fillId="0" borderId="9" xfId="0" applyBorder="1" applyAlignment="1">
      <alignment horizontal="left"/>
    </xf>
    <xf numFmtId="0" fontId="25" fillId="12" borderId="37" xfId="0" applyFont="1" applyFill="1" applyBorder="1" applyAlignment="1">
      <alignment horizontal="left" vertical="center" wrapText="1"/>
    </xf>
    <xf numFmtId="0" fontId="32" fillId="0" borderId="161" xfId="10" applyFont="1" applyBorder="1" applyAlignment="1">
      <alignment horizontal="center" vertical="center" wrapText="1"/>
    </xf>
    <xf numFmtId="0" fontId="32" fillId="0" borderId="49" xfId="10" applyFont="1" applyBorder="1" applyAlignment="1">
      <alignment horizontal="center" vertical="center" wrapText="1"/>
    </xf>
    <xf numFmtId="0" fontId="32" fillId="0" borderId="171" xfId="10" applyFont="1" applyBorder="1" applyAlignment="1">
      <alignment horizontal="center" vertical="center" wrapText="1"/>
    </xf>
    <xf numFmtId="0" fontId="32" fillId="0" borderId="162" xfId="10" applyFont="1" applyBorder="1" applyAlignment="1">
      <alignment horizontal="center" vertical="center" wrapText="1"/>
    </xf>
    <xf numFmtId="0" fontId="32" fillId="0" borderId="163" xfId="10" applyFont="1" applyBorder="1" applyAlignment="1">
      <alignment horizontal="center" vertical="center" wrapText="1"/>
    </xf>
    <xf numFmtId="0" fontId="32" fillId="0" borderId="172" xfId="10" applyFont="1" applyBorder="1" applyAlignment="1">
      <alignment horizontal="center" vertical="center" wrapText="1"/>
    </xf>
    <xf numFmtId="0" fontId="17" fillId="0" borderId="0" xfId="10" applyFont="1" applyAlignment="1">
      <alignment horizontal="left" vertical="center" indent="1"/>
    </xf>
    <xf numFmtId="0" fontId="32" fillId="12" borderId="0" xfId="10" applyFont="1" applyFill="1" applyAlignment="1">
      <alignment horizontal="left" vertical="center" wrapText="1"/>
    </xf>
    <xf numFmtId="0" fontId="25" fillId="0" borderId="1" xfId="10" applyFont="1" applyBorder="1" applyAlignment="1" applyProtection="1">
      <alignment horizontal="left" vertical="top" wrapText="1"/>
      <protection locked="0"/>
    </xf>
    <xf numFmtId="0" fontId="25" fillId="0" borderId="0" xfId="10" applyFont="1" applyAlignment="1" applyProtection="1">
      <alignment horizontal="left" vertical="top" wrapText="1"/>
      <protection locked="0"/>
    </xf>
    <xf numFmtId="0" fontId="25" fillId="0" borderId="35" xfId="10" applyFont="1" applyBorder="1" applyAlignment="1" applyProtection="1">
      <alignment horizontal="left" vertical="top" wrapText="1"/>
      <protection locked="0"/>
    </xf>
    <xf numFmtId="0" fontId="25" fillId="0" borderId="36" xfId="10" applyFont="1" applyBorder="1" applyAlignment="1" applyProtection="1">
      <alignment horizontal="left" vertical="top" wrapText="1"/>
      <protection locked="0"/>
    </xf>
    <xf numFmtId="0" fontId="25" fillId="0" borderId="37" xfId="10" applyFont="1" applyBorder="1" applyAlignment="1" applyProtection="1">
      <alignment horizontal="left" vertical="top" wrapText="1"/>
      <protection locked="0"/>
    </xf>
    <xf numFmtId="0" fontId="25" fillId="0" borderId="38" xfId="10" applyFont="1" applyBorder="1" applyAlignment="1" applyProtection="1">
      <alignment horizontal="left" vertical="top" wrapText="1"/>
      <protection locked="0"/>
    </xf>
    <xf numFmtId="0" fontId="11" fillId="0" borderId="0" xfId="10" applyAlignment="1">
      <alignment horizontal="center"/>
    </xf>
    <xf numFmtId="0" fontId="17" fillId="12" borderId="0" xfId="10" applyFont="1" applyFill="1" applyAlignment="1">
      <alignment horizontal="left" vertical="center" wrapText="1"/>
    </xf>
    <xf numFmtId="0" fontId="36" fillId="2" borderId="72" xfId="10" applyFont="1" applyFill="1" applyBorder="1" applyAlignment="1">
      <alignment horizontal="center" vertical="center"/>
    </xf>
    <xf numFmtId="0" fontId="36" fillId="2" borderId="126" xfId="10" applyFont="1" applyFill="1" applyBorder="1" applyAlignment="1">
      <alignment horizontal="center" vertical="center"/>
    </xf>
    <xf numFmtId="0" fontId="36" fillId="2" borderId="73" xfId="10" applyFont="1" applyFill="1" applyBorder="1" applyAlignment="1">
      <alignment horizontal="center" vertical="center"/>
    </xf>
    <xf numFmtId="0" fontId="32" fillId="0" borderId="1" xfId="10" applyFont="1" applyBorder="1" applyAlignment="1" applyProtection="1">
      <alignment horizontal="center" vertical="center"/>
      <protection locked="0"/>
    </xf>
    <xf numFmtId="0" fontId="32" fillId="0" borderId="0" xfId="10" applyFont="1" applyAlignment="1" applyProtection="1">
      <alignment horizontal="center" vertical="center"/>
      <protection locked="0"/>
    </xf>
    <xf numFmtId="0" fontId="32" fillId="0" borderId="35" xfId="10" applyFont="1" applyBorder="1" applyAlignment="1" applyProtection="1">
      <alignment horizontal="center" vertical="center"/>
      <protection locked="0"/>
    </xf>
    <xf numFmtId="0" fontId="10" fillId="0" borderId="1" xfId="11" applyBorder="1" applyAlignment="1" applyProtection="1">
      <alignment horizontal="center"/>
      <protection locked="0"/>
    </xf>
    <xf numFmtId="0" fontId="10" fillId="0" borderId="0" xfId="11" applyAlignment="1" applyProtection="1">
      <alignment horizontal="center"/>
      <protection locked="0"/>
    </xf>
    <xf numFmtId="0" fontId="10" fillId="0" borderId="35" xfId="11" applyBorder="1" applyAlignment="1" applyProtection="1">
      <alignment horizontal="center"/>
      <protection locked="0"/>
    </xf>
    <xf numFmtId="0" fontId="17" fillId="12" borderId="37" xfId="0" applyFont="1" applyFill="1" applyBorder="1" applyAlignment="1">
      <alignment horizontal="left" vertical="center" wrapText="1"/>
    </xf>
    <xf numFmtId="0" fontId="138" fillId="16" borderId="128" xfId="12" applyFont="1" applyFill="1" applyBorder="1" applyAlignment="1">
      <alignment horizontal="center" vertical="center" wrapText="1"/>
    </xf>
    <xf numFmtId="0" fontId="138" fillId="16" borderId="126" xfId="12" applyFont="1" applyFill="1" applyBorder="1" applyAlignment="1">
      <alignment horizontal="center" vertical="center" wrapText="1"/>
    </xf>
    <xf numFmtId="0" fontId="101" fillId="16" borderId="75" xfId="12" applyFont="1" applyFill="1" applyBorder="1" applyAlignment="1">
      <alignment horizontal="center"/>
    </xf>
    <xf numFmtId="0" fontId="101" fillId="16" borderId="154" xfId="12" applyFont="1" applyFill="1" applyBorder="1" applyAlignment="1">
      <alignment horizontal="center"/>
    </xf>
    <xf numFmtId="0" fontId="101" fillId="16" borderId="76" xfId="12" applyFont="1" applyFill="1" applyBorder="1" applyAlignment="1">
      <alignment horizontal="center"/>
    </xf>
    <xf numFmtId="0" fontId="0" fillId="0" borderId="78" xfId="0" applyBorder="1" applyAlignment="1">
      <alignment horizontal="center" vertical="center" wrapText="1"/>
    </xf>
    <xf numFmtId="0" fontId="0" fillId="0" borderId="2" xfId="0" applyBorder="1" applyAlignment="1">
      <alignment horizontal="center" vertical="center" wrapText="1"/>
    </xf>
    <xf numFmtId="0" fontId="0" fillId="0" borderId="31" xfId="0" applyBorder="1" applyAlignment="1">
      <alignment horizontal="center" vertical="center" wrapText="1"/>
    </xf>
    <xf numFmtId="0" fontId="0" fillId="0" borderId="51" xfId="0"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101" fillId="16" borderId="2" xfId="12" applyFont="1" applyFill="1" applyBorder="1" applyAlignment="1">
      <alignment horizontal="center"/>
    </xf>
    <xf numFmtId="0" fontId="101" fillId="16" borderId="51" xfId="12" applyFont="1" applyFill="1" applyBorder="1" applyAlignment="1">
      <alignment horizontal="center"/>
    </xf>
    <xf numFmtId="0" fontId="101" fillId="16" borderId="32" xfId="12" applyFont="1" applyFill="1" applyBorder="1" applyAlignment="1">
      <alignment horizontal="center"/>
    </xf>
    <xf numFmtId="0" fontId="101" fillId="16" borderId="72" xfId="12" applyFont="1" applyFill="1" applyBorder="1" applyAlignment="1">
      <alignment horizontal="center"/>
    </xf>
    <xf numFmtId="0" fontId="101" fillId="16" borderId="73" xfId="12" applyFont="1" applyFill="1" applyBorder="1" applyAlignment="1">
      <alignment horizontal="center"/>
    </xf>
    <xf numFmtId="0" fontId="11" fillId="0" borderId="0" xfId="0" applyFont="1" applyAlignment="1">
      <alignment horizontal="center" vertical="center" wrapText="1"/>
    </xf>
    <xf numFmtId="0" fontId="17" fillId="0" borderId="0" xfId="0" applyFont="1" applyAlignment="1">
      <alignment horizontal="left" vertical="center" wrapText="1"/>
    </xf>
    <xf numFmtId="0" fontId="101" fillId="16" borderId="153" xfId="12" applyFont="1" applyFill="1" applyBorder="1" applyAlignment="1">
      <alignment horizontal="center"/>
    </xf>
    <xf numFmtId="0" fontId="101" fillId="16" borderId="166" xfId="12" applyFont="1" applyFill="1" applyBorder="1" applyAlignment="1">
      <alignment horizontal="center"/>
    </xf>
    <xf numFmtId="0" fontId="11" fillId="0" borderId="154" xfId="12" applyBorder="1" applyAlignment="1">
      <alignment horizontal="center"/>
    </xf>
    <xf numFmtId="0" fontId="11" fillId="0" borderId="76" xfId="12" applyBorder="1" applyAlignment="1">
      <alignment horizontal="center"/>
    </xf>
    <xf numFmtId="0" fontId="101" fillId="16" borderId="78" xfId="12" applyFont="1" applyFill="1" applyBorder="1" applyAlignment="1">
      <alignment horizontal="center"/>
    </xf>
    <xf numFmtId="0" fontId="70" fillId="4" borderId="0" xfId="0" applyFont="1" applyFill="1" applyAlignment="1">
      <alignment horizontal="center" vertical="center" wrapText="1"/>
    </xf>
    <xf numFmtId="0" fontId="0" fillId="4" borderId="0" xfId="0" applyFill="1" applyAlignment="1">
      <alignment horizontal="right" vertical="top"/>
    </xf>
    <xf numFmtId="0" fontId="11" fillId="4" borderId="0" xfId="0" applyFont="1" applyFill="1" applyAlignment="1">
      <alignment horizontal="right"/>
    </xf>
    <xf numFmtId="0" fontId="0" fillId="4" borderId="0" xfId="0" applyFill="1" applyAlignment="1">
      <alignment horizontal="right"/>
    </xf>
    <xf numFmtId="0" fontId="0" fillId="4" borderId="35" xfId="0" applyFill="1" applyBorder="1" applyAlignment="1">
      <alignment horizontal="right"/>
    </xf>
    <xf numFmtId="0" fontId="0" fillId="4" borderId="72" xfId="0" applyFill="1" applyBorder="1" applyAlignment="1" applyProtection="1">
      <alignment horizontal="center"/>
      <protection locked="0"/>
    </xf>
    <xf numFmtId="0" fontId="0" fillId="4" borderId="126" xfId="0" applyFill="1" applyBorder="1" applyAlignment="1" applyProtection="1">
      <alignment horizontal="center"/>
      <protection locked="0"/>
    </xf>
    <xf numFmtId="0" fontId="0" fillId="4" borderId="73" xfId="0" applyFill="1" applyBorder="1" applyAlignment="1" applyProtection="1">
      <alignment horizontal="center"/>
      <protection locked="0"/>
    </xf>
    <xf numFmtId="0" fontId="12" fillId="4" borderId="0" xfId="0" applyFont="1" applyFill="1" applyAlignment="1">
      <alignment horizontal="right"/>
    </xf>
    <xf numFmtId="0" fontId="12" fillId="4" borderId="35" xfId="0" applyFont="1" applyFill="1" applyBorder="1" applyAlignment="1">
      <alignment horizontal="right"/>
    </xf>
    <xf numFmtId="0" fontId="18" fillId="0" borderId="0" xfId="0" applyFont="1" applyAlignment="1">
      <alignment horizontal="center" vertical="center" wrapText="1"/>
    </xf>
    <xf numFmtId="0" fontId="18" fillId="0" borderId="15" xfId="0" applyFont="1" applyBorder="1" applyAlignment="1" applyProtection="1">
      <alignment horizontal="center"/>
      <protection locked="0"/>
    </xf>
    <xf numFmtId="0" fontId="17" fillId="12" borderId="0" xfId="0" applyFont="1" applyFill="1" applyAlignment="1">
      <alignment horizontal="center" vertical="center" wrapText="1"/>
    </xf>
    <xf numFmtId="0" fontId="18" fillId="0" borderId="2" xfId="0" applyFont="1" applyBorder="1" applyAlignment="1">
      <alignment horizontal="center" vertical="center"/>
    </xf>
    <xf numFmtId="168" fontId="18" fillId="0" borderId="2" xfId="0" applyNumberFormat="1" applyFont="1" applyBorder="1" applyAlignment="1">
      <alignment horizontal="center" vertical="center"/>
    </xf>
    <xf numFmtId="0" fontId="18" fillId="0" borderId="2" xfId="0" applyFont="1" applyBorder="1" applyAlignment="1" applyProtection="1">
      <alignment horizontal="center" vertical="center"/>
      <protection locked="0"/>
    </xf>
    <xf numFmtId="0" fontId="34" fillId="0" borderId="0" xfId="0" applyFont="1" applyAlignment="1">
      <alignment horizontal="center"/>
    </xf>
    <xf numFmtId="0" fontId="31" fillId="0" borderId="0" xfId="0" applyFont="1" applyAlignment="1" applyProtection="1">
      <alignment horizontal="center" vertical="center"/>
      <protection locked="0"/>
    </xf>
    <xf numFmtId="0" fontId="18" fillId="0" borderId="76" xfId="0" applyFont="1" applyBorder="1" applyAlignment="1">
      <alignment horizontal="center" vertical="center" wrapText="1"/>
    </xf>
    <xf numFmtId="0" fontId="18" fillId="0" borderId="33" xfId="0" applyFont="1" applyBorder="1" applyAlignment="1">
      <alignment horizontal="center" vertical="center" wrapText="1"/>
    </xf>
    <xf numFmtId="0" fontId="21" fillId="0" borderId="0" xfId="0" applyFont="1" applyAlignment="1" applyProtection="1">
      <alignment horizontal="center" vertical="center"/>
      <protection locked="0"/>
    </xf>
    <xf numFmtId="0" fontId="18" fillId="0" borderId="75" xfId="0" applyFont="1" applyBorder="1" applyAlignment="1">
      <alignment horizontal="center" vertical="center" wrapText="1"/>
    </xf>
    <xf numFmtId="0" fontId="18" fillId="0" borderId="154" xfId="0" applyFont="1" applyBorder="1" applyAlignment="1">
      <alignment horizontal="center" vertical="center" wrapText="1"/>
    </xf>
    <xf numFmtId="0" fontId="18" fillId="0" borderId="51" xfId="0" applyFont="1" applyBorder="1" applyAlignment="1">
      <alignment horizontal="center" vertical="center" wrapText="1"/>
    </xf>
    <xf numFmtId="0" fontId="18" fillId="0" borderId="32" xfId="0" applyFont="1" applyBorder="1" applyAlignment="1">
      <alignment horizontal="center" vertical="center" wrapText="1"/>
    </xf>
    <xf numFmtId="0" fontId="18" fillId="0" borderId="54"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78" xfId="0" applyFont="1" applyBorder="1" applyAlignment="1">
      <alignment horizontal="center" vertical="center" wrapText="1"/>
    </xf>
    <xf numFmtId="0" fontId="58" fillId="0" borderId="0" xfId="0" applyFont="1" applyAlignment="1">
      <alignment horizontal="center" vertical="center"/>
    </xf>
    <xf numFmtId="0" fontId="18" fillId="0" borderId="0" xfId="0" applyFont="1" applyAlignment="1" applyProtection="1">
      <alignment horizontal="center"/>
      <protection locked="0"/>
    </xf>
    <xf numFmtId="0" fontId="15" fillId="0" borderId="189" xfId="0" applyFont="1" applyBorder="1" applyAlignment="1">
      <alignment horizontal="center"/>
    </xf>
    <xf numFmtId="0" fontId="15" fillId="0" borderId="190" xfId="0" applyFont="1" applyBorder="1" applyAlignment="1">
      <alignment horizontal="center"/>
    </xf>
    <xf numFmtId="0" fontId="15" fillId="0" borderId="191" xfId="0" applyFont="1" applyBorder="1" applyAlignment="1">
      <alignment horizontal="center" vertical="center" wrapText="1"/>
    </xf>
    <xf numFmtId="0" fontId="15" fillId="0" borderId="192" xfId="0" applyFont="1" applyBorder="1" applyAlignment="1">
      <alignment horizontal="center" vertical="center" wrapText="1"/>
    </xf>
    <xf numFmtId="0" fontId="21" fillId="0" borderId="191" xfId="0" applyFont="1" applyBorder="1" applyAlignment="1">
      <alignment horizontal="center" vertical="center" wrapText="1"/>
    </xf>
    <xf numFmtId="0" fontId="21" fillId="0" borderId="192" xfId="0" applyFont="1" applyBorder="1" applyAlignment="1">
      <alignment horizontal="center" vertical="center" wrapText="1"/>
    </xf>
    <xf numFmtId="0" fontId="28" fillId="0" borderId="2"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2" xfId="0" applyFont="1" applyBorder="1" applyAlignment="1" applyProtection="1">
      <alignment horizontal="center" vertical="center" wrapText="1"/>
      <protection locked="0"/>
    </xf>
    <xf numFmtId="0" fontId="21" fillId="0" borderId="8" xfId="0" applyFont="1" applyBorder="1" applyAlignment="1">
      <alignment horizontal="center" vertical="center" wrapText="1"/>
    </xf>
    <xf numFmtId="0" fontId="72" fillId="0" borderId="0" xfId="0" applyFont="1" applyAlignment="1" applyProtection="1">
      <alignment horizontal="right"/>
      <protection locked="0"/>
    </xf>
    <xf numFmtId="0" fontId="42" fillId="0" borderId="202" xfId="0" applyFont="1" applyBorder="1" applyAlignment="1">
      <alignment horizontal="center" vertical="center"/>
    </xf>
    <xf numFmtId="0" fontId="42" fillId="0" borderId="203" xfId="0" applyFont="1" applyBorder="1" applyAlignment="1">
      <alignment horizontal="center" vertical="center"/>
    </xf>
    <xf numFmtId="0" fontId="26" fillId="0" borderId="85" xfId="0" applyFont="1" applyBorder="1" applyAlignment="1">
      <alignment horizontal="center" vertical="center"/>
    </xf>
    <xf numFmtId="0" fontId="26" fillId="0" borderId="193" xfId="0" applyFont="1" applyBorder="1" applyAlignment="1">
      <alignment horizontal="center" vertical="center"/>
    </xf>
    <xf numFmtId="0" fontId="26" fillId="9" borderId="60" xfId="0" applyFont="1" applyFill="1" applyBorder="1" applyAlignment="1">
      <alignment horizontal="center" vertical="center"/>
    </xf>
    <xf numFmtId="0" fontId="26" fillId="9" borderId="61" xfId="0" applyFont="1" applyFill="1" applyBorder="1" applyAlignment="1">
      <alignment horizontal="center" vertical="center"/>
    </xf>
    <xf numFmtId="0" fontId="26" fillId="0" borderId="60" xfId="0" applyFont="1" applyBorder="1" applyAlignment="1">
      <alignment horizontal="center" vertical="center"/>
    </xf>
    <xf numFmtId="0" fontId="26" fillId="0" borderId="61" xfId="0" applyFont="1" applyBorder="1" applyAlignment="1">
      <alignment horizontal="center" vertical="center"/>
    </xf>
    <xf numFmtId="0" fontId="26" fillId="7" borderId="124" xfId="0" applyFont="1" applyFill="1" applyBorder="1" applyAlignment="1">
      <alignment horizontal="center" vertical="center"/>
    </xf>
    <xf numFmtId="0" fontId="26" fillId="7" borderId="125" xfId="0" applyFont="1" applyFill="1" applyBorder="1" applyAlignment="1">
      <alignment horizontal="center" vertical="center"/>
    </xf>
    <xf numFmtId="0" fontId="26" fillId="0" borderId="204" xfId="0" applyFont="1" applyBorder="1" applyAlignment="1">
      <alignment horizontal="center" vertical="center"/>
    </xf>
    <xf numFmtId="0" fontId="26" fillId="0" borderId="205" xfId="0" applyFont="1" applyBorder="1" applyAlignment="1">
      <alignment horizontal="center" vertical="center"/>
    </xf>
    <xf numFmtId="0" fontId="26" fillId="7" borderId="60" xfId="0" applyFont="1" applyFill="1" applyBorder="1" applyAlignment="1">
      <alignment horizontal="center" vertical="center"/>
    </xf>
    <xf numFmtId="0" fontId="26" fillId="7" borderId="61" xfId="0" applyFont="1" applyFill="1" applyBorder="1" applyAlignment="1">
      <alignment horizontal="center" vertical="center"/>
    </xf>
    <xf numFmtId="0" fontId="26" fillId="7" borderId="204" xfId="0" applyFont="1" applyFill="1" applyBorder="1" applyAlignment="1">
      <alignment horizontal="center" vertical="center" wrapText="1"/>
    </xf>
    <xf numFmtId="0" fontId="26" fillId="7" borderId="205" xfId="0" applyFont="1" applyFill="1" applyBorder="1" applyAlignment="1">
      <alignment horizontal="center" vertical="center" wrapText="1"/>
    </xf>
    <xf numFmtId="0" fontId="26" fillId="0" borderId="124" xfId="0" applyFont="1" applyBorder="1" applyAlignment="1">
      <alignment horizontal="center" vertical="center"/>
    </xf>
    <xf numFmtId="0" fontId="26" fillId="0" borderId="125" xfId="0" applyFont="1" applyBorder="1" applyAlignment="1">
      <alignment horizontal="center" vertical="center"/>
    </xf>
    <xf numFmtId="0" fontId="26" fillId="7" borderId="204" xfId="0" applyFont="1" applyFill="1" applyBorder="1" applyAlignment="1">
      <alignment horizontal="center" vertical="center"/>
    </xf>
    <xf numFmtId="0" fontId="26" fillId="7" borderId="205" xfId="0" applyFont="1" applyFill="1" applyBorder="1" applyAlignment="1">
      <alignment horizontal="center" vertical="center"/>
    </xf>
    <xf numFmtId="0" fontId="26" fillId="7" borderId="206" xfId="0" applyFont="1" applyFill="1" applyBorder="1" applyAlignment="1">
      <alignment horizontal="center" vertical="center"/>
    </xf>
    <xf numFmtId="0" fontId="26" fillId="7" borderId="203" xfId="0" applyFont="1" applyFill="1" applyBorder="1" applyAlignment="1">
      <alignment horizontal="center" vertical="center"/>
    </xf>
    <xf numFmtId="0" fontId="26" fillId="0" borderId="194" xfId="0" applyFont="1" applyBorder="1" applyAlignment="1">
      <alignment horizontal="center" vertical="center"/>
    </xf>
    <xf numFmtId="0" fontId="26" fillId="0" borderId="74" xfId="0" applyFont="1" applyBorder="1" applyAlignment="1">
      <alignment horizontal="center" vertical="center"/>
    </xf>
    <xf numFmtId="0" fontId="26" fillId="0" borderId="207" xfId="0" applyFont="1" applyBorder="1" applyAlignment="1">
      <alignment horizontal="center" vertical="center"/>
    </xf>
    <xf numFmtId="0" fontId="26" fillId="0" borderId="208" xfId="0" applyFont="1" applyBorder="1" applyAlignment="1">
      <alignment horizontal="center" vertical="center"/>
    </xf>
    <xf numFmtId="0" fontId="26" fillId="7" borderId="194" xfId="0" applyFont="1" applyFill="1" applyBorder="1" applyAlignment="1">
      <alignment horizontal="center" vertical="center"/>
    </xf>
    <xf numFmtId="0" fontId="26" fillId="7" borderId="74" xfId="0" applyFont="1" applyFill="1" applyBorder="1" applyAlignment="1">
      <alignment horizontal="center" vertical="center"/>
    </xf>
    <xf numFmtId="0" fontId="23" fillId="0" borderId="95" xfId="0" applyFont="1" applyBorder="1" applyAlignment="1">
      <alignment horizontal="center" vertical="center"/>
    </xf>
    <xf numFmtId="0" fontId="23" fillId="0" borderId="96" xfId="0" applyFont="1" applyBorder="1" applyAlignment="1">
      <alignment horizontal="center" vertical="center"/>
    </xf>
    <xf numFmtId="0" fontId="23" fillId="0" borderId="60" xfId="0" applyFont="1" applyBorder="1" applyAlignment="1">
      <alignment horizontal="center" vertical="center"/>
    </xf>
    <xf numFmtId="0" fontId="23" fillId="0" borderId="61" xfId="0" applyFont="1" applyBorder="1" applyAlignment="1">
      <alignment horizontal="center" vertical="center"/>
    </xf>
    <xf numFmtId="0" fontId="23" fillId="7" borderId="60" xfId="0" applyFont="1" applyFill="1" applyBorder="1" applyAlignment="1">
      <alignment horizontal="center" vertical="center"/>
    </xf>
    <xf numFmtId="0" fontId="23" fillId="7" borderId="61" xfId="0" applyFont="1" applyFill="1" applyBorder="1" applyAlignment="1">
      <alignment horizontal="center" vertical="center"/>
    </xf>
    <xf numFmtId="0" fontId="30" fillId="16" borderId="2" xfId="12" applyFont="1" applyFill="1" applyBorder="1" applyAlignment="1" applyProtection="1">
      <alignment horizontal="center" vertical="top" wrapText="1"/>
      <protection locked="0"/>
    </xf>
    <xf numFmtId="0" fontId="18" fillId="0" borderId="2" xfId="12" applyFont="1" applyBorder="1" applyAlignment="1" applyProtection="1">
      <alignment horizontal="center" vertical="center" wrapText="1"/>
      <protection locked="0"/>
    </xf>
    <xf numFmtId="0" fontId="11" fillId="0" borderId="2" xfId="12" applyBorder="1" applyAlignment="1" applyProtection="1">
      <alignment horizontal="center" vertical="center" wrapText="1"/>
      <protection locked="0"/>
    </xf>
    <xf numFmtId="0" fontId="30" fillId="0" borderId="0" xfId="12" applyFont="1" applyAlignment="1" applyProtection="1">
      <alignment horizontal="right" vertical="center"/>
      <protection locked="0"/>
    </xf>
    <xf numFmtId="0" fontId="32" fillId="16" borderId="215" xfId="12" applyFont="1" applyFill="1" applyBorder="1" applyAlignment="1" applyProtection="1">
      <alignment horizontal="center" vertical="center" wrapText="1"/>
      <protection locked="0"/>
    </xf>
    <xf numFmtId="0" fontId="32" fillId="16" borderId="214" xfId="12" applyFont="1" applyFill="1" applyBorder="1" applyAlignment="1" applyProtection="1">
      <alignment horizontal="center" vertical="center" wrapText="1"/>
      <protection locked="0"/>
    </xf>
    <xf numFmtId="0" fontId="32" fillId="16" borderId="218" xfId="12" applyFont="1" applyFill="1" applyBorder="1" applyAlignment="1" applyProtection="1">
      <alignment horizontal="center" vertical="center" wrapText="1"/>
      <protection locked="0"/>
    </xf>
    <xf numFmtId="0" fontId="30" fillId="0" borderId="2" xfId="12" applyFont="1" applyBorder="1" applyAlignment="1" applyProtection="1">
      <alignment horizontal="left" vertical="center" wrapText="1"/>
      <protection locked="0"/>
    </xf>
    <xf numFmtId="0" fontId="30" fillId="0" borderId="17" xfId="12" applyFont="1" applyBorder="1" applyAlignment="1" applyProtection="1">
      <alignment horizontal="left" vertical="center" wrapText="1"/>
      <protection locked="0"/>
    </xf>
    <xf numFmtId="0" fontId="30" fillId="0" borderId="18" xfId="12" applyFont="1" applyBorder="1" applyAlignment="1" applyProtection="1">
      <alignment horizontal="left" vertical="center" wrapText="1"/>
      <protection locked="0"/>
    </xf>
    <xf numFmtId="0" fontId="30" fillId="0" borderId="7" xfId="12" applyFont="1" applyBorder="1" applyAlignment="1" applyProtection="1">
      <alignment horizontal="left" vertical="center" wrapText="1"/>
      <protection locked="0"/>
    </xf>
    <xf numFmtId="0" fontId="30" fillId="0" borderId="5" xfId="12" applyFont="1" applyBorder="1" applyAlignment="1" applyProtection="1">
      <alignment horizontal="left" vertical="center" wrapText="1"/>
      <protection locked="0"/>
    </xf>
    <xf numFmtId="0" fontId="30" fillId="0" borderId="13" xfId="12" applyFont="1" applyBorder="1" applyAlignment="1" applyProtection="1">
      <alignment horizontal="left" vertical="center" wrapText="1"/>
      <protection locked="0"/>
    </xf>
    <xf numFmtId="0" fontId="30" fillId="0" borderId="10" xfId="12" applyFont="1" applyBorder="1" applyAlignment="1" applyProtection="1">
      <alignment horizontal="left" vertical="center" wrapText="1"/>
      <protection locked="0"/>
    </xf>
    <xf numFmtId="0" fontId="30" fillId="0" borderId="12" xfId="12" applyFont="1" applyBorder="1" applyAlignment="1" applyProtection="1">
      <alignment horizontal="left" vertical="center" wrapText="1"/>
      <protection locked="0"/>
    </xf>
    <xf numFmtId="0" fontId="30" fillId="0" borderId="2" xfId="12" applyFont="1" applyBorder="1" applyAlignment="1" applyProtection="1">
      <alignment horizontal="center" vertical="center" wrapText="1"/>
      <protection locked="0"/>
    </xf>
    <xf numFmtId="0" fontId="30" fillId="0" borderId="8" xfId="12" applyFont="1" applyBorder="1" applyAlignment="1" applyProtection="1">
      <alignment horizontal="left" vertical="center" wrapText="1"/>
      <protection locked="0"/>
    </xf>
    <xf numFmtId="0" fontId="30" fillId="0" borderId="0" xfId="12" applyFont="1" applyAlignment="1" applyProtection="1">
      <alignment horizontal="left" vertical="center" wrapText="1"/>
      <protection locked="0"/>
    </xf>
    <xf numFmtId="0" fontId="30" fillId="0" borderId="9" xfId="12" applyFont="1" applyBorder="1" applyAlignment="1" applyProtection="1">
      <alignment horizontal="left" vertical="center" wrapText="1"/>
      <protection locked="0"/>
    </xf>
    <xf numFmtId="0" fontId="15" fillId="12" borderId="0" xfId="12" applyFont="1" applyFill="1" applyAlignment="1">
      <alignment horizontal="left" vertical="center"/>
    </xf>
    <xf numFmtId="0" fontId="15" fillId="12" borderId="0" xfId="12" applyFont="1" applyFill="1" applyAlignment="1">
      <alignment horizontal="left" vertical="center" wrapText="1"/>
    </xf>
    <xf numFmtId="0" fontId="30" fillId="0" borderId="200" xfId="12" applyFont="1" applyBorder="1" applyAlignment="1" applyProtection="1">
      <alignment horizontal="left" vertical="center" wrapText="1"/>
      <protection locked="0"/>
    </xf>
    <xf numFmtId="0" fontId="30" fillId="0" borderId="163" xfId="12" applyFont="1" applyBorder="1" applyAlignment="1" applyProtection="1">
      <alignment horizontal="left" vertical="center" wrapText="1"/>
      <protection locked="0"/>
    </xf>
    <xf numFmtId="0" fontId="30" fillId="0" borderId="201" xfId="12" applyFont="1" applyBorder="1" applyAlignment="1" applyProtection="1">
      <alignment horizontal="left" vertical="center" wrapText="1"/>
      <protection locked="0"/>
    </xf>
    <xf numFmtId="0" fontId="30" fillId="0" borderId="6" xfId="12" applyFont="1" applyBorder="1" applyAlignment="1" applyProtection="1">
      <alignment horizontal="left" vertical="center" wrapText="1"/>
      <protection locked="0"/>
    </xf>
    <xf numFmtId="0" fontId="30" fillId="0" borderId="11" xfId="12" applyFont="1" applyBorder="1" applyAlignment="1" applyProtection="1">
      <alignment horizontal="left" vertical="center" wrapText="1"/>
      <protection locked="0"/>
    </xf>
    <xf numFmtId="0" fontId="31" fillId="0" borderId="10" xfId="12" applyFont="1" applyBorder="1" applyAlignment="1" applyProtection="1">
      <alignment horizontal="left" vertical="center" wrapText="1"/>
      <protection locked="0"/>
    </xf>
    <xf numFmtId="0" fontId="31" fillId="0" borderId="11" xfId="12" applyFont="1" applyBorder="1" applyAlignment="1" applyProtection="1">
      <alignment horizontal="left" vertical="center" wrapText="1"/>
      <protection locked="0"/>
    </xf>
    <xf numFmtId="0" fontId="32" fillId="16" borderId="217" xfId="12" applyFont="1" applyFill="1" applyBorder="1" applyAlignment="1" applyProtection="1">
      <alignment horizontal="left" vertical="center" wrapText="1"/>
      <protection locked="0"/>
    </xf>
    <xf numFmtId="0" fontId="30" fillId="0" borderId="0" xfId="12" applyFont="1" applyAlignment="1" applyProtection="1">
      <alignment horizontal="center" vertical="center" wrapText="1"/>
      <protection locked="0"/>
    </xf>
    <xf numFmtId="0" fontId="30" fillId="0" borderId="9" xfId="12" applyFont="1" applyBorder="1" applyAlignment="1" applyProtection="1">
      <alignment horizontal="center" vertical="center" wrapText="1"/>
      <protection locked="0"/>
    </xf>
    <xf numFmtId="0" fontId="32" fillId="0" borderId="8" xfId="12" applyFont="1" applyBorder="1" applyAlignment="1" applyProtection="1">
      <alignment horizontal="left" vertical="center"/>
      <protection locked="0"/>
    </xf>
    <xf numFmtId="0" fontId="32" fillId="0" borderId="0" xfId="12" applyFont="1" applyAlignment="1" applyProtection="1">
      <alignment horizontal="left" vertical="center"/>
      <protection locked="0"/>
    </xf>
    <xf numFmtId="0" fontId="32" fillId="0" borderId="9" xfId="12" applyFont="1" applyBorder="1" applyAlignment="1" applyProtection="1">
      <alignment horizontal="left" vertical="center"/>
      <protection locked="0"/>
    </xf>
    <xf numFmtId="0" fontId="31" fillId="12" borderId="0" xfId="12" applyFont="1" applyFill="1" applyAlignment="1">
      <alignment horizontal="left" vertical="center" wrapText="1"/>
    </xf>
    <xf numFmtId="0" fontId="33" fillId="16" borderId="5" xfId="12" applyFont="1" applyFill="1" applyBorder="1" applyAlignment="1" applyProtection="1">
      <alignment horizontal="center" vertical="center" wrapText="1"/>
      <protection locked="0"/>
    </xf>
    <xf numFmtId="0" fontId="33" fillId="16" borderId="6" xfId="12" applyFont="1" applyFill="1" applyBorder="1" applyAlignment="1" applyProtection="1">
      <alignment horizontal="center" vertical="center" wrapText="1"/>
      <protection locked="0"/>
    </xf>
    <xf numFmtId="0" fontId="33" fillId="16" borderId="13" xfId="12" applyFont="1" applyFill="1" applyBorder="1" applyAlignment="1" applyProtection="1">
      <alignment horizontal="center" vertical="center" wrapText="1"/>
      <protection locked="0"/>
    </xf>
    <xf numFmtId="0" fontId="33" fillId="16" borderId="10" xfId="12" applyFont="1" applyFill="1" applyBorder="1" applyAlignment="1" applyProtection="1">
      <alignment horizontal="center" vertical="center" wrapText="1"/>
      <protection locked="0"/>
    </xf>
    <xf numFmtId="0" fontId="33" fillId="16" borderId="11" xfId="12" applyFont="1" applyFill="1" applyBorder="1" applyAlignment="1" applyProtection="1">
      <alignment horizontal="center" vertical="center" wrapText="1"/>
      <protection locked="0"/>
    </xf>
    <xf numFmtId="0" fontId="33" fillId="16" borderId="12" xfId="12" applyFont="1" applyFill="1" applyBorder="1" applyAlignment="1" applyProtection="1">
      <alignment horizontal="center" vertical="center" wrapText="1"/>
      <protection locked="0"/>
    </xf>
    <xf numFmtId="0" fontId="123" fillId="0" borderId="2" xfId="12" applyFont="1" applyBorder="1" applyAlignment="1" applyProtection="1">
      <alignment horizontal="center" vertical="center" wrapText="1"/>
      <protection locked="0"/>
    </xf>
    <xf numFmtId="0" fontId="30" fillId="0" borderId="8" xfId="12" applyFont="1" applyBorder="1" applyAlignment="1" applyProtection="1">
      <alignment horizontal="left" vertical="center"/>
      <protection locked="0"/>
    </xf>
    <xf numFmtId="0" fontId="30" fillId="0" borderId="0" xfId="12" applyFont="1" applyAlignment="1" applyProtection="1">
      <alignment horizontal="left" vertical="center"/>
      <protection locked="0"/>
    </xf>
    <xf numFmtId="0" fontId="30" fillId="0" borderId="9" xfId="12" applyFont="1" applyBorder="1" applyAlignment="1" applyProtection="1">
      <alignment horizontal="left" vertical="center"/>
      <protection locked="0"/>
    </xf>
    <xf numFmtId="0" fontId="21" fillId="4" borderId="0" xfId="0" applyFont="1" applyFill="1" applyAlignment="1" applyProtection="1">
      <alignment horizontal="left" vertical="center"/>
      <protection locked="0"/>
    </xf>
    <xf numFmtId="0" fontId="21" fillId="4" borderId="0" xfId="0" applyFont="1" applyFill="1" applyAlignment="1" applyProtection="1">
      <alignment horizontal="center" vertical="center"/>
      <protection locked="0"/>
    </xf>
    <xf numFmtId="0" fontId="18" fillId="4" borderId="0" xfId="0" applyFont="1" applyFill="1" applyAlignment="1">
      <alignment horizontal="center" vertical="center"/>
    </xf>
    <xf numFmtId="0" fontId="15" fillId="4" borderId="0" xfId="0" applyFont="1" applyFill="1" applyAlignment="1">
      <alignment horizontal="center" vertical="center"/>
    </xf>
    <xf numFmtId="0" fontId="21" fillId="4" borderId="0" xfId="0" applyFont="1" applyFill="1" applyAlignment="1">
      <alignment horizontal="center" vertical="center"/>
    </xf>
    <xf numFmtId="0" fontId="25" fillId="4" borderId="0" xfId="0" applyFont="1" applyFill="1" applyAlignment="1" applyProtection="1">
      <alignment horizontal="left" vertical="center"/>
      <protection locked="0"/>
    </xf>
    <xf numFmtId="0" fontId="17" fillId="4" borderId="0" xfId="0" applyFont="1" applyFill="1" applyAlignment="1">
      <alignment horizontal="center" vertical="top"/>
    </xf>
    <xf numFmtId="0" fontId="11" fillId="4" borderId="0" xfId="0" applyFont="1" applyFill="1" applyAlignment="1" applyProtection="1">
      <alignment horizontal="left" vertical="center" wrapText="1"/>
      <protection locked="0"/>
    </xf>
    <xf numFmtId="0" fontId="21" fillId="4" borderId="0" xfId="0" applyFont="1" applyFill="1" applyAlignment="1" applyProtection="1">
      <alignment horizontal="left" vertical="center" wrapText="1"/>
      <protection locked="0"/>
    </xf>
    <xf numFmtId="0" fontId="21" fillId="4" borderId="0" xfId="0" quotePrefix="1" applyFont="1" applyFill="1" applyAlignment="1" applyProtection="1">
      <alignment horizontal="left" vertical="center" wrapText="1"/>
      <protection locked="0"/>
    </xf>
    <xf numFmtId="0" fontId="2" fillId="0" borderId="2" xfId="23" applyBorder="1" applyAlignment="1">
      <alignment horizontal="center" vertical="center"/>
    </xf>
    <xf numFmtId="0" fontId="129" fillId="0" borderId="17" xfId="22" applyFont="1" applyBorder="1" applyAlignment="1">
      <alignment horizontal="center" vertical="center"/>
    </xf>
    <xf numFmtId="0" fontId="129" fillId="0" borderId="18" xfId="22" applyFont="1" applyBorder="1" applyAlignment="1">
      <alignment horizontal="center" vertical="center"/>
    </xf>
    <xf numFmtId="0" fontId="129" fillId="0" borderId="7" xfId="22" applyFont="1" applyBorder="1" applyAlignment="1">
      <alignment horizontal="center" vertical="center"/>
    </xf>
    <xf numFmtId="0" fontId="129" fillId="0" borderId="17" xfId="22" applyFont="1" applyBorder="1" applyAlignment="1">
      <alignment horizontal="center" vertical="center" wrapText="1"/>
    </xf>
    <xf numFmtId="0" fontId="129" fillId="0" borderId="7" xfId="22" applyFont="1" applyBorder="1" applyAlignment="1">
      <alignment horizontal="center" vertical="center" wrapText="1"/>
    </xf>
    <xf numFmtId="0" fontId="129" fillId="0" borderId="2" xfId="22" applyFont="1" applyBorder="1" applyAlignment="1">
      <alignment horizontal="center" vertical="center" wrapText="1"/>
    </xf>
    <xf numFmtId="0" fontId="152" fillId="0" borderId="0" xfId="23" applyFont="1" applyAlignment="1">
      <alignment horizontal="left" vertical="top" wrapText="1"/>
    </xf>
    <xf numFmtId="0" fontId="153" fillId="0" borderId="0" xfId="23" applyFont="1" applyAlignment="1">
      <alignment horizontal="left" vertical="center" wrapText="1"/>
    </xf>
    <xf numFmtId="0" fontId="140" fillId="21" borderId="0" xfId="23" applyFont="1" applyFill="1" applyAlignment="1">
      <alignment horizontal="left" vertical="center"/>
    </xf>
    <xf numFmtId="0" fontId="131" fillId="0" borderId="10" xfId="22" applyFont="1" applyBorder="1" applyAlignment="1">
      <alignment horizontal="left" vertical="center" wrapText="1"/>
    </xf>
    <xf numFmtId="0" fontId="131" fillId="0" borderId="12" xfId="22" applyFont="1" applyBorder="1" applyAlignment="1">
      <alignment horizontal="left" vertical="center"/>
    </xf>
    <xf numFmtId="0" fontId="131" fillId="0" borderId="2" xfId="22" applyFont="1" applyBorder="1" applyAlignment="1">
      <alignment horizontal="center" wrapText="1"/>
    </xf>
    <xf numFmtId="0" fontId="131" fillId="0" borderId="2" xfId="22" applyFont="1" applyBorder="1" applyAlignment="1">
      <alignment horizontal="left" wrapText="1"/>
    </xf>
    <xf numFmtId="0" fontId="130" fillId="14" borderId="2" xfId="22" applyFont="1" applyFill="1" applyBorder="1" applyAlignment="1">
      <alignment horizontal="left" vertical="center" wrapText="1"/>
    </xf>
    <xf numFmtId="0" fontId="131" fillId="14" borderId="2" xfId="22" applyFont="1" applyFill="1" applyBorder="1" applyAlignment="1">
      <alignment horizontal="left" wrapText="1"/>
    </xf>
    <xf numFmtId="0" fontId="131" fillId="0" borderId="17" xfId="22" applyFont="1" applyBorder="1" applyAlignment="1">
      <alignment horizontal="center" vertical="center"/>
    </xf>
    <xf numFmtId="0" fontId="131" fillId="0" borderId="18" xfId="22" applyFont="1" applyBorder="1" applyAlignment="1">
      <alignment horizontal="center" vertical="center"/>
    </xf>
    <xf numFmtId="0" fontId="131" fillId="0" borderId="7" xfId="22" applyFont="1" applyBorder="1" applyAlignment="1">
      <alignment horizontal="center" vertical="center"/>
    </xf>
    <xf numFmtId="0" fontId="131" fillId="0" borderId="2" xfId="22" applyFont="1" applyBorder="1" applyAlignment="1">
      <alignment vertical="center" wrapText="1"/>
    </xf>
    <xf numFmtId="0" fontId="131" fillId="0" borderId="2" xfId="22" applyFont="1" applyBorder="1" applyAlignment="1">
      <alignment vertical="center"/>
    </xf>
    <xf numFmtId="0" fontId="131" fillId="0" borderId="2" xfId="22" applyFont="1" applyBorder="1" applyAlignment="1">
      <alignment horizontal="left"/>
    </xf>
    <xf numFmtId="0" fontId="131" fillId="0" borderId="244" xfId="22" applyFont="1" applyBorder="1" applyAlignment="1">
      <alignment horizontal="left" vertical="center" wrapText="1"/>
    </xf>
    <xf numFmtId="0" fontId="131" fillId="0" borderId="246" xfId="22" applyFont="1" applyBorder="1" applyAlignment="1">
      <alignment horizontal="left" vertical="center"/>
    </xf>
    <xf numFmtId="0" fontId="131" fillId="0" borderId="244" xfId="22" applyFont="1" applyBorder="1" applyAlignment="1">
      <alignment horizontal="center" vertical="center" wrapText="1"/>
    </xf>
    <xf numFmtId="0" fontId="131" fillId="0" borderId="245" xfId="22" applyFont="1" applyBorder="1" applyAlignment="1">
      <alignment horizontal="center" vertical="center" wrapText="1"/>
    </xf>
    <xf numFmtId="0" fontId="131" fillId="0" borderId="246" xfId="22" applyFont="1" applyBorder="1" applyAlignment="1">
      <alignment horizontal="center" vertical="center" wrapText="1"/>
    </xf>
    <xf numFmtId="0" fontId="2" fillId="0" borderId="257" xfId="22" applyBorder="1" applyAlignment="1">
      <alignment horizontal="center" vertical="center" textRotation="90"/>
    </xf>
    <xf numFmtId="0" fontId="2" fillId="0" borderId="3" xfId="22" applyBorder="1" applyAlignment="1">
      <alignment horizontal="center" vertical="center" textRotation="90"/>
    </xf>
    <xf numFmtId="0" fontId="2" fillId="0" borderId="4" xfId="22" applyBorder="1" applyAlignment="1">
      <alignment horizontal="center" vertical="center" textRotation="90"/>
    </xf>
    <xf numFmtId="0" fontId="131" fillId="14" borderId="241" xfId="22" applyFont="1" applyFill="1" applyBorder="1" applyAlignment="1">
      <alignment horizontal="left" wrapText="1"/>
    </xf>
    <xf numFmtId="0" fontId="131" fillId="14" borderId="242" xfId="22" applyFont="1" applyFill="1" applyBorder="1" applyAlignment="1">
      <alignment horizontal="left" wrapText="1"/>
    </xf>
    <xf numFmtId="0" fontId="131" fillId="14" borderId="243" xfId="22" applyFont="1" applyFill="1" applyBorder="1" applyAlignment="1">
      <alignment horizontal="left" wrapText="1"/>
    </xf>
    <xf numFmtId="0" fontId="131" fillId="0" borderId="244" xfId="22" applyFont="1" applyBorder="1" applyAlignment="1">
      <alignment horizontal="center" vertical="center"/>
    </xf>
    <xf numFmtId="0" fontId="131" fillId="0" borderId="245" xfId="22" applyFont="1" applyBorder="1" applyAlignment="1">
      <alignment horizontal="center" vertical="center"/>
    </xf>
    <xf numFmtId="0" fontId="131" fillId="0" borderId="246" xfId="22" applyFont="1" applyBorder="1" applyAlignment="1">
      <alignment horizontal="center" vertical="center"/>
    </xf>
    <xf numFmtId="0" fontId="131" fillId="0" borderId="253" xfId="22" applyFont="1" applyBorder="1" applyAlignment="1">
      <alignment horizontal="left" vertical="center" wrapText="1"/>
    </xf>
    <xf numFmtId="0" fontId="131" fillId="0" borderId="256" xfId="22" applyFont="1" applyBorder="1" applyAlignment="1">
      <alignment horizontal="left" vertical="center"/>
    </xf>
    <xf numFmtId="0" fontId="131" fillId="0" borderId="249" xfId="22" applyFont="1" applyBorder="1" applyAlignment="1">
      <alignment horizontal="left" wrapText="1"/>
    </xf>
    <xf numFmtId="0" fontId="130" fillId="14" borderId="17" xfId="22" applyFont="1" applyFill="1" applyBorder="1" applyAlignment="1">
      <alignment horizontal="left" vertical="center" wrapText="1"/>
    </xf>
    <xf numFmtId="0" fontId="131" fillId="0" borderId="17" xfId="22" applyFont="1" applyBorder="1" applyAlignment="1">
      <alignment vertical="center" wrapText="1"/>
    </xf>
    <xf numFmtId="0" fontId="131" fillId="0" borderId="7" xfId="22" applyFont="1" applyBorder="1" applyAlignment="1">
      <alignment vertical="center" wrapText="1"/>
    </xf>
    <xf numFmtId="0" fontId="131" fillId="0" borderId="14" xfId="22" applyFont="1" applyBorder="1" applyAlignment="1">
      <alignment horizontal="left" wrapText="1"/>
    </xf>
    <xf numFmtId="0" fontId="131" fillId="0" borderId="250" xfId="22" applyFont="1" applyBorder="1" applyAlignment="1">
      <alignment horizontal="left" wrapText="1"/>
    </xf>
    <xf numFmtId="0" fontId="2" fillId="0" borderId="252" xfId="22" applyBorder="1" applyAlignment="1">
      <alignment horizontal="center"/>
    </xf>
    <xf numFmtId="0" fontId="131" fillId="0" borderId="253" xfId="22" applyFont="1" applyBorder="1" applyAlignment="1">
      <alignment horizontal="left" wrapText="1"/>
    </xf>
    <xf numFmtId="0" fontId="131" fillId="0" borderId="254" xfId="22" applyFont="1" applyBorder="1" applyAlignment="1">
      <alignment horizontal="left"/>
    </xf>
    <xf numFmtId="0" fontId="131" fillId="0" borderId="255" xfId="22" applyFont="1" applyBorder="1" applyAlignment="1">
      <alignment horizontal="left"/>
    </xf>
    <xf numFmtId="0" fontId="131" fillId="0" borderId="255" xfId="22" applyFont="1" applyBorder="1" applyAlignment="1">
      <alignment horizontal="left" wrapText="1"/>
    </xf>
    <xf numFmtId="0" fontId="131" fillId="0" borderId="10" xfId="22" applyFont="1" applyBorder="1" applyAlignment="1">
      <alignment horizontal="center" wrapText="1"/>
    </xf>
    <xf numFmtId="0" fontId="131" fillId="0" borderId="11" xfId="22" applyFont="1" applyBorder="1" applyAlignment="1">
      <alignment horizontal="center" wrapText="1"/>
    </xf>
    <xf numFmtId="0" fontId="131" fillId="0" borderId="12" xfId="22" applyFont="1" applyBorder="1" applyAlignment="1">
      <alignment horizontal="center" wrapText="1"/>
    </xf>
    <xf numFmtId="0" fontId="131" fillId="0" borderId="247" xfId="22" applyFont="1" applyBorder="1" applyAlignment="1">
      <alignment horizontal="left" vertical="center"/>
    </xf>
    <xf numFmtId="0" fontId="131" fillId="0" borderId="241" xfId="22" applyFont="1" applyBorder="1" applyAlignment="1">
      <alignment horizontal="center" wrapText="1"/>
    </xf>
    <xf numFmtId="0" fontId="131" fillId="0" borderId="242" xfId="22" applyFont="1" applyBorder="1" applyAlignment="1">
      <alignment horizontal="center" wrapText="1"/>
    </xf>
    <xf numFmtId="0" fontId="131" fillId="0" borderId="243" xfId="22" applyFont="1" applyBorder="1" applyAlignment="1">
      <alignment horizontal="center" wrapText="1"/>
    </xf>
    <xf numFmtId="0" fontId="133" fillId="0" borderId="239" xfId="22" applyFont="1" applyBorder="1" applyAlignment="1">
      <alignment horizontal="center" vertical="center" textRotation="90"/>
    </xf>
    <xf numFmtId="0" fontId="133" fillId="0" borderId="248" xfId="22" applyFont="1" applyBorder="1" applyAlignment="1">
      <alignment horizontal="center" vertical="center" textRotation="90"/>
    </xf>
    <xf numFmtId="0" fontId="133" fillId="0" borderId="251" xfId="22" applyFont="1" applyBorder="1" applyAlignment="1">
      <alignment horizontal="center" vertical="center" textRotation="90"/>
    </xf>
    <xf numFmtId="0" fontId="130" fillId="14" borderId="240" xfId="22" applyFont="1" applyFill="1" applyBorder="1" applyAlignment="1">
      <alignment horizontal="left" vertical="center" wrapText="1"/>
    </xf>
    <xf numFmtId="0" fontId="131" fillId="0" borderId="244" xfId="22" applyFont="1" applyBorder="1" applyAlignment="1">
      <alignment horizontal="left" wrapText="1"/>
    </xf>
    <xf numFmtId="0" fontId="131" fillId="0" borderId="246" xfId="22" applyFont="1" applyBorder="1" applyAlignment="1">
      <alignment horizontal="left" wrapText="1"/>
    </xf>
    <xf numFmtId="0" fontId="129" fillId="18" borderId="5" xfId="23" applyFont="1" applyFill="1" applyBorder="1" applyAlignment="1">
      <alignment horizontal="center" vertical="center" wrapText="1"/>
    </xf>
    <xf numFmtId="0" fontId="129" fillId="18" borderId="13" xfId="23" applyFont="1" applyFill="1" applyBorder="1" applyAlignment="1">
      <alignment horizontal="center" vertical="center" wrapText="1"/>
    </xf>
    <xf numFmtId="0" fontId="129" fillId="18" borderId="8" xfId="23" applyFont="1" applyFill="1" applyBorder="1" applyAlignment="1">
      <alignment horizontal="center" vertical="center" wrapText="1"/>
    </xf>
    <xf numFmtId="0" fontId="129" fillId="18" borderId="9" xfId="23" applyFont="1" applyFill="1" applyBorder="1" applyAlignment="1">
      <alignment horizontal="center" vertical="center" wrapText="1"/>
    </xf>
    <xf numFmtId="0" fontId="129" fillId="18" borderId="236" xfId="23" applyFont="1" applyFill="1" applyBorder="1" applyAlignment="1">
      <alignment horizontal="center" vertical="center" wrapText="1"/>
    </xf>
    <xf numFmtId="0" fontId="129" fillId="18" borderId="238" xfId="23" applyFont="1" applyFill="1" applyBorder="1" applyAlignment="1">
      <alignment horizontal="center" vertical="center" wrapText="1"/>
    </xf>
    <xf numFmtId="0" fontId="2" fillId="0" borderId="191" xfId="22" applyBorder="1" applyAlignment="1">
      <alignment horizontal="center"/>
    </xf>
    <xf numFmtId="0" fontId="2" fillId="0" borderId="192" xfId="22" applyBorder="1" applyAlignment="1">
      <alignment horizontal="center"/>
    </xf>
    <xf numFmtId="0" fontId="144" fillId="0" borderId="161" xfId="22" applyFont="1" applyBorder="1" applyAlignment="1">
      <alignment horizontal="center" vertical="center"/>
    </xf>
    <xf numFmtId="0" fontId="144" fillId="0" borderId="49" xfId="22" applyFont="1" applyBorder="1" applyAlignment="1">
      <alignment horizontal="center" vertical="center"/>
    </xf>
    <xf numFmtId="0" fontId="144" fillId="0" borderId="171" xfId="22" applyFont="1" applyBorder="1" applyAlignment="1">
      <alignment horizontal="center" vertical="center"/>
    </xf>
    <xf numFmtId="0" fontId="144" fillId="0" borderId="162" xfId="22" applyFont="1" applyBorder="1" applyAlignment="1">
      <alignment horizontal="center" vertical="center"/>
    </xf>
    <xf numFmtId="0" fontId="144" fillId="0" borderId="163" xfId="22" applyFont="1" applyBorder="1" applyAlignment="1">
      <alignment horizontal="center" vertical="center"/>
    </xf>
    <xf numFmtId="0" fontId="144" fillId="0" borderId="172" xfId="22" applyFont="1" applyBorder="1" applyAlignment="1">
      <alignment horizontal="center" vertical="center"/>
    </xf>
    <xf numFmtId="0" fontId="2" fillId="0" borderId="0" xfId="22" applyAlignment="1">
      <alignment horizontal="center"/>
    </xf>
    <xf numFmtId="0" fontId="149" fillId="0" borderId="0" xfId="22" applyFont="1" applyAlignment="1">
      <alignment horizontal="left" wrapText="1"/>
    </xf>
    <xf numFmtId="0" fontId="129" fillId="18" borderId="2" xfId="23" applyFont="1" applyFill="1" applyBorder="1" applyAlignment="1">
      <alignment horizontal="center" vertical="center" wrapText="1"/>
    </xf>
    <xf numFmtId="0" fontId="129" fillId="18" borderId="14" xfId="23" applyFont="1" applyFill="1" applyBorder="1" applyAlignment="1">
      <alignment horizontal="center" vertical="center" wrapText="1"/>
    </xf>
    <xf numFmtId="0" fontId="129" fillId="18" borderId="6" xfId="23" applyFont="1" applyFill="1" applyBorder="1" applyAlignment="1">
      <alignment horizontal="center" vertical="center" wrapText="1"/>
    </xf>
    <xf numFmtId="0" fontId="129" fillId="18" borderId="0" xfId="23" applyFont="1" applyFill="1" applyAlignment="1">
      <alignment horizontal="center" vertical="center" wrapText="1"/>
    </xf>
    <xf numFmtId="0" fontId="129" fillId="18" borderId="237" xfId="23" applyFont="1" applyFill="1" applyBorder="1" applyAlignment="1">
      <alignment horizontal="center" vertical="center" wrapText="1"/>
    </xf>
    <xf numFmtId="0" fontId="127" fillId="18" borderId="5" xfId="22" applyFont="1" applyFill="1" applyBorder="1" applyAlignment="1">
      <alignment horizontal="center" vertical="center" wrapText="1"/>
    </xf>
    <xf numFmtId="0" fontId="127" fillId="18" borderId="6" xfId="22" applyFont="1" applyFill="1" applyBorder="1" applyAlignment="1">
      <alignment horizontal="center" vertical="center" wrapText="1"/>
    </xf>
    <xf numFmtId="0" fontId="127" fillId="18" borderId="13" xfId="22" applyFont="1" applyFill="1" applyBorder="1" applyAlignment="1">
      <alignment horizontal="center" vertical="center" wrapText="1"/>
    </xf>
    <xf numFmtId="0" fontId="127" fillId="18" borderId="8" xfId="22" applyFont="1" applyFill="1" applyBorder="1" applyAlignment="1">
      <alignment horizontal="center" vertical="center" wrapText="1"/>
    </xf>
    <xf numFmtId="0" fontId="127" fillId="18" borderId="0" xfId="22" applyFont="1" applyFill="1" applyAlignment="1">
      <alignment horizontal="center" vertical="center" wrapText="1"/>
    </xf>
    <xf numFmtId="0" fontId="127" fillId="18" borderId="9" xfId="22" applyFont="1" applyFill="1" applyBorder="1" applyAlignment="1">
      <alignment horizontal="center" vertical="center" wrapText="1"/>
    </xf>
    <xf numFmtId="0" fontId="127" fillId="18" borderId="236" xfId="22" applyFont="1" applyFill="1" applyBorder="1" applyAlignment="1">
      <alignment horizontal="center" vertical="center" wrapText="1"/>
    </xf>
    <xf numFmtId="0" fontId="127" fillId="18" borderId="237" xfId="22" applyFont="1" applyFill="1" applyBorder="1" applyAlignment="1">
      <alignment horizontal="center" vertical="center" wrapText="1"/>
    </xf>
    <xf numFmtId="0" fontId="127" fillId="18" borderId="238" xfId="22" applyFont="1" applyFill="1" applyBorder="1" applyAlignment="1">
      <alignment horizontal="center" vertical="center" wrapText="1"/>
    </xf>
    <xf numFmtId="0" fontId="11" fillId="0" borderId="42" xfId="12" applyBorder="1" applyAlignment="1" applyProtection="1">
      <alignment horizontal="center" vertical="center"/>
      <protection locked="0"/>
    </xf>
    <xf numFmtId="0" fontId="25" fillId="12" borderId="0" xfId="12" applyFont="1" applyFill="1" applyAlignment="1">
      <alignment horizontal="left" vertical="center" wrapText="1"/>
    </xf>
    <xf numFmtId="0" fontId="11" fillId="0" borderId="40" xfId="12" applyBorder="1" applyAlignment="1" applyProtection="1">
      <alignment horizontal="center" vertical="center"/>
      <protection locked="0"/>
    </xf>
    <xf numFmtId="0" fontId="18" fillId="0" borderId="42" xfId="12" applyFont="1" applyBorder="1" applyAlignment="1">
      <alignment horizontal="center" vertical="center" wrapText="1"/>
    </xf>
    <xf numFmtId="167" fontId="18" fillId="12" borderId="209" xfId="12" applyNumberFormat="1" applyFont="1" applyFill="1" applyBorder="1" applyAlignment="1">
      <alignment horizontal="center" vertical="center" wrapText="1"/>
    </xf>
    <xf numFmtId="167" fontId="18" fillId="12" borderId="120" xfId="12" applyNumberFormat="1" applyFont="1" applyFill="1" applyBorder="1" applyAlignment="1">
      <alignment horizontal="center" vertical="center" wrapText="1"/>
    </xf>
    <xf numFmtId="167" fontId="18" fillId="12" borderId="125" xfId="12" applyNumberFormat="1" applyFont="1" applyFill="1" applyBorder="1" applyAlignment="1">
      <alignment horizontal="center" vertical="center" wrapText="1"/>
    </xf>
    <xf numFmtId="0" fontId="18" fillId="0" borderId="24" xfId="12" applyFont="1" applyBorder="1" applyAlignment="1" applyProtection="1">
      <alignment horizontal="center" vertical="center" wrapText="1"/>
      <protection locked="0"/>
    </xf>
    <xf numFmtId="0" fontId="18" fillId="0" borderId="173" xfId="12" applyFont="1" applyBorder="1" applyAlignment="1" applyProtection="1">
      <alignment horizontal="center" vertical="center" wrapText="1"/>
      <protection locked="0"/>
    </xf>
    <xf numFmtId="167" fontId="33" fillId="0" borderId="173" xfId="12" applyNumberFormat="1" applyFont="1" applyBorder="1" applyAlignment="1" applyProtection="1">
      <alignment horizontal="center" vertical="center" wrapText="1"/>
      <protection locked="0"/>
    </xf>
    <xf numFmtId="0" fontId="33" fillId="0" borderId="0" xfId="12" applyFont="1" applyAlignment="1">
      <alignment horizontal="center" wrapText="1"/>
    </xf>
    <xf numFmtId="0" fontId="33" fillId="0" borderId="0" xfId="12" applyFont="1" applyAlignment="1">
      <alignment horizontal="center"/>
    </xf>
    <xf numFmtId="0" fontId="33" fillId="0" borderId="42" xfId="12" applyFont="1" applyBorder="1" applyAlignment="1" applyProtection="1">
      <alignment horizontal="center" vertical="center" wrapText="1"/>
      <protection locked="0"/>
    </xf>
    <xf numFmtId="0" fontId="18" fillId="0" borderId="42" xfId="12" applyFont="1" applyBorder="1" applyAlignment="1" applyProtection="1">
      <alignment horizontal="center" vertical="center" wrapText="1"/>
      <protection locked="0"/>
    </xf>
    <xf numFmtId="0" fontId="18" fillId="0" borderId="40" xfId="12" applyFont="1" applyBorder="1" applyAlignment="1">
      <alignment horizontal="center" vertical="center" wrapText="1"/>
    </xf>
    <xf numFmtId="0" fontId="33" fillId="0" borderId="40" xfId="12" applyFont="1" applyBorder="1" applyAlignment="1" applyProtection="1">
      <alignment horizontal="center" vertical="center" wrapText="1"/>
      <protection locked="0"/>
    </xf>
    <xf numFmtId="0" fontId="11" fillId="0" borderId="4" xfId="12" applyBorder="1" applyAlignment="1" applyProtection="1">
      <alignment horizontal="center" vertical="center"/>
      <protection locked="0"/>
    </xf>
    <xf numFmtId="0" fontId="17" fillId="0" borderId="0" xfId="12" applyFont="1" applyAlignment="1">
      <alignment horizontal="center"/>
    </xf>
    <xf numFmtId="0" fontId="11" fillId="18" borderId="17" xfId="12" applyFill="1" applyBorder="1" applyAlignment="1">
      <alignment horizontal="right" vertical="center" wrapText="1"/>
    </xf>
    <xf numFmtId="0" fontId="11" fillId="18" borderId="18" xfId="12" applyFill="1" applyBorder="1" applyAlignment="1">
      <alignment horizontal="right" vertical="center" wrapText="1"/>
    </xf>
    <xf numFmtId="0" fontId="11" fillId="18" borderId="7" xfId="12" applyFill="1" applyBorder="1" applyAlignment="1">
      <alignment horizontal="right" vertical="center" wrapText="1"/>
    </xf>
    <xf numFmtId="0" fontId="11" fillId="0" borderId="2" xfId="12" applyBorder="1" applyAlignment="1">
      <alignment horizontal="center" vertical="center" wrapText="1"/>
    </xf>
    <xf numFmtId="0" fontId="142" fillId="19" borderId="2" xfId="12" applyFont="1" applyFill="1" applyBorder="1" applyAlignment="1">
      <alignment horizontal="center" vertical="center" wrapText="1"/>
    </xf>
    <xf numFmtId="0" fontId="11" fillId="0" borderId="2" xfId="12" applyBorder="1" applyAlignment="1">
      <alignment horizontal="left" vertical="center" wrapText="1"/>
    </xf>
    <xf numFmtId="0" fontId="11" fillId="18" borderId="2" xfId="12" applyFill="1" applyBorder="1" applyAlignment="1">
      <alignment horizontal="left" vertical="center" wrapText="1"/>
    </xf>
    <xf numFmtId="0" fontId="37" fillId="0" borderId="2" xfId="12" applyFont="1" applyBorder="1" applyAlignment="1">
      <alignment horizontal="left" vertical="top" wrapText="1"/>
    </xf>
    <xf numFmtId="0" fontId="11" fillId="0" borderId="2" xfId="12" applyBorder="1" applyAlignment="1">
      <alignment horizontal="left" vertical="top" wrapText="1"/>
    </xf>
    <xf numFmtId="0" fontId="11" fillId="0" borderId="0" xfId="12" applyAlignment="1">
      <alignment horizontal="center" vertical="center" wrapText="1"/>
    </xf>
    <xf numFmtId="0" fontId="11" fillId="0" borderId="11" xfId="12" applyBorder="1" applyAlignment="1">
      <alignment horizontal="center" vertical="center" wrapText="1"/>
    </xf>
    <xf numFmtId="0" fontId="11" fillId="0" borderId="17" xfId="12" applyBorder="1" applyAlignment="1">
      <alignment horizontal="left" vertical="center" wrapText="1"/>
    </xf>
    <xf numFmtId="0" fontId="11" fillId="0" borderId="18" xfId="12" applyBorder="1" applyAlignment="1">
      <alignment horizontal="left" vertical="center" wrapText="1"/>
    </xf>
    <xf numFmtId="0" fontId="11" fillId="0" borderId="7" xfId="12" applyBorder="1" applyAlignment="1">
      <alignment horizontal="left" vertical="center" wrapText="1"/>
    </xf>
    <xf numFmtId="0" fontId="11" fillId="0" borderId="17" xfId="12" applyBorder="1" applyAlignment="1">
      <alignment horizontal="center" vertical="center" wrapText="1"/>
    </xf>
    <xf numFmtId="0" fontId="11" fillId="0" borderId="18" xfId="12" applyBorder="1" applyAlignment="1">
      <alignment horizontal="center" vertical="center" wrapText="1"/>
    </xf>
    <xf numFmtId="0" fontId="11" fillId="0" borderId="7" xfId="12" applyBorder="1" applyAlignment="1">
      <alignment horizontal="center" vertical="center" wrapText="1"/>
    </xf>
    <xf numFmtId="0" fontId="11" fillId="0" borderId="118" xfId="12" applyBorder="1" applyAlignment="1">
      <alignment horizontal="center" vertical="center" wrapText="1"/>
    </xf>
    <xf numFmtId="0" fontId="11" fillId="18" borderId="14" xfId="12" applyFill="1" applyBorder="1" applyAlignment="1">
      <alignment horizontal="right" vertical="center" wrapText="1"/>
    </xf>
    <xf numFmtId="0" fontId="11" fillId="18" borderId="4" xfId="12" applyFill="1" applyBorder="1" applyAlignment="1">
      <alignment horizontal="right" vertical="center" wrapText="1"/>
    </xf>
    <xf numFmtId="0" fontId="41" fillId="0" borderId="2" xfId="12" applyFont="1" applyBorder="1" applyAlignment="1">
      <alignment horizontal="center" vertical="center" wrapText="1"/>
    </xf>
    <xf numFmtId="0" fontId="11" fillId="16" borderId="5" xfId="12" applyFill="1" applyBorder="1" applyAlignment="1">
      <alignment horizontal="center" vertical="center" wrapText="1"/>
    </xf>
    <xf numFmtId="0" fontId="11" fillId="16" borderId="6" xfId="12" applyFill="1" applyBorder="1" applyAlignment="1">
      <alignment horizontal="center" vertical="center" wrapText="1"/>
    </xf>
    <xf numFmtId="0" fontId="11" fillId="16" borderId="13" xfId="12" applyFill="1" applyBorder="1" applyAlignment="1">
      <alignment horizontal="center" vertical="center" wrapText="1"/>
    </xf>
    <xf numFmtId="0" fontId="142" fillId="19" borderId="17" xfId="12" applyFont="1" applyFill="1" applyBorder="1" applyAlignment="1">
      <alignment horizontal="center" vertical="center" wrapText="1"/>
    </xf>
    <xf numFmtId="0" fontId="142" fillId="19" borderId="18" xfId="12" applyFont="1" applyFill="1" applyBorder="1" applyAlignment="1">
      <alignment horizontal="center" vertical="center" wrapText="1"/>
    </xf>
    <xf numFmtId="0" fontId="142" fillId="19" borderId="7" xfId="12" applyFont="1" applyFill="1" applyBorder="1" applyAlignment="1">
      <alignment horizontal="center" vertical="center" wrapText="1"/>
    </xf>
    <xf numFmtId="0" fontId="11" fillId="0" borderId="17" xfId="12" applyBorder="1" applyAlignment="1">
      <alignment horizontal="left" vertical="center"/>
    </xf>
    <xf numFmtId="0" fontId="11" fillId="0" borderId="18" xfId="12" applyBorder="1" applyAlignment="1">
      <alignment horizontal="left" vertical="center"/>
    </xf>
    <xf numFmtId="0" fontId="11" fillId="0" borderId="7" xfId="12" applyBorder="1" applyAlignment="1">
      <alignment horizontal="left" vertical="center"/>
    </xf>
    <xf numFmtId="0" fontId="134" fillId="0" borderId="0" xfId="12" applyFont="1" applyAlignment="1">
      <alignment horizontal="center" vertical="top" wrapText="1"/>
    </xf>
    <xf numFmtId="0" fontId="141" fillId="0" borderId="0" xfId="12" applyFont="1" applyAlignment="1">
      <alignment horizontal="center" vertical="center"/>
    </xf>
    <xf numFmtId="0" fontId="135" fillId="0" borderId="0" xfId="12" applyFont="1" applyAlignment="1">
      <alignment horizontal="center" vertical="center"/>
    </xf>
    <xf numFmtId="0" fontId="135" fillId="0" borderId="9" xfId="12" applyFont="1" applyBorder="1" applyAlignment="1">
      <alignment horizontal="center" vertical="center"/>
    </xf>
    <xf numFmtId="0" fontId="142" fillId="19" borderId="118" xfId="12" applyFont="1" applyFill="1" applyBorder="1" applyAlignment="1">
      <alignment horizontal="center" vertical="center" wrapText="1"/>
    </xf>
    <xf numFmtId="0" fontId="37" fillId="0" borderId="17" xfId="0" applyFont="1" applyBorder="1" applyAlignment="1" applyProtection="1">
      <alignment horizontal="left" vertical="top" wrapText="1"/>
      <protection locked="0"/>
    </xf>
    <xf numFmtId="0" fontId="21" fillId="0" borderId="39" xfId="0" applyFont="1" applyBorder="1" applyAlignment="1" applyProtection="1">
      <alignment horizontal="left" vertical="top"/>
      <protection locked="0"/>
    </xf>
    <xf numFmtId="0" fontId="15" fillId="0" borderId="210" xfId="0" applyFont="1" applyBorder="1" applyAlignment="1" applyProtection="1">
      <alignment horizontal="center" vertical="center" wrapText="1"/>
      <protection locked="0"/>
    </xf>
    <xf numFmtId="0" fontId="15" fillId="0" borderId="211" xfId="0" applyFont="1" applyBorder="1" applyAlignment="1" applyProtection="1">
      <alignment horizontal="center" vertical="center" wrapText="1"/>
      <protection locked="0"/>
    </xf>
    <xf numFmtId="0" fontId="21" fillId="0" borderId="2" xfId="0" applyFont="1" applyBorder="1" applyAlignment="1" applyProtection="1">
      <alignment horizontal="center"/>
      <protection locked="0"/>
    </xf>
    <xf numFmtId="0" fontId="17" fillId="0" borderId="1" xfId="0" applyFont="1" applyBorder="1" applyAlignment="1" applyProtection="1">
      <alignment horizontal="left"/>
      <protection locked="0"/>
    </xf>
    <xf numFmtId="0" fontId="17" fillId="0" borderId="0" xfId="0" applyFont="1" applyAlignment="1" applyProtection="1">
      <alignment horizontal="left"/>
      <protection locked="0"/>
    </xf>
    <xf numFmtId="0" fontId="37" fillId="0" borderId="116" xfId="0" applyFont="1" applyBorder="1" applyAlignment="1" applyProtection="1">
      <alignment horizontal="center"/>
      <protection locked="0"/>
    </xf>
    <xf numFmtId="0" fontId="37" fillId="0" borderId="6" xfId="0" applyFont="1" applyBorder="1" applyAlignment="1" applyProtection="1">
      <alignment horizontal="center"/>
      <protection locked="0"/>
    </xf>
    <xf numFmtId="0" fontId="11" fillId="0" borderId="2" xfId="0" applyFont="1" applyBorder="1" applyAlignment="1" applyProtection="1">
      <alignment horizontal="left" wrapText="1"/>
      <protection locked="0"/>
    </xf>
    <xf numFmtId="0" fontId="21" fillId="0" borderId="31" xfId="0" applyFont="1" applyBorder="1" applyAlignment="1" applyProtection="1">
      <alignment horizontal="left" wrapText="1"/>
      <protection locked="0"/>
    </xf>
    <xf numFmtId="0" fontId="11" fillId="0" borderId="2" xfId="0" applyFont="1" applyBorder="1" applyAlignment="1" applyProtection="1">
      <alignment horizontal="left"/>
      <protection locked="0"/>
    </xf>
    <xf numFmtId="0" fontId="21" fillId="0" borderId="31" xfId="0" applyFont="1" applyBorder="1" applyAlignment="1" applyProtection="1">
      <alignment horizontal="left"/>
      <protection locked="0"/>
    </xf>
    <xf numFmtId="0" fontId="17" fillId="0" borderId="1" xfId="0"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28" fillId="0" borderId="78" xfId="0" applyFont="1" applyBorder="1" applyAlignment="1" applyProtection="1">
      <alignment horizontal="left" vertical="center"/>
      <protection locked="0"/>
    </xf>
    <xf numFmtId="0" fontId="28" fillId="0" borderId="2" xfId="0" applyFont="1" applyBorder="1" applyAlignment="1" applyProtection="1">
      <alignment horizontal="left" vertical="center"/>
      <protection locked="0"/>
    </xf>
    <xf numFmtId="0" fontId="21" fillId="0" borderId="32" xfId="0" applyFont="1" applyBorder="1" applyAlignment="1" applyProtection="1">
      <alignment horizontal="center"/>
      <protection locked="0"/>
    </xf>
    <xf numFmtId="0" fontId="11" fillId="0" borderId="2" xfId="0" applyFont="1" applyBorder="1" applyAlignment="1" applyProtection="1">
      <alignment horizontal="center"/>
      <protection locked="0"/>
    </xf>
    <xf numFmtId="0" fontId="11" fillId="0" borderId="31" xfId="0" applyFont="1" applyBorder="1" applyAlignment="1" applyProtection="1">
      <alignment horizontal="center"/>
      <protection locked="0"/>
    </xf>
    <xf numFmtId="0" fontId="21" fillId="0" borderId="31" xfId="0" applyFont="1" applyBorder="1" applyAlignment="1" applyProtection="1">
      <alignment horizontal="center"/>
      <protection locked="0"/>
    </xf>
    <xf numFmtId="0" fontId="21" fillId="0" borderId="33" xfId="0" applyFont="1" applyBorder="1" applyAlignment="1" applyProtection="1">
      <alignment horizontal="center"/>
      <protection locked="0"/>
    </xf>
    <xf numFmtId="0" fontId="18" fillId="0" borderId="150" xfId="0" applyFont="1" applyBorder="1" applyAlignment="1" applyProtection="1">
      <alignment horizontal="left" vertical="center" wrapText="1"/>
      <protection locked="0"/>
    </xf>
    <xf numFmtId="0" fontId="18" fillId="0" borderId="151" xfId="0" applyFont="1" applyBorder="1" applyAlignment="1" applyProtection="1">
      <alignment horizontal="left" vertical="center" wrapText="1"/>
      <protection locked="0"/>
    </xf>
    <xf numFmtId="0" fontId="18" fillId="0" borderId="148" xfId="0" applyFont="1" applyBorder="1" applyAlignment="1" applyProtection="1">
      <alignment horizontal="left" vertical="center" wrapText="1"/>
      <protection locked="0"/>
    </xf>
    <xf numFmtId="0" fontId="38" fillId="0" borderId="75" xfId="0" applyFont="1" applyBorder="1" applyAlignment="1">
      <alignment horizontal="left" vertical="center" wrapText="1"/>
    </xf>
    <xf numFmtId="0" fontId="38" fillId="0" borderId="154" xfId="0" applyFont="1" applyBorder="1" applyAlignment="1">
      <alignment horizontal="left" vertical="center" wrapText="1"/>
    </xf>
    <xf numFmtId="0" fontId="12" fillId="0" borderId="154" xfId="0" applyFont="1" applyBorder="1" applyAlignment="1" applyProtection="1">
      <alignment horizontal="center" vertical="center" wrapText="1"/>
      <protection locked="0"/>
    </xf>
    <xf numFmtId="0" fontId="12" fillId="0" borderId="32" xfId="0" applyFont="1" applyBorder="1" applyAlignment="1" applyProtection="1">
      <alignment horizontal="center" vertical="center" wrapText="1"/>
      <protection locked="0"/>
    </xf>
    <xf numFmtId="0" fontId="12" fillId="0" borderId="75" xfId="0" applyFont="1" applyBorder="1" applyAlignment="1" applyProtection="1">
      <alignment horizontal="center" vertical="center" wrapText="1"/>
      <protection locked="0"/>
    </xf>
    <xf numFmtId="0" fontId="12" fillId="0" borderId="52" xfId="0" applyFont="1" applyBorder="1" applyAlignment="1" applyProtection="1">
      <alignment horizontal="center" vertical="center" wrapText="1"/>
      <protection locked="0"/>
    </xf>
    <xf numFmtId="0" fontId="11" fillId="0" borderId="78" xfId="0" applyFont="1"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32" fillId="0" borderId="212" xfId="0" applyFont="1" applyBorder="1" applyAlignment="1" applyProtection="1">
      <alignment horizontal="center" vertical="center"/>
      <protection locked="0"/>
    </xf>
    <xf numFmtId="0" fontId="32" fillId="0" borderId="213" xfId="0" applyFont="1" applyBorder="1" applyAlignment="1" applyProtection="1">
      <alignment horizontal="center" vertical="center"/>
      <protection locked="0"/>
    </xf>
    <xf numFmtId="0" fontId="32" fillId="0" borderId="192" xfId="0" applyFont="1" applyBorder="1" applyAlignment="1" applyProtection="1">
      <alignment horizontal="center" vertical="center"/>
      <protection locked="0"/>
    </xf>
    <xf numFmtId="0" fontId="32" fillId="0" borderId="157" xfId="0" applyFont="1" applyBorder="1" applyAlignment="1" applyProtection="1">
      <alignment horizontal="center" vertical="center"/>
      <protection locked="0"/>
    </xf>
    <xf numFmtId="0" fontId="76" fillId="0" borderId="195" xfId="0" applyFont="1" applyBorder="1" applyAlignment="1" applyProtection="1">
      <alignment horizontal="center" vertical="center" wrapText="1"/>
      <protection locked="0"/>
    </xf>
    <xf numFmtId="0" fontId="76" fillId="0" borderId="212" xfId="0" applyFont="1" applyBorder="1" applyAlignment="1" applyProtection="1">
      <alignment horizontal="center" vertical="center" wrapText="1"/>
      <protection locked="0"/>
    </xf>
    <xf numFmtId="0" fontId="76" fillId="0" borderId="196" xfId="0" applyFont="1" applyBorder="1" applyAlignment="1" applyProtection="1">
      <alignment horizontal="center" vertical="center" wrapText="1"/>
      <protection locked="0"/>
    </xf>
    <xf numFmtId="0" fontId="76" fillId="0" borderId="192" xfId="0" applyFont="1" applyBorder="1" applyAlignment="1" applyProtection="1">
      <alignment horizontal="center" vertical="center" wrapText="1"/>
      <protection locked="0"/>
    </xf>
    <xf numFmtId="0" fontId="38" fillId="0" borderId="154" xfId="0" applyFont="1" applyBorder="1" applyAlignment="1" applyProtection="1">
      <alignment horizontal="left" vertical="center" wrapText="1"/>
      <protection locked="0"/>
    </xf>
    <xf numFmtId="0" fontId="38" fillId="0" borderId="76" xfId="0" applyFont="1" applyBorder="1" applyAlignment="1" applyProtection="1">
      <alignment horizontal="left" vertical="center" wrapText="1"/>
      <protection locked="0"/>
    </xf>
    <xf numFmtId="0" fontId="38" fillId="0" borderId="154" xfId="0" applyFont="1" applyBorder="1" applyAlignment="1" applyProtection="1">
      <alignment horizontal="left" vertical="center"/>
      <protection locked="0"/>
    </xf>
    <xf numFmtId="0" fontId="11"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1" fillId="0" borderId="75" xfId="0" applyFont="1" applyBorder="1" applyAlignment="1" applyProtection="1">
      <alignment horizontal="center" vertical="center"/>
      <protection locked="0"/>
    </xf>
    <xf numFmtId="0" fontId="31" fillId="0" borderId="154" xfId="0" applyFont="1" applyBorder="1" applyAlignment="1" applyProtection="1">
      <alignment horizontal="center" vertical="center"/>
      <protection locked="0"/>
    </xf>
    <xf numFmtId="0" fontId="31" fillId="0" borderId="76" xfId="0" applyFont="1" applyBorder="1" applyAlignment="1" applyProtection="1">
      <alignment horizontal="center" vertical="center"/>
      <protection locked="0"/>
    </xf>
    <xf numFmtId="0" fontId="31" fillId="0" borderId="51" xfId="0" applyFont="1" applyBorder="1" applyAlignment="1" applyProtection="1">
      <alignment horizontal="center" vertical="center"/>
      <protection locked="0"/>
    </xf>
    <xf numFmtId="0" fontId="31" fillId="0" borderId="32" xfId="0" applyFont="1" applyBorder="1" applyAlignment="1" applyProtection="1">
      <alignment horizontal="center" vertical="center"/>
      <protection locked="0"/>
    </xf>
    <xf numFmtId="0" fontId="31" fillId="0" borderId="33" xfId="0" applyFont="1" applyBorder="1" applyAlignment="1" applyProtection="1">
      <alignment horizontal="center" vertical="center"/>
      <protection locked="0"/>
    </xf>
    <xf numFmtId="0" fontId="12" fillId="0" borderId="76" xfId="0" applyFont="1" applyBorder="1" applyAlignment="1" applyProtection="1">
      <alignment horizontal="center" vertical="center" wrapText="1"/>
      <protection locked="0"/>
    </xf>
    <xf numFmtId="0" fontId="12" fillId="0" borderId="33" xfId="0" applyFont="1" applyBorder="1" applyAlignment="1" applyProtection="1">
      <alignment horizontal="center" vertical="center" wrapText="1"/>
      <protection locked="0"/>
    </xf>
    <xf numFmtId="0" fontId="11" fillId="16" borderId="14" xfId="24" applyFont="1" applyFill="1" applyBorder="1" applyAlignment="1">
      <alignment horizontal="center" vertical="center" wrapText="1"/>
    </xf>
    <xf numFmtId="0" fontId="11" fillId="16" borderId="4" xfId="24" applyFont="1" applyFill="1" applyBorder="1" applyAlignment="1">
      <alignment horizontal="center" vertical="center" wrapText="1"/>
    </xf>
    <xf numFmtId="0" fontId="124" fillId="0" borderId="2" xfId="24" applyFont="1" applyBorder="1" applyAlignment="1">
      <alignment horizontal="left" vertical="top"/>
    </xf>
    <xf numFmtId="0" fontId="124" fillId="0" borderId="17" xfId="24" applyFont="1" applyBorder="1" applyAlignment="1">
      <alignment horizontal="left" vertical="top"/>
    </xf>
    <xf numFmtId="0" fontId="124" fillId="0" borderId="18" xfId="24" applyFont="1" applyBorder="1" applyAlignment="1">
      <alignment horizontal="left" vertical="top"/>
    </xf>
    <xf numFmtId="0" fontId="124" fillId="0" borderId="7" xfId="24" applyFont="1" applyBorder="1" applyAlignment="1">
      <alignment horizontal="left" vertical="top"/>
    </xf>
    <xf numFmtId="0" fontId="157" fillId="0" borderId="2" xfId="24" applyFont="1" applyBorder="1" applyAlignment="1">
      <alignment horizontal="center" vertical="center" wrapText="1"/>
    </xf>
    <xf numFmtId="0" fontId="157" fillId="0" borderId="2" xfId="24" applyFont="1" applyBorder="1" applyAlignment="1">
      <alignment horizontal="center" vertical="center"/>
    </xf>
    <xf numFmtId="0" fontId="157" fillId="0" borderId="17" xfId="24" applyFont="1" applyBorder="1" applyAlignment="1">
      <alignment horizontal="center" vertical="center"/>
    </xf>
    <xf numFmtId="0" fontId="124" fillId="16" borderId="17" xfId="24" applyFont="1" applyFill="1" applyBorder="1" applyAlignment="1">
      <alignment horizontal="right" vertical="center"/>
    </xf>
    <xf numFmtId="0" fontId="124" fillId="16" borderId="7" xfId="24" applyFont="1" applyFill="1" applyBorder="1" applyAlignment="1">
      <alignment horizontal="right" vertical="center"/>
    </xf>
    <xf numFmtId="0" fontId="124" fillId="0" borderId="2" xfId="24" applyFont="1" applyBorder="1" applyAlignment="1">
      <alignment horizontal="left" vertical="center"/>
    </xf>
    <xf numFmtId="0" fontId="124" fillId="0" borderId="2" xfId="24" applyFont="1" applyBorder="1" applyAlignment="1">
      <alignment horizontal="center" vertical="center"/>
    </xf>
    <xf numFmtId="0" fontId="124" fillId="0" borderId="17" xfId="24" applyFont="1" applyBorder="1" applyAlignment="1">
      <alignment horizontal="center" vertical="center"/>
    </xf>
    <xf numFmtId="0" fontId="124" fillId="0" borderId="18" xfId="24" applyFont="1" applyBorder="1" applyAlignment="1">
      <alignment horizontal="center" vertical="center"/>
    </xf>
    <xf numFmtId="0" fontId="124" fillId="0" borderId="7" xfId="24" applyFont="1" applyBorder="1" applyAlignment="1">
      <alignment horizontal="center" vertical="center"/>
    </xf>
    <xf numFmtId="0" fontId="1" fillId="16" borderId="17" xfId="24" applyFill="1" applyBorder="1" applyAlignment="1">
      <alignment horizontal="center" vertical="center"/>
    </xf>
    <xf numFmtId="0" fontId="1" fillId="16" borderId="7" xfId="24" applyFill="1" applyBorder="1" applyAlignment="1">
      <alignment horizontal="center" vertical="center"/>
    </xf>
    <xf numFmtId="0" fontId="1" fillId="0" borderId="2" xfId="24" applyBorder="1" applyAlignment="1">
      <alignment horizontal="center"/>
    </xf>
    <xf numFmtId="0" fontId="56" fillId="18" borderId="17" xfId="12" applyFont="1" applyFill="1" applyBorder="1" applyAlignment="1">
      <alignment horizontal="center" vertical="center" wrapText="1"/>
    </xf>
    <xf numFmtId="0" fontId="56" fillId="18" borderId="18" xfId="12" applyFont="1" applyFill="1" applyBorder="1" applyAlignment="1">
      <alignment horizontal="center" vertical="center" wrapText="1"/>
    </xf>
    <xf numFmtId="0" fontId="56" fillId="18" borderId="7" xfId="12" applyFont="1" applyFill="1" applyBorder="1" applyAlignment="1">
      <alignment horizontal="center" vertical="center" wrapText="1"/>
    </xf>
    <xf numFmtId="0" fontId="0" fillId="0" borderId="0" xfId="0" applyAlignment="1">
      <alignment wrapText="1"/>
    </xf>
    <xf numFmtId="0" fontId="11" fillId="0" borderId="0" xfId="0" applyFont="1"/>
    <xf numFmtId="0" fontId="11" fillId="0" borderId="0" xfId="0" applyFont="1" applyAlignment="1">
      <alignment wrapText="1"/>
    </xf>
    <xf numFmtId="165" fontId="21" fillId="0" borderId="0" xfId="0" applyNumberFormat="1" applyFont="1" applyAlignment="1" applyProtection="1">
      <alignment horizontal="left" vertical="center"/>
      <protection locked="0"/>
    </xf>
    <xf numFmtId="0" fontId="21" fillId="12" borderId="0" xfId="0" applyFont="1" applyFill="1" applyAlignment="1">
      <alignment horizontal="left" vertical="center"/>
    </xf>
    <xf numFmtId="0" fontId="122" fillId="0" borderId="1" xfId="12" applyFont="1" applyBorder="1" applyAlignment="1">
      <alignment horizontal="left" vertical="center" wrapText="1"/>
    </xf>
    <xf numFmtId="0" fontId="122" fillId="0" borderId="0" xfId="12" applyFont="1" applyAlignment="1">
      <alignment horizontal="left" vertical="center" wrapText="1"/>
    </xf>
    <xf numFmtId="0" fontId="122" fillId="0" borderId="35" xfId="12" applyFont="1" applyBorder="1" applyAlignment="1">
      <alignment horizontal="left" vertical="center" wrapText="1"/>
    </xf>
    <xf numFmtId="0" fontId="116" fillId="0" borderId="1" xfId="12" applyFont="1" applyBorder="1" applyAlignment="1">
      <alignment horizontal="left" vertical="center" wrapText="1"/>
    </xf>
    <xf numFmtId="0" fontId="116" fillId="0" borderId="0" xfId="12" applyFont="1" applyAlignment="1">
      <alignment horizontal="left" vertical="center" wrapText="1"/>
    </xf>
    <xf numFmtId="0" fontId="116" fillId="0" borderId="35" xfId="12" applyFont="1" applyBorder="1" applyAlignment="1">
      <alignment horizontal="left" vertical="center" wrapText="1"/>
    </xf>
    <xf numFmtId="0" fontId="122" fillId="0" borderId="72" xfId="12" applyFont="1" applyBorder="1" applyAlignment="1">
      <alignment horizontal="left" vertical="top" wrapText="1"/>
    </xf>
    <xf numFmtId="0" fontId="122" fillId="0" borderId="126" xfId="12" applyFont="1" applyBorder="1" applyAlignment="1">
      <alignment horizontal="left" vertical="top" wrapText="1"/>
    </xf>
    <xf numFmtId="0" fontId="122" fillId="0" borderId="73" xfId="12" applyFont="1" applyBorder="1" applyAlignment="1">
      <alignment horizontal="left" vertical="top" wrapText="1"/>
    </xf>
    <xf numFmtId="0" fontId="122" fillId="0" borderId="72" xfId="12" applyFont="1" applyBorder="1" applyAlignment="1">
      <alignment horizontal="left" vertical="center" wrapText="1"/>
    </xf>
    <xf numFmtId="0" fontId="122" fillId="0" borderId="126" xfId="12" applyFont="1" applyBorder="1" applyAlignment="1">
      <alignment horizontal="left" vertical="center" wrapText="1"/>
    </xf>
    <xf numFmtId="0" fontId="122" fillId="0" borderId="73" xfId="12" applyFont="1" applyBorder="1" applyAlignment="1">
      <alignment horizontal="left" vertical="center" wrapText="1"/>
    </xf>
    <xf numFmtId="0" fontId="110" fillId="0" borderId="29" xfId="12" applyFont="1" applyBorder="1" applyAlignment="1">
      <alignment vertical="center" wrapText="1"/>
    </xf>
    <xf numFmtId="0" fontId="116" fillId="0" borderId="29" xfId="12" applyFont="1" applyBorder="1" applyAlignment="1">
      <alignment vertical="center" wrapText="1"/>
    </xf>
    <xf numFmtId="0" fontId="116" fillId="0" borderId="29" xfId="12" applyFont="1" applyBorder="1" applyAlignment="1">
      <alignment horizontal="left" vertical="center" wrapText="1"/>
    </xf>
    <xf numFmtId="0" fontId="116" fillId="0" borderId="30" xfId="12" applyFont="1" applyBorder="1" applyAlignment="1">
      <alignment horizontal="left" vertical="center" wrapText="1"/>
    </xf>
    <xf numFmtId="0" fontId="113" fillId="0" borderId="36" xfId="12" applyFont="1" applyBorder="1" applyAlignment="1">
      <alignment vertical="center" wrapText="1"/>
    </xf>
    <xf numFmtId="0" fontId="113" fillId="0" borderId="37" xfId="12" applyFont="1" applyBorder="1" applyAlignment="1">
      <alignment vertical="center" wrapText="1"/>
    </xf>
    <xf numFmtId="0" fontId="116" fillId="0" borderId="37" xfId="12" applyFont="1" applyBorder="1" applyAlignment="1">
      <alignment vertical="center" wrapText="1"/>
    </xf>
    <xf numFmtId="0" fontId="116" fillId="0" borderId="37" xfId="12" applyFont="1" applyBorder="1" applyAlignment="1">
      <alignment horizontal="left" vertical="center" wrapText="1"/>
    </xf>
    <xf numFmtId="0" fontId="116" fillId="0" borderId="38" xfId="12" applyFont="1" applyBorder="1" applyAlignment="1">
      <alignment horizontal="left" vertical="center" wrapText="1"/>
    </xf>
    <xf numFmtId="0" fontId="122" fillId="0" borderId="72" xfId="12" applyFont="1" applyBorder="1" applyAlignment="1">
      <alignment vertical="center" wrapText="1"/>
    </xf>
    <xf numFmtId="0" fontId="122" fillId="0" borderId="126" xfId="12" applyFont="1" applyBorder="1" applyAlignment="1">
      <alignment vertical="center" wrapText="1"/>
    </xf>
    <xf numFmtId="0" fontId="122" fillId="0" borderId="73" xfId="12" applyFont="1" applyBorder="1" applyAlignment="1">
      <alignment vertical="center" wrapText="1"/>
    </xf>
    <xf numFmtId="0" fontId="122" fillId="0" borderId="72" xfId="12" applyFont="1" applyBorder="1" applyAlignment="1">
      <alignment horizontal="center" vertical="center" wrapText="1"/>
    </xf>
    <xf numFmtId="0" fontId="122" fillId="0" borderId="73" xfId="12" applyFont="1" applyBorder="1" applyAlignment="1">
      <alignment horizontal="center" vertical="center" wrapText="1"/>
    </xf>
    <xf numFmtId="0" fontId="122" fillId="0" borderId="36" xfId="12" applyFont="1" applyBorder="1" applyAlignment="1">
      <alignment horizontal="center" vertical="center" wrapText="1"/>
    </xf>
    <xf numFmtId="0" fontId="122" fillId="0" borderId="38" xfId="12" applyFont="1" applyBorder="1" applyAlignment="1">
      <alignment horizontal="center" vertical="center" wrapText="1"/>
    </xf>
    <xf numFmtId="0" fontId="116" fillId="0" borderId="72" xfId="12" applyFont="1" applyBorder="1" applyAlignment="1">
      <alignment horizontal="center" vertical="center" wrapText="1"/>
    </xf>
    <xf numFmtId="0" fontId="116" fillId="0" borderId="126" xfId="12" applyFont="1" applyBorder="1" applyAlignment="1">
      <alignment horizontal="center" vertical="center" wrapText="1"/>
    </xf>
    <xf numFmtId="0" fontId="116" fillId="0" borderId="73" xfId="12" applyFont="1" applyBorder="1" applyAlignment="1">
      <alignment horizontal="center" vertical="center" wrapText="1"/>
    </xf>
    <xf numFmtId="0" fontId="116" fillId="0" borderId="72" xfId="12" applyFont="1" applyBorder="1" applyAlignment="1">
      <alignment vertical="center" wrapText="1"/>
    </xf>
    <xf numFmtId="0" fontId="116" fillId="0" borderId="126" xfId="12" applyFont="1" applyBorder="1" applyAlignment="1">
      <alignment vertical="center" wrapText="1"/>
    </xf>
    <xf numFmtId="0" fontId="116" fillId="0" borderId="73" xfId="12" applyFont="1" applyBorder="1" applyAlignment="1">
      <alignment vertical="center" wrapText="1"/>
    </xf>
    <xf numFmtId="0" fontId="122" fillId="0" borderId="28" xfId="12" applyFont="1" applyBorder="1" applyAlignment="1">
      <alignment horizontal="center" vertical="center" wrapText="1"/>
    </xf>
    <xf numFmtId="0" fontId="122" fillId="0" borderId="30" xfId="12" applyFont="1" applyBorder="1" applyAlignment="1">
      <alignment horizontal="center" vertical="center" wrapText="1"/>
    </xf>
    <xf numFmtId="0" fontId="122" fillId="0" borderId="126" xfId="12" applyFont="1" applyBorder="1" applyAlignment="1">
      <alignment horizontal="center" vertical="center" wrapText="1"/>
    </xf>
    <xf numFmtId="0" fontId="122" fillId="0" borderId="0" xfId="12" applyFont="1" applyAlignment="1">
      <alignment horizontal="center" vertical="center" wrapText="1"/>
    </xf>
    <xf numFmtId="0" fontId="122" fillId="0" borderId="35" xfId="12" applyFont="1" applyBorder="1" applyAlignment="1">
      <alignment horizontal="center" vertical="center" wrapText="1"/>
    </xf>
    <xf numFmtId="0" fontId="120" fillId="0" borderId="163" xfId="12" applyFont="1" applyBorder="1" applyAlignment="1">
      <alignment vertical="center" wrapText="1"/>
    </xf>
    <xf numFmtId="0" fontId="122" fillId="0" borderId="202" xfId="12" applyFont="1" applyBorder="1" applyAlignment="1">
      <alignment horizontal="center" vertical="center" wrapText="1"/>
    </xf>
    <xf numFmtId="0" fontId="122" fillId="0" borderId="81" xfId="12" applyFont="1" applyBorder="1" applyAlignment="1">
      <alignment horizontal="center" vertical="center" wrapText="1"/>
    </xf>
    <xf numFmtId="0" fontId="122" fillId="0" borderId="225" xfId="12" applyFont="1" applyBorder="1" applyAlignment="1">
      <alignment horizontal="center" vertical="center" wrapText="1"/>
    </xf>
    <xf numFmtId="0" fontId="113" fillId="0" borderId="202" xfId="12" applyFont="1" applyBorder="1" applyAlignment="1">
      <alignment horizontal="center" vertical="center" wrapText="1"/>
    </xf>
    <xf numFmtId="0" fontId="113" fillId="0" borderId="81" xfId="12" applyFont="1" applyBorder="1" applyAlignment="1">
      <alignment horizontal="center" vertical="center" wrapText="1"/>
    </xf>
    <xf numFmtId="0" fontId="113" fillId="0" borderId="225" xfId="12" applyFont="1" applyBorder="1" applyAlignment="1">
      <alignment horizontal="center" vertical="center" wrapText="1"/>
    </xf>
    <xf numFmtId="0" fontId="114" fillId="0" borderId="72" xfId="12" applyFont="1" applyBorder="1" applyAlignment="1">
      <alignment horizontal="center" vertical="center" wrapText="1"/>
    </xf>
    <xf numFmtId="0" fontId="114" fillId="0" borderId="126" xfId="12" applyFont="1" applyBorder="1" applyAlignment="1">
      <alignment horizontal="center" vertical="center" wrapText="1"/>
    </xf>
    <xf numFmtId="0" fontId="116" fillId="0" borderId="36" xfId="12" applyFont="1" applyBorder="1" applyAlignment="1">
      <alignment horizontal="left" vertical="center" wrapText="1"/>
    </xf>
    <xf numFmtId="0" fontId="121" fillId="0" borderId="126" xfId="12" applyFont="1" applyBorder="1" applyAlignment="1">
      <alignment vertical="center" wrapText="1"/>
    </xf>
    <xf numFmtId="0" fontId="116" fillId="0" borderId="28" xfId="12" applyFont="1" applyBorder="1" applyAlignment="1">
      <alignment horizontal="left" vertical="center" wrapText="1"/>
    </xf>
    <xf numFmtId="0" fontId="121" fillId="0" borderId="29" xfId="12" applyFont="1" applyBorder="1" applyAlignment="1">
      <alignment vertical="center" wrapText="1"/>
    </xf>
    <xf numFmtId="0" fontId="116" fillId="0" borderId="222" xfId="12" applyFont="1" applyBorder="1" applyAlignment="1">
      <alignment vertical="center" wrapText="1"/>
    </xf>
    <xf numFmtId="0" fontId="116" fillId="0" borderId="223" xfId="12" applyFont="1" applyBorder="1" applyAlignment="1">
      <alignment vertical="center" wrapText="1"/>
    </xf>
    <xf numFmtId="0" fontId="116" fillId="0" borderId="224" xfId="12" applyFont="1" applyBorder="1" applyAlignment="1">
      <alignment vertical="center" wrapText="1"/>
    </xf>
    <xf numFmtId="0" fontId="116" fillId="0" borderId="1" xfId="12" applyFont="1" applyBorder="1" applyAlignment="1">
      <alignment vertical="center" wrapText="1"/>
    </xf>
    <xf numFmtId="0" fontId="116" fillId="0" borderId="0" xfId="12" applyFont="1" applyAlignment="1">
      <alignment vertical="center" wrapText="1"/>
    </xf>
    <xf numFmtId="0" fontId="116" fillId="0" borderId="35" xfId="12" applyFont="1" applyBorder="1" applyAlignment="1">
      <alignment vertical="center" wrapText="1"/>
    </xf>
    <xf numFmtId="0" fontId="116" fillId="0" borderId="36" xfId="12" applyFont="1" applyBorder="1" applyAlignment="1">
      <alignment vertical="center" wrapText="1"/>
    </xf>
    <xf numFmtId="0" fontId="116" fillId="0" borderId="38" xfId="12" applyFont="1" applyBorder="1" applyAlignment="1">
      <alignment vertical="center" wrapText="1"/>
    </xf>
    <xf numFmtId="0" fontId="117" fillId="0" borderId="126" xfId="12" applyFont="1" applyBorder="1" applyAlignment="1">
      <alignment vertical="center" wrapText="1"/>
    </xf>
    <xf numFmtId="0" fontId="116" fillId="0" borderId="222" xfId="12" applyFont="1" applyBorder="1" applyAlignment="1">
      <alignment horizontal="left" vertical="top" wrapText="1"/>
    </xf>
    <xf numFmtId="0" fontId="116" fillId="0" borderId="223" xfId="12" applyFont="1" applyBorder="1" applyAlignment="1">
      <alignment horizontal="left" vertical="top" wrapText="1"/>
    </xf>
    <xf numFmtId="0" fontId="116" fillId="0" borderId="224" xfId="12" applyFont="1" applyBorder="1" applyAlignment="1">
      <alignment horizontal="left" vertical="top" wrapText="1"/>
    </xf>
    <xf numFmtId="0" fontId="116" fillId="0" borderId="232" xfId="12" applyFont="1" applyBorder="1" applyAlignment="1">
      <alignment horizontal="left" vertical="center" wrapText="1"/>
    </xf>
    <xf numFmtId="0" fontId="116" fillId="0" borderId="229" xfId="12" applyFont="1" applyBorder="1" applyAlignment="1">
      <alignment vertical="top" wrapText="1"/>
    </xf>
    <xf numFmtId="0" fontId="116" fillId="0" borderId="230" xfId="12" applyFont="1" applyBorder="1" applyAlignment="1">
      <alignment vertical="top" wrapText="1"/>
    </xf>
    <xf numFmtId="0" fontId="116" fillId="0" borderId="231" xfId="12" applyFont="1" applyBorder="1" applyAlignment="1">
      <alignment vertical="top" wrapText="1"/>
    </xf>
    <xf numFmtId="0" fontId="116" fillId="0" borderId="233" xfId="12" applyFont="1" applyBorder="1" applyAlignment="1">
      <alignment horizontal="center" vertical="center" wrapText="1"/>
    </xf>
    <xf numFmtId="0" fontId="116" fillId="0" borderId="232" xfId="12" applyFont="1" applyBorder="1" applyAlignment="1">
      <alignment horizontal="center" vertical="center" wrapText="1"/>
    </xf>
    <xf numFmtId="0" fontId="116" fillId="0" borderId="234" xfId="12" applyFont="1" applyBorder="1" applyAlignment="1">
      <alignment horizontal="left" vertical="center" wrapText="1"/>
    </xf>
    <xf numFmtId="0" fontId="117" fillId="0" borderId="126" xfId="12" applyFont="1" applyBorder="1" applyAlignment="1">
      <alignment horizontal="left" vertical="center" wrapText="1"/>
    </xf>
    <xf numFmtId="0" fontId="116" fillId="0" borderId="29" xfId="12" applyFont="1" applyBorder="1" applyAlignment="1">
      <alignment horizontal="center" vertical="center" wrapText="1"/>
    </xf>
    <xf numFmtId="0" fontId="116" fillId="0" borderId="30" xfId="12" applyFont="1" applyBorder="1" applyAlignment="1">
      <alignment horizontal="center" vertical="center" wrapText="1"/>
    </xf>
    <xf numFmtId="0" fontId="120" fillId="0" borderId="219" xfId="12" applyFont="1" applyBorder="1" applyAlignment="1">
      <alignment vertical="center" wrapText="1"/>
    </xf>
    <xf numFmtId="0" fontId="120" fillId="0" borderId="220" xfId="12" applyFont="1" applyBorder="1" applyAlignment="1">
      <alignment vertical="center" wrapText="1"/>
    </xf>
    <xf numFmtId="0" fontId="120" fillId="0" borderId="221" xfId="12" applyFont="1" applyBorder="1" applyAlignment="1">
      <alignment vertical="center" wrapText="1"/>
    </xf>
    <xf numFmtId="0" fontId="116" fillId="0" borderId="226" xfId="12" applyFont="1" applyBorder="1" applyAlignment="1">
      <alignment vertical="center" wrapText="1"/>
    </xf>
    <xf numFmtId="0" fontId="116" fillId="0" borderId="227" xfId="12" applyFont="1" applyBorder="1" applyAlignment="1">
      <alignment vertical="center" wrapText="1"/>
    </xf>
    <xf numFmtId="0" fontId="116" fillId="0" borderId="228" xfId="12" applyFont="1" applyBorder="1" applyAlignment="1">
      <alignment vertical="center" wrapText="1"/>
    </xf>
    <xf numFmtId="0" fontId="116" fillId="0" borderId="226" xfId="12" applyFont="1" applyBorder="1" applyAlignment="1">
      <alignment horizontal="left" vertical="center" wrapText="1" indent="7"/>
    </xf>
    <xf numFmtId="0" fontId="116" fillId="0" borderId="227" xfId="12" applyFont="1" applyBorder="1" applyAlignment="1">
      <alignment horizontal="left" vertical="center" wrapText="1" indent="7"/>
    </xf>
    <xf numFmtId="0" fontId="116" fillId="0" borderId="227" xfId="12" applyFont="1" applyBorder="1" applyAlignment="1">
      <alignment horizontal="left" vertical="center" wrapText="1" indent="1"/>
    </xf>
    <xf numFmtId="0" fontId="116" fillId="0" borderId="228" xfId="12" applyFont="1" applyBorder="1" applyAlignment="1">
      <alignment horizontal="left" vertical="center" wrapText="1" indent="1"/>
    </xf>
    <xf numFmtId="0" fontId="116" fillId="0" borderId="0" xfId="12" applyFont="1" applyAlignment="1">
      <alignment horizontal="center" vertical="center" wrapText="1"/>
    </xf>
    <xf numFmtId="0" fontId="116" fillId="0" borderId="35" xfId="12" applyFont="1" applyBorder="1" applyAlignment="1">
      <alignment horizontal="center" vertical="center" wrapText="1"/>
    </xf>
    <xf numFmtId="0" fontId="118" fillId="0" borderId="1" xfId="12" applyFont="1" applyBorder="1" applyAlignment="1">
      <alignment vertical="center" wrapText="1"/>
    </xf>
    <xf numFmtId="0" fontId="118" fillId="0" borderId="0" xfId="12" applyFont="1" applyAlignment="1">
      <alignment vertical="center" wrapText="1"/>
    </xf>
    <xf numFmtId="0" fontId="118" fillId="0" borderId="35" xfId="12" applyFont="1" applyBorder="1" applyAlignment="1">
      <alignment vertical="center" wrapText="1"/>
    </xf>
    <xf numFmtId="0" fontId="116" fillId="0" borderId="36" xfId="12" applyFont="1" applyBorder="1" applyAlignment="1">
      <alignment horizontal="center" vertical="center" wrapText="1"/>
    </xf>
    <xf numFmtId="0" fontId="116" fillId="0" borderId="37" xfId="12" applyFont="1" applyBorder="1" applyAlignment="1">
      <alignment horizontal="center" vertical="center" wrapText="1"/>
    </xf>
    <xf numFmtId="0" fontId="116" fillId="0" borderId="38" xfId="12" applyFont="1" applyBorder="1" applyAlignment="1">
      <alignment horizontal="center" vertical="center" wrapText="1"/>
    </xf>
    <xf numFmtId="0" fontId="116" fillId="0" borderId="222" xfId="12" applyFont="1" applyBorder="1" applyAlignment="1">
      <alignment horizontal="left" vertical="center" wrapText="1"/>
    </xf>
    <xf numFmtId="0" fontId="116" fillId="0" borderId="223" xfId="12" applyFont="1" applyBorder="1" applyAlignment="1">
      <alignment horizontal="left" vertical="center" wrapText="1"/>
    </xf>
    <xf numFmtId="0" fontId="116" fillId="0" borderId="223" xfId="12" applyFont="1" applyBorder="1" applyAlignment="1">
      <alignment horizontal="center" vertical="center" wrapText="1"/>
    </xf>
    <xf numFmtId="0" fontId="116" fillId="0" borderId="224" xfId="12" applyFont="1" applyBorder="1" applyAlignment="1">
      <alignment horizontal="center" vertical="center" wrapText="1"/>
    </xf>
    <xf numFmtId="0" fontId="116" fillId="0" borderId="219" xfId="12" applyFont="1" applyBorder="1" applyAlignment="1">
      <alignment horizontal="left" vertical="center" wrapText="1"/>
    </xf>
    <xf numFmtId="0" fontId="116" fillId="0" borderId="220" xfId="12" applyFont="1" applyBorder="1" applyAlignment="1">
      <alignment horizontal="left" vertical="center" wrapText="1"/>
    </xf>
    <xf numFmtId="0" fontId="116" fillId="0" borderId="220" xfId="12" applyFont="1" applyBorder="1" applyAlignment="1">
      <alignment horizontal="center" vertical="center" wrapText="1"/>
    </xf>
    <xf numFmtId="0" fontId="116" fillId="0" borderId="221" xfId="12" applyFont="1" applyBorder="1" applyAlignment="1">
      <alignment horizontal="center" vertical="center" wrapText="1"/>
    </xf>
    <xf numFmtId="0" fontId="116" fillId="0" borderId="72" xfId="12" applyFont="1" applyBorder="1" applyAlignment="1">
      <alignment horizontal="right" vertical="center" wrapText="1"/>
    </xf>
    <xf numFmtId="0" fontId="116" fillId="0" borderId="126" xfId="12" applyFont="1" applyBorder="1" applyAlignment="1">
      <alignment horizontal="right" vertical="center" wrapText="1"/>
    </xf>
  </cellXfs>
  <cellStyles count="25">
    <cellStyle name="Milliers [0] 2" xfId="1" xr:uid="{00000000-0005-0000-0000-000000000000}"/>
    <cellStyle name="Normal" xfId="0" builtinId="0"/>
    <cellStyle name="Normal 10" xfId="19" xr:uid="{00000000-0005-0000-0000-000002000000}"/>
    <cellStyle name="Normal 11" xfId="20" xr:uid="{00000000-0005-0000-0000-000003000000}"/>
    <cellStyle name="Normal 12" xfId="22" xr:uid="{00000000-0005-0000-0000-000004000000}"/>
    <cellStyle name="Normal 2" xfId="2" xr:uid="{00000000-0005-0000-0000-000005000000}"/>
    <cellStyle name="Normal 2 2" xfId="3" xr:uid="{00000000-0005-0000-0000-000006000000}"/>
    <cellStyle name="Normal 2 3" xfId="4" xr:uid="{00000000-0005-0000-0000-000007000000}"/>
    <cellStyle name="Normal 2 4" xfId="5" xr:uid="{00000000-0005-0000-0000-000008000000}"/>
    <cellStyle name="Normal 2 5" xfId="12" xr:uid="{00000000-0005-0000-0000-000009000000}"/>
    <cellStyle name="Normal 3" xfId="6" xr:uid="{00000000-0005-0000-0000-00000A000000}"/>
    <cellStyle name="Normal 3 2" xfId="7" xr:uid="{00000000-0005-0000-0000-00000B000000}"/>
    <cellStyle name="Normal 3 2 2" xfId="10" xr:uid="{00000000-0005-0000-0000-00000C000000}"/>
    <cellStyle name="Normal 3 3" xfId="11" xr:uid="{00000000-0005-0000-0000-00000D000000}"/>
    <cellStyle name="Normal 3 4" xfId="13" xr:uid="{00000000-0005-0000-0000-00000E000000}"/>
    <cellStyle name="Normal 4" xfId="8" xr:uid="{00000000-0005-0000-0000-00000F000000}"/>
    <cellStyle name="Normal 4 2" xfId="14" xr:uid="{00000000-0005-0000-0000-000010000000}"/>
    <cellStyle name="Normal 5" xfId="9" xr:uid="{00000000-0005-0000-0000-000011000000}"/>
    <cellStyle name="Normal 6" xfId="15" xr:uid="{00000000-0005-0000-0000-000012000000}"/>
    <cellStyle name="Normal 7" xfId="16" xr:uid="{00000000-0005-0000-0000-000013000000}"/>
    <cellStyle name="Normal 7 2" xfId="23" xr:uid="{00000000-0005-0000-0000-000014000000}"/>
    <cellStyle name="Normal 8" xfId="17" xr:uid="{00000000-0005-0000-0000-000015000000}"/>
    <cellStyle name="Normal 8 2" xfId="21" xr:uid="{00000000-0005-0000-0000-000016000000}"/>
    <cellStyle name="Normal 8 2 2" xfId="24" xr:uid="{A29A7B5E-A342-40AD-9519-C291909AC241}"/>
    <cellStyle name="Normal 9" xfId="18" xr:uid="{00000000-0005-0000-0000-000017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3300"/>
      <rgbColor rgb="00666699"/>
      <rgbColor rgb="00969696"/>
      <rgbColor rgb="00003366"/>
      <rgbColor rgb="00339966"/>
      <rgbColor rgb="00003300"/>
      <rgbColor rgb="00333300"/>
      <rgbColor rgb="00993300"/>
      <rgbColor rgb="00993366"/>
      <rgbColor rgb="00333399"/>
      <rgbColor rgb="00333333"/>
    </indexedColors>
    <mruColors>
      <color rgb="FF00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6.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png"/></Relationships>
</file>

<file path=xl/drawings/_rels/drawing27.xml.rels><?xml version="1.0" encoding="UTF-8" standalone="yes"?>
<Relationships xmlns="http://schemas.openxmlformats.org/package/2006/relationships"><Relationship Id="rId1" Type="http://schemas.openxmlformats.org/officeDocument/2006/relationships/image" Target="../media/image6.png"/></Relationships>
</file>

<file path=xl/drawings/_rels/drawing28.xml.rels><?xml version="1.0" encoding="UTF-8" standalone="yes"?>
<Relationships xmlns="http://schemas.openxmlformats.org/package/2006/relationships"><Relationship Id="rId1" Type="http://schemas.openxmlformats.org/officeDocument/2006/relationships/image" Target="../media/image6.png"/></Relationships>
</file>

<file path=xl/drawings/_rels/drawing29.xml.rels><?xml version="1.0" encoding="UTF-8" standalone="yes"?>
<Relationships xmlns="http://schemas.openxmlformats.org/package/2006/relationships"><Relationship Id="rId1" Type="http://schemas.openxmlformats.org/officeDocument/2006/relationships/image" Target="../media/image6.png"/></Relationships>
</file>

<file path=xl/drawings/_rels/drawing30.xml.rels><?xml version="1.0" encoding="UTF-8" standalone="yes"?>
<Relationships xmlns="http://schemas.openxmlformats.org/package/2006/relationships"><Relationship Id="rId1" Type="http://schemas.openxmlformats.org/officeDocument/2006/relationships/image" Target="../media/image6.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3.xml.rels><?xml version="1.0" encoding="UTF-8" standalone="yes"?>
<Relationships xmlns="http://schemas.openxmlformats.org/package/2006/relationships"><Relationship Id="rId1" Type="http://schemas.openxmlformats.org/officeDocument/2006/relationships/image" Target="../media/image6.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6.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6.png"/></Relationships>
</file>

<file path=xl/drawings/_rels/drawing40.xml.rels><?xml version="1.0" encoding="UTF-8" standalone="yes"?>
<Relationships xmlns="http://schemas.openxmlformats.org/package/2006/relationships"><Relationship Id="rId1" Type="http://schemas.openxmlformats.org/officeDocument/2006/relationships/image" Target="../media/image6.png"/></Relationships>
</file>

<file path=xl/drawings/_rels/drawing41.xml.rels><?xml version="1.0" encoding="UTF-8" standalone="yes"?>
<Relationships xmlns="http://schemas.openxmlformats.org/package/2006/relationships"><Relationship Id="rId1" Type="http://schemas.openxmlformats.org/officeDocument/2006/relationships/image" Target="../media/image6.png"/></Relationships>
</file>

<file path=xl/drawings/_rels/drawing42.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4.xml.rels><?xml version="1.0" encoding="UTF-8" standalone="yes"?>
<Relationships xmlns="http://schemas.openxmlformats.org/package/2006/relationships"><Relationship Id="rId1" Type="http://schemas.openxmlformats.org/officeDocument/2006/relationships/image" Target="../media/image6.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46.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47.xml.rels><?xml version="1.0" encoding="UTF-8" standalone="yes"?>
<Relationships xmlns="http://schemas.openxmlformats.org/package/2006/relationships"><Relationship Id="rId1" Type="http://schemas.openxmlformats.org/officeDocument/2006/relationships/image" Target="../media/image6.png"/></Relationships>
</file>

<file path=xl/drawings/_rels/drawing48.xml.rels><?xml version="1.0" encoding="UTF-8" standalone="yes"?>
<Relationships xmlns="http://schemas.openxmlformats.org/package/2006/relationships"><Relationship Id="rId1" Type="http://schemas.openxmlformats.org/officeDocument/2006/relationships/image" Target="../media/image6.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5" name="Imag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2" name="Imag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609600</xdr:rowOff>
    </xdr:from>
    <xdr:to>
      <xdr:col>4</xdr:col>
      <xdr:colOff>1590675</xdr:colOff>
      <xdr:row>1</xdr:row>
      <xdr:rowOff>790575</xdr:rowOff>
    </xdr:to>
    <xdr:sp macro="" textlink="">
      <xdr:nvSpPr>
        <xdr:cNvPr id="2" name="Texte 4">
          <a:extLst>
            <a:ext uri="{FF2B5EF4-FFF2-40B4-BE49-F238E27FC236}">
              <a16:creationId xmlns:a16="http://schemas.microsoft.com/office/drawing/2014/main" id="{00000000-0008-0000-0300-000002000000}"/>
            </a:ext>
          </a:extLst>
        </xdr:cNvPr>
        <xdr:cNvSpPr txBox="1">
          <a:spLocks noChangeArrowheads="1"/>
        </xdr:cNvSpPr>
      </xdr:nvSpPr>
      <xdr:spPr bwMode="auto">
        <a:xfrm>
          <a:off x="1885950" y="542925"/>
          <a:ext cx="1590675" cy="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"Ctrl+r" = Retour au sommaire</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1</xdr:row>
          <xdr:rowOff>57150</xdr:rowOff>
        </xdr:from>
        <xdr:to>
          <xdr:col>1</xdr:col>
          <xdr:colOff>609600</xdr:colOff>
          <xdr:row>1</xdr:row>
          <xdr:rowOff>333375</xdr:rowOff>
        </xdr:to>
        <xdr:sp macro="" textlink="">
          <xdr:nvSpPr>
            <xdr:cNvPr id="869377" name="cmd_onglet" hidden="1">
              <a:extLst>
                <a:ext uri="{63B3BB69-23CF-44E3-9099-C40C66FF867C}">
                  <a14:compatExt spid="_x0000_s869377"/>
                </a:ext>
                <a:ext uri="{FF2B5EF4-FFF2-40B4-BE49-F238E27FC236}">
                  <a16:creationId xmlns:a16="http://schemas.microsoft.com/office/drawing/2014/main" id="{00000000-0008-0000-0300-000001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2238375</xdr:colOff>
          <xdr:row>1</xdr:row>
          <xdr:rowOff>57150</xdr:rowOff>
        </xdr:from>
        <xdr:to>
          <xdr:col>4</xdr:col>
          <xdr:colOff>3152775</xdr:colOff>
          <xdr:row>1</xdr:row>
          <xdr:rowOff>323850</xdr:rowOff>
        </xdr:to>
        <xdr:sp macro="" textlink="">
          <xdr:nvSpPr>
            <xdr:cNvPr id="869378" name="cmd_imprimer" hidden="1">
              <a:extLst>
                <a:ext uri="{63B3BB69-23CF-44E3-9099-C40C66FF867C}">
                  <a14:compatExt spid="_x0000_s869378"/>
                </a:ext>
                <a:ext uri="{FF2B5EF4-FFF2-40B4-BE49-F238E27FC236}">
                  <a16:creationId xmlns:a16="http://schemas.microsoft.com/office/drawing/2014/main" id="{00000000-0008-0000-0300-000002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400050</xdr:colOff>
      <xdr:row>0</xdr:row>
      <xdr:rowOff>114300</xdr:rowOff>
    </xdr:from>
    <xdr:to>
      <xdr:col>10</xdr:col>
      <xdr:colOff>542925</xdr:colOff>
      <xdr:row>3</xdr:row>
      <xdr:rowOff>219075</xdr:rowOff>
    </xdr:to>
    <xdr:sp macro="" textlink="">
      <xdr:nvSpPr>
        <xdr:cNvPr id="2" name="Texte 7">
          <a:extLst>
            <a:ext uri="{FF2B5EF4-FFF2-40B4-BE49-F238E27FC236}">
              <a16:creationId xmlns:a16="http://schemas.microsoft.com/office/drawing/2014/main" id="{00000000-0008-0000-0400-000002000000}"/>
            </a:ext>
          </a:extLst>
        </xdr:cNvPr>
        <xdr:cNvSpPr>
          <a:spLocks noChangeArrowheads="1"/>
        </xdr:cNvSpPr>
      </xdr:nvSpPr>
      <xdr:spPr bwMode="auto">
        <a:xfrm>
          <a:off x="2619375" y="114300"/>
          <a:ext cx="5448300" cy="790575"/>
        </a:xfrm>
        <a:prstGeom prst="roundRect">
          <a:avLst>
            <a:gd name="adj" fmla="val 16667"/>
          </a:avLst>
        </a:prstGeom>
        <a:solidFill>
          <a:srgbClr val="FFFFFF"/>
        </a:solidFill>
        <a:ln w="17145">
          <a:solidFill>
            <a:srgbClr val="000000"/>
          </a:solidFill>
          <a:round/>
          <a:headEnd/>
          <a:tailEnd/>
        </a:ln>
      </xdr:spPr>
      <xdr:txBody>
        <a:bodyPr vertOverflow="clip" wrap="square" lIns="27432" tIns="18288" rIns="27432" bIns="18288" anchor="ctr" upright="1"/>
        <a:lstStyle/>
        <a:p>
          <a:pPr algn="ctr" rtl="0">
            <a:defRPr sz="1000"/>
          </a:pPr>
          <a:endParaRPr lang="fr-FR" sz="1000" b="0" i="0" strike="noStrike">
            <a:solidFill>
              <a:srgbClr val="000000"/>
            </a:solidFill>
            <a:latin typeface="Arial"/>
            <a:cs typeface="Arial"/>
          </a:endParaRPr>
        </a:p>
        <a:p>
          <a:pPr algn="ctr" rtl="0">
            <a:defRPr sz="1000"/>
          </a:pPr>
          <a:r>
            <a:rPr lang="fr-FR" sz="1800" b="1" i="0" strike="noStrike">
              <a:solidFill>
                <a:srgbClr val="000000"/>
              </a:solidFill>
              <a:latin typeface="Arial"/>
              <a:cs typeface="Arial"/>
            </a:rPr>
            <a:t>DOSSIER DE CHANTIER</a:t>
          </a: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xdr:txBody>
    </xdr:sp>
    <xdr:clientData/>
  </xdr:twoCellAnchor>
  <xdr:twoCellAnchor editAs="oneCell">
    <xdr:from>
      <xdr:col>0</xdr:col>
      <xdr:colOff>124067</xdr:colOff>
      <xdr:row>40</xdr:row>
      <xdr:rowOff>234525</xdr:rowOff>
    </xdr:from>
    <xdr:to>
      <xdr:col>0</xdr:col>
      <xdr:colOff>829237</xdr:colOff>
      <xdr:row>42</xdr:row>
      <xdr:rowOff>294344</xdr:rowOff>
    </xdr:to>
    <xdr:pic>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24067" y="11597290"/>
          <a:ext cx="705170" cy="754583"/>
        </a:xfrm>
        <a:prstGeom prst="rect">
          <a:avLst/>
        </a:prstGeom>
      </xdr:spPr>
    </xdr:pic>
    <xdr:clientData/>
  </xdr:twoCellAnchor>
  <xdr:twoCellAnchor editAs="oneCell">
    <xdr:from>
      <xdr:col>0</xdr:col>
      <xdr:colOff>114300</xdr:colOff>
      <xdr:row>0</xdr:row>
      <xdr:rowOff>95249</xdr:rowOff>
    </xdr:from>
    <xdr:to>
      <xdr:col>1</xdr:col>
      <xdr:colOff>684926</xdr:colOff>
      <xdr:row>4</xdr:row>
      <xdr:rowOff>9524</xdr:rowOff>
    </xdr:to>
    <xdr:pic>
      <xdr:nvPicPr>
        <xdr:cNvPr id="64" name="Image 63">
          <a:extLst>
            <a:ext uri="{FF2B5EF4-FFF2-40B4-BE49-F238E27FC236}">
              <a16:creationId xmlns:a16="http://schemas.microsoft.com/office/drawing/2014/main" id="{00000000-0008-0000-0400-00004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95249"/>
          <a:ext cx="1885076"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21</xdr:row>
      <xdr:rowOff>66675</xdr:rowOff>
    </xdr:from>
    <xdr:to>
      <xdr:col>4</xdr:col>
      <xdr:colOff>447675</xdr:colOff>
      <xdr:row>27</xdr:row>
      <xdr:rowOff>0</xdr:rowOff>
    </xdr:to>
    <xdr:sp macro="" textlink="">
      <xdr:nvSpPr>
        <xdr:cNvPr id="2" name="Oval 1">
          <a:extLst>
            <a:ext uri="{FF2B5EF4-FFF2-40B4-BE49-F238E27FC236}">
              <a16:creationId xmlns:a16="http://schemas.microsoft.com/office/drawing/2014/main" id="{00000000-0008-0000-0500-000002000000}"/>
            </a:ext>
          </a:extLst>
        </xdr:cNvPr>
        <xdr:cNvSpPr>
          <a:spLocks noChangeArrowheads="1"/>
        </xdr:cNvSpPr>
      </xdr:nvSpPr>
      <xdr:spPr bwMode="auto">
        <a:xfrm>
          <a:off x="2552700" y="3676650"/>
          <a:ext cx="942975" cy="904875"/>
        </a:xfrm>
        <a:prstGeom prst="ellipse">
          <a:avLst/>
        </a:prstGeom>
        <a:solidFill>
          <a:srgbClr val="FFFFFF"/>
        </a:solidFill>
        <a:ln w="28575">
          <a:solidFill>
            <a:srgbClr val="000000"/>
          </a:solidFill>
          <a:round/>
          <a:headEnd/>
          <a:tailEnd/>
        </a:ln>
      </xdr:spPr>
    </xdr:sp>
    <xdr:clientData/>
  </xdr:twoCellAnchor>
  <xdr:twoCellAnchor>
    <xdr:from>
      <xdr:col>2</xdr:col>
      <xdr:colOff>676275</xdr:colOff>
      <xdr:row>20</xdr:row>
      <xdr:rowOff>28575</xdr:rowOff>
    </xdr:from>
    <xdr:to>
      <xdr:col>3</xdr:col>
      <xdr:colOff>390525</xdr:colOff>
      <xdr:row>21</xdr:row>
      <xdr:rowOff>57150</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2200275" y="347662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p>
      </xdr:txBody>
    </xdr:sp>
    <xdr:clientData/>
  </xdr:twoCellAnchor>
  <xdr:twoCellAnchor>
    <xdr:from>
      <xdr:col>4</xdr:col>
      <xdr:colOff>485775</xdr:colOff>
      <xdr:row>21</xdr:row>
      <xdr:rowOff>76200</xdr:rowOff>
    </xdr:from>
    <xdr:to>
      <xdr:col>5</xdr:col>
      <xdr:colOff>200025</xdr:colOff>
      <xdr:row>22</xdr:row>
      <xdr:rowOff>104775</xdr:rowOff>
    </xdr:to>
    <xdr:sp macro="" textlink="">
      <xdr:nvSpPr>
        <xdr:cNvPr id="4" name="Text Box 3">
          <a:extLst>
            <a:ext uri="{FF2B5EF4-FFF2-40B4-BE49-F238E27FC236}">
              <a16:creationId xmlns:a16="http://schemas.microsoft.com/office/drawing/2014/main" id="{00000000-0008-0000-0500-000004000000}"/>
            </a:ext>
          </a:extLst>
        </xdr:cNvPr>
        <xdr:cNvSpPr txBox="1">
          <a:spLocks noChangeArrowheads="1"/>
        </xdr:cNvSpPr>
      </xdr:nvSpPr>
      <xdr:spPr bwMode="auto">
        <a:xfrm>
          <a:off x="3533775" y="368617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4</xdr:col>
      <xdr:colOff>428625</xdr:colOff>
      <xdr:row>25</xdr:row>
      <xdr:rowOff>114300</xdr:rowOff>
    </xdr:from>
    <xdr:to>
      <xdr:col>5</xdr:col>
      <xdr:colOff>38100</xdr:colOff>
      <xdr:row>26</xdr:row>
      <xdr:rowOff>133350</xdr:rowOff>
    </xdr:to>
    <xdr:sp macro="" textlink="">
      <xdr:nvSpPr>
        <xdr:cNvPr id="5" name="Text Box 4">
          <a:extLst>
            <a:ext uri="{FF2B5EF4-FFF2-40B4-BE49-F238E27FC236}">
              <a16:creationId xmlns:a16="http://schemas.microsoft.com/office/drawing/2014/main" id="{00000000-0008-0000-0500-000005000000}"/>
            </a:ext>
          </a:extLst>
        </xdr:cNvPr>
        <xdr:cNvSpPr txBox="1">
          <a:spLocks noChangeArrowheads="1"/>
        </xdr:cNvSpPr>
      </xdr:nvSpPr>
      <xdr:spPr bwMode="auto">
        <a:xfrm>
          <a:off x="3476625" y="4371975"/>
          <a:ext cx="371475"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200025</xdr:colOff>
      <xdr:row>27</xdr:row>
      <xdr:rowOff>76200</xdr:rowOff>
    </xdr:from>
    <xdr:to>
      <xdr:col>3</xdr:col>
      <xdr:colOff>552450</xdr:colOff>
      <xdr:row>28</xdr:row>
      <xdr:rowOff>123825</xdr:rowOff>
    </xdr:to>
    <xdr:sp macro="" textlink="">
      <xdr:nvSpPr>
        <xdr:cNvPr id="6" name="Text Box 5">
          <a:extLst>
            <a:ext uri="{FF2B5EF4-FFF2-40B4-BE49-F238E27FC236}">
              <a16:creationId xmlns:a16="http://schemas.microsoft.com/office/drawing/2014/main" id="{00000000-0008-0000-0500-000006000000}"/>
            </a:ext>
          </a:extLst>
        </xdr:cNvPr>
        <xdr:cNvSpPr txBox="1">
          <a:spLocks noChangeArrowheads="1"/>
        </xdr:cNvSpPr>
      </xdr:nvSpPr>
      <xdr:spPr bwMode="auto">
        <a:xfrm>
          <a:off x="2486025" y="4657725"/>
          <a:ext cx="352425" cy="2095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0</xdr:col>
      <xdr:colOff>104775</xdr:colOff>
      <xdr:row>17</xdr:row>
      <xdr:rowOff>142875</xdr:rowOff>
    </xdr:from>
    <xdr:to>
      <xdr:col>2</xdr:col>
      <xdr:colOff>647700</xdr:colOff>
      <xdr:row>19</xdr:row>
      <xdr:rowOff>76200</xdr:rowOff>
    </xdr:to>
    <xdr:sp macro="" textlink="">
      <xdr:nvSpPr>
        <xdr:cNvPr id="7" name="Text Box 6">
          <a:extLst>
            <a:ext uri="{FF2B5EF4-FFF2-40B4-BE49-F238E27FC236}">
              <a16:creationId xmlns:a16="http://schemas.microsoft.com/office/drawing/2014/main" id="{00000000-0008-0000-0500-000007000000}"/>
            </a:ext>
          </a:extLst>
        </xdr:cNvPr>
        <xdr:cNvSpPr txBox="1">
          <a:spLocks noChangeArrowheads="1"/>
        </xdr:cNvSpPr>
      </xdr:nvSpPr>
      <xdr:spPr bwMode="auto">
        <a:xfrm>
          <a:off x="104775" y="3105150"/>
          <a:ext cx="2066925" cy="2571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 L.G.D et régional en terre</a:t>
          </a:r>
        </a:p>
      </xdr:txBody>
    </xdr:sp>
    <xdr:clientData/>
  </xdr:twoCellAnchor>
  <xdr:twoCellAnchor>
    <xdr:from>
      <xdr:col>2</xdr:col>
      <xdr:colOff>123825</xdr:colOff>
      <xdr:row>19</xdr:row>
      <xdr:rowOff>152400</xdr:rowOff>
    </xdr:from>
    <xdr:to>
      <xdr:col>2</xdr:col>
      <xdr:colOff>371475</xdr:colOff>
      <xdr:row>21</xdr:row>
      <xdr:rowOff>95250</xdr:rowOff>
    </xdr:to>
    <xdr:sp macro="" textlink="">
      <xdr:nvSpPr>
        <xdr:cNvPr id="8" name="Oval 7">
          <a:extLst>
            <a:ext uri="{FF2B5EF4-FFF2-40B4-BE49-F238E27FC236}">
              <a16:creationId xmlns:a16="http://schemas.microsoft.com/office/drawing/2014/main" id="{00000000-0008-0000-0500-000008000000}"/>
            </a:ext>
          </a:extLst>
        </xdr:cNvPr>
        <xdr:cNvSpPr>
          <a:spLocks noChangeArrowheads="1"/>
        </xdr:cNvSpPr>
      </xdr:nvSpPr>
      <xdr:spPr bwMode="auto">
        <a:xfrm>
          <a:off x="1647825" y="3438525"/>
          <a:ext cx="247650" cy="266700"/>
        </a:xfrm>
        <a:prstGeom prst="ellipse">
          <a:avLst/>
        </a:prstGeom>
        <a:solidFill>
          <a:srgbClr val="969696"/>
        </a:solidFill>
        <a:ln w="9525">
          <a:solidFill>
            <a:srgbClr val="000000"/>
          </a:solidFill>
          <a:round/>
          <a:headEnd/>
          <a:tailEnd/>
        </a:ln>
      </xdr:spPr>
    </xdr:sp>
    <xdr:clientData/>
  </xdr:twoCellAnchor>
  <xdr:twoCellAnchor>
    <xdr:from>
      <xdr:col>3</xdr:col>
      <xdr:colOff>457200</xdr:colOff>
      <xdr:row>29</xdr:row>
      <xdr:rowOff>28575</xdr:rowOff>
    </xdr:from>
    <xdr:to>
      <xdr:col>3</xdr:col>
      <xdr:colOff>714375</xdr:colOff>
      <xdr:row>30</xdr:row>
      <xdr:rowOff>114300</xdr:rowOff>
    </xdr:to>
    <xdr:sp macro="" textlink="">
      <xdr:nvSpPr>
        <xdr:cNvPr id="9" name="Oval 8">
          <a:extLst>
            <a:ext uri="{FF2B5EF4-FFF2-40B4-BE49-F238E27FC236}">
              <a16:creationId xmlns:a16="http://schemas.microsoft.com/office/drawing/2014/main" id="{00000000-0008-0000-0500-000009000000}"/>
            </a:ext>
          </a:extLst>
        </xdr:cNvPr>
        <xdr:cNvSpPr>
          <a:spLocks noChangeArrowheads="1"/>
        </xdr:cNvSpPr>
      </xdr:nvSpPr>
      <xdr:spPr bwMode="auto">
        <a:xfrm>
          <a:off x="2743200" y="4933950"/>
          <a:ext cx="257175" cy="247650"/>
        </a:xfrm>
        <a:prstGeom prst="ellipse">
          <a:avLst/>
        </a:prstGeom>
        <a:solidFill>
          <a:srgbClr val="969696"/>
        </a:solidFill>
        <a:ln w="9525">
          <a:solidFill>
            <a:srgbClr val="000000"/>
          </a:solidFill>
          <a:round/>
          <a:headEnd/>
          <a:tailEnd/>
        </a:ln>
      </xdr:spPr>
    </xdr:sp>
    <xdr:clientData/>
  </xdr:twoCellAnchor>
  <xdr:twoCellAnchor>
    <xdr:from>
      <xdr:col>4</xdr:col>
      <xdr:colOff>390525</xdr:colOff>
      <xdr:row>18</xdr:row>
      <xdr:rowOff>152400</xdr:rowOff>
    </xdr:from>
    <xdr:to>
      <xdr:col>4</xdr:col>
      <xdr:colOff>638175</xdr:colOff>
      <xdr:row>20</xdr:row>
      <xdr:rowOff>95250</xdr:rowOff>
    </xdr:to>
    <xdr:sp macro="" textlink="">
      <xdr:nvSpPr>
        <xdr:cNvPr id="10" name="Oval 9">
          <a:extLst>
            <a:ext uri="{FF2B5EF4-FFF2-40B4-BE49-F238E27FC236}">
              <a16:creationId xmlns:a16="http://schemas.microsoft.com/office/drawing/2014/main" id="{00000000-0008-0000-0500-00000A000000}"/>
            </a:ext>
          </a:extLst>
        </xdr:cNvPr>
        <xdr:cNvSpPr>
          <a:spLocks noChangeArrowheads="1"/>
        </xdr:cNvSpPr>
      </xdr:nvSpPr>
      <xdr:spPr bwMode="auto">
        <a:xfrm>
          <a:off x="3438525" y="3276600"/>
          <a:ext cx="247650" cy="266700"/>
        </a:xfrm>
        <a:prstGeom prst="ellipse">
          <a:avLst/>
        </a:prstGeom>
        <a:solidFill>
          <a:srgbClr val="969696"/>
        </a:solidFill>
        <a:ln w="9525">
          <a:solidFill>
            <a:srgbClr val="000000"/>
          </a:solidFill>
          <a:round/>
          <a:headEnd/>
          <a:tailEnd/>
        </a:ln>
      </xdr:spPr>
    </xdr:sp>
    <xdr:clientData/>
  </xdr:twoCellAnchor>
  <xdr:twoCellAnchor>
    <xdr:from>
      <xdr:col>5</xdr:col>
      <xdr:colOff>47625</xdr:colOff>
      <xdr:row>25</xdr:row>
      <xdr:rowOff>28575</xdr:rowOff>
    </xdr:from>
    <xdr:to>
      <xdr:col>5</xdr:col>
      <xdr:colOff>304800</xdr:colOff>
      <xdr:row>26</xdr:row>
      <xdr:rowOff>114300</xdr:rowOff>
    </xdr:to>
    <xdr:sp macro="" textlink="">
      <xdr:nvSpPr>
        <xdr:cNvPr id="11" name="Oval 10">
          <a:extLst>
            <a:ext uri="{FF2B5EF4-FFF2-40B4-BE49-F238E27FC236}">
              <a16:creationId xmlns:a16="http://schemas.microsoft.com/office/drawing/2014/main" id="{00000000-0008-0000-0500-00000B000000}"/>
            </a:ext>
          </a:extLst>
        </xdr:cNvPr>
        <xdr:cNvSpPr>
          <a:spLocks noChangeArrowheads="1"/>
        </xdr:cNvSpPr>
      </xdr:nvSpPr>
      <xdr:spPr bwMode="auto">
        <a:xfrm>
          <a:off x="3857625" y="4286250"/>
          <a:ext cx="257175" cy="247650"/>
        </a:xfrm>
        <a:prstGeom prst="ellipse">
          <a:avLst/>
        </a:prstGeom>
        <a:solidFill>
          <a:srgbClr val="969696"/>
        </a:solidFill>
        <a:ln w="9525">
          <a:solidFill>
            <a:srgbClr val="000000"/>
          </a:solidFill>
          <a:round/>
          <a:headEnd/>
          <a:tailEnd/>
        </a:ln>
      </xdr:spPr>
    </xdr:sp>
    <xdr:clientData/>
  </xdr:twoCellAnchor>
  <xdr:twoCellAnchor>
    <xdr:from>
      <xdr:col>1</xdr:col>
      <xdr:colOff>28575</xdr:colOff>
      <xdr:row>27</xdr:row>
      <xdr:rowOff>152400</xdr:rowOff>
    </xdr:from>
    <xdr:to>
      <xdr:col>1</xdr:col>
      <xdr:colOff>314325</xdr:colOff>
      <xdr:row>29</xdr:row>
      <xdr:rowOff>95250</xdr:rowOff>
    </xdr:to>
    <xdr:sp macro="" textlink="">
      <xdr:nvSpPr>
        <xdr:cNvPr id="12" name="Oval 11">
          <a:extLst>
            <a:ext uri="{FF2B5EF4-FFF2-40B4-BE49-F238E27FC236}">
              <a16:creationId xmlns:a16="http://schemas.microsoft.com/office/drawing/2014/main" id="{00000000-0008-0000-0500-00000C000000}"/>
            </a:ext>
          </a:extLst>
        </xdr:cNvPr>
        <xdr:cNvSpPr>
          <a:spLocks noChangeArrowheads="1"/>
        </xdr:cNvSpPr>
      </xdr:nvSpPr>
      <xdr:spPr bwMode="auto">
        <a:xfrm>
          <a:off x="790575" y="4733925"/>
          <a:ext cx="285750" cy="266700"/>
        </a:xfrm>
        <a:prstGeom prst="ellipse">
          <a:avLst/>
        </a:prstGeom>
        <a:solidFill>
          <a:srgbClr val="969696"/>
        </a:solidFill>
        <a:ln w="9525">
          <a:solidFill>
            <a:srgbClr val="000000"/>
          </a:solidFill>
          <a:round/>
          <a:headEnd/>
          <a:tailEnd/>
        </a:ln>
      </xdr:spPr>
    </xdr:sp>
    <xdr:clientData/>
  </xdr:twoCellAnchor>
  <xdr:twoCellAnchor>
    <xdr:from>
      <xdr:col>2</xdr:col>
      <xdr:colOff>371475</xdr:colOff>
      <xdr:row>21</xdr:row>
      <xdr:rowOff>9525</xdr:rowOff>
    </xdr:from>
    <xdr:to>
      <xdr:col>3</xdr:col>
      <xdr:colOff>371475</xdr:colOff>
      <xdr:row>22</xdr:row>
      <xdr:rowOff>104775</xdr:rowOff>
    </xdr:to>
    <xdr:sp macro="" textlink="">
      <xdr:nvSpPr>
        <xdr:cNvPr id="13" name="Line 12">
          <a:extLst>
            <a:ext uri="{FF2B5EF4-FFF2-40B4-BE49-F238E27FC236}">
              <a16:creationId xmlns:a16="http://schemas.microsoft.com/office/drawing/2014/main" id="{00000000-0008-0000-0500-00000D000000}"/>
            </a:ext>
          </a:extLst>
        </xdr:cNvPr>
        <xdr:cNvSpPr>
          <a:spLocks noChangeShapeType="1"/>
        </xdr:cNvSpPr>
      </xdr:nvSpPr>
      <xdr:spPr bwMode="auto">
        <a:xfrm>
          <a:off x="1895475" y="3619500"/>
          <a:ext cx="76200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20</xdr:row>
      <xdr:rowOff>76200</xdr:rowOff>
    </xdr:from>
    <xdr:to>
      <xdr:col>4</xdr:col>
      <xdr:colOff>419100</xdr:colOff>
      <xdr:row>22</xdr:row>
      <xdr:rowOff>0</xdr:rowOff>
    </xdr:to>
    <xdr:sp macro="" textlink="">
      <xdr:nvSpPr>
        <xdr:cNvPr id="14" name="Line 13">
          <a:extLst>
            <a:ext uri="{FF2B5EF4-FFF2-40B4-BE49-F238E27FC236}">
              <a16:creationId xmlns:a16="http://schemas.microsoft.com/office/drawing/2014/main" id="{00000000-0008-0000-0500-00000E000000}"/>
            </a:ext>
          </a:extLst>
        </xdr:cNvPr>
        <xdr:cNvSpPr>
          <a:spLocks noChangeShapeType="1"/>
        </xdr:cNvSpPr>
      </xdr:nvSpPr>
      <xdr:spPr bwMode="auto">
        <a:xfrm flipH="1">
          <a:off x="3343275" y="3524250"/>
          <a:ext cx="123825"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419100</xdr:colOff>
      <xdr:row>24</xdr:row>
      <xdr:rowOff>104775</xdr:rowOff>
    </xdr:from>
    <xdr:to>
      <xdr:col>5</xdr:col>
      <xdr:colOff>57150</xdr:colOff>
      <xdr:row>25</xdr:row>
      <xdr:rowOff>66675</xdr:rowOff>
    </xdr:to>
    <xdr:sp macro="" textlink="">
      <xdr:nvSpPr>
        <xdr:cNvPr id="15" name="Line 14">
          <a:extLst>
            <a:ext uri="{FF2B5EF4-FFF2-40B4-BE49-F238E27FC236}">
              <a16:creationId xmlns:a16="http://schemas.microsoft.com/office/drawing/2014/main" id="{00000000-0008-0000-0500-00000F000000}"/>
            </a:ext>
          </a:extLst>
        </xdr:cNvPr>
        <xdr:cNvSpPr>
          <a:spLocks noChangeShapeType="1"/>
        </xdr:cNvSpPr>
      </xdr:nvSpPr>
      <xdr:spPr bwMode="auto">
        <a:xfrm>
          <a:off x="3467100" y="4200525"/>
          <a:ext cx="4000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609600</xdr:colOff>
      <xdr:row>26</xdr:row>
      <xdr:rowOff>142875</xdr:rowOff>
    </xdr:from>
    <xdr:to>
      <xdr:col>3</xdr:col>
      <xdr:colOff>638175</xdr:colOff>
      <xdr:row>29</xdr:row>
      <xdr:rowOff>28575</xdr:rowOff>
    </xdr:to>
    <xdr:sp macro="" textlink="">
      <xdr:nvSpPr>
        <xdr:cNvPr id="16" name="Line 15">
          <a:extLst>
            <a:ext uri="{FF2B5EF4-FFF2-40B4-BE49-F238E27FC236}">
              <a16:creationId xmlns:a16="http://schemas.microsoft.com/office/drawing/2014/main" id="{00000000-0008-0000-0500-000010000000}"/>
            </a:ext>
          </a:extLst>
        </xdr:cNvPr>
        <xdr:cNvSpPr>
          <a:spLocks noChangeShapeType="1"/>
        </xdr:cNvSpPr>
      </xdr:nvSpPr>
      <xdr:spPr bwMode="auto">
        <a:xfrm flipV="1">
          <a:off x="2895600" y="4562475"/>
          <a:ext cx="28575"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25</xdr:row>
      <xdr:rowOff>114300</xdr:rowOff>
    </xdr:from>
    <xdr:to>
      <xdr:col>3</xdr:col>
      <xdr:colOff>333375</xdr:colOff>
      <xdr:row>28</xdr:row>
      <xdr:rowOff>66675</xdr:rowOff>
    </xdr:to>
    <xdr:sp macro="" textlink="">
      <xdr:nvSpPr>
        <xdr:cNvPr id="17" name="Line 16">
          <a:extLst>
            <a:ext uri="{FF2B5EF4-FFF2-40B4-BE49-F238E27FC236}">
              <a16:creationId xmlns:a16="http://schemas.microsoft.com/office/drawing/2014/main" id="{00000000-0008-0000-0500-000011000000}"/>
            </a:ext>
          </a:extLst>
        </xdr:cNvPr>
        <xdr:cNvSpPr>
          <a:spLocks noChangeShapeType="1"/>
        </xdr:cNvSpPr>
      </xdr:nvSpPr>
      <xdr:spPr bwMode="auto">
        <a:xfrm flipV="1">
          <a:off x="1085850" y="4371975"/>
          <a:ext cx="1533525" cy="438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29</xdr:row>
      <xdr:rowOff>104775</xdr:rowOff>
    </xdr:from>
    <xdr:to>
      <xdr:col>3</xdr:col>
      <xdr:colOff>428625</xdr:colOff>
      <xdr:row>31</xdr:row>
      <xdr:rowOff>152400</xdr:rowOff>
    </xdr:to>
    <xdr:sp macro="" textlink="">
      <xdr:nvSpPr>
        <xdr:cNvPr id="18" name="Text Box 17">
          <a:extLst>
            <a:ext uri="{FF2B5EF4-FFF2-40B4-BE49-F238E27FC236}">
              <a16:creationId xmlns:a16="http://schemas.microsoft.com/office/drawing/2014/main" id="{00000000-0008-0000-0500-000012000000}"/>
            </a:ext>
          </a:extLst>
        </xdr:cNvPr>
        <xdr:cNvSpPr txBox="1">
          <a:spLocks noChangeArrowheads="1"/>
        </xdr:cNvSpPr>
      </xdr:nvSpPr>
      <xdr:spPr bwMode="auto">
        <a:xfrm>
          <a:off x="2286000" y="5010150"/>
          <a:ext cx="428625" cy="3714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Fluide divers </a:t>
          </a:r>
          <a:r>
            <a:rPr lang="fr-FR" sz="1000" b="1" i="0" strike="noStrike">
              <a:solidFill>
                <a:srgbClr val="000000"/>
              </a:solidFill>
              <a:latin typeface="Arial"/>
              <a:cs typeface="Arial"/>
            </a:rPr>
            <a:t>*</a:t>
          </a:r>
        </a:p>
      </xdr:txBody>
    </xdr:sp>
    <xdr:clientData/>
  </xdr:twoCellAnchor>
  <xdr:twoCellAnchor>
    <xdr:from>
      <xdr:col>4</xdr:col>
      <xdr:colOff>523875</xdr:colOff>
      <xdr:row>27</xdr:row>
      <xdr:rowOff>0</xdr:rowOff>
    </xdr:from>
    <xdr:to>
      <xdr:col>6</xdr:col>
      <xdr:colOff>619125</xdr:colOff>
      <xdr:row>28</xdr:row>
      <xdr:rowOff>28575</xdr:rowOff>
    </xdr:to>
    <xdr:sp macro="" textlink="">
      <xdr:nvSpPr>
        <xdr:cNvPr id="19" name="Text Box 18">
          <a:extLst>
            <a:ext uri="{FF2B5EF4-FFF2-40B4-BE49-F238E27FC236}">
              <a16:creationId xmlns:a16="http://schemas.microsoft.com/office/drawing/2014/main" id="{00000000-0008-0000-0500-000013000000}"/>
            </a:ext>
          </a:extLst>
        </xdr:cNvPr>
        <xdr:cNvSpPr txBox="1">
          <a:spLocks noChangeArrowheads="1"/>
        </xdr:cNvSpPr>
      </xdr:nvSpPr>
      <xdr:spPr bwMode="auto">
        <a:xfrm>
          <a:off x="3571875" y="4581525"/>
          <a:ext cx="148590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HTB/ HTA , BT , </a:t>
          </a:r>
          <a:r>
            <a:rPr lang="fr-FR" sz="1000" b="1" i="0" strike="noStrike">
              <a:solidFill>
                <a:srgbClr val="000000"/>
              </a:solidFill>
              <a:latin typeface="Arial"/>
              <a:cs typeface="Arial"/>
            </a:rPr>
            <a:t>EcP</a:t>
          </a:r>
          <a:r>
            <a:rPr lang="fr-FR" sz="1000" b="0" i="0" strike="noStrike">
              <a:solidFill>
                <a:srgbClr val="000000"/>
              </a:solidFill>
              <a:latin typeface="Arial"/>
              <a:cs typeface="Arial"/>
            </a:rPr>
            <a:t> </a:t>
          </a:r>
          <a:r>
            <a:rPr lang="fr-FR" sz="1000" b="1" i="0" strike="noStrike">
              <a:solidFill>
                <a:srgbClr val="000000"/>
              </a:solidFill>
              <a:latin typeface="Arial"/>
              <a:cs typeface="Arial"/>
            </a:rPr>
            <a:t>**</a:t>
          </a:r>
        </a:p>
      </xdr:txBody>
    </xdr:sp>
    <xdr:clientData/>
  </xdr:twoCellAnchor>
  <xdr:twoCellAnchor>
    <xdr:from>
      <xdr:col>0</xdr:col>
      <xdr:colOff>200025</xdr:colOff>
      <xdr:row>29</xdr:row>
      <xdr:rowOff>123825</xdr:rowOff>
    </xdr:from>
    <xdr:to>
      <xdr:col>1</xdr:col>
      <xdr:colOff>514350</xdr:colOff>
      <xdr:row>31</xdr:row>
      <xdr:rowOff>38100</xdr:rowOff>
    </xdr:to>
    <xdr:sp macro="" textlink="">
      <xdr:nvSpPr>
        <xdr:cNvPr id="20" name="Text Box 19">
          <a:extLst>
            <a:ext uri="{FF2B5EF4-FFF2-40B4-BE49-F238E27FC236}">
              <a16:creationId xmlns:a16="http://schemas.microsoft.com/office/drawing/2014/main" id="{00000000-0008-0000-0500-000014000000}"/>
            </a:ext>
          </a:extLst>
        </xdr:cNvPr>
        <xdr:cNvSpPr txBox="1">
          <a:spLocks noChangeArrowheads="1"/>
        </xdr:cNvSpPr>
      </xdr:nvSpPr>
      <xdr:spPr bwMode="auto">
        <a:xfrm>
          <a:off x="200025" y="5029200"/>
          <a:ext cx="1076325" cy="23812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3</xdr:col>
      <xdr:colOff>419100</xdr:colOff>
      <xdr:row>22</xdr:row>
      <xdr:rowOff>28575</xdr:rowOff>
    </xdr:from>
    <xdr:to>
      <xdr:col>4</xdr:col>
      <xdr:colOff>323850</xdr:colOff>
      <xdr:row>26</xdr:row>
      <xdr:rowOff>66675</xdr:rowOff>
    </xdr:to>
    <xdr:sp macro="" textlink="">
      <xdr:nvSpPr>
        <xdr:cNvPr id="21" name="Text Box 20">
          <a:extLst>
            <a:ext uri="{FF2B5EF4-FFF2-40B4-BE49-F238E27FC236}">
              <a16:creationId xmlns:a16="http://schemas.microsoft.com/office/drawing/2014/main" id="{00000000-0008-0000-0500-000015000000}"/>
            </a:ext>
          </a:extLst>
        </xdr:cNvPr>
        <xdr:cNvSpPr txBox="1">
          <a:spLocks noChangeArrowheads="1"/>
        </xdr:cNvSpPr>
      </xdr:nvSpPr>
      <xdr:spPr bwMode="auto">
        <a:xfrm>
          <a:off x="2705100" y="3800475"/>
          <a:ext cx="666750" cy="685800"/>
        </a:xfrm>
        <a:prstGeom prst="rect">
          <a:avLst/>
        </a:prstGeom>
        <a:noFill/>
        <a:ln w="9525">
          <a:no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GAZ ou</a:t>
          </a:r>
        </a:p>
        <a:p>
          <a:pPr algn="ctr" rtl="1">
            <a:defRPr sz="1000"/>
          </a:pPr>
          <a:r>
            <a:rPr lang="fr-FR" sz="1000" b="1" i="0" strike="noStrike">
              <a:solidFill>
                <a:srgbClr val="000000"/>
              </a:solidFill>
              <a:latin typeface="Arial"/>
              <a:cs typeface="Arial"/>
            </a:rPr>
            <a:t>CÂBLE </a:t>
          </a:r>
        </a:p>
        <a:p>
          <a:pPr algn="ctr" rtl="1">
            <a:defRPr sz="1000"/>
          </a:pPr>
          <a:r>
            <a:rPr lang="fr-FR" sz="1000" b="1" i="0" strike="noStrike">
              <a:solidFill>
                <a:srgbClr val="000000"/>
              </a:solidFill>
              <a:latin typeface="Arial"/>
              <a:cs typeface="Arial"/>
            </a:rPr>
            <a:t>BT  HTA HTB</a:t>
          </a:r>
        </a:p>
      </xdr:txBody>
    </xdr:sp>
    <xdr:clientData/>
  </xdr:twoCellAnchor>
  <xdr:twoCellAnchor>
    <xdr:from>
      <xdr:col>2</xdr:col>
      <xdr:colOff>0</xdr:colOff>
      <xdr:row>25</xdr:row>
      <xdr:rowOff>76200</xdr:rowOff>
    </xdr:from>
    <xdr:to>
      <xdr:col>2</xdr:col>
      <xdr:colOff>361950</xdr:colOff>
      <xdr:row>26</xdr:row>
      <xdr:rowOff>95250</xdr:rowOff>
    </xdr:to>
    <xdr:sp macro="" textlink="">
      <xdr:nvSpPr>
        <xdr:cNvPr id="22" name="Text Box 21">
          <a:extLst>
            <a:ext uri="{FF2B5EF4-FFF2-40B4-BE49-F238E27FC236}">
              <a16:creationId xmlns:a16="http://schemas.microsoft.com/office/drawing/2014/main" id="{00000000-0008-0000-0500-000016000000}"/>
            </a:ext>
          </a:extLst>
        </xdr:cNvPr>
        <xdr:cNvSpPr txBox="1">
          <a:spLocks noChangeArrowheads="1"/>
        </xdr:cNvSpPr>
      </xdr:nvSpPr>
      <xdr:spPr bwMode="auto">
        <a:xfrm>
          <a:off x="1524000" y="4333875"/>
          <a:ext cx="361950"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1,50</a:t>
          </a:r>
        </a:p>
      </xdr:txBody>
    </xdr:sp>
    <xdr:clientData/>
  </xdr:twoCellAnchor>
  <xdr:twoCellAnchor editAs="oneCell">
    <xdr:from>
      <xdr:col>5</xdr:col>
      <xdr:colOff>219075</xdr:colOff>
      <xdr:row>20</xdr:row>
      <xdr:rowOff>28575</xdr:rowOff>
    </xdr:from>
    <xdr:to>
      <xdr:col>5</xdr:col>
      <xdr:colOff>314325</xdr:colOff>
      <xdr:row>21</xdr:row>
      <xdr:rowOff>66675</xdr:rowOff>
    </xdr:to>
    <xdr:sp macro="" textlink="">
      <xdr:nvSpPr>
        <xdr:cNvPr id="23" name="Text Box 22">
          <a:extLst>
            <a:ext uri="{FF2B5EF4-FFF2-40B4-BE49-F238E27FC236}">
              <a16:creationId xmlns:a16="http://schemas.microsoft.com/office/drawing/2014/main" id="{00000000-0008-0000-0500-000017000000}"/>
            </a:ext>
          </a:extLst>
        </xdr:cNvPr>
        <xdr:cNvSpPr txBox="1">
          <a:spLocks noChangeArrowheads="1"/>
        </xdr:cNvSpPr>
      </xdr:nvSpPr>
      <xdr:spPr bwMode="auto">
        <a:xfrm>
          <a:off x="4029075" y="3476625"/>
          <a:ext cx="952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676275</xdr:colOff>
      <xdr:row>16</xdr:row>
      <xdr:rowOff>95250</xdr:rowOff>
    </xdr:from>
    <xdr:to>
      <xdr:col>6</xdr:col>
      <xdr:colOff>542925</xdr:colOff>
      <xdr:row>18</xdr:row>
      <xdr:rowOff>66675</xdr:rowOff>
    </xdr:to>
    <xdr:sp macro="" textlink="">
      <xdr:nvSpPr>
        <xdr:cNvPr id="24" name="Text Box 23">
          <a:extLst>
            <a:ext uri="{FF2B5EF4-FFF2-40B4-BE49-F238E27FC236}">
              <a16:creationId xmlns:a16="http://schemas.microsoft.com/office/drawing/2014/main" id="{00000000-0008-0000-0500-000018000000}"/>
            </a:ext>
          </a:extLst>
        </xdr:cNvPr>
        <xdr:cNvSpPr txBox="1">
          <a:spLocks noChangeArrowheads="1"/>
        </xdr:cNvSpPr>
      </xdr:nvSpPr>
      <xdr:spPr bwMode="auto">
        <a:xfrm>
          <a:off x="2962275" y="2895600"/>
          <a:ext cx="2019300" cy="2952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Télécom.Régional (sous fourreaux)</a:t>
          </a:r>
        </a:p>
      </xdr:txBody>
    </xdr:sp>
    <xdr:clientData/>
  </xdr:twoCellAnchor>
  <xdr:twoCellAnchor>
    <xdr:from>
      <xdr:col>0</xdr:col>
      <xdr:colOff>161925</xdr:colOff>
      <xdr:row>41</xdr:row>
      <xdr:rowOff>38100</xdr:rowOff>
    </xdr:from>
    <xdr:to>
      <xdr:col>4</xdr:col>
      <xdr:colOff>657225</xdr:colOff>
      <xdr:row>44</xdr:row>
      <xdr:rowOff>47625</xdr:rowOff>
    </xdr:to>
    <xdr:sp macro="" textlink="">
      <xdr:nvSpPr>
        <xdr:cNvPr id="25" name="AutoShape 24">
          <a:extLst>
            <a:ext uri="{FF2B5EF4-FFF2-40B4-BE49-F238E27FC236}">
              <a16:creationId xmlns:a16="http://schemas.microsoft.com/office/drawing/2014/main" id="{00000000-0008-0000-0500-000019000000}"/>
            </a:ext>
          </a:extLst>
        </xdr:cNvPr>
        <xdr:cNvSpPr>
          <a:spLocks noChangeArrowheads="1"/>
        </xdr:cNvSpPr>
      </xdr:nvSpPr>
      <xdr:spPr bwMode="auto">
        <a:xfrm rot="5400000">
          <a:off x="1685925" y="5381625"/>
          <a:ext cx="495300" cy="3543300"/>
        </a:xfrm>
        <a:prstGeom prst="can">
          <a:avLst>
            <a:gd name="adj" fmla="val 112772"/>
          </a:avLst>
        </a:prstGeom>
        <a:solidFill>
          <a:srgbClr val="FFFFFF"/>
        </a:solidFill>
        <a:ln w="9525">
          <a:solidFill>
            <a:srgbClr val="000000"/>
          </a:solidFill>
          <a:round/>
          <a:headEnd/>
          <a:tailEnd/>
        </a:ln>
      </xdr:spPr>
    </xdr:sp>
    <xdr:clientData/>
  </xdr:twoCellAnchor>
  <xdr:twoCellAnchor>
    <xdr:from>
      <xdr:col>4</xdr:col>
      <xdr:colOff>219075</xdr:colOff>
      <xdr:row>41</xdr:row>
      <xdr:rowOff>104775</xdr:rowOff>
    </xdr:from>
    <xdr:to>
      <xdr:col>4</xdr:col>
      <xdr:colOff>381000</xdr:colOff>
      <xdr:row>42</xdr:row>
      <xdr:rowOff>104775</xdr:rowOff>
    </xdr:to>
    <xdr:sp macro="" textlink="">
      <xdr:nvSpPr>
        <xdr:cNvPr id="26" name="Oval 25">
          <a:extLst>
            <a:ext uri="{FF2B5EF4-FFF2-40B4-BE49-F238E27FC236}">
              <a16:creationId xmlns:a16="http://schemas.microsoft.com/office/drawing/2014/main" id="{00000000-0008-0000-0500-00001A000000}"/>
            </a:ext>
          </a:extLst>
        </xdr:cNvPr>
        <xdr:cNvSpPr>
          <a:spLocks noChangeArrowheads="1"/>
        </xdr:cNvSpPr>
      </xdr:nvSpPr>
      <xdr:spPr bwMode="auto">
        <a:xfrm flipH="1">
          <a:off x="3267075" y="6972300"/>
          <a:ext cx="161925" cy="161925"/>
        </a:xfrm>
        <a:prstGeom prst="ellipse">
          <a:avLst/>
        </a:prstGeom>
        <a:solidFill>
          <a:srgbClr val="FFFFFF"/>
        </a:solidFill>
        <a:ln w="9525">
          <a:solidFill>
            <a:srgbClr val="000000"/>
          </a:solidFill>
          <a:round/>
          <a:headEnd/>
          <a:tailEnd/>
        </a:ln>
      </xdr:spPr>
    </xdr:sp>
    <xdr:clientData/>
  </xdr:twoCellAnchor>
  <xdr:twoCellAnchor>
    <xdr:from>
      <xdr:col>4</xdr:col>
      <xdr:colOff>428625</xdr:colOff>
      <xdr:row>42</xdr:row>
      <xdr:rowOff>66675</xdr:rowOff>
    </xdr:from>
    <xdr:to>
      <xdr:col>4</xdr:col>
      <xdr:colOff>609600</xdr:colOff>
      <xdr:row>43</xdr:row>
      <xdr:rowOff>76200</xdr:rowOff>
    </xdr:to>
    <xdr:sp macro="" textlink="">
      <xdr:nvSpPr>
        <xdr:cNvPr id="27" name="Oval 26">
          <a:extLst>
            <a:ext uri="{FF2B5EF4-FFF2-40B4-BE49-F238E27FC236}">
              <a16:creationId xmlns:a16="http://schemas.microsoft.com/office/drawing/2014/main" id="{00000000-0008-0000-0500-00001B000000}"/>
            </a:ext>
          </a:extLst>
        </xdr:cNvPr>
        <xdr:cNvSpPr>
          <a:spLocks noChangeArrowheads="1"/>
        </xdr:cNvSpPr>
      </xdr:nvSpPr>
      <xdr:spPr bwMode="auto">
        <a:xfrm>
          <a:off x="3476625" y="7096125"/>
          <a:ext cx="180975" cy="171450"/>
        </a:xfrm>
        <a:prstGeom prst="ellipse">
          <a:avLst/>
        </a:prstGeom>
        <a:solidFill>
          <a:srgbClr val="FFFFFF"/>
        </a:solidFill>
        <a:ln w="9525">
          <a:solidFill>
            <a:srgbClr val="000000"/>
          </a:solidFill>
          <a:round/>
          <a:headEnd/>
          <a:tailEnd/>
        </a:ln>
      </xdr:spPr>
    </xdr:sp>
    <xdr:clientData/>
  </xdr:twoCellAnchor>
  <xdr:twoCellAnchor>
    <xdr:from>
      <xdr:col>4</xdr:col>
      <xdr:colOff>219075</xdr:colOff>
      <xdr:row>42</xdr:row>
      <xdr:rowOff>142875</xdr:rowOff>
    </xdr:from>
    <xdr:to>
      <xdr:col>4</xdr:col>
      <xdr:colOff>409575</xdr:colOff>
      <xdr:row>44</xdr:row>
      <xdr:rowOff>0</xdr:rowOff>
    </xdr:to>
    <xdr:sp macro="" textlink="">
      <xdr:nvSpPr>
        <xdr:cNvPr id="28" name="Oval 27">
          <a:extLst>
            <a:ext uri="{FF2B5EF4-FFF2-40B4-BE49-F238E27FC236}">
              <a16:creationId xmlns:a16="http://schemas.microsoft.com/office/drawing/2014/main" id="{00000000-0008-0000-0500-00001C000000}"/>
            </a:ext>
          </a:extLst>
        </xdr:cNvPr>
        <xdr:cNvSpPr>
          <a:spLocks noChangeArrowheads="1"/>
        </xdr:cNvSpPr>
      </xdr:nvSpPr>
      <xdr:spPr bwMode="auto">
        <a:xfrm>
          <a:off x="3267075" y="7172325"/>
          <a:ext cx="190500" cy="180975"/>
        </a:xfrm>
        <a:prstGeom prst="ellipse">
          <a:avLst/>
        </a:prstGeom>
        <a:solidFill>
          <a:srgbClr val="FFFFFF"/>
        </a:solidFill>
        <a:ln w="9525">
          <a:solidFill>
            <a:srgbClr val="000000"/>
          </a:solidFill>
          <a:round/>
          <a:headEnd/>
          <a:tailEnd/>
        </a:ln>
      </xdr:spPr>
    </xdr:sp>
    <xdr:clientData/>
  </xdr:twoCellAnchor>
  <xdr:twoCellAnchor>
    <xdr:from>
      <xdr:col>0</xdr:col>
      <xdr:colOff>485775</xdr:colOff>
      <xdr:row>42</xdr:row>
      <xdr:rowOff>38100</xdr:rowOff>
    </xdr:from>
    <xdr:to>
      <xdr:col>4</xdr:col>
      <xdr:colOff>28575</xdr:colOff>
      <xdr:row>43</xdr:row>
      <xdr:rowOff>114300</xdr:rowOff>
    </xdr:to>
    <xdr:sp macro="" textlink="">
      <xdr:nvSpPr>
        <xdr:cNvPr id="29" name="Text Box 28">
          <a:extLst>
            <a:ext uri="{FF2B5EF4-FFF2-40B4-BE49-F238E27FC236}">
              <a16:creationId xmlns:a16="http://schemas.microsoft.com/office/drawing/2014/main" id="{00000000-0008-0000-0500-00001D000000}"/>
            </a:ext>
          </a:extLst>
        </xdr:cNvPr>
        <xdr:cNvSpPr txBox="1">
          <a:spLocks noChangeArrowheads="1"/>
        </xdr:cNvSpPr>
      </xdr:nvSpPr>
      <xdr:spPr bwMode="auto">
        <a:xfrm>
          <a:off x="485775" y="7067550"/>
          <a:ext cx="2590800"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CABLE ELECTRIQUE HTA HTB ou BT</a:t>
          </a:r>
        </a:p>
      </xdr:txBody>
    </xdr:sp>
    <xdr:clientData/>
  </xdr:twoCellAnchor>
  <xdr:twoCellAnchor>
    <xdr:from>
      <xdr:col>1</xdr:col>
      <xdr:colOff>276225</xdr:colOff>
      <xdr:row>44</xdr:row>
      <xdr:rowOff>66675</xdr:rowOff>
    </xdr:from>
    <xdr:to>
      <xdr:col>1</xdr:col>
      <xdr:colOff>276225</xdr:colOff>
      <xdr:row>47</xdr:row>
      <xdr:rowOff>66675</xdr:rowOff>
    </xdr:to>
    <xdr:sp macro="" textlink="">
      <xdr:nvSpPr>
        <xdr:cNvPr id="30" name="Line 29">
          <a:extLst>
            <a:ext uri="{FF2B5EF4-FFF2-40B4-BE49-F238E27FC236}">
              <a16:creationId xmlns:a16="http://schemas.microsoft.com/office/drawing/2014/main" id="{00000000-0008-0000-0500-00001E000000}"/>
            </a:ext>
          </a:extLst>
        </xdr:cNvPr>
        <xdr:cNvSpPr>
          <a:spLocks noChangeShapeType="1"/>
        </xdr:cNvSpPr>
      </xdr:nvSpPr>
      <xdr:spPr bwMode="auto">
        <a:xfrm flipH="1">
          <a:off x="1038225" y="7419975"/>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647700</xdr:colOff>
      <xdr:row>44</xdr:row>
      <xdr:rowOff>85725</xdr:rowOff>
    </xdr:from>
    <xdr:to>
      <xdr:col>3</xdr:col>
      <xdr:colOff>647700</xdr:colOff>
      <xdr:row>48</xdr:row>
      <xdr:rowOff>228600</xdr:rowOff>
    </xdr:to>
    <xdr:sp macro="" textlink="">
      <xdr:nvSpPr>
        <xdr:cNvPr id="31" name="Line 30">
          <a:extLst>
            <a:ext uri="{FF2B5EF4-FFF2-40B4-BE49-F238E27FC236}">
              <a16:creationId xmlns:a16="http://schemas.microsoft.com/office/drawing/2014/main" id="{00000000-0008-0000-0500-00001F000000}"/>
            </a:ext>
          </a:extLst>
        </xdr:cNvPr>
        <xdr:cNvSpPr>
          <a:spLocks noChangeShapeType="1"/>
        </xdr:cNvSpPr>
      </xdr:nvSpPr>
      <xdr:spPr bwMode="auto">
        <a:xfrm>
          <a:off x="2933700" y="743902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619125</xdr:colOff>
      <xdr:row>44</xdr:row>
      <xdr:rowOff>47625</xdr:rowOff>
    </xdr:from>
    <xdr:to>
      <xdr:col>0</xdr:col>
      <xdr:colOff>628650</xdr:colOff>
      <xdr:row>50</xdr:row>
      <xdr:rowOff>85725</xdr:rowOff>
    </xdr:to>
    <xdr:sp macro="" textlink="">
      <xdr:nvSpPr>
        <xdr:cNvPr id="32" name="Line 31">
          <a:extLst>
            <a:ext uri="{FF2B5EF4-FFF2-40B4-BE49-F238E27FC236}">
              <a16:creationId xmlns:a16="http://schemas.microsoft.com/office/drawing/2014/main" id="{00000000-0008-0000-0500-000020000000}"/>
            </a:ext>
          </a:extLst>
        </xdr:cNvPr>
        <xdr:cNvSpPr>
          <a:spLocks noChangeShapeType="1"/>
        </xdr:cNvSpPr>
      </xdr:nvSpPr>
      <xdr:spPr bwMode="auto">
        <a:xfrm flipH="1">
          <a:off x="619125" y="7400925"/>
          <a:ext cx="9525" cy="1114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342900</xdr:colOff>
      <xdr:row>45</xdr:row>
      <xdr:rowOff>38100</xdr:rowOff>
    </xdr:from>
    <xdr:to>
      <xdr:col>1</xdr:col>
      <xdr:colOff>657225</xdr:colOff>
      <xdr:row>46</xdr:row>
      <xdr:rowOff>66675</xdr:rowOff>
    </xdr:to>
    <xdr:sp macro="" textlink="">
      <xdr:nvSpPr>
        <xdr:cNvPr id="33" name="Text Box 32">
          <a:extLst>
            <a:ext uri="{FF2B5EF4-FFF2-40B4-BE49-F238E27FC236}">
              <a16:creationId xmlns:a16="http://schemas.microsoft.com/office/drawing/2014/main" id="{00000000-0008-0000-0500-000021000000}"/>
            </a:ext>
          </a:extLst>
        </xdr:cNvPr>
        <xdr:cNvSpPr txBox="1">
          <a:spLocks noChangeArrowheads="1"/>
        </xdr:cNvSpPr>
      </xdr:nvSpPr>
      <xdr:spPr bwMode="auto">
        <a:xfrm>
          <a:off x="110490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619125</xdr:colOff>
      <xdr:row>45</xdr:row>
      <xdr:rowOff>57150</xdr:rowOff>
    </xdr:from>
    <xdr:to>
      <xdr:col>3</xdr:col>
      <xdr:colOff>219075</xdr:colOff>
      <xdr:row>46</xdr:row>
      <xdr:rowOff>85725</xdr:rowOff>
    </xdr:to>
    <xdr:sp macro="" textlink="">
      <xdr:nvSpPr>
        <xdr:cNvPr id="34" name="Text Box 33">
          <a:extLst>
            <a:ext uri="{FF2B5EF4-FFF2-40B4-BE49-F238E27FC236}">
              <a16:creationId xmlns:a16="http://schemas.microsoft.com/office/drawing/2014/main" id="{00000000-0008-0000-0500-000022000000}"/>
            </a:ext>
          </a:extLst>
        </xdr:cNvPr>
        <xdr:cNvSpPr txBox="1">
          <a:spLocks noChangeArrowheads="1"/>
        </xdr:cNvSpPr>
      </xdr:nvSpPr>
      <xdr:spPr bwMode="auto">
        <a:xfrm>
          <a:off x="2143125" y="7572375"/>
          <a:ext cx="3619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714375</xdr:colOff>
      <xdr:row>45</xdr:row>
      <xdr:rowOff>9525</xdr:rowOff>
    </xdr:from>
    <xdr:to>
      <xdr:col>5</xdr:col>
      <xdr:colOff>123825</xdr:colOff>
      <xdr:row>49</xdr:row>
      <xdr:rowOff>38100</xdr:rowOff>
    </xdr:to>
    <xdr:sp macro="" textlink="">
      <xdr:nvSpPr>
        <xdr:cNvPr id="35" name="Text Box 34">
          <a:extLst>
            <a:ext uri="{FF2B5EF4-FFF2-40B4-BE49-F238E27FC236}">
              <a16:creationId xmlns:a16="http://schemas.microsoft.com/office/drawing/2014/main" id="{00000000-0008-0000-0500-000023000000}"/>
            </a:ext>
          </a:extLst>
        </xdr:cNvPr>
        <xdr:cNvSpPr txBox="1">
          <a:spLocks noChangeArrowheads="1"/>
        </xdr:cNvSpPr>
      </xdr:nvSpPr>
      <xdr:spPr bwMode="auto">
        <a:xfrm>
          <a:off x="3000375" y="7524750"/>
          <a:ext cx="933450" cy="7810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0,40</a:t>
          </a:r>
        </a:p>
        <a:p>
          <a:pPr algn="l" rtl="1">
            <a:defRPr sz="1000"/>
          </a:pPr>
          <a:endParaRPr lang="fr-FR" sz="1000" b="0" i="0" strike="noStrike">
            <a:solidFill>
              <a:srgbClr val="000000"/>
            </a:solidFill>
            <a:latin typeface="Arial"/>
            <a:cs typeface="Arial"/>
          </a:endParaRPr>
        </a:p>
        <a:p>
          <a:pPr algn="l" rtl="1">
            <a:defRPr sz="1000"/>
          </a:pPr>
          <a:r>
            <a:rPr lang="fr-FR" sz="1200" b="1" i="1" u="sng" strike="noStrike">
              <a:solidFill>
                <a:srgbClr val="000000"/>
              </a:solidFill>
              <a:latin typeface="Arial"/>
              <a:cs typeface="Arial"/>
            </a:rPr>
            <a:t>EXCEPTE</a:t>
          </a:r>
          <a:endParaRPr lang="fr-FR" sz="1000" b="0" i="0" strike="noStrike">
            <a:solidFill>
              <a:srgbClr val="000000"/>
            </a:solidFill>
            <a:latin typeface="Arial"/>
            <a:cs typeface="Arial"/>
          </a:endParaRPr>
        </a:p>
        <a:p>
          <a:pPr algn="l" rtl="1">
            <a:defRPr sz="1000"/>
          </a:pPr>
          <a:r>
            <a:rPr lang="fr-FR" sz="1000" b="1" i="0" strike="noStrike">
              <a:solidFill>
                <a:srgbClr val="000000"/>
              </a:solidFill>
              <a:latin typeface="Arial"/>
              <a:cs typeface="Arial"/>
            </a:rPr>
            <a:t>HTB</a:t>
          </a:r>
          <a:r>
            <a:rPr lang="fr-FR" sz="1000" b="0" i="0" strike="noStrike">
              <a:solidFill>
                <a:srgbClr val="000000"/>
              </a:solidFill>
              <a:latin typeface="Arial"/>
              <a:cs typeface="Arial"/>
            </a:rPr>
            <a:t> </a:t>
          </a:r>
          <a:r>
            <a:rPr lang="fr-FR" sz="1000" b="1" i="0" strike="noStrike">
              <a:solidFill>
                <a:srgbClr val="000000"/>
              </a:solidFill>
              <a:latin typeface="Arial"/>
              <a:cs typeface="Arial"/>
            </a:rPr>
            <a:t>0,50</a:t>
          </a:r>
        </a:p>
      </xdr:txBody>
    </xdr:sp>
    <xdr:clientData/>
  </xdr:twoCellAnchor>
  <xdr:twoCellAnchor>
    <xdr:from>
      <xdr:col>1</xdr:col>
      <xdr:colOff>752475</xdr:colOff>
      <xdr:row>44</xdr:row>
      <xdr:rowOff>76200</xdr:rowOff>
    </xdr:from>
    <xdr:to>
      <xdr:col>1</xdr:col>
      <xdr:colOff>752475</xdr:colOff>
      <xdr:row>47</xdr:row>
      <xdr:rowOff>76200</xdr:rowOff>
    </xdr:to>
    <xdr:sp macro="" textlink="">
      <xdr:nvSpPr>
        <xdr:cNvPr id="36" name="Line 35">
          <a:extLst>
            <a:ext uri="{FF2B5EF4-FFF2-40B4-BE49-F238E27FC236}">
              <a16:creationId xmlns:a16="http://schemas.microsoft.com/office/drawing/2014/main" id="{00000000-0008-0000-0500-000024000000}"/>
            </a:ext>
          </a:extLst>
        </xdr:cNvPr>
        <xdr:cNvSpPr>
          <a:spLocks noChangeShapeType="1"/>
        </xdr:cNvSpPr>
      </xdr:nvSpPr>
      <xdr:spPr bwMode="auto">
        <a:xfrm flipH="1">
          <a:off x="1514475" y="74295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104775</xdr:colOff>
      <xdr:row>52</xdr:row>
      <xdr:rowOff>76200</xdr:rowOff>
    </xdr:from>
    <xdr:to>
      <xdr:col>1</xdr:col>
      <xdr:colOff>419100</xdr:colOff>
      <xdr:row>53</xdr:row>
      <xdr:rowOff>152400</xdr:rowOff>
    </xdr:to>
    <xdr:sp macro="" textlink="">
      <xdr:nvSpPr>
        <xdr:cNvPr id="37" name="Text Box 36">
          <a:extLst>
            <a:ext uri="{FF2B5EF4-FFF2-40B4-BE49-F238E27FC236}">
              <a16:creationId xmlns:a16="http://schemas.microsoft.com/office/drawing/2014/main" id="{00000000-0008-0000-0500-000025000000}"/>
            </a:ext>
          </a:extLst>
        </xdr:cNvPr>
        <xdr:cNvSpPr txBox="1">
          <a:spLocks noChangeArrowheads="1"/>
        </xdr:cNvSpPr>
      </xdr:nvSpPr>
      <xdr:spPr bwMode="auto">
        <a:xfrm>
          <a:off x="104775" y="8829675"/>
          <a:ext cx="1076325"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0</xdr:col>
      <xdr:colOff>723900</xdr:colOff>
      <xdr:row>49</xdr:row>
      <xdr:rowOff>123825</xdr:rowOff>
    </xdr:from>
    <xdr:to>
      <xdr:col>1</xdr:col>
      <xdr:colOff>609600</xdr:colOff>
      <xdr:row>52</xdr:row>
      <xdr:rowOff>47625</xdr:rowOff>
    </xdr:to>
    <xdr:sp macro="" textlink="">
      <xdr:nvSpPr>
        <xdr:cNvPr id="38" name="Text Box 37">
          <a:extLst>
            <a:ext uri="{FF2B5EF4-FFF2-40B4-BE49-F238E27FC236}">
              <a16:creationId xmlns:a16="http://schemas.microsoft.com/office/drawing/2014/main" id="{00000000-0008-0000-0500-000026000000}"/>
            </a:ext>
          </a:extLst>
        </xdr:cNvPr>
        <xdr:cNvSpPr txBox="1">
          <a:spLocks noChangeArrowheads="1"/>
        </xdr:cNvSpPr>
      </xdr:nvSpPr>
      <xdr:spPr bwMode="auto">
        <a:xfrm>
          <a:off x="723900" y="8391525"/>
          <a:ext cx="647700" cy="409575"/>
        </a:xfrm>
        <a:prstGeom prst="rect">
          <a:avLst/>
        </a:prstGeom>
        <a:solidFill>
          <a:srgbClr val="FFFFFF"/>
        </a:solidFill>
        <a:ln w="9525">
          <a:noFill/>
          <a:miter lim="800000"/>
          <a:headEnd/>
          <a:tailEnd/>
        </a:ln>
      </xdr:spPr>
      <xdr:txBody>
        <a:bodyPr vertOverflow="clip" wrap="square" lIns="27432" tIns="18288" rIns="27432" bIns="0" anchor="t" upright="1"/>
        <a:lstStyle/>
        <a:p>
          <a:pPr algn="ctr" rtl="1">
            <a:defRPr sz="1000"/>
          </a:pPr>
          <a:r>
            <a:rPr lang="fr-FR" sz="1000" b="0" i="0" strike="noStrike">
              <a:solidFill>
                <a:srgbClr val="000000"/>
              </a:solidFill>
              <a:latin typeface="Arial"/>
              <a:cs typeface="Arial"/>
            </a:rPr>
            <a:t> EDF :</a:t>
          </a:r>
        </a:p>
        <a:p>
          <a:pPr algn="ctr" rtl="1">
            <a:defRPr sz="1000"/>
          </a:pPr>
          <a:r>
            <a:rPr lang="fr-FR" sz="1000" b="0" i="0" strike="noStrike">
              <a:solidFill>
                <a:srgbClr val="000000"/>
              </a:solidFill>
              <a:latin typeface="Arial"/>
              <a:cs typeface="Arial"/>
            </a:rPr>
            <a:t>HTA , BT </a:t>
          </a:r>
        </a:p>
      </xdr:txBody>
    </xdr:sp>
    <xdr:clientData/>
  </xdr:twoCellAnchor>
  <xdr:twoCellAnchor>
    <xdr:from>
      <xdr:col>1</xdr:col>
      <xdr:colOff>533400</xdr:colOff>
      <xdr:row>49</xdr:row>
      <xdr:rowOff>142875</xdr:rowOff>
    </xdr:from>
    <xdr:to>
      <xdr:col>2</xdr:col>
      <xdr:colOff>295275</xdr:colOff>
      <xdr:row>52</xdr:row>
      <xdr:rowOff>57150</xdr:rowOff>
    </xdr:to>
    <xdr:sp macro="" textlink="">
      <xdr:nvSpPr>
        <xdr:cNvPr id="39" name="Text Box 38">
          <a:extLst>
            <a:ext uri="{FF2B5EF4-FFF2-40B4-BE49-F238E27FC236}">
              <a16:creationId xmlns:a16="http://schemas.microsoft.com/office/drawing/2014/main" id="{00000000-0008-0000-0500-000027000000}"/>
            </a:ext>
          </a:extLst>
        </xdr:cNvPr>
        <xdr:cNvSpPr txBox="1">
          <a:spLocks noChangeArrowheads="1"/>
        </xdr:cNvSpPr>
      </xdr:nvSpPr>
      <xdr:spPr bwMode="auto">
        <a:xfrm>
          <a:off x="1295400" y="8410575"/>
          <a:ext cx="523875" cy="40005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Fluide</a:t>
          </a:r>
        </a:p>
        <a:p>
          <a:pPr algn="l" rtl="1">
            <a:defRPr sz="1000"/>
          </a:pPr>
          <a:r>
            <a:rPr lang="fr-FR" sz="1000" b="0" i="0" strike="noStrike">
              <a:solidFill>
                <a:srgbClr val="000000"/>
              </a:solidFill>
              <a:latin typeface="Arial"/>
              <a:cs typeface="Arial"/>
            </a:rPr>
            <a:t> divers </a:t>
          </a:r>
          <a:r>
            <a:rPr lang="fr-FR" sz="800" b="1" i="0" strike="noStrike">
              <a:solidFill>
                <a:srgbClr val="000000"/>
              </a:solidFill>
              <a:latin typeface="Arial"/>
              <a:cs typeface="Arial"/>
            </a:rPr>
            <a:t>*</a:t>
          </a:r>
        </a:p>
      </xdr:txBody>
    </xdr:sp>
    <xdr:clientData/>
  </xdr:twoCellAnchor>
  <xdr:twoCellAnchor>
    <xdr:from>
      <xdr:col>3</xdr:col>
      <xdr:colOff>333375</xdr:colOff>
      <xdr:row>51</xdr:row>
      <xdr:rowOff>28575</xdr:rowOff>
    </xdr:from>
    <xdr:to>
      <xdr:col>4</xdr:col>
      <xdr:colOff>247650</xdr:colOff>
      <xdr:row>53</xdr:row>
      <xdr:rowOff>57150</xdr:rowOff>
    </xdr:to>
    <xdr:sp macro="" textlink="">
      <xdr:nvSpPr>
        <xdr:cNvPr id="40" name="Text Box 39">
          <a:extLst>
            <a:ext uri="{FF2B5EF4-FFF2-40B4-BE49-F238E27FC236}">
              <a16:creationId xmlns:a16="http://schemas.microsoft.com/office/drawing/2014/main" id="{00000000-0008-0000-0500-000028000000}"/>
            </a:ext>
          </a:extLst>
        </xdr:cNvPr>
        <xdr:cNvSpPr txBox="1">
          <a:spLocks noChangeArrowheads="1"/>
        </xdr:cNvSpPr>
      </xdr:nvSpPr>
      <xdr:spPr bwMode="auto">
        <a:xfrm>
          <a:off x="2619375" y="8620125"/>
          <a:ext cx="67627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clientData/>
  </xdr:twoCellAnchor>
  <xdr:twoCellAnchor>
    <xdr:from>
      <xdr:col>0</xdr:col>
      <xdr:colOff>476250</xdr:colOff>
      <xdr:row>51</xdr:row>
      <xdr:rowOff>9525</xdr:rowOff>
    </xdr:from>
    <xdr:to>
      <xdr:col>0</xdr:col>
      <xdr:colOff>733425</xdr:colOff>
      <xdr:row>52</xdr:row>
      <xdr:rowOff>85725</xdr:rowOff>
    </xdr:to>
    <xdr:sp macro="" textlink="">
      <xdr:nvSpPr>
        <xdr:cNvPr id="41" name="Oval 40">
          <a:extLst>
            <a:ext uri="{FF2B5EF4-FFF2-40B4-BE49-F238E27FC236}">
              <a16:creationId xmlns:a16="http://schemas.microsoft.com/office/drawing/2014/main" id="{00000000-0008-0000-0500-000029000000}"/>
            </a:ext>
          </a:extLst>
        </xdr:cNvPr>
        <xdr:cNvSpPr>
          <a:spLocks noChangeArrowheads="1"/>
        </xdr:cNvSpPr>
      </xdr:nvSpPr>
      <xdr:spPr bwMode="auto">
        <a:xfrm>
          <a:off x="476250" y="8601075"/>
          <a:ext cx="257175" cy="238125"/>
        </a:xfrm>
        <a:prstGeom prst="ellipse">
          <a:avLst/>
        </a:prstGeom>
        <a:solidFill>
          <a:srgbClr val="969696"/>
        </a:solidFill>
        <a:ln w="9525">
          <a:solidFill>
            <a:srgbClr val="000000"/>
          </a:solidFill>
          <a:round/>
          <a:headEnd/>
          <a:tailEnd/>
        </a:ln>
      </xdr:spPr>
    </xdr:sp>
    <xdr:clientData/>
  </xdr:twoCellAnchor>
  <xdr:twoCellAnchor>
    <xdr:from>
      <xdr:col>3</xdr:col>
      <xdr:colOff>523875</xdr:colOff>
      <xdr:row>49</xdr:row>
      <xdr:rowOff>38100</xdr:rowOff>
    </xdr:from>
    <xdr:to>
      <xdr:col>4</xdr:col>
      <xdr:colOff>19050</xdr:colOff>
      <xdr:row>50</xdr:row>
      <xdr:rowOff>114300</xdr:rowOff>
    </xdr:to>
    <xdr:sp macro="" textlink="">
      <xdr:nvSpPr>
        <xdr:cNvPr id="42" name="Oval 41">
          <a:extLst>
            <a:ext uri="{FF2B5EF4-FFF2-40B4-BE49-F238E27FC236}">
              <a16:creationId xmlns:a16="http://schemas.microsoft.com/office/drawing/2014/main" id="{00000000-0008-0000-0500-00002A000000}"/>
            </a:ext>
          </a:extLst>
        </xdr:cNvPr>
        <xdr:cNvSpPr>
          <a:spLocks noChangeArrowheads="1"/>
        </xdr:cNvSpPr>
      </xdr:nvSpPr>
      <xdr:spPr bwMode="auto">
        <a:xfrm>
          <a:off x="2809875" y="8305800"/>
          <a:ext cx="257175" cy="238125"/>
        </a:xfrm>
        <a:prstGeom prst="ellipse">
          <a:avLst/>
        </a:prstGeom>
        <a:solidFill>
          <a:srgbClr val="969696"/>
        </a:solidFill>
        <a:ln w="9525">
          <a:solidFill>
            <a:srgbClr val="000000"/>
          </a:solidFill>
          <a:round/>
          <a:headEnd/>
          <a:tailEnd/>
        </a:ln>
      </xdr:spPr>
    </xdr:sp>
    <xdr:clientData/>
  </xdr:twoCellAnchor>
  <xdr:twoCellAnchor>
    <xdr:from>
      <xdr:col>0</xdr:col>
      <xdr:colOff>95250</xdr:colOff>
      <xdr:row>46</xdr:row>
      <xdr:rowOff>38100</xdr:rowOff>
    </xdr:from>
    <xdr:to>
      <xdr:col>0</xdr:col>
      <xdr:colOff>571500</xdr:colOff>
      <xdr:row>47</xdr:row>
      <xdr:rowOff>66675</xdr:rowOff>
    </xdr:to>
    <xdr:sp macro="" textlink="">
      <xdr:nvSpPr>
        <xdr:cNvPr id="43" name="Text Box 42">
          <a:extLst>
            <a:ext uri="{FF2B5EF4-FFF2-40B4-BE49-F238E27FC236}">
              <a16:creationId xmlns:a16="http://schemas.microsoft.com/office/drawing/2014/main" id="{00000000-0008-0000-0500-00002B000000}"/>
            </a:ext>
          </a:extLst>
        </xdr:cNvPr>
        <xdr:cNvSpPr txBox="1">
          <a:spLocks noChangeArrowheads="1"/>
        </xdr:cNvSpPr>
      </xdr:nvSpPr>
      <xdr:spPr bwMode="auto">
        <a:xfrm>
          <a:off x="95250" y="7715250"/>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 ***</a:t>
          </a:r>
        </a:p>
      </xdr:txBody>
    </xdr:sp>
    <xdr:clientData/>
  </xdr:twoCellAnchor>
  <xdr:twoCellAnchor>
    <xdr:from>
      <xdr:col>2</xdr:col>
      <xdr:colOff>523875</xdr:colOff>
      <xdr:row>44</xdr:row>
      <xdr:rowOff>57150</xdr:rowOff>
    </xdr:from>
    <xdr:to>
      <xdr:col>2</xdr:col>
      <xdr:colOff>523875</xdr:colOff>
      <xdr:row>47</xdr:row>
      <xdr:rowOff>104775</xdr:rowOff>
    </xdr:to>
    <xdr:sp macro="" textlink="">
      <xdr:nvSpPr>
        <xdr:cNvPr id="44" name="Line 43">
          <a:extLst>
            <a:ext uri="{FF2B5EF4-FFF2-40B4-BE49-F238E27FC236}">
              <a16:creationId xmlns:a16="http://schemas.microsoft.com/office/drawing/2014/main" id="{00000000-0008-0000-0500-00002C000000}"/>
            </a:ext>
          </a:extLst>
        </xdr:cNvPr>
        <xdr:cNvSpPr>
          <a:spLocks noChangeShapeType="1"/>
        </xdr:cNvSpPr>
      </xdr:nvSpPr>
      <xdr:spPr bwMode="auto">
        <a:xfrm>
          <a:off x="2047875" y="7410450"/>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38100</xdr:rowOff>
    </xdr:from>
    <xdr:to>
      <xdr:col>2</xdr:col>
      <xdr:colOff>371475</xdr:colOff>
      <xdr:row>46</xdr:row>
      <xdr:rowOff>66675</xdr:rowOff>
    </xdr:to>
    <xdr:sp macro="" textlink="">
      <xdr:nvSpPr>
        <xdr:cNvPr id="45" name="Text Box 44">
          <a:extLst>
            <a:ext uri="{FF2B5EF4-FFF2-40B4-BE49-F238E27FC236}">
              <a16:creationId xmlns:a16="http://schemas.microsoft.com/office/drawing/2014/main" id="{00000000-0008-0000-0500-00002D000000}"/>
            </a:ext>
          </a:extLst>
        </xdr:cNvPr>
        <xdr:cNvSpPr txBox="1">
          <a:spLocks noChangeArrowheads="1"/>
        </xdr:cNvSpPr>
      </xdr:nvSpPr>
      <xdr:spPr bwMode="auto">
        <a:xfrm>
          <a:off x="158115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285750</xdr:colOff>
      <xdr:row>49</xdr:row>
      <xdr:rowOff>133350</xdr:rowOff>
    </xdr:from>
    <xdr:to>
      <xdr:col>3</xdr:col>
      <xdr:colOff>66675</xdr:colOff>
      <xdr:row>52</xdr:row>
      <xdr:rowOff>0</xdr:rowOff>
    </xdr:to>
    <xdr:sp macro="" textlink="">
      <xdr:nvSpPr>
        <xdr:cNvPr id="46" name="Text Box 45">
          <a:extLst>
            <a:ext uri="{FF2B5EF4-FFF2-40B4-BE49-F238E27FC236}">
              <a16:creationId xmlns:a16="http://schemas.microsoft.com/office/drawing/2014/main" id="{00000000-0008-0000-0500-00002E000000}"/>
            </a:ext>
          </a:extLst>
        </xdr:cNvPr>
        <xdr:cNvSpPr txBox="1">
          <a:spLocks noChangeArrowheads="1"/>
        </xdr:cNvSpPr>
      </xdr:nvSpPr>
      <xdr:spPr bwMode="auto">
        <a:xfrm>
          <a:off x="1809750" y="8401050"/>
          <a:ext cx="54292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régional</a:t>
          </a:r>
        </a:p>
      </xdr:txBody>
    </xdr:sp>
    <xdr:clientData/>
  </xdr:twoCellAnchor>
  <xdr:twoCellAnchor>
    <xdr:from>
      <xdr:col>1</xdr:col>
      <xdr:colOff>619125</xdr:colOff>
      <xdr:row>48</xdr:row>
      <xdr:rowOff>66675</xdr:rowOff>
    </xdr:from>
    <xdr:to>
      <xdr:col>2</xdr:col>
      <xdr:colOff>114300</xdr:colOff>
      <xdr:row>49</xdr:row>
      <xdr:rowOff>38100</xdr:rowOff>
    </xdr:to>
    <xdr:sp macro="" textlink="">
      <xdr:nvSpPr>
        <xdr:cNvPr id="47" name="Oval 46">
          <a:extLst>
            <a:ext uri="{FF2B5EF4-FFF2-40B4-BE49-F238E27FC236}">
              <a16:creationId xmlns:a16="http://schemas.microsoft.com/office/drawing/2014/main" id="{00000000-0008-0000-0500-00002F000000}"/>
            </a:ext>
          </a:extLst>
        </xdr:cNvPr>
        <xdr:cNvSpPr>
          <a:spLocks noChangeArrowheads="1"/>
        </xdr:cNvSpPr>
      </xdr:nvSpPr>
      <xdr:spPr bwMode="auto">
        <a:xfrm>
          <a:off x="1381125" y="8067675"/>
          <a:ext cx="257175" cy="238125"/>
        </a:xfrm>
        <a:prstGeom prst="ellipse">
          <a:avLst/>
        </a:prstGeom>
        <a:solidFill>
          <a:srgbClr val="969696"/>
        </a:solidFill>
        <a:ln w="9525">
          <a:solidFill>
            <a:srgbClr val="000000"/>
          </a:solidFill>
          <a:round/>
          <a:headEnd/>
          <a:tailEnd/>
        </a:ln>
      </xdr:spPr>
    </xdr:sp>
    <xdr:clientData/>
  </xdr:twoCellAnchor>
  <xdr:twoCellAnchor>
    <xdr:from>
      <xdr:col>1</xdr:col>
      <xdr:colOff>142875</xdr:colOff>
      <xdr:row>48</xdr:row>
      <xdr:rowOff>66675</xdr:rowOff>
    </xdr:from>
    <xdr:to>
      <xdr:col>1</xdr:col>
      <xdr:colOff>400050</xdr:colOff>
      <xdr:row>49</xdr:row>
      <xdr:rowOff>38100</xdr:rowOff>
    </xdr:to>
    <xdr:sp macro="" textlink="">
      <xdr:nvSpPr>
        <xdr:cNvPr id="48" name="Oval 47">
          <a:extLst>
            <a:ext uri="{FF2B5EF4-FFF2-40B4-BE49-F238E27FC236}">
              <a16:creationId xmlns:a16="http://schemas.microsoft.com/office/drawing/2014/main" id="{00000000-0008-0000-0500-000030000000}"/>
            </a:ext>
          </a:extLst>
        </xdr:cNvPr>
        <xdr:cNvSpPr>
          <a:spLocks noChangeArrowheads="1"/>
        </xdr:cNvSpPr>
      </xdr:nvSpPr>
      <xdr:spPr bwMode="auto">
        <a:xfrm>
          <a:off x="904875" y="8067675"/>
          <a:ext cx="257175" cy="238125"/>
        </a:xfrm>
        <a:prstGeom prst="ellipse">
          <a:avLst/>
        </a:prstGeom>
        <a:solidFill>
          <a:srgbClr val="969696"/>
        </a:solidFill>
        <a:ln w="9525">
          <a:solidFill>
            <a:srgbClr val="000000"/>
          </a:solidFill>
          <a:round/>
          <a:headEnd/>
          <a:tailEnd/>
        </a:ln>
      </xdr:spPr>
    </xdr:sp>
    <xdr:clientData/>
  </xdr:twoCellAnchor>
  <xdr:twoCellAnchor>
    <xdr:from>
      <xdr:col>2</xdr:col>
      <xdr:colOff>390525</xdr:colOff>
      <xdr:row>48</xdr:row>
      <xdr:rowOff>66675</xdr:rowOff>
    </xdr:from>
    <xdr:to>
      <xdr:col>2</xdr:col>
      <xdr:colOff>647700</xdr:colOff>
      <xdr:row>49</xdr:row>
      <xdr:rowOff>38100</xdr:rowOff>
    </xdr:to>
    <xdr:sp macro="" textlink="">
      <xdr:nvSpPr>
        <xdr:cNvPr id="49" name="Oval 48">
          <a:extLst>
            <a:ext uri="{FF2B5EF4-FFF2-40B4-BE49-F238E27FC236}">
              <a16:creationId xmlns:a16="http://schemas.microsoft.com/office/drawing/2014/main" id="{00000000-0008-0000-0500-000031000000}"/>
            </a:ext>
          </a:extLst>
        </xdr:cNvPr>
        <xdr:cNvSpPr>
          <a:spLocks noChangeArrowheads="1"/>
        </xdr:cNvSpPr>
      </xdr:nvSpPr>
      <xdr:spPr bwMode="auto">
        <a:xfrm>
          <a:off x="1914525" y="8067675"/>
          <a:ext cx="257175" cy="238125"/>
        </a:xfrm>
        <a:prstGeom prst="ellipse">
          <a:avLst/>
        </a:prstGeom>
        <a:solidFill>
          <a:srgbClr val="969696"/>
        </a:solidFill>
        <a:ln w="9525">
          <a:solidFill>
            <a:srgbClr val="000000"/>
          </a:solidFill>
          <a:round/>
          <a:headEnd/>
          <a:tailEnd/>
        </a:ln>
      </xdr:spPr>
    </xdr:sp>
    <xdr:clientData/>
  </xdr:twoCellAnchor>
  <xdr:twoCellAnchor>
    <xdr:from>
      <xdr:col>5</xdr:col>
      <xdr:colOff>295275</xdr:colOff>
      <xdr:row>41</xdr:row>
      <xdr:rowOff>142875</xdr:rowOff>
    </xdr:from>
    <xdr:to>
      <xdr:col>6</xdr:col>
      <xdr:colOff>1266825</xdr:colOff>
      <xdr:row>53</xdr:row>
      <xdr:rowOff>28575</xdr:rowOff>
    </xdr:to>
    <xdr:grpSp>
      <xdr:nvGrpSpPr>
        <xdr:cNvPr id="50" name="Group 49">
          <a:extLst>
            <a:ext uri="{FF2B5EF4-FFF2-40B4-BE49-F238E27FC236}">
              <a16:creationId xmlns:a16="http://schemas.microsoft.com/office/drawing/2014/main" id="{00000000-0008-0000-0500-000032000000}"/>
            </a:ext>
          </a:extLst>
        </xdr:cNvPr>
        <xdr:cNvGrpSpPr>
          <a:grpSpLocks/>
        </xdr:cNvGrpSpPr>
      </xdr:nvGrpSpPr>
      <xdr:grpSpPr bwMode="auto">
        <a:xfrm>
          <a:off x="4105275" y="7010400"/>
          <a:ext cx="1600200" cy="1933575"/>
          <a:chOff x="361" y="741"/>
          <a:chExt cx="168" cy="203"/>
        </a:xfrm>
      </xdr:grpSpPr>
      <xdr:sp macro="" textlink="">
        <xdr:nvSpPr>
          <xdr:cNvPr id="51" name="Line 50">
            <a:extLst>
              <a:ext uri="{FF2B5EF4-FFF2-40B4-BE49-F238E27FC236}">
                <a16:creationId xmlns:a16="http://schemas.microsoft.com/office/drawing/2014/main" id="{00000000-0008-0000-0500-000033000000}"/>
              </a:ext>
            </a:extLst>
          </xdr:cNvPr>
          <xdr:cNvSpPr>
            <a:spLocks noChangeShapeType="1"/>
          </xdr:cNvSpPr>
        </xdr:nvSpPr>
        <xdr:spPr bwMode="auto">
          <a:xfrm flipH="1">
            <a:off x="486" y="770"/>
            <a:ext cx="1" cy="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51">
            <a:extLst>
              <a:ext uri="{FF2B5EF4-FFF2-40B4-BE49-F238E27FC236}">
                <a16:creationId xmlns:a16="http://schemas.microsoft.com/office/drawing/2014/main" id="{00000000-0008-0000-0500-000034000000}"/>
              </a:ext>
            </a:extLst>
          </xdr:cNvPr>
          <xdr:cNvSpPr>
            <a:spLocks noChangeShapeType="1"/>
          </xdr:cNvSpPr>
        </xdr:nvSpPr>
        <xdr:spPr bwMode="auto">
          <a:xfrm flipH="1">
            <a:off x="395" y="770"/>
            <a:ext cx="1" cy="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3" name="AutoShape 52">
            <a:extLst>
              <a:ext uri="{FF2B5EF4-FFF2-40B4-BE49-F238E27FC236}">
                <a16:creationId xmlns:a16="http://schemas.microsoft.com/office/drawing/2014/main" id="{00000000-0008-0000-0500-000035000000}"/>
              </a:ext>
            </a:extLst>
          </xdr:cNvPr>
          <xdr:cNvSpPr>
            <a:spLocks noChangeArrowheads="1"/>
          </xdr:cNvSpPr>
        </xdr:nvSpPr>
        <xdr:spPr bwMode="auto">
          <a:xfrm rot="5400000">
            <a:off x="431" y="685"/>
            <a:ext cx="28" cy="140"/>
          </a:xfrm>
          <a:prstGeom prst="can">
            <a:avLst>
              <a:gd name="adj" fmla="val 125000"/>
            </a:avLst>
          </a:prstGeom>
          <a:solidFill>
            <a:srgbClr val="FFFFFF"/>
          </a:solidFill>
          <a:ln w="9525">
            <a:solidFill>
              <a:srgbClr val="000000"/>
            </a:solidFill>
            <a:round/>
            <a:headEnd/>
            <a:tailEnd/>
          </a:ln>
        </xdr:spPr>
      </xdr:sp>
      <xdr:sp macro="" textlink="">
        <xdr:nvSpPr>
          <xdr:cNvPr id="54" name="Text Box 53">
            <a:extLst>
              <a:ext uri="{FF2B5EF4-FFF2-40B4-BE49-F238E27FC236}">
                <a16:creationId xmlns:a16="http://schemas.microsoft.com/office/drawing/2014/main" id="{00000000-0008-0000-0500-000036000000}"/>
              </a:ext>
            </a:extLst>
          </xdr:cNvPr>
          <xdr:cNvSpPr txBox="1">
            <a:spLocks noChangeArrowheads="1"/>
          </xdr:cNvSpPr>
        </xdr:nvSpPr>
        <xdr:spPr bwMode="auto">
          <a:xfrm>
            <a:off x="411" y="747"/>
            <a:ext cx="63" cy="16"/>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GAZ</a:t>
            </a:r>
          </a:p>
        </xdr:txBody>
      </xdr:sp>
      <xdr:sp macro="" textlink="">
        <xdr:nvSpPr>
          <xdr:cNvPr id="55" name="Text Box 54">
            <a:extLst>
              <a:ext uri="{FF2B5EF4-FFF2-40B4-BE49-F238E27FC236}">
                <a16:creationId xmlns:a16="http://schemas.microsoft.com/office/drawing/2014/main" id="{00000000-0008-0000-0500-000037000000}"/>
              </a:ext>
            </a:extLst>
          </xdr:cNvPr>
          <xdr:cNvSpPr txBox="1">
            <a:spLocks noChangeArrowheads="1"/>
          </xdr:cNvSpPr>
        </xdr:nvSpPr>
        <xdr:spPr bwMode="auto">
          <a:xfrm>
            <a:off x="497" y="792"/>
            <a:ext cx="24"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r>
              <a:rPr lang="fr-FR" sz="1000" b="1" i="0" strike="noStrike">
                <a:solidFill>
                  <a:srgbClr val="000000"/>
                </a:solidFill>
                <a:latin typeface="Arial"/>
                <a:cs typeface="Arial"/>
              </a:rPr>
              <a:t>***</a:t>
            </a:r>
          </a:p>
        </xdr:txBody>
      </xdr:sp>
      <xdr:sp macro="" textlink="">
        <xdr:nvSpPr>
          <xdr:cNvPr id="56" name="Text Box 55">
            <a:extLst>
              <a:ext uri="{FF2B5EF4-FFF2-40B4-BE49-F238E27FC236}">
                <a16:creationId xmlns:a16="http://schemas.microsoft.com/office/drawing/2014/main" id="{00000000-0008-0000-0500-000038000000}"/>
              </a:ext>
            </a:extLst>
          </xdr:cNvPr>
          <xdr:cNvSpPr txBox="1">
            <a:spLocks noChangeArrowheads="1"/>
          </xdr:cNvSpPr>
        </xdr:nvSpPr>
        <xdr:spPr bwMode="auto">
          <a:xfrm>
            <a:off x="412" y="787"/>
            <a:ext cx="36"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sp macro="" textlink="">
        <xdr:nvSpPr>
          <xdr:cNvPr id="57" name="Oval 56">
            <a:extLst>
              <a:ext uri="{FF2B5EF4-FFF2-40B4-BE49-F238E27FC236}">
                <a16:creationId xmlns:a16="http://schemas.microsoft.com/office/drawing/2014/main" id="{00000000-0008-0000-0500-000039000000}"/>
              </a:ext>
            </a:extLst>
          </xdr:cNvPr>
          <xdr:cNvSpPr>
            <a:spLocks noChangeArrowheads="1"/>
          </xdr:cNvSpPr>
        </xdr:nvSpPr>
        <xdr:spPr bwMode="auto">
          <a:xfrm>
            <a:off x="473" y="868"/>
            <a:ext cx="27" cy="25"/>
          </a:xfrm>
          <a:prstGeom prst="ellipse">
            <a:avLst/>
          </a:prstGeom>
          <a:solidFill>
            <a:srgbClr val="969696"/>
          </a:solidFill>
          <a:ln w="9525">
            <a:solidFill>
              <a:srgbClr val="000000"/>
            </a:solidFill>
            <a:round/>
            <a:headEnd/>
            <a:tailEnd/>
          </a:ln>
        </xdr:spPr>
      </xdr:sp>
      <xdr:sp macro="" textlink="">
        <xdr:nvSpPr>
          <xdr:cNvPr id="58" name="Text Box 57">
            <a:extLst>
              <a:ext uri="{FF2B5EF4-FFF2-40B4-BE49-F238E27FC236}">
                <a16:creationId xmlns:a16="http://schemas.microsoft.com/office/drawing/2014/main" id="{00000000-0008-0000-0500-00003A000000}"/>
              </a:ext>
            </a:extLst>
          </xdr:cNvPr>
          <xdr:cNvSpPr txBox="1">
            <a:spLocks noChangeArrowheads="1"/>
          </xdr:cNvSpPr>
        </xdr:nvSpPr>
        <xdr:spPr bwMode="auto">
          <a:xfrm>
            <a:off x="361" y="886"/>
            <a:ext cx="64" cy="37"/>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sp macro="" textlink="">
        <xdr:nvSpPr>
          <xdr:cNvPr id="59" name="Text Box 58">
            <a:extLst>
              <a:ext uri="{FF2B5EF4-FFF2-40B4-BE49-F238E27FC236}">
                <a16:creationId xmlns:a16="http://schemas.microsoft.com/office/drawing/2014/main" id="{00000000-0008-0000-0500-00003B000000}"/>
              </a:ext>
            </a:extLst>
          </xdr:cNvPr>
          <xdr:cNvSpPr txBox="1">
            <a:spLocks noChangeArrowheads="1"/>
          </xdr:cNvSpPr>
        </xdr:nvSpPr>
        <xdr:spPr bwMode="auto">
          <a:xfrm>
            <a:off x="457" y="903"/>
            <a:ext cx="72" cy="41"/>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sp macro="" textlink="">
        <xdr:nvSpPr>
          <xdr:cNvPr id="60" name="Oval 59">
            <a:extLst>
              <a:ext uri="{FF2B5EF4-FFF2-40B4-BE49-F238E27FC236}">
                <a16:creationId xmlns:a16="http://schemas.microsoft.com/office/drawing/2014/main" id="{00000000-0008-0000-0500-00003C000000}"/>
              </a:ext>
            </a:extLst>
          </xdr:cNvPr>
          <xdr:cNvSpPr>
            <a:spLocks noChangeArrowheads="1"/>
          </xdr:cNvSpPr>
        </xdr:nvSpPr>
        <xdr:spPr bwMode="auto">
          <a:xfrm>
            <a:off x="381" y="847"/>
            <a:ext cx="27" cy="25"/>
          </a:xfrm>
          <a:prstGeom prst="ellipse">
            <a:avLst/>
          </a:prstGeom>
          <a:solidFill>
            <a:srgbClr val="969696"/>
          </a:solidFill>
          <a:ln w="9525">
            <a:solidFill>
              <a:srgbClr val="000000"/>
            </a:solidFill>
            <a:round/>
            <a:headEnd/>
            <a:tailEnd/>
          </a:ln>
        </xdr:spPr>
      </xdr:sp>
    </xdr:grpSp>
    <xdr:clientData/>
  </xdr:twoCellAnchor>
  <xdr:twoCellAnchor>
    <xdr:from>
      <xdr:col>6</xdr:col>
      <xdr:colOff>714375</xdr:colOff>
      <xdr:row>16</xdr:row>
      <xdr:rowOff>142875</xdr:rowOff>
    </xdr:from>
    <xdr:to>
      <xdr:col>6</xdr:col>
      <xdr:colOff>895350</xdr:colOff>
      <xdr:row>17</xdr:row>
      <xdr:rowOff>152400</xdr:rowOff>
    </xdr:to>
    <xdr:grpSp>
      <xdr:nvGrpSpPr>
        <xdr:cNvPr id="61" name="Group 61">
          <a:extLst>
            <a:ext uri="{FF2B5EF4-FFF2-40B4-BE49-F238E27FC236}">
              <a16:creationId xmlns:a16="http://schemas.microsoft.com/office/drawing/2014/main" id="{00000000-0008-0000-0500-00003D000000}"/>
            </a:ext>
          </a:extLst>
        </xdr:cNvPr>
        <xdr:cNvGrpSpPr>
          <a:grpSpLocks/>
        </xdr:cNvGrpSpPr>
      </xdr:nvGrpSpPr>
      <xdr:grpSpPr bwMode="auto">
        <a:xfrm>
          <a:off x="5153025" y="2943225"/>
          <a:ext cx="180975" cy="171450"/>
          <a:chOff x="212" y="528"/>
          <a:chExt cx="19" cy="18"/>
        </a:xfrm>
      </xdr:grpSpPr>
      <xdr:sp macro="" textlink="">
        <xdr:nvSpPr>
          <xdr:cNvPr id="62" name="Oval 62">
            <a:extLst>
              <a:ext uri="{FF2B5EF4-FFF2-40B4-BE49-F238E27FC236}">
                <a16:creationId xmlns:a16="http://schemas.microsoft.com/office/drawing/2014/main" id="{00000000-0008-0000-0500-00003E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63" name="Oval 63">
            <a:extLst>
              <a:ext uri="{FF2B5EF4-FFF2-40B4-BE49-F238E27FC236}">
                <a16:creationId xmlns:a16="http://schemas.microsoft.com/office/drawing/2014/main" id="{00000000-0008-0000-0500-00003F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64" name="Oval 64">
            <a:extLst>
              <a:ext uri="{FF2B5EF4-FFF2-40B4-BE49-F238E27FC236}">
                <a16:creationId xmlns:a16="http://schemas.microsoft.com/office/drawing/2014/main" id="{00000000-0008-0000-0500-000040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6</xdr:col>
      <xdr:colOff>866775</xdr:colOff>
      <xdr:row>19</xdr:row>
      <xdr:rowOff>85725</xdr:rowOff>
    </xdr:from>
    <xdr:to>
      <xdr:col>6</xdr:col>
      <xdr:colOff>1228725</xdr:colOff>
      <xdr:row>20</xdr:row>
      <xdr:rowOff>114300</xdr:rowOff>
    </xdr:to>
    <xdr:sp macro="" textlink="">
      <xdr:nvSpPr>
        <xdr:cNvPr id="65" name="Text Box 65">
          <a:extLst>
            <a:ext uri="{FF2B5EF4-FFF2-40B4-BE49-F238E27FC236}">
              <a16:creationId xmlns:a16="http://schemas.microsoft.com/office/drawing/2014/main" id="{00000000-0008-0000-0500-000041000000}"/>
            </a:ext>
          </a:extLst>
        </xdr:cNvPr>
        <xdr:cNvSpPr txBox="1">
          <a:spLocks noChangeArrowheads="1"/>
        </xdr:cNvSpPr>
      </xdr:nvSpPr>
      <xdr:spPr bwMode="auto">
        <a:xfrm>
          <a:off x="5305425" y="3371850"/>
          <a:ext cx="361950" cy="19050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0,70</a:t>
          </a:r>
        </a:p>
      </xdr:txBody>
    </xdr:sp>
    <xdr:clientData/>
  </xdr:twoCellAnchor>
  <xdr:twoCellAnchor>
    <xdr:from>
      <xdr:col>6</xdr:col>
      <xdr:colOff>571500</xdr:colOff>
      <xdr:row>15</xdr:row>
      <xdr:rowOff>0</xdr:rowOff>
    </xdr:from>
    <xdr:to>
      <xdr:col>6</xdr:col>
      <xdr:colOff>1066800</xdr:colOff>
      <xdr:row>16</xdr:row>
      <xdr:rowOff>9525</xdr:rowOff>
    </xdr:to>
    <xdr:sp macro="" textlink="">
      <xdr:nvSpPr>
        <xdr:cNvPr id="66" name="Text Box 66">
          <a:extLst>
            <a:ext uri="{FF2B5EF4-FFF2-40B4-BE49-F238E27FC236}">
              <a16:creationId xmlns:a16="http://schemas.microsoft.com/office/drawing/2014/main" id="{00000000-0008-0000-0500-000042000000}"/>
            </a:ext>
          </a:extLst>
        </xdr:cNvPr>
        <xdr:cNvSpPr txBox="1">
          <a:spLocks noChangeArrowheads="1"/>
        </xdr:cNvSpPr>
      </xdr:nvSpPr>
      <xdr:spPr bwMode="auto">
        <a:xfrm>
          <a:off x="5010150" y="2638425"/>
          <a:ext cx="495300" cy="171450"/>
        </a:xfrm>
        <a:prstGeom prst="rect">
          <a:avLst/>
        </a:prstGeom>
        <a:solidFill>
          <a:srgbClr val="FFFFFF"/>
        </a:solidFill>
        <a:ln w="9525" algn="ctr">
          <a:solidFill>
            <a:srgbClr val="000000"/>
          </a:solidFill>
          <a:miter lim="800000"/>
          <a:headEnd/>
          <a:tailEnd/>
        </a:ln>
        <a:effectLst/>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800100</xdr:colOff>
      <xdr:row>18</xdr:row>
      <xdr:rowOff>38100</xdr:rowOff>
    </xdr:from>
    <xdr:to>
      <xdr:col>6</xdr:col>
      <xdr:colOff>800100</xdr:colOff>
      <xdr:row>24</xdr:row>
      <xdr:rowOff>66675</xdr:rowOff>
    </xdr:to>
    <xdr:sp macro="" textlink="">
      <xdr:nvSpPr>
        <xdr:cNvPr id="67" name="Line 67">
          <a:extLst>
            <a:ext uri="{FF2B5EF4-FFF2-40B4-BE49-F238E27FC236}">
              <a16:creationId xmlns:a16="http://schemas.microsoft.com/office/drawing/2014/main" id="{00000000-0008-0000-0500-000043000000}"/>
            </a:ext>
          </a:extLst>
        </xdr:cNvPr>
        <xdr:cNvSpPr>
          <a:spLocks noChangeShapeType="1"/>
        </xdr:cNvSpPr>
      </xdr:nvSpPr>
      <xdr:spPr bwMode="auto">
        <a:xfrm flipV="1">
          <a:off x="5238750" y="3162300"/>
          <a:ext cx="0" cy="100012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600075</xdr:colOff>
      <xdr:row>26</xdr:row>
      <xdr:rowOff>0</xdr:rowOff>
    </xdr:from>
    <xdr:to>
      <xdr:col>6</xdr:col>
      <xdr:colOff>1095375</xdr:colOff>
      <xdr:row>27</xdr:row>
      <xdr:rowOff>38100</xdr:rowOff>
    </xdr:to>
    <xdr:sp macro="" textlink="">
      <xdr:nvSpPr>
        <xdr:cNvPr id="68" name="Text Box 68">
          <a:extLst>
            <a:ext uri="{FF2B5EF4-FFF2-40B4-BE49-F238E27FC236}">
              <a16:creationId xmlns:a16="http://schemas.microsoft.com/office/drawing/2014/main" id="{00000000-0008-0000-0500-000044000000}"/>
            </a:ext>
          </a:extLst>
        </xdr:cNvPr>
        <xdr:cNvSpPr txBox="1">
          <a:spLocks noChangeArrowheads="1"/>
        </xdr:cNvSpPr>
      </xdr:nvSpPr>
      <xdr:spPr bwMode="auto">
        <a:xfrm>
          <a:off x="5038725" y="4419600"/>
          <a:ext cx="495300" cy="20002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714375</xdr:colOff>
      <xdr:row>24</xdr:row>
      <xdr:rowOff>114300</xdr:rowOff>
    </xdr:from>
    <xdr:to>
      <xdr:col>6</xdr:col>
      <xdr:colOff>895350</xdr:colOff>
      <xdr:row>25</xdr:row>
      <xdr:rowOff>123825</xdr:rowOff>
    </xdr:to>
    <xdr:grpSp>
      <xdr:nvGrpSpPr>
        <xdr:cNvPr id="69" name="Group 69">
          <a:extLst>
            <a:ext uri="{FF2B5EF4-FFF2-40B4-BE49-F238E27FC236}">
              <a16:creationId xmlns:a16="http://schemas.microsoft.com/office/drawing/2014/main" id="{00000000-0008-0000-0500-000045000000}"/>
            </a:ext>
          </a:extLst>
        </xdr:cNvPr>
        <xdr:cNvGrpSpPr>
          <a:grpSpLocks/>
        </xdr:cNvGrpSpPr>
      </xdr:nvGrpSpPr>
      <xdr:grpSpPr bwMode="auto">
        <a:xfrm>
          <a:off x="5153025" y="4210050"/>
          <a:ext cx="180975" cy="171450"/>
          <a:chOff x="212" y="528"/>
          <a:chExt cx="19" cy="18"/>
        </a:xfrm>
      </xdr:grpSpPr>
      <xdr:sp macro="" textlink="">
        <xdr:nvSpPr>
          <xdr:cNvPr id="70" name="Oval 70">
            <a:extLst>
              <a:ext uri="{FF2B5EF4-FFF2-40B4-BE49-F238E27FC236}">
                <a16:creationId xmlns:a16="http://schemas.microsoft.com/office/drawing/2014/main" id="{00000000-0008-0000-0500-000046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71" name="Oval 71">
            <a:extLst>
              <a:ext uri="{FF2B5EF4-FFF2-40B4-BE49-F238E27FC236}">
                <a16:creationId xmlns:a16="http://schemas.microsoft.com/office/drawing/2014/main" id="{00000000-0008-0000-0500-000047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72" name="Oval 72">
            <a:extLst>
              <a:ext uri="{FF2B5EF4-FFF2-40B4-BE49-F238E27FC236}">
                <a16:creationId xmlns:a16="http://schemas.microsoft.com/office/drawing/2014/main" id="{00000000-0008-0000-0500-000048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5</xdr:col>
      <xdr:colOff>304800</xdr:colOff>
      <xdr:row>23</xdr:row>
      <xdr:rowOff>47625</xdr:rowOff>
    </xdr:from>
    <xdr:to>
      <xdr:col>6</xdr:col>
      <xdr:colOff>628650</xdr:colOff>
      <xdr:row>24</xdr:row>
      <xdr:rowOff>104775</xdr:rowOff>
    </xdr:to>
    <xdr:sp macro="" textlink="">
      <xdr:nvSpPr>
        <xdr:cNvPr id="73" name="Text Box 73">
          <a:extLst>
            <a:ext uri="{FF2B5EF4-FFF2-40B4-BE49-F238E27FC236}">
              <a16:creationId xmlns:a16="http://schemas.microsoft.com/office/drawing/2014/main" id="{00000000-0008-0000-0500-000049000000}"/>
            </a:ext>
          </a:extLst>
        </xdr:cNvPr>
        <xdr:cNvSpPr txBox="1">
          <a:spLocks noChangeArrowheads="1"/>
        </xdr:cNvSpPr>
      </xdr:nvSpPr>
      <xdr:spPr bwMode="auto">
        <a:xfrm>
          <a:off x="4114800" y="3981450"/>
          <a:ext cx="952500" cy="219075"/>
        </a:xfrm>
        <a:prstGeom prst="rect">
          <a:avLst/>
        </a:prstGeom>
        <a:solidFill>
          <a:srgbClr val="FFFFFF"/>
        </a:solidFill>
        <a:ln w="9525" algn="ctr">
          <a:solidFill>
            <a:srgbClr val="000000"/>
          </a:solidFill>
          <a:miter lim="800000"/>
          <a:headEnd/>
          <a:tailEnd/>
        </a:ln>
        <a:effectLst/>
      </xdr:spPr>
      <xdr:txBody>
        <a:bodyPr vertOverflow="clip" wrap="square" lIns="36576" tIns="22860" rIns="36576" bIns="0" anchor="t" upright="1"/>
        <a:lstStyle/>
        <a:p>
          <a:pPr algn="ctr" rtl="1">
            <a:defRPr sz="1000"/>
          </a:pPr>
          <a:r>
            <a:rPr lang="fr-FR" sz="1200" b="1" i="1" u="sng" strike="noStrike">
              <a:solidFill>
                <a:srgbClr val="000000"/>
              </a:solidFill>
              <a:latin typeface="Arial"/>
              <a:cs typeface="Arial"/>
            </a:rPr>
            <a:t>EXCEPTE</a:t>
          </a:r>
        </a:p>
      </xdr:txBody>
    </xdr:sp>
    <xdr:clientData/>
  </xdr:twoCellAnchor>
  <xdr:twoCellAnchor editAs="oneCell">
    <xdr:from>
      <xdr:col>0</xdr:col>
      <xdr:colOff>38100</xdr:colOff>
      <xdr:row>0</xdr:row>
      <xdr:rowOff>47625</xdr:rowOff>
    </xdr:from>
    <xdr:to>
      <xdr:col>1</xdr:col>
      <xdr:colOff>229472</xdr:colOff>
      <xdr:row>1</xdr:row>
      <xdr:rowOff>304800</xdr:rowOff>
    </xdr:to>
    <xdr:pic>
      <xdr:nvPicPr>
        <xdr:cNvPr id="75" name="Image 74">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371475</xdr:colOff>
      <xdr:row>30</xdr:row>
      <xdr:rowOff>38100</xdr:rowOff>
    </xdr:from>
    <xdr:to>
      <xdr:col>12</xdr:col>
      <xdr:colOff>323850</xdr:colOff>
      <xdr:row>32</xdr:row>
      <xdr:rowOff>47625</xdr:rowOff>
    </xdr:to>
    <xdr:sp macro="" textlink="">
      <xdr:nvSpPr>
        <xdr:cNvPr id="2" name="AutoShape 4">
          <a:extLst>
            <a:ext uri="{FF2B5EF4-FFF2-40B4-BE49-F238E27FC236}">
              <a16:creationId xmlns:a16="http://schemas.microsoft.com/office/drawing/2014/main" id="{00000000-0008-0000-0600-000002000000}"/>
            </a:ext>
          </a:extLst>
        </xdr:cNvPr>
        <xdr:cNvSpPr>
          <a:spLocks noChangeArrowheads="1"/>
        </xdr:cNvSpPr>
      </xdr:nvSpPr>
      <xdr:spPr bwMode="auto">
        <a:xfrm rot="5400000">
          <a:off x="11572875" y="7048500"/>
          <a:ext cx="495300" cy="66675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304800</xdr:colOff>
      <xdr:row>21</xdr:row>
      <xdr:rowOff>114300</xdr:rowOff>
    </xdr:from>
    <xdr:to>
      <xdr:col>12</xdr:col>
      <xdr:colOff>314325</xdr:colOff>
      <xdr:row>23</xdr:row>
      <xdr:rowOff>123825</xdr:rowOff>
    </xdr:to>
    <xdr:sp macro="" textlink="">
      <xdr:nvSpPr>
        <xdr:cNvPr id="3" name="AutoShape 5">
          <a:extLst>
            <a:ext uri="{FF2B5EF4-FFF2-40B4-BE49-F238E27FC236}">
              <a16:creationId xmlns:a16="http://schemas.microsoft.com/office/drawing/2014/main" id="{00000000-0008-0000-0600-000003000000}"/>
            </a:ext>
          </a:extLst>
        </xdr:cNvPr>
        <xdr:cNvSpPr>
          <a:spLocks noChangeArrowheads="1"/>
        </xdr:cNvSpPr>
      </xdr:nvSpPr>
      <xdr:spPr bwMode="auto">
        <a:xfrm rot="5400000">
          <a:off x="11534775" y="4962525"/>
          <a:ext cx="495300" cy="7239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357868</xdr:colOff>
      <xdr:row>12</xdr:row>
      <xdr:rowOff>163285</xdr:rowOff>
    </xdr:from>
    <xdr:to>
      <xdr:col>12</xdr:col>
      <xdr:colOff>338818</xdr:colOff>
      <xdr:row>14</xdr:row>
      <xdr:rowOff>172810</xdr:rowOff>
    </xdr:to>
    <xdr:sp macro="" textlink="">
      <xdr:nvSpPr>
        <xdr:cNvPr id="4" name="AutoShape 6">
          <a:extLst>
            <a:ext uri="{FF2B5EF4-FFF2-40B4-BE49-F238E27FC236}">
              <a16:creationId xmlns:a16="http://schemas.microsoft.com/office/drawing/2014/main" id="{00000000-0008-0000-0600-000004000000}"/>
            </a:ext>
          </a:extLst>
        </xdr:cNvPr>
        <xdr:cNvSpPr>
          <a:spLocks noChangeArrowheads="1"/>
        </xdr:cNvSpPr>
      </xdr:nvSpPr>
      <xdr:spPr bwMode="auto">
        <a:xfrm rot="5400000">
          <a:off x="11573556" y="2892197"/>
          <a:ext cx="495300" cy="6953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314325</xdr:colOff>
      <xdr:row>2</xdr:row>
      <xdr:rowOff>9525</xdr:rowOff>
    </xdr:from>
    <xdr:to>
      <xdr:col>12</xdr:col>
      <xdr:colOff>314325</xdr:colOff>
      <xdr:row>3</xdr:row>
      <xdr:rowOff>228600</xdr:rowOff>
    </xdr:to>
    <xdr:sp macro="" textlink="">
      <xdr:nvSpPr>
        <xdr:cNvPr id="5" name="AutoShape 7">
          <a:extLst>
            <a:ext uri="{FF2B5EF4-FFF2-40B4-BE49-F238E27FC236}">
              <a16:creationId xmlns:a16="http://schemas.microsoft.com/office/drawing/2014/main" id="{00000000-0008-0000-0600-000005000000}"/>
            </a:ext>
          </a:extLst>
        </xdr:cNvPr>
        <xdr:cNvSpPr>
          <a:spLocks noChangeArrowheads="1"/>
        </xdr:cNvSpPr>
      </xdr:nvSpPr>
      <xdr:spPr bwMode="auto">
        <a:xfrm rot="5400000">
          <a:off x="11553825" y="352425"/>
          <a:ext cx="466725" cy="7143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40821</xdr:colOff>
      <xdr:row>0</xdr:row>
      <xdr:rowOff>40821</xdr:rowOff>
    </xdr:from>
    <xdr:to>
      <xdr:col>3</xdr:col>
      <xdr:colOff>149678</xdr:colOff>
      <xdr:row>3</xdr:row>
      <xdr:rowOff>639</xdr:rowOff>
    </xdr:to>
    <xdr:pic>
      <xdr:nvPicPr>
        <xdr:cNvPr id="3" name="Imag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21" y="40821"/>
          <a:ext cx="1115786" cy="490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161925</xdr:colOff>
      <xdr:row>0</xdr:row>
      <xdr:rowOff>28575</xdr:rowOff>
    </xdr:from>
    <xdr:to>
      <xdr:col>8</xdr:col>
      <xdr:colOff>533400</xdr:colOff>
      <xdr:row>0</xdr:row>
      <xdr:rowOff>409575</xdr:rowOff>
    </xdr:to>
    <xdr:sp macro="" textlink="">
      <xdr:nvSpPr>
        <xdr:cNvPr id="210780" name="Oval 1">
          <a:extLst>
            <a:ext uri="{FF2B5EF4-FFF2-40B4-BE49-F238E27FC236}">
              <a16:creationId xmlns:a16="http://schemas.microsoft.com/office/drawing/2014/main" id="{00000000-0008-0000-0800-00005C370300}"/>
            </a:ext>
          </a:extLst>
        </xdr:cNvPr>
        <xdr:cNvSpPr>
          <a:spLocks noChangeArrowheads="1"/>
        </xdr:cNvSpPr>
      </xdr:nvSpPr>
      <xdr:spPr bwMode="auto">
        <a:xfrm>
          <a:off x="5743575" y="28575"/>
          <a:ext cx="1133475" cy="3810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247650</xdr:colOff>
      <xdr:row>0</xdr:row>
      <xdr:rowOff>95250</xdr:rowOff>
    </xdr:from>
    <xdr:to>
      <xdr:col>8</xdr:col>
      <xdr:colOff>390525</xdr:colOff>
      <xdr:row>0</xdr:row>
      <xdr:rowOff>447675</xdr:rowOff>
    </xdr:to>
    <xdr:sp macro="" textlink="">
      <xdr:nvSpPr>
        <xdr:cNvPr id="7170" name="Text Box 2">
          <a:extLst>
            <a:ext uri="{FF2B5EF4-FFF2-40B4-BE49-F238E27FC236}">
              <a16:creationId xmlns:a16="http://schemas.microsoft.com/office/drawing/2014/main" id="{00000000-0008-0000-0800-0000021C0000}"/>
            </a:ext>
          </a:extLst>
        </xdr:cNvPr>
        <xdr:cNvSpPr txBox="1">
          <a:spLocks noChangeArrowheads="1"/>
        </xdr:cNvSpPr>
      </xdr:nvSpPr>
      <xdr:spPr bwMode="auto">
        <a:xfrm>
          <a:off x="5829300" y="95250"/>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0</xdr:col>
      <xdr:colOff>609600</xdr:colOff>
      <xdr:row>17</xdr:row>
      <xdr:rowOff>104775</xdr:rowOff>
    </xdr:from>
    <xdr:to>
      <xdr:col>2</xdr:col>
      <xdr:colOff>152400</xdr:colOff>
      <xdr:row>19</xdr:row>
      <xdr:rowOff>85725</xdr:rowOff>
    </xdr:to>
    <xdr:sp macro="" textlink="">
      <xdr:nvSpPr>
        <xdr:cNvPr id="7171" name="Text Box 3">
          <a:extLst>
            <a:ext uri="{FF2B5EF4-FFF2-40B4-BE49-F238E27FC236}">
              <a16:creationId xmlns:a16="http://schemas.microsoft.com/office/drawing/2014/main" id="{00000000-0008-0000-0800-0000031C0000}"/>
            </a:ext>
          </a:extLst>
        </xdr:cNvPr>
        <xdr:cNvSpPr txBox="1">
          <a:spLocks noChangeArrowheads="1"/>
        </xdr:cNvSpPr>
      </xdr:nvSpPr>
      <xdr:spPr bwMode="auto">
        <a:xfrm>
          <a:off x="609600" y="3495675"/>
          <a:ext cx="1200150" cy="3048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0</xdr:colOff>
      <xdr:row>17</xdr:row>
      <xdr:rowOff>66675</xdr:rowOff>
    </xdr:from>
    <xdr:to>
      <xdr:col>7</xdr:col>
      <xdr:colOff>342900</xdr:colOff>
      <xdr:row>19</xdr:row>
      <xdr:rowOff>76200</xdr:rowOff>
    </xdr:to>
    <xdr:sp macro="" textlink="">
      <xdr:nvSpPr>
        <xdr:cNvPr id="7172" name="Text Box 4">
          <a:extLst>
            <a:ext uri="{FF2B5EF4-FFF2-40B4-BE49-F238E27FC236}">
              <a16:creationId xmlns:a16="http://schemas.microsoft.com/office/drawing/2014/main" id="{00000000-0008-0000-0800-0000041C0000}"/>
            </a:ext>
          </a:extLst>
        </xdr:cNvPr>
        <xdr:cNvSpPr txBox="1">
          <a:spLocks noChangeArrowheads="1"/>
        </xdr:cNvSpPr>
      </xdr:nvSpPr>
      <xdr:spPr bwMode="auto">
        <a:xfrm>
          <a:off x="4772025" y="3457575"/>
          <a:ext cx="1152525" cy="333375"/>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espace vert</a:t>
          </a:r>
        </a:p>
      </xdr:txBody>
    </xdr:sp>
    <xdr:clientData/>
  </xdr:twoCellAnchor>
  <xdr:twoCellAnchor>
    <xdr:from>
      <xdr:col>3</xdr:col>
      <xdr:colOff>190500</xdr:colOff>
      <xdr:row>17</xdr:row>
      <xdr:rowOff>104775</xdr:rowOff>
    </xdr:from>
    <xdr:to>
      <xdr:col>4</xdr:col>
      <xdr:colOff>695325</xdr:colOff>
      <xdr:row>20</xdr:row>
      <xdr:rowOff>0</xdr:rowOff>
    </xdr:to>
    <xdr:sp macro="" textlink="">
      <xdr:nvSpPr>
        <xdr:cNvPr id="7173" name="Text Box 5">
          <a:extLst>
            <a:ext uri="{FF2B5EF4-FFF2-40B4-BE49-F238E27FC236}">
              <a16:creationId xmlns:a16="http://schemas.microsoft.com/office/drawing/2014/main" id="{00000000-0008-0000-0800-0000051C0000}"/>
            </a:ext>
          </a:extLst>
        </xdr:cNvPr>
        <xdr:cNvSpPr txBox="1">
          <a:spLocks noChangeArrowheads="1"/>
        </xdr:cNvSpPr>
      </xdr:nvSpPr>
      <xdr:spPr bwMode="auto">
        <a:xfrm>
          <a:off x="2695575" y="3495675"/>
          <a:ext cx="1152525" cy="3810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Sous trottoir </a:t>
          </a:r>
          <a:r>
            <a:rPr lang="fr-FR" sz="1000" b="0" i="0" u="none" strike="noStrike" baseline="0">
              <a:solidFill>
                <a:srgbClr val="000000"/>
              </a:solidFill>
              <a:latin typeface="Arial Narrow"/>
            </a:rPr>
            <a:t>&amp;</a:t>
          </a:r>
          <a:r>
            <a:rPr lang="fr-FR" sz="1000" b="0" i="0" u="none" strike="noStrike" baseline="0">
              <a:solidFill>
                <a:srgbClr val="000000"/>
              </a:solidFill>
              <a:latin typeface="Arial"/>
              <a:cs typeface="Arial"/>
            </a:rPr>
            <a:t> accotement</a:t>
          </a:r>
        </a:p>
      </xdr:txBody>
    </xdr:sp>
    <xdr:clientData/>
  </xdr:twoCellAnchor>
  <xdr:twoCellAnchor>
    <xdr:from>
      <xdr:col>0</xdr:col>
      <xdr:colOff>533400</xdr:colOff>
      <xdr:row>20</xdr:row>
      <xdr:rowOff>85725</xdr:rowOff>
    </xdr:from>
    <xdr:to>
      <xdr:col>2</xdr:col>
      <xdr:colOff>238125</xdr:colOff>
      <xdr:row>21</xdr:row>
      <xdr:rowOff>0</xdr:rowOff>
    </xdr:to>
    <xdr:sp macro="" textlink="">
      <xdr:nvSpPr>
        <xdr:cNvPr id="210785" name="Rectangle 6">
          <a:extLst>
            <a:ext uri="{FF2B5EF4-FFF2-40B4-BE49-F238E27FC236}">
              <a16:creationId xmlns:a16="http://schemas.microsoft.com/office/drawing/2014/main" id="{00000000-0008-0000-0800-000061370300}"/>
            </a:ext>
          </a:extLst>
        </xdr:cNvPr>
        <xdr:cNvSpPr>
          <a:spLocks noChangeArrowheads="1"/>
        </xdr:cNvSpPr>
      </xdr:nvSpPr>
      <xdr:spPr bwMode="auto">
        <a:xfrm>
          <a:off x="533400" y="3962400"/>
          <a:ext cx="136207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21</xdr:row>
      <xdr:rowOff>9525</xdr:rowOff>
    </xdr:from>
    <xdr:to>
      <xdr:col>2</xdr:col>
      <xdr:colOff>0</xdr:colOff>
      <xdr:row>23</xdr:row>
      <xdr:rowOff>0</xdr:rowOff>
    </xdr:to>
    <xdr:sp macro="" textlink="">
      <xdr:nvSpPr>
        <xdr:cNvPr id="210786" name="Rectangle 7">
          <a:extLst>
            <a:ext uri="{FF2B5EF4-FFF2-40B4-BE49-F238E27FC236}">
              <a16:creationId xmlns:a16="http://schemas.microsoft.com/office/drawing/2014/main" id="{00000000-0008-0000-0800-000062370300}"/>
            </a:ext>
          </a:extLst>
        </xdr:cNvPr>
        <xdr:cNvSpPr>
          <a:spLocks noChangeArrowheads="1"/>
        </xdr:cNvSpPr>
      </xdr:nvSpPr>
      <xdr:spPr bwMode="auto">
        <a:xfrm>
          <a:off x="752475" y="4048125"/>
          <a:ext cx="904875" cy="3143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23</xdr:row>
      <xdr:rowOff>0</xdr:rowOff>
    </xdr:from>
    <xdr:to>
      <xdr:col>2</xdr:col>
      <xdr:colOff>9525</xdr:colOff>
      <xdr:row>23</xdr:row>
      <xdr:rowOff>0</xdr:rowOff>
    </xdr:to>
    <xdr:sp macro="" textlink="">
      <xdr:nvSpPr>
        <xdr:cNvPr id="210787" name="Line 8">
          <a:extLst>
            <a:ext uri="{FF2B5EF4-FFF2-40B4-BE49-F238E27FC236}">
              <a16:creationId xmlns:a16="http://schemas.microsoft.com/office/drawing/2014/main" id="{00000000-0008-0000-0800-000063370300}"/>
            </a:ext>
          </a:extLst>
        </xdr:cNvPr>
        <xdr:cNvSpPr>
          <a:spLocks noChangeShapeType="1"/>
        </xdr:cNvSpPr>
      </xdr:nvSpPr>
      <xdr:spPr bwMode="auto">
        <a:xfrm>
          <a:off x="752475" y="4362450"/>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20</xdr:row>
      <xdr:rowOff>152400</xdr:rowOff>
    </xdr:from>
    <xdr:to>
      <xdr:col>4</xdr:col>
      <xdr:colOff>590550</xdr:colOff>
      <xdr:row>24</xdr:row>
      <xdr:rowOff>0</xdr:rowOff>
    </xdr:to>
    <xdr:sp macro="" textlink="">
      <xdr:nvSpPr>
        <xdr:cNvPr id="210788" name="Rectangle 9">
          <a:extLst>
            <a:ext uri="{FF2B5EF4-FFF2-40B4-BE49-F238E27FC236}">
              <a16:creationId xmlns:a16="http://schemas.microsoft.com/office/drawing/2014/main" id="{00000000-0008-0000-0800-000064370300}"/>
            </a:ext>
          </a:extLst>
        </xdr:cNvPr>
        <xdr:cNvSpPr>
          <a:spLocks noChangeArrowheads="1"/>
        </xdr:cNvSpPr>
      </xdr:nvSpPr>
      <xdr:spPr bwMode="auto">
        <a:xfrm>
          <a:off x="2857500" y="4029075"/>
          <a:ext cx="885825" cy="4953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21</xdr:row>
      <xdr:rowOff>0</xdr:rowOff>
    </xdr:from>
    <xdr:to>
      <xdr:col>7</xdr:col>
      <xdr:colOff>257175</xdr:colOff>
      <xdr:row>23</xdr:row>
      <xdr:rowOff>0</xdr:rowOff>
    </xdr:to>
    <xdr:sp macro="" textlink="">
      <xdr:nvSpPr>
        <xdr:cNvPr id="210789" name="Rectangle 10">
          <a:extLst>
            <a:ext uri="{FF2B5EF4-FFF2-40B4-BE49-F238E27FC236}">
              <a16:creationId xmlns:a16="http://schemas.microsoft.com/office/drawing/2014/main" id="{00000000-0008-0000-0800-000065370300}"/>
            </a:ext>
          </a:extLst>
        </xdr:cNvPr>
        <xdr:cNvSpPr>
          <a:spLocks noChangeArrowheads="1"/>
        </xdr:cNvSpPr>
      </xdr:nvSpPr>
      <xdr:spPr bwMode="auto">
        <a:xfrm>
          <a:off x="4953000" y="4038600"/>
          <a:ext cx="885825" cy="3238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800100</xdr:colOff>
      <xdr:row>20</xdr:row>
      <xdr:rowOff>152400</xdr:rowOff>
    </xdr:from>
    <xdr:to>
      <xdr:col>7</xdr:col>
      <xdr:colOff>381000</xdr:colOff>
      <xdr:row>20</xdr:row>
      <xdr:rowOff>152400</xdr:rowOff>
    </xdr:to>
    <xdr:sp macro="" textlink="">
      <xdr:nvSpPr>
        <xdr:cNvPr id="210790" name="Line 11">
          <a:extLst>
            <a:ext uri="{FF2B5EF4-FFF2-40B4-BE49-F238E27FC236}">
              <a16:creationId xmlns:a16="http://schemas.microsoft.com/office/drawing/2014/main" id="{00000000-0008-0000-0800-000066370300}"/>
            </a:ext>
          </a:extLst>
        </xdr:cNvPr>
        <xdr:cNvSpPr>
          <a:spLocks noChangeShapeType="1"/>
        </xdr:cNvSpPr>
      </xdr:nvSpPr>
      <xdr:spPr bwMode="auto">
        <a:xfrm>
          <a:off x="4762500" y="4029075"/>
          <a:ext cx="12001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21</xdr:row>
      <xdr:rowOff>0</xdr:rowOff>
    </xdr:from>
    <xdr:to>
      <xdr:col>5</xdr:col>
      <xdr:colOff>0</xdr:colOff>
      <xdr:row>21</xdr:row>
      <xdr:rowOff>0</xdr:rowOff>
    </xdr:to>
    <xdr:sp macro="" textlink="">
      <xdr:nvSpPr>
        <xdr:cNvPr id="210791" name="Line 12">
          <a:extLst>
            <a:ext uri="{FF2B5EF4-FFF2-40B4-BE49-F238E27FC236}">
              <a16:creationId xmlns:a16="http://schemas.microsoft.com/office/drawing/2014/main" id="{00000000-0008-0000-0800-000067370300}"/>
            </a:ext>
          </a:extLst>
        </xdr:cNvPr>
        <xdr:cNvSpPr>
          <a:spLocks noChangeShapeType="1"/>
        </xdr:cNvSpPr>
      </xdr:nvSpPr>
      <xdr:spPr bwMode="auto">
        <a:xfrm>
          <a:off x="2628900" y="4038600"/>
          <a:ext cx="133350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152400</xdr:colOff>
      <xdr:row>21</xdr:row>
      <xdr:rowOff>95250</xdr:rowOff>
    </xdr:from>
    <xdr:to>
      <xdr:col>1</xdr:col>
      <xdr:colOff>666750</xdr:colOff>
      <xdr:row>22</xdr:row>
      <xdr:rowOff>142875</xdr:rowOff>
    </xdr:to>
    <xdr:sp macro="" textlink="">
      <xdr:nvSpPr>
        <xdr:cNvPr id="7181" name="Text Box 13">
          <a:extLst>
            <a:ext uri="{FF2B5EF4-FFF2-40B4-BE49-F238E27FC236}">
              <a16:creationId xmlns:a16="http://schemas.microsoft.com/office/drawing/2014/main" id="{00000000-0008-0000-0800-00000D1C0000}"/>
            </a:ext>
          </a:extLst>
        </xdr:cNvPr>
        <xdr:cNvSpPr txBox="1">
          <a:spLocks noChangeArrowheads="1"/>
        </xdr:cNvSpPr>
      </xdr:nvSpPr>
      <xdr:spPr bwMode="auto">
        <a:xfrm>
          <a:off x="962025" y="4133850"/>
          <a:ext cx="5143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0</xdr:col>
      <xdr:colOff>752475</xdr:colOff>
      <xdr:row>23</xdr:row>
      <xdr:rowOff>0</xdr:rowOff>
    </xdr:from>
    <xdr:to>
      <xdr:col>2</xdr:col>
      <xdr:colOff>0</xdr:colOff>
      <xdr:row>26</xdr:row>
      <xdr:rowOff>152400</xdr:rowOff>
    </xdr:to>
    <xdr:sp macro="" textlink="">
      <xdr:nvSpPr>
        <xdr:cNvPr id="210793" name="Rectangle 14">
          <a:extLst>
            <a:ext uri="{FF2B5EF4-FFF2-40B4-BE49-F238E27FC236}">
              <a16:creationId xmlns:a16="http://schemas.microsoft.com/office/drawing/2014/main" id="{00000000-0008-0000-0800-000069370300}"/>
            </a:ext>
          </a:extLst>
        </xdr:cNvPr>
        <xdr:cNvSpPr>
          <a:spLocks noChangeArrowheads="1"/>
        </xdr:cNvSpPr>
      </xdr:nvSpPr>
      <xdr:spPr bwMode="auto">
        <a:xfrm>
          <a:off x="752475" y="4362450"/>
          <a:ext cx="904875" cy="6381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26</xdr:row>
      <xdr:rowOff>152400</xdr:rowOff>
    </xdr:from>
    <xdr:to>
      <xdr:col>2</xdr:col>
      <xdr:colOff>0</xdr:colOff>
      <xdr:row>27</xdr:row>
      <xdr:rowOff>95250</xdr:rowOff>
    </xdr:to>
    <xdr:sp macro="" textlink="">
      <xdr:nvSpPr>
        <xdr:cNvPr id="210794" name="Rectangle 15">
          <a:extLst>
            <a:ext uri="{FF2B5EF4-FFF2-40B4-BE49-F238E27FC236}">
              <a16:creationId xmlns:a16="http://schemas.microsoft.com/office/drawing/2014/main" id="{00000000-0008-0000-0800-00006A370300}"/>
            </a:ext>
          </a:extLst>
        </xdr:cNvPr>
        <xdr:cNvSpPr>
          <a:spLocks noChangeArrowheads="1"/>
        </xdr:cNvSpPr>
      </xdr:nvSpPr>
      <xdr:spPr bwMode="auto">
        <a:xfrm>
          <a:off x="752475" y="5000625"/>
          <a:ext cx="904875" cy="1047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27</xdr:row>
      <xdr:rowOff>95250</xdr:rowOff>
    </xdr:from>
    <xdr:to>
      <xdr:col>2</xdr:col>
      <xdr:colOff>0</xdr:colOff>
      <xdr:row>29</xdr:row>
      <xdr:rowOff>104775</xdr:rowOff>
    </xdr:to>
    <xdr:sp macro="" textlink="">
      <xdr:nvSpPr>
        <xdr:cNvPr id="210795" name="Rectangle 16">
          <a:extLst>
            <a:ext uri="{FF2B5EF4-FFF2-40B4-BE49-F238E27FC236}">
              <a16:creationId xmlns:a16="http://schemas.microsoft.com/office/drawing/2014/main" id="{00000000-0008-0000-0800-00006B370300}"/>
            </a:ext>
          </a:extLst>
        </xdr:cNvPr>
        <xdr:cNvSpPr>
          <a:spLocks noChangeArrowheads="1"/>
        </xdr:cNvSpPr>
      </xdr:nvSpPr>
      <xdr:spPr bwMode="auto">
        <a:xfrm>
          <a:off x="752475" y="5105400"/>
          <a:ext cx="904875" cy="3333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29</xdr:row>
      <xdr:rowOff>104775</xdr:rowOff>
    </xdr:from>
    <xdr:to>
      <xdr:col>2</xdr:col>
      <xdr:colOff>0</xdr:colOff>
      <xdr:row>30</xdr:row>
      <xdr:rowOff>28575</xdr:rowOff>
    </xdr:to>
    <xdr:sp macro="" textlink="">
      <xdr:nvSpPr>
        <xdr:cNvPr id="210796" name="Rectangle 17">
          <a:extLst>
            <a:ext uri="{FF2B5EF4-FFF2-40B4-BE49-F238E27FC236}">
              <a16:creationId xmlns:a16="http://schemas.microsoft.com/office/drawing/2014/main" id="{00000000-0008-0000-0800-00006C370300}"/>
            </a:ext>
          </a:extLst>
        </xdr:cNvPr>
        <xdr:cNvSpPr>
          <a:spLocks noChangeArrowheads="1"/>
        </xdr:cNvSpPr>
      </xdr:nvSpPr>
      <xdr:spPr bwMode="auto">
        <a:xfrm>
          <a:off x="752475" y="5438775"/>
          <a:ext cx="90487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29</xdr:row>
      <xdr:rowOff>85725</xdr:rowOff>
    </xdr:from>
    <xdr:to>
      <xdr:col>4</xdr:col>
      <xdr:colOff>590550</xdr:colOff>
      <xdr:row>30</xdr:row>
      <xdr:rowOff>9525</xdr:rowOff>
    </xdr:to>
    <xdr:sp macro="" textlink="">
      <xdr:nvSpPr>
        <xdr:cNvPr id="210797" name="Rectangle 18">
          <a:extLst>
            <a:ext uri="{FF2B5EF4-FFF2-40B4-BE49-F238E27FC236}">
              <a16:creationId xmlns:a16="http://schemas.microsoft.com/office/drawing/2014/main" id="{00000000-0008-0000-0800-00006D370300}"/>
            </a:ext>
          </a:extLst>
        </xdr:cNvPr>
        <xdr:cNvSpPr>
          <a:spLocks noChangeArrowheads="1"/>
        </xdr:cNvSpPr>
      </xdr:nvSpPr>
      <xdr:spPr bwMode="auto">
        <a:xfrm>
          <a:off x="2857500" y="5419725"/>
          <a:ext cx="88582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29</xdr:row>
      <xdr:rowOff>95250</xdr:rowOff>
    </xdr:from>
    <xdr:to>
      <xdr:col>7</xdr:col>
      <xdr:colOff>257175</xdr:colOff>
      <xdr:row>30</xdr:row>
      <xdr:rowOff>28575</xdr:rowOff>
    </xdr:to>
    <xdr:sp macro="" textlink="">
      <xdr:nvSpPr>
        <xdr:cNvPr id="210798" name="Rectangle 19">
          <a:extLst>
            <a:ext uri="{FF2B5EF4-FFF2-40B4-BE49-F238E27FC236}">
              <a16:creationId xmlns:a16="http://schemas.microsoft.com/office/drawing/2014/main" id="{00000000-0008-0000-0800-00006E370300}"/>
            </a:ext>
          </a:extLst>
        </xdr:cNvPr>
        <xdr:cNvSpPr>
          <a:spLocks noChangeArrowheads="1"/>
        </xdr:cNvSpPr>
      </xdr:nvSpPr>
      <xdr:spPr bwMode="auto">
        <a:xfrm>
          <a:off x="4953000" y="5429250"/>
          <a:ext cx="885825" cy="952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104775</xdr:colOff>
      <xdr:row>24</xdr:row>
      <xdr:rowOff>85725</xdr:rowOff>
    </xdr:from>
    <xdr:to>
      <xdr:col>1</xdr:col>
      <xdr:colOff>771525</xdr:colOff>
      <xdr:row>25</xdr:row>
      <xdr:rowOff>133350</xdr:rowOff>
    </xdr:to>
    <xdr:sp macro="" textlink="">
      <xdr:nvSpPr>
        <xdr:cNvPr id="7188" name="Text Box 20">
          <a:extLst>
            <a:ext uri="{FF2B5EF4-FFF2-40B4-BE49-F238E27FC236}">
              <a16:creationId xmlns:a16="http://schemas.microsoft.com/office/drawing/2014/main" id="{00000000-0008-0000-0800-0000141C0000}"/>
            </a:ext>
          </a:extLst>
        </xdr:cNvPr>
        <xdr:cNvSpPr txBox="1">
          <a:spLocks noChangeArrowheads="1"/>
        </xdr:cNvSpPr>
      </xdr:nvSpPr>
      <xdr:spPr bwMode="auto">
        <a:xfrm>
          <a:off x="914400" y="4610100"/>
          <a:ext cx="6667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1</xdr:col>
      <xdr:colOff>152400</xdr:colOff>
      <xdr:row>26</xdr:row>
      <xdr:rowOff>104775</xdr:rowOff>
    </xdr:from>
    <xdr:to>
      <xdr:col>1</xdr:col>
      <xdr:colOff>628650</xdr:colOff>
      <xdr:row>27</xdr:row>
      <xdr:rowOff>152400</xdr:rowOff>
    </xdr:to>
    <xdr:sp macro="" textlink="">
      <xdr:nvSpPr>
        <xdr:cNvPr id="7189" name="Text Box 21">
          <a:extLst>
            <a:ext uri="{FF2B5EF4-FFF2-40B4-BE49-F238E27FC236}">
              <a16:creationId xmlns:a16="http://schemas.microsoft.com/office/drawing/2014/main" id="{00000000-0008-0000-0800-0000151C0000}"/>
            </a:ext>
          </a:extLst>
        </xdr:cNvPr>
        <xdr:cNvSpPr txBox="1">
          <a:spLocks noChangeArrowheads="1"/>
        </xdr:cNvSpPr>
      </xdr:nvSpPr>
      <xdr:spPr bwMode="auto">
        <a:xfrm>
          <a:off x="962025" y="4953000"/>
          <a:ext cx="476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1</xdr:col>
      <xdr:colOff>285750</xdr:colOff>
      <xdr:row>28</xdr:row>
      <xdr:rowOff>95250</xdr:rowOff>
    </xdr:from>
    <xdr:to>
      <xdr:col>1</xdr:col>
      <xdr:colOff>476250</xdr:colOff>
      <xdr:row>29</xdr:row>
      <xdr:rowOff>95250</xdr:rowOff>
    </xdr:to>
    <xdr:sp macro="" textlink="">
      <xdr:nvSpPr>
        <xdr:cNvPr id="210801" name="Oval 22">
          <a:extLst>
            <a:ext uri="{FF2B5EF4-FFF2-40B4-BE49-F238E27FC236}">
              <a16:creationId xmlns:a16="http://schemas.microsoft.com/office/drawing/2014/main" id="{00000000-0008-0000-0800-000071370300}"/>
            </a:ext>
          </a:extLst>
        </xdr:cNvPr>
        <xdr:cNvSpPr>
          <a:spLocks noChangeArrowheads="1"/>
        </xdr:cNvSpPr>
      </xdr:nvSpPr>
      <xdr:spPr bwMode="auto">
        <a:xfrm>
          <a:off x="1095375" y="5267325"/>
          <a:ext cx="190500" cy="16192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447675</xdr:colOff>
      <xdr:row>21</xdr:row>
      <xdr:rowOff>9525</xdr:rowOff>
    </xdr:from>
    <xdr:to>
      <xdr:col>3</xdr:col>
      <xdr:colOff>95250</xdr:colOff>
      <xdr:row>22</xdr:row>
      <xdr:rowOff>114300</xdr:rowOff>
    </xdr:to>
    <xdr:sp macro="" textlink="">
      <xdr:nvSpPr>
        <xdr:cNvPr id="7191" name="Text Box 23">
          <a:extLst>
            <a:ext uri="{FF2B5EF4-FFF2-40B4-BE49-F238E27FC236}">
              <a16:creationId xmlns:a16="http://schemas.microsoft.com/office/drawing/2014/main" id="{00000000-0008-0000-0800-0000171C0000}"/>
            </a:ext>
          </a:extLst>
        </xdr:cNvPr>
        <xdr:cNvSpPr txBox="1">
          <a:spLocks noChangeArrowheads="1"/>
        </xdr:cNvSpPr>
      </xdr:nvSpPr>
      <xdr:spPr bwMode="auto">
        <a:xfrm>
          <a:off x="2105025" y="4048125"/>
          <a:ext cx="495300" cy="266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Réfection définitive</a:t>
          </a:r>
        </a:p>
      </xdr:txBody>
    </xdr:sp>
    <xdr:clientData/>
  </xdr:twoCellAnchor>
  <xdr:twoCellAnchor>
    <xdr:from>
      <xdr:col>2</xdr:col>
      <xdr:colOff>285750</xdr:colOff>
      <xdr:row>20</xdr:row>
      <xdr:rowOff>133350</xdr:rowOff>
    </xdr:from>
    <xdr:to>
      <xdr:col>2</xdr:col>
      <xdr:colOff>400050</xdr:colOff>
      <xdr:row>22</xdr:row>
      <xdr:rowOff>123825</xdr:rowOff>
    </xdr:to>
    <xdr:sp macro="" textlink="">
      <xdr:nvSpPr>
        <xdr:cNvPr id="210803" name="AutoShape 24">
          <a:extLst>
            <a:ext uri="{FF2B5EF4-FFF2-40B4-BE49-F238E27FC236}">
              <a16:creationId xmlns:a16="http://schemas.microsoft.com/office/drawing/2014/main" id="{00000000-0008-0000-0800-000073370300}"/>
            </a:ext>
          </a:extLst>
        </xdr:cNvPr>
        <xdr:cNvSpPr>
          <a:spLocks/>
        </xdr:cNvSpPr>
      </xdr:nvSpPr>
      <xdr:spPr bwMode="auto">
        <a:xfrm>
          <a:off x="1943100" y="4010025"/>
          <a:ext cx="114300" cy="314325"/>
        </a:xfrm>
        <a:prstGeom prst="rightBracket">
          <a:avLst>
            <a:gd name="adj" fmla="val 2291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161925</xdr:colOff>
      <xdr:row>23</xdr:row>
      <xdr:rowOff>19050</xdr:rowOff>
    </xdr:from>
    <xdr:to>
      <xdr:col>2</xdr:col>
      <xdr:colOff>171450</xdr:colOff>
      <xdr:row>26</xdr:row>
      <xdr:rowOff>152400</xdr:rowOff>
    </xdr:to>
    <xdr:sp macro="" textlink="">
      <xdr:nvSpPr>
        <xdr:cNvPr id="210804" name="Line 25">
          <a:extLst>
            <a:ext uri="{FF2B5EF4-FFF2-40B4-BE49-F238E27FC236}">
              <a16:creationId xmlns:a16="http://schemas.microsoft.com/office/drawing/2014/main" id="{00000000-0008-0000-0800-000074370300}"/>
            </a:ext>
          </a:extLst>
        </xdr:cNvPr>
        <xdr:cNvSpPr>
          <a:spLocks noChangeShapeType="1"/>
        </xdr:cNvSpPr>
      </xdr:nvSpPr>
      <xdr:spPr bwMode="auto">
        <a:xfrm>
          <a:off x="1819275" y="4381500"/>
          <a:ext cx="9525"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276225</xdr:colOff>
      <xdr:row>23</xdr:row>
      <xdr:rowOff>47625</xdr:rowOff>
    </xdr:from>
    <xdr:to>
      <xdr:col>3</xdr:col>
      <xdr:colOff>295275</xdr:colOff>
      <xdr:row>26</xdr:row>
      <xdr:rowOff>123825</xdr:rowOff>
    </xdr:to>
    <xdr:sp macro="" textlink="">
      <xdr:nvSpPr>
        <xdr:cNvPr id="7194" name="Text Box 26">
          <a:extLst>
            <a:ext uri="{FF2B5EF4-FFF2-40B4-BE49-F238E27FC236}">
              <a16:creationId xmlns:a16="http://schemas.microsoft.com/office/drawing/2014/main" id="{00000000-0008-0000-0800-00001A1C0000}"/>
            </a:ext>
          </a:extLst>
        </xdr:cNvPr>
        <xdr:cNvSpPr txBox="1">
          <a:spLocks noChangeArrowheads="1"/>
        </xdr:cNvSpPr>
      </xdr:nvSpPr>
      <xdr:spPr bwMode="auto">
        <a:xfrm>
          <a:off x="1933575" y="4410075"/>
          <a:ext cx="866775" cy="561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60 cm = Route Nationale</a:t>
          </a:r>
        </a:p>
        <a:p>
          <a:pPr algn="l" rtl="0">
            <a:defRPr sz="1000"/>
          </a:pPr>
          <a:r>
            <a:rPr lang="fr-FR" sz="800" b="0" i="0" u="none" strike="noStrike" baseline="0">
              <a:solidFill>
                <a:srgbClr val="000000"/>
              </a:solidFill>
              <a:latin typeface="Arial"/>
              <a:cs typeface="Arial"/>
            </a:rPr>
            <a:t>45 cm = Route départementale.</a:t>
          </a:r>
        </a:p>
      </xdr:txBody>
    </xdr:sp>
    <xdr:clientData/>
  </xdr:twoCellAnchor>
  <xdr:twoCellAnchor>
    <xdr:from>
      <xdr:col>2</xdr:col>
      <xdr:colOff>47625</xdr:colOff>
      <xdr:row>23</xdr:row>
      <xdr:rowOff>28575</xdr:rowOff>
    </xdr:from>
    <xdr:to>
      <xdr:col>2</xdr:col>
      <xdr:colOff>285750</xdr:colOff>
      <xdr:row>23</xdr:row>
      <xdr:rowOff>28575</xdr:rowOff>
    </xdr:to>
    <xdr:sp macro="" textlink="">
      <xdr:nvSpPr>
        <xdr:cNvPr id="210806" name="Line 27">
          <a:extLst>
            <a:ext uri="{FF2B5EF4-FFF2-40B4-BE49-F238E27FC236}">
              <a16:creationId xmlns:a16="http://schemas.microsoft.com/office/drawing/2014/main" id="{00000000-0008-0000-0800-000076370300}"/>
            </a:ext>
          </a:extLst>
        </xdr:cNvPr>
        <xdr:cNvSpPr>
          <a:spLocks noChangeShapeType="1"/>
        </xdr:cNvSpPr>
      </xdr:nvSpPr>
      <xdr:spPr bwMode="auto">
        <a:xfrm>
          <a:off x="1704975" y="43910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xdr:colOff>
      <xdr:row>26</xdr:row>
      <xdr:rowOff>152400</xdr:rowOff>
    </xdr:from>
    <xdr:to>
      <xdr:col>2</xdr:col>
      <xdr:colOff>285750</xdr:colOff>
      <xdr:row>26</xdr:row>
      <xdr:rowOff>152400</xdr:rowOff>
    </xdr:to>
    <xdr:sp macro="" textlink="">
      <xdr:nvSpPr>
        <xdr:cNvPr id="210807" name="Line 28">
          <a:extLst>
            <a:ext uri="{FF2B5EF4-FFF2-40B4-BE49-F238E27FC236}">
              <a16:creationId xmlns:a16="http://schemas.microsoft.com/office/drawing/2014/main" id="{00000000-0008-0000-0800-000077370300}"/>
            </a:ext>
          </a:extLst>
        </xdr:cNvPr>
        <xdr:cNvSpPr>
          <a:spLocks noChangeShapeType="1"/>
        </xdr:cNvSpPr>
      </xdr:nvSpPr>
      <xdr:spPr bwMode="auto">
        <a:xfrm>
          <a:off x="1704975" y="50006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28</xdr:row>
      <xdr:rowOff>28575</xdr:rowOff>
    </xdr:from>
    <xdr:to>
      <xdr:col>2</xdr:col>
      <xdr:colOff>828675</xdr:colOff>
      <xdr:row>29</xdr:row>
      <xdr:rowOff>19050</xdr:rowOff>
    </xdr:to>
    <xdr:sp macro="" textlink="">
      <xdr:nvSpPr>
        <xdr:cNvPr id="7197" name="Text Box 29">
          <a:extLst>
            <a:ext uri="{FF2B5EF4-FFF2-40B4-BE49-F238E27FC236}">
              <a16:creationId xmlns:a16="http://schemas.microsoft.com/office/drawing/2014/main" id="{00000000-0008-0000-0800-00001D1C0000}"/>
            </a:ext>
          </a:extLst>
        </xdr:cNvPr>
        <xdr:cNvSpPr txBox="1">
          <a:spLocks noChangeArrowheads="1"/>
        </xdr:cNvSpPr>
      </xdr:nvSpPr>
      <xdr:spPr bwMode="auto">
        <a:xfrm>
          <a:off x="1781175" y="5200650"/>
          <a:ext cx="7048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1</xdr:col>
      <xdr:colOff>714375</xdr:colOff>
      <xdr:row>30</xdr:row>
      <xdr:rowOff>0</xdr:rowOff>
    </xdr:from>
    <xdr:to>
      <xdr:col>2</xdr:col>
      <xdr:colOff>152400</xdr:colOff>
      <xdr:row>30</xdr:row>
      <xdr:rowOff>0</xdr:rowOff>
    </xdr:to>
    <xdr:sp macro="" textlink="">
      <xdr:nvSpPr>
        <xdr:cNvPr id="210809" name="Line 30">
          <a:extLst>
            <a:ext uri="{FF2B5EF4-FFF2-40B4-BE49-F238E27FC236}">
              <a16:creationId xmlns:a16="http://schemas.microsoft.com/office/drawing/2014/main" id="{00000000-0008-0000-0800-000079370300}"/>
            </a:ext>
          </a:extLst>
        </xdr:cNvPr>
        <xdr:cNvSpPr>
          <a:spLocks noChangeShapeType="1"/>
        </xdr:cNvSpPr>
      </xdr:nvSpPr>
      <xdr:spPr bwMode="auto">
        <a:xfrm flipH="1" flipV="1">
          <a:off x="1524000" y="549592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219075</xdr:colOff>
      <xdr:row>29</xdr:row>
      <xdr:rowOff>95250</xdr:rowOff>
    </xdr:from>
    <xdr:to>
      <xdr:col>3</xdr:col>
      <xdr:colOff>104775</xdr:colOff>
      <xdr:row>30</xdr:row>
      <xdr:rowOff>114300</xdr:rowOff>
    </xdr:to>
    <xdr:sp macro="" textlink="">
      <xdr:nvSpPr>
        <xdr:cNvPr id="7199" name="Text Box 31">
          <a:extLst>
            <a:ext uri="{FF2B5EF4-FFF2-40B4-BE49-F238E27FC236}">
              <a16:creationId xmlns:a16="http://schemas.microsoft.com/office/drawing/2014/main" id="{00000000-0008-0000-0800-00001F1C0000}"/>
            </a:ext>
          </a:extLst>
        </xdr:cNvPr>
        <xdr:cNvSpPr txBox="1">
          <a:spLocks noChangeArrowheads="1"/>
        </xdr:cNvSpPr>
      </xdr:nvSpPr>
      <xdr:spPr bwMode="auto">
        <a:xfrm>
          <a:off x="1876425" y="542925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142875</xdr:colOff>
      <xdr:row>29</xdr:row>
      <xdr:rowOff>142875</xdr:rowOff>
    </xdr:from>
    <xdr:to>
      <xdr:col>7</xdr:col>
      <xdr:colOff>428625</xdr:colOff>
      <xdr:row>29</xdr:row>
      <xdr:rowOff>142875</xdr:rowOff>
    </xdr:to>
    <xdr:sp macro="" textlink="">
      <xdr:nvSpPr>
        <xdr:cNvPr id="210811" name="Line 32">
          <a:extLst>
            <a:ext uri="{FF2B5EF4-FFF2-40B4-BE49-F238E27FC236}">
              <a16:creationId xmlns:a16="http://schemas.microsoft.com/office/drawing/2014/main" id="{00000000-0008-0000-0800-00007B370300}"/>
            </a:ext>
          </a:extLst>
        </xdr:cNvPr>
        <xdr:cNvSpPr>
          <a:spLocks noChangeShapeType="1"/>
        </xdr:cNvSpPr>
      </xdr:nvSpPr>
      <xdr:spPr bwMode="auto">
        <a:xfrm flipH="1" flipV="1">
          <a:off x="5724525" y="547687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400050</xdr:colOff>
      <xdr:row>29</xdr:row>
      <xdr:rowOff>133350</xdr:rowOff>
    </xdr:from>
    <xdr:to>
      <xdr:col>4</xdr:col>
      <xdr:colOff>685800</xdr:colOff>
      <xdr:row>29</xdr:row>
      <xdr:rowOff>133350</xdr:rowOff>
    </xdr:to>
    <xdr:sp macro="" textlink="">
      <xdr:nvSpPr>
        <xdr:cNvPr id="210812" name="Line 33">
          <a:extLst>
            <a:ext uri="{FF2B5EF4-FFF2-40B4-BE49-F238E27FC236}">
              <a16:creationId xmlns:a16="http://schemas.microsoft.com/office/drawing/2014/main" id="{00000000-0008-0000-0800-00007C370300}"/>
            </a:ext>
          </a:extLst>
        </xdr:cNvPr>
        <xdr:cNvSpPr>
          <a:spLocks noChangeShapeType="1"/>
        </xdr:cNvSpPr>
      </xdr:nvSpPr>
      <xdr:spPr bwMode="auto">
        <a:xfrm flipH="1" flipV="1">
          <a:off x="3552825" y="5467350"/>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752475</xdr:colOff>
      <xdr:row>29</xdr:row>
      <xdr:rowOff>76200</xdr:rowOff>
    </xdr:from>
    <xdr:to>
      <xdr:col>5</xdr:col>
      <xdr:colOff>676275</xdr:colOff>
      <xdr:row>30</xdr:row>
      <xdr:rowOff>95250</xdr:rowOff>
    </xdr:to>
    <xdr:sp macro="" textlink="">
      <xdr:nvSpPr>
        <xdr:cNvPr id="7202" name="Text Box 34">
          <a:extLst>
            <a:ext uri="{FF2B5EF4-FFF2-40B4-BE49-F238E27FC236}">
              <a16:creationId xmlns:a16="http://schemas.microsoft.com/office/drawing/2014/main" id="{00000000-0008-0000-0800-0000221C0000}"/>
            </a:ext>
          </a:extLst>
        </xdr:cNvPr>
        <xdr:cNvSpPr txBox="1">
          <a:spLocks noChangeArrowheads="1"/>
        </xdr:cNvSpPr>
      </xdr:nvSpPr>
      <xdr:spPr bwMode="auto">
        <a:xfrm>
          <a:off x="3905250" y="541020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514350</xdr:colOff>
      <xdr:row>29</xdr:row>
      <xdr:rowOff>47625</xdr:rowOff>
    </xdr:from>
    <xdr:to>
      <xdr:col>8</xdr:col>
      <xdr:colOff>485775</xdr:colOff>
      <xdr:row>30</xdr:row>
      <xdr:rowOff>66675</xdr:rowOff>
    </xdr:to>
    <xdr:sp macro="" textlink="">
      <xdr:nvSpPr>
        <xdr:cNvPr id="7203" name="Text Box 35">
          <a:extLst>
            <a:ext uri="{FF2B5EF4-FFF2-40B4-BE49-F238E27FC236}">
              <a16:creationId xmlns:a16="http://schemas.microsoft.com/office/drawing/2014/main" id="{00000000-0008-0000-0800-0000231C0000}"/>
            </a:ext>
          </a:extLst>
        </xdr:cNvPr>
        <xdr:cNvSpPr txBox="1">
          <a:spLocks noChangeArrowheads="1"/>
        </xdr:cNvSpPr>
      </xdr:nvSpPr>
      <xdr:spPr bwMode="auto">
        <a:xfrm>
          <a:off x="6096000" y="5381625"/>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3</xdr:col>
      <xdr:colOff>352425</xdr:colOff>
      <xdr:row>24</xdr:row>
      <xdr:rowOff>0</xdr:rowOff>
    </xdr:from>
    <xdr:to>
      <xdr:col>4</xdr:col>
      <xdr:colOff>590550</xdr:colOff>
      <xdr:row>28</xdr:row>
      <xdr:rowOff>38100</xdr:rowOff>
    </xdr:to>
    <xdr:sp macro="" textlink="">
      <xdr:nvSpPr>
        <xdr:cNvPr id="210815" name="Rectangle 36">
          <a:extLst>
            <a:ext uri="{FF2B5EF4-FFF2-40B4-BE49-F238E27FC236}">
              <a16:creationId xmlns:a16="http://schemas.microsoft.com/office/drawing/2014/main" id="{00000000-0008-0000-0800-00007F370300}"/>
            </a:ext>
          </a:extLst>
        </xdr:cNvPr>
        <xdr:cNvSpPr>
          <a:spLocks noChangeArrowheads="1"/>
        </xdr:cNvSpPr>
      </xdr:nvSpPr>
      <xdr:spPr bwMode="auto">
        <a:xfrm>
          <a:off x="2857500" y="4524375"/>
          <a:ext cx="885825" cy="6858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28</xdr:row>
      <xdr:rowOff>38100</xdr:rowOff>
    </xdr:from>
    <xdr:to>
      <xdr:col>4</xdr:col>
      <xdr:colOff>590550</xdr:colOff>
      <xdr:row>29</xdr:row>
      <xdr:rowOff>85725</xdr:rowOff>
    </xdr:to>
    <xdr:sp macro="" textlink="">
      <xdr:nvSpPr>
        <xdr:cNvPr id="210816" name="Rectangle 37">
          <a:extLst>
            <a:ext uri="{FF2B5EF4-FFF2-40B4-BE49-F238E27FC236}">
              <a16:creationId xmlns:a16="http://schemas.microsoft.com/office/drawing/2014/main" id="{00000000-0008-0000-0800-000080370300}"/>
            </a:ext>
          </a:extLst>
        </xdr:cNvPr>
        <xdr:cNvSpPr>
          <a:spLocks noChangeArrowheads="1"/>
        </xdr:cNvSpPr>
      </xdr:nvSpPr>
      <xdr:spPr bwMode="auto">
        <a:xfrm>
          <a:off x="2857500" y="5210175"/>
          <a:ext cx="885825"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523875</xdr:colOff>
      <xdr:row>21</xdr:row>
      <xdr:rowOff>152400</xdr:rowOff>
    </xdr:from>
    <xdr:to>
      <xdr:col>4</xdr:col>
      <xdr:colOff>457200</xdr:colOff>
      <xdr:row>23</xdr:row>
      <xdr:rowOff>9525</xdr:rowOff>
    </xdr:to>
    <xdr:sp macro="" textlink="">
      <xdr:nvSpPr>
        <xdr:cNvPr id="7206" name="Text Box 38">
          <a:extLst>
            <a:ext uri="{FF2B5EF4-FFF2-40B4-BE49-F238E27FC236}">
              <a16:creationId xmlns:a16="http://schemas.microsoft.com/office/drawing/2014/main" id="{00000000-0008-0000-0800-0000261C0000}"/>
            </a:ext>
          </a:extLst>
        </xdr:cNvPr>
        <xdr:cNvSpPr txBox="1">
          <a:spLocks noChangeArrowheads="1"/>
        </xdr:cNvSpPr>
      </xdr:nvSpPr>
      <xdr:spPr bwMode="auto">
        <a:xfrm>
          <a:off x="3028950" y="4191000"/>
          <a:ext cx="581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3</xdr:col>
      <xdr:colOff>504825</xdr:colOff>
      <xdr:row>25</xdr:row>
      <xdr:rowOff>123825</xdr:rowOff>
    </xdr:from>
    <xdr:to>
      <xdr:col>4</xdr:col>
      <xdr:colOff>419100</xdr:colOff>
      <xdr:row>27</xdr:row>
      <xdr:rowOff>9525</xdr:rowOff>
    </xdr:to>
    <xdr:sp macro="" textlink="">
      <xdr:nvSpPr>
        <xdr:cNvPr id="7207" name="Text Box 39">
          <a:extLst>
            <a:ext uri="{FF2B5EF4-FFF2-40B4-BE49-F238E27FC236}">
              <a16:creationId xmlns:a16="http://schemas.microsoft.com/office/drawing/2014/main" id="{00000000-0008-0000-0800-0000271C0000}"/>
            </a:ext>
          </a:extLst>
        </xdr:cNvPr>
        <xdr:cNvSpPr txBox="1">
          <a:spLocks noChangeArrowheads="1"/>
        </xdr:cNvSpPr>
      </xdr:nvSpPr>
      <xdr:spPr bwMode="auto">
        <a:xfrm>
          <a:off x="3009900" y="4810125"/>
          <a:ext cx="5619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4</xdr:col>
      <xdr:colOff>38100</xdr:colOff>
      <xdr:row>28</xdr:row>
      <xdr:rowOff>104775</xdr:rowOff>
    </xdr:from>
    <xdr:to>
      <xdr:col>4</xdr:col>
      <xdr:colOff>209550</xdr:colOff>
      <xdr:row>29</xdr:row>
      <xdr:rowOff>85725</xdr:rowOff>
    </xdr:to>
    <xdr:sp macro="" textlink="">
      <xdr:nvSpPr>
        <xdr:cNvPr id="210819" name="Oval 40">
          <a:extLst>
            <a:ext uri="{FF2B5EF4-FFF2-40B4-BE49-F238E27FC236}">
              <a16:creationId xmlns:a16="http://schemas.microsoft.com/office/drawing/2014/main" id="{00000000-0008-0000-0800-000083370300}"/>
            </a:ext>
          </a:extLst>
        </xdr:cNvPr>
        <xdr:cNvSpPr>
          <a:spLocks noChangeArrowheads="1"/>
        </xdr:cNvSpPr>
      </xdr:nvSpPr>
      <xdr:spPr bwMode="auto">
        <a:xfrm>
          <a:off x="3190875" y="5276850"/>
          <a:ext cx="1714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695325</xdr:colOff>
      <xdr:row>21</xdr:row>
      <xdr:rowOff>47625</xdr:rowOff>
    </xdr:from>
    <xdr:to>
      <xdr:col>4</xdr:col>
      <xdr:colOff>695325</xdr:colOff>
      <xdr:row>24</xdr:row>
      <xdr:rowOff>0</xdr:rowOff>
    </xdr:to>
    <xdr:sp macro="" textlink="">
      <xdr:nvSpPr>
        <xdr:cNvPr id="210820" name="Line 41">
          <a:extLst>
            <a:ext uri="{FF2B5EF4-FFF2-40B4-BE49-F238E27FC236}">
              <a16:creationId xmlns:a16="http://schemas.microsoft.com/office/drawing/2014/main" id="{00000000-0008-0000-0800-000084370300}"/>
            </a:ext>
          </a:extLst>
        </xdr:cNvPr>
        <xdr:cNvSpPr>
          <a:spLocks noChangeShapeType="1"/>
        </xdr:cNvSpPr>
      </xdr:nvSpPr>
      <xdr:spPr bwMode="auto">
        <a:xfrm>
          <a:off x="3848100" y="408622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628650</xdr:colOff>
      <xdr:row>24</xdr:row>
      <xdr:rowOff>9525</xdr:rowOff>
    </xdr:from>
    <xdr:to>
      <xdr:col>5</xdr:col>
      <xdr:colOff>0</xdr:colOff>
      <xdr:row>24</xdr:row>
      <xdr:rowOff>9525</xdr:rowOff>
    </xdr:to>
    <xdr:sp macro="" textlink="">
      <xdr:nvSpPr>
        <xdr:cNvPr id="210821" name="Line 42">
          <a:extLst>
            <a:ext uri="{FF2B5EF4-FFF2-40B4-BE49-F238E27FC236}">
              <a16:creationId xmlns:a16="http://schemas.microsoft.com/office/drawing/2014/main" id="{00000000-0008-0000-0800-000085370300}"/>
            </a:ext>
          </a:extLst>
        </xdr:cNvPr>
        <xdr:cNvSpPr>
          <a:spLocks noChangeShapeType="1"/>
        </xdr:cNvSpPr>
      </xdr:nvSpPr>
      <xdr:spPr bwMode="auto">
        <a:xfrm>
          <a:off x="3781425" y="45339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714375</xdr:colOff>
      <xdr:row>22</xdr:row>
      <xdr:rowOff>0</xdr:rowOff>
    </xdr:from>
    <xdr:to>
      <xdr:col>5</xdr:col>
      <xdr:colOff>333375</xdr:colOff>
      <xdr:row>22</xdr:row>
      <xdr:rowOff>152400</xdr:rowOff>
    </xdr:to>
    <xdr:sp macro="" textlink="">
      <xdr:nvSpPr>
        <xdr:cNvPr id="7211" name="Text Box 43">
          <a:extLst>
            <a:ext uri="{FF2B5EF4-FFF2-40B4-BE49-F238E27FC236}">
              <a16:creationId xmlns:a16="http://schemas.microsoft.com/office/drawing/2014/main" id="{00000000-0008-0000-0800-00002B1C0000}"/>
            </a:ext>
          </a:extLst>
        </xdr:cNvPr>
        <xdr:cNvSpPr txBox="1">
          <a:spLocks noChangeArrowheads="1"/>
        </xdr:cNvSpPr>
      </xdr:nvSpPr>
      <xdr:spPr bwMode="auto">
        <a:xfrm>
          <a:off x="3867150" y="4200525"/>
          <a:ext cx="4286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 cm</a:t>
          </a:r>
        </a:p>
      </xdr:txBody>
    </xdr:sp>
    <xdr:clientData/>
  </xdr:twoCellAnchor>
  <xdr:twoCellAnchor>
    <xdr:from>
      <xdr:col>5</xdr:col>
      <xdr:colOff>114300</xdr:colOff>
      <xdr:row>21</xdr:row>
      <xdr:rowOff>9525</xdr:rowOff>
    </xdr:from>
    <xdr:to>
      <xdr:col>5</xdr:col>
      <xdr:colOff>238125</xdr:colOff>
      <xdr:row>28</xdr:row>
      <xdr:rowOff>38100</xdr:rowOff>
    </xdr:to>
    <xdr:sp macro="" textlink="">
      <xdr:nvSpPr>
        <xdr:cNvPr id="210823" name="AutoShape 44">
          <a:extLst>
            <a:ext uri="{FF2B5EF4-FFF2-40B4-BE49-F238E27FC236}">
              <a16:creationId xmlns:a16="http://schemas.microsoft.com/office/drawing/2014/main" id="{00000000-0008-0000-0800-000087370300}"/>
            </a:ext>
          </a:extLst>
        </xdr:cNvPr>
        <xdr:cNvSpPr>
          <a:spLocks/>
        </xdr:cNvSpPr>
      </xdr:nvSpPr>
      <xdr:spPr bwMode="auto">
        <a:xfrm>
          <a:off x="4076700" y="4048125"/>
          <a:ext cx="123825" cy="1162050"/>
        </a:xfrm>
        <a:prstGeom prst="rightBracket">
          <a:avLst>
            <a:gd name="adj" fmla="val 78205"/>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304800</xdr:colOff>
      <xdr:row>24</xdr:row>
      <xdr:rowOff>28575</xdr:rowOff>
    </xdr:from>
    <xdr:to>
      <xdr:col>5</xdr:col>
      <xdr:colOff>762000</xdr:colOff>
      <xdr:row>25</xdr:row>
      <xdr:rowOff>57150</xdr:rowOff>
    </xdr:to>
    <xdr:sp macro="" textlink="">
      <xdr:nvSpPr>
        <xdr:cNvPr id="7213" name="Text Box 45">
          <a:extLst>
            <a:ext uri="{FF2B5EF4-FFF2-40B4-BE49-F238E27FC236}">
              <a16:creationId xmlns:a16="http://schemas.microsoft.com/office/drawing/2014/main" id="{00000000-0008-0000-0800-00002D1C0000}"/>
            </a:ext>
          </a:extLst>
        </xdr:cNvPr>
        <xdr:cNvSpPr txBox="1">
          <a:spLocks noChangeArrowheads="1"/>
        </xdr:cNvSpPr>
      </xdr:nvSpPr>
      <xdr:spPr bwMode="auto">
        <a:xfrm>
          <a:off x="4267200" y="4552950"/>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4</xdr:col>
      <xdr:colOff>781050</xdr:colOff>
      <xdr:row>28</xdr:row>
      <xdr:rowOff>57150</xdr:rowOff>
    </xdr:from>
    <xdr:to>
      <xdr:col>5</xdr:col>
      <xdr:colOff>476250</xdr:colOff>
      <xdr:row>29</xdr:row>
      <xdr:rowOff>47625</xdr:rowOff>
    </xdr:to>
    <xdr:sp macro="" textlink="">
      <xdr:nvSpPr>
        <xdr:cNvPr id="7214" name="Text Box 46">
          <a:extLst>
            <a:ext uri="{FF2B5EF4-FFF2-40B4-BE49-F238E27FC236}">
              <a16:creationId xmlns:a16="http://schemas.microsoft.com/office/drawing/2014/main" id="{00000000-0008-0000-0800-00002E1C0000}"/>
            </a:ext>
          </a:extLst>
        </xdr:cNvPr>
        <xdr:cNvSpPr txBox="1">
          <a:spLocks noChangeArrowheads="1"/>
        </xdr:cNvSpPr>
      </xdr:nvSpPr>
      <xdr:spPr bwMode="auto">
        <a:xfrm>
          <a:off x="39338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6</xdr:col>
      <xdr:colOff>180975</xdr:colOff>
      <xdr:row>23</xdr:row>
      <xdr:rowOff>0</xdr:rowOff>
    </xdr:from>
    <xdr:to>
      <xdr:col>7</xdr:col>
      <xdr:colOff>257175</xdr:colOff>
      <xdr:row>28</xdr:row>
      <xdr:rowOff>19050</xdr:rowOff>
    </xdr:to>
    <xdr:sp macro="" textlink="">
      <xdr:nvSpPr>
        <xdr:cNvPr id="210826" name="Rectangle 47">
          <a:extLst>
            <a:ext uri="{FF2B5EF4-FFF2-40B4-BE49-F238E27FC236}">
              <a16:creationId xmlns:a16="http://schemas.microsoft.com/office/drawing/2014/main" id="{00000000-0008-0000-0800-00008A370300}"/>
            </a:ext>
          </a:extLst>
        </xdr:cNvPr>
        <xdr:cNvSpPr>
          <a:spLocks noChangeArrowheads="1"/>
        </xdr:cNvSpPr>
      </xdr:nvSpPr>
      <xdr:spPr bwMode="auto">
        <a:xfrm>
          <a:off x="4953000" y="4362450"/>
          <a:ext cx="885825" cy="8286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28</xdr:row>
      <xdr:rowOff>19050</xdr:rowOff>
    </xdr:from>
    <xdr:to>
      <xdr:col>7</xdr:col>
      <xdr:colOff>257175</xdr:colOff>
      <xdr:row>29</xdr:row>
      <xdr:rowOff>95250</xdr:rowOff>
    </xdr:to>
    <xdr:sp macro="" textlink="">
      <xdr:nvSpPr>
        <xdr:cNvPr id="210827" name="Rectangle 48">
          <a:extLst>
            <a:ext uri="{FF2B5EF4-FFF2-40B4-BE49-F238E27FC236}">
              <a16:creationId xmlns:a16="http://schemas.microsoft.com/office/drawing/2014/main" id="{00000000-0008-0000-0800-00008B370300}"/>
            </a:ext>
          </a:extLst>
        </xdr:cNvPr>
        <xdr:cNvSpPr>
          <a:spLocks noChangeArrowheads="1"/>
        </xdr:cNvSpPr>
      </xdr:nvSpPr>
      <xdr:spPr bwMode="auto">
        <a:xfrm>
          <a:off x="4953000" y="5191125"/>
          <a:ext cx="885825" cy="23812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228600</xdr:colOff>
      <xdr:row>21</xdr:row>
      <xdr:rowOff>28575</xdr:rowOff>
    </xdr:from>
    <xdr:to>
      <xdr:col>7</xdr:col>
      <xdr:colOff>152400</xdr:colOff>
      <xdr:row>23</xdr:row>
      <xdr:rowOff>9525</xdr:rowOff>
    </xdr:to>
    <xdr:sp macro="" textlink="">
      <xdr:nvSpPr>
        <xdr:cNvPr id="7217" name="Text Box 49">
          <a:extLst>
            <a:ext uri="{FF2B5EF4-FFF2-40B4-BE49-F238E27FC236}">
              <a16:creationId xmlns:a16="http://schemas.microsoft.com/office/drawing/2014/main" id="{00000000-0008-0000-0800-0000311C0000}"/>
            </a:ext>
          </a:extLst>
        </xdr:cNvPr>
        <xdr:cNvSpPr txBox="1">
          <a:spLocks noChangeArrowheads="1"/>
        </xdr:cNvSpPr>
      </xdr:nvSpPr>
      <xdr:spPr bwMode="auto">
        <a:xfrm>
          <a:off x="5000625" y="4067175"/>
          <a:ext cx="733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1" i="0" u="none" strike="noStrike" baseline="0">
              <a:solidFill>
                <a:srgbClr val="000000"/>
              </a:solidFill>
              <a:latin typeface="Arial"/>
              <a:cs typeface="Arial"/>
            </a:rPr>
            <a:t>Terre végétale</a:t>
          </a:r>
        </a:p>
      </xdr:txBody>
    </xdr:sp>
    <xdr:clientData/>
  </xdr:twoCellAnchor>
  <xdr:twoCellAnchor>
    <xdr:from>
      <xdr:col>6</xdr:col>
      <xdr:colOff>371475</xdr:colOff>
      <xdr:row>25</xdr:row>
      <xdr:rowOff>0</xdr:rowOff>
    </xdr:from>
    <xdr:to>
      <xdr:col>7</xdr:col>
      <xdr:colOff>57150</xdr:colOff>
      <xdr:row>26</xdr:row>
      <xdr:rowOff>66675</xdr:rowOff>
    </xdr:to>
    <xdr:sp macro="" textlink="">
      <xdr:nvSpPr>
        <xdr:cNvPr id="7218" name="Text Box 50">
          <a:extLst>
            <a:ext uri="{FF2B5EF4-FFF2-40B4-BE49-F238E27FC236}">
              <a16:creationId xmlns:a16="http://schemas.microsoft.com/office/drawing/2014/main" id="{00000000-0008-0000-0800-0000321C0000}"/>
            </a:ext>
          </a:extLst>
        </xdr:cNvPr>
        <xdr:cNvSpPr txBox="1">
          <a:spLocks noChangeArrowheads="1"/>
        </xdr:cNvSpPr>
      </xdr:nvSpPr>
      <xdr:spPr bwMode="auto">
        <a:xfrm>
          <a:off x="5143500" y="4686300"/>
          <a:ext cx="4953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6</xdr:col>
      <xdr:colOff>533400</xdr:colOff>
      <xdr:row>28</xdr:row>
      <xdr:rowOff>104775</xdr:rowOff>
    </xdr:from>
    <xdr:to>
      <xdr:col>6</xdr:col>
      <xdr:colOff>714375</xdr:colOff>
      <xdr:row>29</xdr:row>
      <xdr:rowOff>85725</xdr:rowOff>
    </xdr:to>
    <xdr:sp macro="" textlink="">
      <xdr:nvSpPr>
        <xdr:cNvPr id="210830" name="Oval 51">
          <a:extLst>
            <a:ext uri="{FF2B5EF4-FFF2-40B4-BE49-F238E27FC236}">
              <a16:creationId xmlns:a16="http://schemas.microsoft.com/office/drawing/2014/main" id="{00000000-0008-0000-0800-00008E370300}"/>
            </a:ext>
          </a:extLst>
        </xdr:cNvPr>
        <xdr:cNvSpPr>
          <a:spLocks noChangeArrowheads="1"/>
        </xdr:cNvSpPr>
      </xdr:nvSpPr>
      <xdr:spPr bwMode="auto">
        <a:xfrm>
          <a:off x="5305425" y="5276850"/>
          <a:ext cx="180975"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428625</xdr:colOff>
      <xdr:row>20</xdr:row>
      <xdr:rowOff>142875</xdr:rowOff>
    </xdr:from>
    <xdr:to>
      <xdr:col>7</xdr:col>
      <xdr:colOff>504825</xdr:colOff>
      <xdr:row>28</xdr:row>
      <xdr:rowOff>38100</xdr:rowOff>
    </xdr:to>
    <xdr:sp macro="" textlink="">
      <xdr:nvSpPr>
        <xdr:cNvPr id="210831" name="AutoShape 52">
          <a:extLst>
            <a:ext uri="{FF2B5EF4-FFF2-40B4-BE49-F238E27FC236}">
              <a16:creationId xmlns:a16="http://schemas.microsoft.com/office/drawing/2014/main" id="{00000000-0008-0000-0800-00008F370300}"/>
            </a:ext>
          </a:extLst>
        </xdr:cNvPr>
        <xdr:cNvSpPr>
          <a:spLocks/>
        </xdr:cNvSpPr>
      </xdr:nvSpPr>
      <xdr:spPr bwMode="auto">
        <a:xfrm>
          <a:off x="6010275" y="4019550"/>
          <a:ext cx="76200" cy="1190625"/>
        </a:xfrm>
        <a:prstGeom prst="rightBracket">
          <a:avLst>
            <a:gd name="adj" fmla="val 13020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295275</xdr:colOff>
      <xdr:row>28</xdr:row>
      <xdr:rowOff>57150</xdr:rowOff>
    </xdr:from>
    <xdr:to>
      <xdr:col>8</xdr:col>
      <xdr:colOff>38100</xdr:colOff>
      <xdr:row>29</xdr:row>
      <xdr:rowOff>47625</xdr:rowOff>
    </xdr:to>
    <xdr:sp macro="" textlink="">
      <xdr:nvSpPr>
        <xdr:cNvPr id="7221" name="Text Box 53">
          <a:extLst>
            <a:ext uri="{FF2B5EF4-FFF2-40B4-BE49-F238E27FC236}">
              <a16:creationId xmlns:a16="http://schemas.microsoft.com/office/drawing/2014/main" id="{00000000-0008-0000-0800-0000351C0000}"/>
            </a:ext>
          </a:extLst>
        </xdr:cNvPr>
        <xdr:cNvSpPr txBox="1">
          <a:spLocks noChangeArrowheads="1"/>
        </xdr:cNvSpPr>
      </xdr:nvSpPr>
      <xdr:spPr bwMode="auto">
        <a:xfrm>
          <a:off x="58769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7</xdr:col>
      <xdr:colOff>523875</xdr:colOff>
      <xdr:row>22</xdr:row>
      <xdr:rowOff>133350</xdr:rowOff>
    </xdr:from>
    <xdr:to>
      <xdr:col>8</xdr:col>
      <xdr:colOff>219075</xdr:colOff>
      <xdr:row>24</xdr:row>
      <xdr:rowOff>0</xdr:rowOff>
    </xdr:to>
    <xdr:sp macro="" textlink="">
      <xdr:nvSpPr>
        <xdr:cNvPr id="7222" name="Text Box 54">
          <a:extLst>
            <a:ext uri="{FF2B5EF4-FFF2-40B4-BE49-F238E27FC236}">
              <a16:creationId xmlns:a16="http://schemas.microsoft.com/office/drawing/2014/main" id="{00000000-0008-0000-0800-0000361C0000}"/>
            </a:ext>
          </a:extLst>
        </xdr:cNvPr>
        <xdr:cNvSpPr txBox="1">
          <a:spLocks noChangeArrowheads="1"/>
        </xdr:cNvSpPr>
      </xdr:nvSpPr>
      <xdr:spPr bwMode="auto">
        <a:xfrm>
          <a:off x="6105525" y="4333875"/>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6</xdr:col>
      <xdr:colOff>276225</xdr:colOff>
      <xdr:row>43</xdr:row>
      <xdr:rowOff>76200</xdr:rowOff>
    </xdr:from>
    <xdr:to>
      <xdr:col>6</xdr:col>
      <xdr:colOff>419100</xdr:colOff>
      <xdr:row>43</xdr:row>
      <xdr:rowOff>76200</xdr:rowOff>
    </xdr:to>
    <xdr:sp macro="" textlink="">
      <xdr:nvSpPr>
        <xdr:cNvPr id="210834" name="Line 55">
          <a:extLst>
            <a:ext uri="{FF2B5EF4-FFF2-40B4-BE49-F238E27FC236}">
              <a16:creationId xmlns:a16="http://schemas.microsoft.com/office/drawing/2014/main" id="{00000000-0008-0000-0800-000092370300}"/>
            </a:ext>
          </a:extLst>
        </xdr:cNvPr>
        <xdr:cNvSpPr>
          <a:spLocks noChangeShapeType="1"/>
        </xdr:cNvSpPr>
      </xdr:nvSpPr>
      <xdr:spPr bwMode="auto">
        <a:xfrm>
          <a:off x="5048250" y="76962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44</xdr:row>
      <xdr:rowOff>66675</xdr:rowOff>
    </xdr:from>
    <xdr:to>
      <xdr:col>6</xdr:col>
      <xdr:colOff>428625</xdr:colOff>
      <xdr:row>44</xdr:row>
      <xdr:rowOff>66675</xdr:rowOff>
    </xdr:to>
    <xdr:sp macro="" textlink="">
      <xdr:nvSpPr>
        <xdr:cNvPr id="210835" name="Line 56">
          <a:extLst>
            <a:ext uri="{FF2B5EF4-FFF2-40B4-BE49-F238E27FC236}">
              <a16:creationId xmlns:a16="http://schemas.microsoft.com/office/drawing/2014/main" id="{00000000-0008-0000-0800-000093370300}"/>
            </a:ext>
          </a:extLst>
        </xdr:cNvPr>
        <xdr:cNvSpPr>
          <a:spLocks noChangeShapeType="1"/>
        </xdr:cNvSpPr>
      </xdr:nvSpPr>
      <xdr:spPr bwMode="auto">
        <a:xfrm>
          <a:off x="5057775" y="78486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219075</xdr:colOff>
      <xdr:row>58</xdr:row>
      <xdr:rowOff>123825</xdr:rowOff>
    </xdr:from>
    <xdr:to>
      <xdr:col>8</xdr:col>
      <xdr:colOff>361950</xdr:colOff>
      <xdr:row>58</xdr:row>
      <xdr:rowOff>476250</xdr:rowOff>
    </xdr:to>
    <xdr:sp macro="" textlink="">
      <xdr:nvSpPr>
        <xdr:cNvPr id="7225" name="Text Box 57">
          <a:extLst>
            <a:ext uri="{FF2B5EF4-FFF2-40B4-BE49-F238E27FC236}">
              <a16:creationId xmlns:a16="http://schemas.microsoft.com/office/drawing/2014/main" id="{00000000-0008-0000-0800-0000391C0000}"/>
            </a:ext>
          </a:extLst>
        </xdr:cNvPr>
        <xdr:cNvSpPr txBox="1">
          <a:spLocks noChangeArrowheads="1"/>
        </xdr:cNvSpPr>
      </xdr:nvSpPr>
      <xdr:spPr bwMode="auto">
        <a:xfrm>
          <a:off x="5800725" y="10696575"/>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7</xdr:col>
      <xdr:colOff>123825</xdr:colOff>
      <xdr:row>58</xdr:row>
      <xdr:rowOff>28575</xdr:rowOff>
    </xdr:from>
    <xdr:to>
      <xdr:col>8</xdr:col>
      <xdr:colOff>495300</xdr:colOff>
      <xdr:row>58</xdr:row>
      <xdr:rowOff>409575</xdr:rowOff>
    </xdr:to>
    <xdr:sp macro="" textlink="">
      <xdr:nvSpPr>
        <xdr:cNvPr id="210837" name="Oval 58">
          <a:extLst>
            <a:ext uri="{FF2B5EF4-FFF2-40B4-BE49-F238E27FC236}">
              <a16:creationId xmlns:a16="http://schemas.microsoft.com/office/drawing/2014/main" id="{00000000-0008-0000-0800-000095370300}"/>
            </a:ext>
          </a:extLst>
        </xdr:cNvPr>
        <xdr:cNvSpPr>
          <a:spLocks noChangeArrowheads="1"/>
        </xdr:cNvSpPr>
      </xdr:nvSpPr>
      <xdr:spPr bwMode="auto">
        <a:xfrm>
          <a:off x="5705475" y="10601325"/>
          <a:ext cx="1133475" cy="3810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95250</xdr:colOff>
      <xdr:row>65</xdr:row>
      <xdr:rowOff>85725</xdr:rowOff>
    </xdr:from>
    <xdr:to>
      <xdr:col>4</xdr:col>
      <xdr:colOff>685800</xdr:colOff>
      <xdr:row>65</xdr:row>
      <xdr:rowOff>85725</xdr:rowOff>
    </xdr:to>
    <xdr:sp macro="" textlink="">
      <xdr:nvSpPr>
        <xdr:cNvPr id="210838" name="Line 59">
          <a:extLst>
            <a:ext uri="{FF2B5EF4-FFF2-40B4-BE49-F238E27FC236}">
              <a16:creationId xmlns:a16="http://schemas.microsoft.com/office/drawing/2014/main" id="{00000000-0008-0000-0800-000096370300}"/>
            </a:ext>
          </a:extLst>
        </xdr:cNvPr>
        <xdr:cNvSpPr>
          <a:spLocks noChangeShapeType="1"/>
        </xdr:cNvSpPr>
      </xdr:nvSpPr>
      <xdr:spPr bwMode="auto">
        <a:xfrm>
          <a:off x="3248025" y="12134850"/>
          <a:ext cx="5905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type="triangle" w="lg" len="med"/>
        </a:ln>
        <a:extLst>
          <a:ext uri="{909E8E84-426E-40DD-AFC4-6F175D3DCCD1}">
            <a14:hiddenFill xmlns:a14="http://schemas.microsoft.com/office/drawing/2010/main">
              <a:noFill/>
            </a14:hiddenFill>
          </a:ext>
        </a:extLst>
      </xdr:spPr>
    </xdr:sp>
    <xdr:clientData/>
  </xdr:twoCellAnchor>
  <xdr:twoCellAnchor>
    <xdr:from>
      <xdr:col>6</xdr:col>
      <xdr:colOff>228600</xdr:colOff>
      <xdr:row>67</xdr:row>
      <xdr:rowOff>104775</xdr:rowOff>
    </xdr:from>
    <xdr:to>
      <xdr:col>7</xdr:col>
      <xdr:colOff>581025</xdr:colOff>
      <xdr:row>69</xdr:row>
      <xdr:rowOff>57150</xdr:rowOff>
    </xdr:to>
    <xdr:sp macro="" textlink="">
      <xdr:nvSpPr>
        <xdr:cNvPr id="7228" name="Text Box 60">
          <a:extLst>
            <a:ext uri="{FF2B5EF4-FFF2-40B4-BE49-F238E27FC236}">
              <a16:creationId xmlns:a16="http://schemas.microsoft.com/office/drawing/2014/main" id="{00000000-0008-0000-0800-00003C1C0000}"/>
            </a:ext>
          </a:extLst>
        </xdr:cNvPr>
        <xdr:cNvSpPr txBox="1">
          <a:spLocks noChangeArrowheads="1"/>
        </xdr:cNvSpPr>
      </xdr:nvSpPr>
      <xdr:spPr bwMode="auto">
        <a:xfrm>
          <a:off x="5000625" y="12477750"/>
          <a:ext cx="1162050" cy="276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323850</xdr:colOff>
      <xdr:row>70</xdr:row>
      <xdr:rowOff>0</xdr:rowOff>
    </xdr:from>
    <xdr:to>
      <xdr:col>7</xdr:col>
      <xdr:colOff>457200</xdr:colOff>
      <xdr:row>70</xdr:row>
      <xdr:rowOff>0</xdr:rowOff>
    </xdr:to>
    <xdr:sp macro="" textlink="">
      <xdr:nvSpPr>
        <xdr:cNvPr id="210840" name="Line 61">
          <a:extLst>
            <a:ext uri="{FF2B5EF4-FFF2-40B4-BE49-F238E27FC236}">
              <a16:creationId xmlns:a16="http://schemas.microsoft.com/office/drawing/2014/main" id="{00000000-0008-0000-0800-000098370300}"/>
            </a:ext>
          </a:extLst>
        </xdr:cNvPr>
        <xdr:cNvSpPr>
          <a:spLocks noChangeShapeType="1"/>
        </xdr:cNvSpPr>
      </xdr:nvSpPr>
      <xdr:spPr bwMode="auto">
        <a:xfrm>
          <a:off x="5095875" y="12858750"/>
          <a:ext cx="9429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6</xdr:col>
      <xdr:colOff>438150</xdr:colOff>
      <xdr:row>70</xdr:row>
      <xdr:rowOff>9525</xdr:rowOff>
    </xdr:from>
    <xdr:to>
      <xdr:col>7</xdr:col>
      <xdr:colOff>352425</xdr:colOff>
      <xdr:row>72</xdr:row>
      <xdr:rowOff>28575</xdr:rowOff>
    </xdr:to>
    <xdr:sp macro="" textlink="">
      <xdr:nvSpPr>
        <xdr:cNvPr id="210841" name="Rectangle 62">
          <a:extLst>
            <a:ext uri="{FF2B5EF4-FFF2-40B4-BE49-F238E27FC236}">
              <a16:creationId xmlns:a16="http://schemas.microsoft.com/office/drawing/2014/main" id="{00000000-0008-0000-0800-000099370300}"/>
            </a:ext>
          </a:extLst>
        </xdr:cNvPr>
        <xdr:cNvSpPr>
          <a:spLocks noChangeArrowheads="1"/>
        </xdr:cNvSpPr>
      </xdr:nvSpPr>
      <xdr:spPr bwMode="auto">
        <a:xfrm>
          <a:off x="5210175" y="12868275"/>
          <a:ext cx="723900" cy="3429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72</xdr:row>
      <xdr:rowOff>38100</xdr:rowOff>
    </xdr:from>
    <xdr:to>
      <xdr:col>7</xdr:col>
      <xdr:colOff>352425</xdr:colOff>
      <xdr:row>74</xdr:row>
      <xdr:rowOff>114300</xdr:rowOff>
    </xdr:to>
    <xdr:sp macro="" textlink="">
      <xdr:nvSpPr>
        <xdr:cNvPr id="210842" name="Rectangle 63">
          <a:extLst>
            <a:ext uri="{FF2B5EF4-FFF2-40B4-BE49-F238E27FC236}">
              <a16:creationId xmlns:a16="http://schemas.microsoft.com/office/drawing/2014/main" id="{00000000-0008-0000-0800-00009A370300}"/>
            </a:ext>
          </a:extLst>
        </xdr:cNvPr>
        <xdr:cNvSpPr>
          <a:spLocks noChangeArrowheads="1"/>
        </xdr:cNvSpPr>
      </xdr:nvSpPr>
      <xdr:spPr bwMode="auto">
        <a:xfrm>
          <a:off x="5210175" y="13220700"/>
          <a:ext cx="723900" cy="4000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74</xdr:row>
      <xdr:rowOff>123825</xdr:rowOff>
    </xdr:from>
    <xdr:to>
      <xdr:col>7</xdr:col>
      <xdr:colOff>352425</xdr:colOff>
      <xdr:row>76</xdr:row>
      <xdr:rowOff>9525</xdr:rowOff>
    </xdr:to>
    <xdr:sp macro="" textlink="">
      <xdr:nvSpPr>
        <xdr:cNvPr id="210843" name="Rectangle 64">
          <a:extLst>
            <a:ext uri="{FF2B5EF4-FFF2-40B4-BE49-F238E27FC236}">
              <a16:creationId xmlns:a16="http://schemas.microsoft.com/office/drawing/2014/main" id="{00000000-0008-0000-0800-00009B370300}"/>
            </a:ext>
          </a:extLst>
        </xdr:cNvPr>
        <xdr:cNvSpPr>
          <a:spLocks noChangeArrowheads="1"/>
        </xdr:cNvSpPr>
      </xdr:nvSpPr>
      <xdr:spPr bwMode="auto">
        <a:xfrm>
          <a:off x="5210175" y="13630275"/>
          <a:ext cx="723900"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76</xdr:row>
      <xdr:rowOff>19050</xdr:rowOff>
    </xdr:from>
    <xdr:to>
      <xdr:col>7</xdr:col>
      <xdr:colOff>352425</xdr:colOff>
      <xdr:row>76</xdr:row>
      <xdr:rowOff>133350</xdr:rowOff>
    </xdr:to>
    <xdr:sp macro="" textlink="">
      <xdr:nvSpPr>
        <xdr:cNvPr id="210844" name="Rectangle 65">
          <a:extLst>
            <a:ext uri="{FF2B5EF4-FFF2-40B4-BE49-F238E27FC236}">
              <a16:creationId xmlns:a16="http://schemas.microsoft.com/office/drawing/2014/main" id="{00000000-0008-0000-0800-00009C370300}"/>
            </a:ext>
          </a:extLst>
        </xdr:cNvPr>
        <xdr:cNvSpPr>
          <a:spLocks noChangeArrowheads="1"/>
        </xdr:cNvSpPr>
      </xdr:nvSpPr>
      <xdr:spPr bwMode="auto">
        <a:xfrm>
          <a:off x="5210175" y="13849350"/>
          <a:ext cx="723900" cy="1143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609600</xdr:colOff>
      <xdr:row>70</xdr:row>
      <xdr:rowOff>66675</xdr:rowOff>
    </xdr:from>
    <xdr:to>
      <xdr:col>7</xdr:col>
      <xdr:colOff>171450</xdr:colOff>
      <xdr:row>71</xdr:row>
      <xdr:rowOff>123825</xdr:rowOff>
    </xdr:to>
    <xdr:sp macro="" textlink="">
      <xdr:nvSpPr>
        <xdr:cNvPr id="7234" name="Text Box 66">
          <a:extLst>
            <a:ext uri="{FF2B5EF4-FFF2-40B4-BE49-F238E27FC236}">
              <a16:creationId xmlns:a16="http://schemas.microsoft.com/office/drawing/2014/main" id="{00000000-0008-0000-0800-0000421C0000}"/>
            </a:ext>
          </a:extLst>
        </xdr:cNvPr>
        <xdr:cNvSpPr txBox="1">
          <a:spLocks noChangeArrowheads="1"/>
        </xdr:cNvSpPr>
      </xdr:nvSpPr>
      <xdr:spPr bwMode="auto">
        <a:xfrm>
          <a:off x="5381625" y="12925425"/>
          <a:ext cx="3714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6</xdr:col>
      <xdr:colOff>600075</xdr:colOff>
      <xdr:row>72</xdr:row>
      <xdr:rowOff>104775</xdr:rowOff>
    </xdr:from>
    <xdr:to>
      <xdr:col>7</xdr:col>
      <xdr:colOff>171450</xdr:colOff>
      <xdr:row>74</xdr:row>
      <xdr:rowOff>9525</xdr:rowOff>
    </xdr:to>
    <xdr:sp macro="" textlink="">
      <xdr:nvSpPr>
        <xdr:cNvPr id="7235" name="Text Box 67">
          <a:extLst>
            <a:ext uri="{FF2B5EF4-FFF2-40B4-BE49-F238E27FC236}">
              <a16:creationId xmlns:a16="http://schemas.microsoft.com/office/drawing/2014/main" id="{00000000-0008-0000-0800-0000431C0000}"/>
            </a:ext>
          </a:extLst>
        </xdr:cNvPr>
        <xdr:cNvSpPr txBox="1">
          <a:spLocks noChangeArrowheads="1"/>
        </xdr:cNvSpPr>
      </xdr:nvSpPr>
      <xdr:spPr bwMode="auto">
        <a:xfrm>
          <a:off x="5372100" y="13287375"/>
          <a:ext cx="3810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6</xdr:col>
      <xdr:colOff>714375</xdr:colOff>
      <xdr:row>75</xdr:row>
      <xdr:rowOff>0</xdr:rowOff>
    </xdr:from>
    <xdr:to>
      <xdr:col>7</xdr:col>
      <xdr:colOff>38100</xdr:colOff>
      <xdr:row>75</xdr:row>
      <xdr:rowOff>142875</xdr:rowOff>
    </xdr:to>
    <xdr:sp macro="" textlink="">
      <xdr:nvSpPr>
        <xdr:cNvPr id="210847" name="Oval 68">
          <a:extLst>
            <a:ext uri="{FF2B5EF4-FFF2-40B4-BE49-F238E27FC236}">
              <a16:creationId xmlns:a16="http://schemas.microsoft.com/office/drawing/2014/main" id="{00000000-0008-0000-0800-00009F370300}"/>
            </a:ext>
          </a:extLst>
        </xdr:cNvPr>
        <xdr:cNvSpPr>
          <a:spLocks noChangeArrowheads="1"/>
        </xdr:cNvSpPr>
      </xdr:nvSpPr>
      <xdr:spPr bwMode="auto">
        <a:xfrm>
          <a:off x="5486400" y="13668375"/>
          <a:ext cx="1333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495300</xdr:colOff>
      <xdr:row>70</xdr:row>
      <xdr:rowOff>38100</xdr:rowOff>
    </xdr:from>
    <xdr:to>
      <xdr:col>7</xdr:col>
      <xdr:colOff>495300</xdr:colOff>
      <xdr:row>72</xdr:row>
      <xdr:rowOff>9525</xdr:rowOff>
    </xdr:to>
    <xdr:sp macro="" textlink="">
      <xdr:nvSpPr>
        <xdr:cNvPr id="210848" name="Line 69">
          <a:extLst>
            <a:ext uri="{FF2B5EF4-FFF2-40B4-BE49-F238E27FC236}">
              <a16:creationId xmlns:a16="http://schemas.microsoft.com/office/drawing/2014/main" id="{00000000-0008-0000-0800-0000A0370300}"/>
            </a:ext>
          </a:extLst>
        </xdr:cNvPr>
        <xdr:cNvSpPr>
          <a:spLocks noChangeShapeType="1"/>
        </xdr:cNvSpPr>
      </xdr:nvSpPr>
      <xdr:spPr bwMode="auto">
        <a:xfrm>
          <a:off x="6076950" y="128968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495300</xdr:colOff>
      <xdr:row>72</xdr:row>
      <xdr:rowOff>66675</xdr:rowOff>
    </xdr:from>
    <xdr:to>
      <xdr:col>7</xdr:col>
      <xdr:colOff>495300</xdr:colOff>
      <xdr:row>74</xdr:row>
      <xdr:rowOff>114300</xdr:rowOff>
    </xdr:to>
    <xdr:sp macro="" textlink="">
      <xdr:nvSpPr>
        <xdr:cNvPr id="210849" name="Line 70">
          <a:extLst>
            <a:ext uri="{FF2B5EF4-FFF2-40B4-BE49-F238E27FC236}">
              <a16:creationId xmlns:a16="http://schemas.microsoft.com/office/drawing/2014/main" id="{00000000-0008-0000-0800-0000A1370300}"/>
            </a:ext>
          </a:extLst>
        </xdr:cNvPr>
        <xdr:cNvSpPr>
          <a:spLocks noChangeShapeType="1"/>
        </xdr:cNvSpPr>
      </xdr:nvSpPr>
      <xdr:spPr bwMode="auto">
        <a:xfrm>
          <a:off x="6076950" y="132492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190500</xdr:colOff>
      <xdr:row>70</xdr:row>
      <xdr:rowOff>19050</xdr:rowOff>
    </xdr:from>
    <xdr:to>
      <xdr:col>8</xdr:col>
      <xdr:colOff>190500</xdr:colOff>
      <xdr:row>75</xdr:row>
      <xdr:rowOff>19050</xdr:rowOff>
    </xdr:to>
    <xdr:sp macro="" textlink="">
      <xdr:nvSpPr>
        <xdr:cNvPr id="210850" name="Line 71">
          <a:extLst>
            <a:ext uri="{FF2B5EF4-FFF2-40B4-BE49-F238E27FC236}">
              <a16:creationId xmlns:a16="http://schemas.microsoft.com/office/drawing/2014/main" id="{00000000-0008-0000-0800-0000A2370300}"/>
            </a:ext>
          </a:extLst>
        </xdr:cNvPr>
        <xdr:cNvSpPr>
          <a:spLocks noChangeShapeType="1"/>
        </xdr:cNvSpPr>
      </xdr:nvSpPr>
      <xdr:spPr bwMode="auto">
        <a:xfrm>
          <a:off x="6534150" y="12877800"/>
          <a:ext cx="0"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428625</xdr:colOff>
      <xdr:row>70</xdr:row>
      <xdr:rowOff>0</xdr:rowOff>
    </xdr:from>
    <xdr:to>
      <xdr:col>8</xdr:col>
      <xdr:colOff>276225</xdr:colOff>
      <xdr:row>70</xdr:row>
      <xdr:rowOff>0</xdr:rowOff>
    </xdr:to>
    <xdr:sp macro="" textlink="">
      <xdr:nvSpPr>
        <xdr:cNvPr id="210851" name="Line 72">
          <a:extLst>
            <a:ext uri="{FF2B5EF4-FFF2-40B4-BE49-F238E27FC236}">
              <a16:creationId xmlns:a16="http://schemas.microsoft.com/office/drawing/2014/main" id="{00000000-0008-0000-0800-0000A3370300}"/>
            </a:ext>
          </a:extLst>
        </xdr:cNvPr>
        <xdr:cNvSpPr>
          <a:spLocks noChangeShapeType="1"/>
        </xdr:cNvSpPr>
      </xdr:nvSpPr>
      <xdr:spPr bwMode="auto">
        <a:xfrm>
          <a:off x="6010275" y="12858750"/>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381000</xdr:colOff>
      <xdr:row>72</xdr:row>
      <xdr:rowOff>38100</xdr:rowOff>
    </xdr:from>
    <xdr:to>
      <xdr:col>7</xdr:col>
      <xdr:colOff>723900</xdr:colOff>
      <xdr:row>72</xdr:row>
      <xdr:rowOff>38100</xdr:rowOff>
    </xdr:to>
    <xdr:sp macro="" textlink="">
      <xdr:nvSpPr>
        <xdr:cNvPr id="210852" name="Line 73">
          <a:extLst>
            <a:ext uri="{FF2B5EF4-FFF2-40B4-BE49-F238E27FC236}">
              <a16:creationId xmlns:a16="http://schemas.microsoft.com/office/drawing/2014/main" id="{00000000-0008-0000-0800-0000A4370300}"/>
            </a:ext>
          </a:extLst>
        </xdr:cNvPr>
        <xdr:cNvSpPr>
          <a:spLocks noChangeShapeType="1"/>
        </xdr:cNvSpPr>
      </xdr:nvSpPr>
      <xdr:spPr bwMode="auto">
        <a:xfrm>
          <a:off x="5962650" y="132207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75</xdr:row>
      <xdr:rowOff>0</xdr:rowOff>
    </xdr:from>
    <xdr:to>
      <xdr:col>7</xdr:col>
      <xdr:colOff>666750</xdr:colOff>
      <xdr:row>75</xdr:row>
      <xdr:rowOff>0</xdr:rowOff>
    </xdr:to>
    <xdr:sp macro="" textlink="">
      <xdr:nvSpPr>
        <xdr:cNvPr id="210853" name="Line 74">
          <a:extLst>
            <a:ext uri="{FF2B5EF4-FFF2-40B4-BE49-F238E27FC236}">
              <a16:creationId xmlns:a16="http://schemas.microsoft.com/office/drawing/2014/main" id="{00000000-0008-0000-0800-0000A5370300}"/>
            </a:ext>
          </a:extLst>
        </xdr:cNvPr>
        <xdr:cNvSpPr>
          <a:spLocks noChangeShapeType="1"/>
        </xdr:cNvSpPr>
      </xdr:nvSpPr>
      <xdr:spPr bwMode="auto">
        <a:xfrm>
          <a:off x="5972175" y="136683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476250</xdr:colOff>
      <xdr:row>77</xdr:row>
      <xdr:rowOff>66675</xdr:rowOff>
    </xdr:from>
    <xdr:to>
      <xdr:col>7</xdr:col>
      <xdr:colOff>314325</xdr:colOff>
      <xdr:row>77</xdr:row>
      <xdr:rowOff>66675</xdr:rowOff>
    </xdr:to>
    <xdr:sp macro="" textlink="">
      <xdr:nvSpPr>
        <xdr:cNvPr id="210854" name="Line 75">
          <a:extLst>
            <a:ext uri="{FF2B5EF4-FFF2-40B4-BE49-F238E27FC236}">
              <a16:creationId xmlns:a16="http://schemas.microsoft.com/office/drawing/2014/main" id="{00000000-0008-0000-0800-0000A6370300}"/>
            </a:ext>
          </a:extLst>
        </xdr:cNvPr>
        <xdr:cNvSpPr>
          <a:spLocks noChangeShapeType="1"/>
        </xdr:cNvSpPr>
      </xdr:nvSpPr>
      <xdr:spPr bwMode="auto">
        <a:xfrm>
          <a:off x="5248275" y="140589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447675</xdr:colOff>
      <xdr:row>76</xdr:row>
      <xdr:rowOff>152400</xdr:rowOff>
    </xdr:from>
    <xdr:to>
      <xdr:col>6</xdr:col>
      <xdr:colOff>447675</xdr:colOff>
      <xdr:row>78</xdr:row>
      <xdr:rowOff>47625</xdr:rowOff>
    </xdr:to>
    <xdr:sp macro="" textlink="">
      <xdr:nvSpPr>
        <xdr:cNvPr id="210855" name="Line 76">
          <a:extLst>
            <a:ext uri="{FF2B5EF4-FFF2-40B4-BE49-F238E27FC236}">
              <a16:creationId xmlns:a16="http://schemas.microsoft.com/office/drawing/2014/main" id="{00000000-0008-0000-0800-0000A7370300}"/>
            </a:ext>
          </a:extLst>
        </xdr:cNvPr>
        <xdr:cNvSpPr>
          <a:spLocks noChangeShapeType="1"/>
        </xdr:cNvSpPr>
      </xdr:nvSpPr>
      <xdr:spPr bwMode="auto">
        <a:xfrm>
          <a:off x="5219700" y="139827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352425</xdr:colOff>
      <xdr:row>76</xdr:row>
      <xdr:rowOff>142875</xdr:rowOff>
    </xdr:from>
    <xdr:to>
      <xdr:col>7</xdr:col>
      <xdr:colOff>352425</xdr:colOff>
      <xdr:row>78</xdr:row>
      <xdr:rowOff>47625</xdr:rowOff>
    </xdr:to>
    <xdr:sp macro="" textlink="">
      <xdr:nvSpPr>
        <xdr:cNvPr id="210856" name="Line 77">
          <a:extLst>
            <a:ext uri="{FF2B5EF4-FFF2-40B4-BE49-F238E27FC236}">
              <a16:creationId xmlns:a16="http://schemas.microsoft.com/office/drawing/2014/main" id="{00000000-0008-0000-0800-0000A8370300}"/>
            </a:ext>
          </a:extLst>
        </xdr:cNvPr>
        <xdr:cNvSpPr>
          <a:spLocks noChangeShapeType="1"/>
        </xdr:cNvSpPr>
      </xdr:nvSpPr>
      <xdr:spPr bwMode="auto">
        <a:xfrm>
          <a:off x="5934075" y="13973175"/>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495300</xdr:colOff>
      <xdr:row>75</xdr:row>
      <xdr:rowOff>57150</xdr:rowOff>
    </xdr:from>
    <xdr:to>
      <xdr:col>7</xdr:col>
      <xdr:colOff>495300</xdr:colOff>
      <xdr:row>76</xdr:row>
      <xdr:rowOff>47625</xdr:rowOff>
    </xdr:to>
    <xdr:sp macro="" textlink="">
      <xdr:nvSpPr>
        <xdr:cNvPr id="210857" name="Line 78">
          <a:extLst>
            <a:ext uri="{FF2B5EF4-FFF2-40B4-BE49-F238E27FC236}">
              <a16:creationId xmlns:a16="http://schemas.microsoft.com/office/drawing/2014/main" id="{00000000-0008-0000-0800-0000A9370300}"/>
            </a:ext>
          </a:extLst>
        </xdr:cNvPr>
        <xdr:cNvSpPr>
          <a:spLocks noChangeShapeType="1"/>
        </xdr:cNvSpPr>
      </xdr:nvSpPr>
      <xdr:spPr bwMode="auto">
        <a:xfrm flipH="1" flipV="1">
          <a:off x="6076950" y="13725525"/>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361950</xdr:colOff>
      <xdr:row>75</xdr:row>
      <xdr:rowOff>95250</xdr:rowOff>
    </xdr:from>
    <xdr:to>
      <xdr:col>8</xdr:col>
      <xdr:colOff>381000</xdr:colOff>
      <xdr:row>75</xdr:row>
      <xdr:rowOff>95250</xdr:rowOff>
    </xdr:to>
    <xdr:sp macro="" textlink="">
      <xdr:nvSpPr>
        <xdr:cNvPr id="210858" name="Line 79">
          <a:extLst>
            <a:ext uri="{FF2B5EF4-FFF2-40B4-BE49-F238E27FC236}">
              <a16:creationId xmlns:a16="http://schemas.microsoft.com/office/drawing/2014/main" id="{00000000-0008-0000-0800-0000AA370300}"/>
            </a:ext>
          </a:extLst>
        </xdr:cNvPr>
        <xdr:cNvSpPr>
          <a:spLocks noChangeShapeType="1"/>
        </xdr:cNvSpPr>
      </xdr:nvSpPr>
      <xdr:spPr bwMode="auto">
        <a:xfrm>
          <a:off x="5943600" y="13763625"/>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666750</xdr:colOff>
      <xdr:row>72</xdr:row>
      <xdr:rowOff>28575</xdr:rowOff>
    </xdr:from>
    <xdr:to>
      <xdr:col>8</xdr:col>
      <xdr:colOff>142875</xdr:colOff>
      <xdr:row>73</xdr:row>
      <xdr:rowOff>38100</xdr:rowOff>
    </xdr:to>
    <xdr:sp macro="" textlink="">
      <xdr:nvSpPr>
        <xdr:cNvPr id="7248" name="Text Box 80">
          <a:extLst>
            <a:ext uri="{FF2B5EF4-FFF2-40B4-BE49-F238E27FC236}">
              <a16:creationId xmlns:a16="http://schemas.microsoft.com/office/drawing/2014/main" id="{00000000-0008-0000-0800-0000501C0000}"/>
            </a:ext>
          </a:extLst>
        </xdr:cNvPr>
        <xdr:cNvSpPr txBox="1">
          <a:spLocks noChangeArrowheads="1"/>
        </xdr:cNvSpPr>
      </xdr:nvSpPr>
      <xdr:spPr bwMode="auto">
        <a:xfrm>
          <a:off x="6248400" y="13211175"/>
          <a:ext cx="2381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25</a:t>
          </a:r>
        </a:p>
      </xdr:txBody>
    </xdr:sp>
    <xdr:clientData/>
  </xdr:twoCellAnchor>
  <xdr:twoCellAnchor>
    <xdr:from>
      <xdr:col>7</xdr:col>
      <xdr:colOff>666750</xdr:colOff>
      <xdr:row>74</xdr:row>
      <xdr:rowOff>57150</xdr:rowOff>
    </xdr:from>
    <xdr:to>
      <xdr:col>8</xdr:col>
      <xdr:colOff>190500</xdr:colOff>
      <xdr:row>75</xdr:row>
      <xdr:rowOff>76200</xdr:rowOff>
    </xdr:to>
    <xdr:sp macro="" textlink="">
      <xdr:nvSpPr>
        <xdr:cNvPr id="7249" name="Text Box 81">
          <a:extLst>
            <a:ext uri="{FF2B5EF4-FFF2-40B4-BE49-F238E27FC236}">
              <a16:creationId xmlns:a16="http://schemas.microsoft.com/office/drawing/2014/main" id="{00000000-0008-0000-0800-0000511C0000}"/>
            </a:ext>
          </a:extLst>
        </xdr:cNvPr>
        <xdr:cNvSpPr txBox="1">
          <a:spLocks noChangeArrowheads="1"/>
        </xdr:cNvSpPr>
      </xdr:nvSpPr>
      <xdr:spPr bwMode="auto">
        <a:xfrm>
          <a:off x="6248400" y="13563600"/>
          <a:ext cx="2857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45</a:t>
          </a:r>
        </a:p>
      </xdr:txBody>
    </xdr:sp>
    <xdr:clientData/>
  </xdr:twoCellAnchor>
  <xdr:twoCellAnchor>
    <xdr:from>
      <xdr:col>8</xdr:col>
      <xdr:colOff>247650</xdr:colOff>
      <xdr:row>72</xdr:row>
      <xdr:rowOff>28575</xdr:rowOff>
    </xdr:from>
    <xdr:to>
      <xdr:col>8</xdr:col>
      <xdr:colOff>647700</xdr:colOff>
      <xdr:row>73</xdr:row>
      <xdr:rowOff>104775</xdr:rowOff>
    </xdr:to>
    <xdr:sp macro="" textlink="">
      <xdr:nvSpPr>
        <xdr:cNvPr id="7250" name="Text Box 82">
          <a:extLst>
            <a:ext uri="{FF2B5EF4-FFF2-40B4-BE49-F238E27FC236}">
              <a16:creationId xmlns:a16="http://schemas.microsoft.com/office/drawing/2014/main" id="{00000000-0008-0000-0800-0000521C0000}"/>
            </a:ext>
          </a:extLst>
        </xdr:cNvPr>
        <xdr:cNvSpPr txBox="1">
          <a:spLocks noChangeArrowheads="1"/>
        </xdr:cNvSpPr>
      </xdr:nvSpPr>
      <xdr:spPr bwMode="auto">
        <a:xfrm>
          <a:off x="6591300" y="13211175"/>
          <a:ext cx="4000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80</a:t>
          </a:r>
        </a:p>
      </xdr:txBody>
    </xdr:sp>
    <xdr:clientData/>
  </xdr:twoCellAnchor>
  <xdr:twoCellAnchor>
    <xdr:from>
      <xdr:col>7</xdr:col>
      <xdr:colOff>628650</xdr:colOff>
      <xdr:row>75</xdr:row>
      <xdr:rowOff>114300</xdr:rowOff>
    </xdr:from>
    <xdr:to>
      <xdr:col>8</xdr:col>
      <xdr:colOff>333375</xdr:colOff>
      <xdr:row>76</xdr:row>
      <xdr:rowOff>133350</xdr:rowOff>
    </xdr:to>
    <xdr:sp macro="" textlink="">
      <xdr:nvSpPr>
        <xdr:cNvPr id="7251" name="Text Box 83">
          <a:extLst>
            <a:ext uri="{FF2B5EF4-FFF2-40B4-BE49-F238E27FC236}">
              <a16:creationId xmlns:a16="http://schemas.microsoft.com/office/drawing/2014/main" id="{00000000-0008-0000-0800-0000531C0000}"/>
            </a:ext>
          </a:extLst>
        </xdr:cNvPr>
        <xdr:cNvSpPr txBox="1">
          <a:spLocks noChangeArrowheads="1"/>
        </xdr:cNvSpPr>
      </xdr:nvSpPr>
      <xdr:spPr bwMode="auto">
        <a:xfrm>
          <a:off x="6210300" y="13782675"/>
          <a:ext cx="4667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10</a:t>
          </a:r>
        </a:p>
      </xdr:txBody>
    </xdr:sp>
    <xdr:clientData/>
  </xdr:twoCellAnchor>
  <xdr:twoCellAnchor>
    <xdr:from>
      <xdr:col>6</xdr:col>
      <xdr:colOff>609600</xdr:colOff>
      <xdr:row>77</xdr:row>
      <xdr:rowOff>57150</xdr:rowOff>
    </xdr:from>
    <xdr:to>
      <xdr:col>7</xdr:col>
      <xdr:colOff>209550</xdr:colOff>
      <xdr:row>78</xdr:row>
      <xdr:rowOff>85725</xdr:rowOff>
    </xdr:to>
    <xdr:sp macro="" textlink="">
      <xdr:nvSpPr>
        <xdr:cNvPr id="7252" name="Text Box 84">
          <a:extLst>
            <a:ext uri="{FF2B5EF4-FFF2-40B4-BE49-F238E27FC236}">
              <a16:creationId xmlns:a16="http://schemas.microsoft.com/office/drawing/2014/main" id="{00000000-0008-0000-0800-0000541C0000}"/>
            </a:ext>
          </a:extLst>
        </xdr:cNvPr>
        <xdr:cNvSpPr txBox="1">
          <a:spLocks noChangeArrowheads="1"/>
        </xdr:cNvSpPr>
      </xdr:nvSpPr>
      <xdr:spPr bwMode="auto">
        <a:xfrm>
          <a:off x="5381625" y="14049375"/>
          <a:ext cx="4095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65</a:t>
          </a:r>
        </a:p>
      </xdr:txBody>
    </xdr:sp>
    <xdr:clientData/>
  </xdr:twoCellAnchor>
  <xdr:twoCellAnchor>
    <xdr:from>
      <xdr:col>7</xdr:col>
      <xdr:colOff>476250</xdr:colOff>
      <xdr:row>76</xdr:row>
      <xdr:rowOff>114300</xdr:rowOff>
    </xdr:from>
    <xdr:to>
      <xdr:col>8</xdr:col>
      <xdr:colOff>476250</xdr:colOff>
      <xdr:row>78</xdr:row>
      <xdr:rowOff>133350</xdr:rowOff>
    </xdr:to>
    <xdr:sp macro="" textlink="">
      <xdr:nvSpPr>
        <xdr:cNvPr id="7253" name="Text Box 85">
          <a:extLst>
            <a:ext uri="{FF2B5EF4-FFF2-40B4-BE49-F238E27FC236}">
              <a16:creationId xmlns:a16="http://schemas.microsoft.com/office/drawing/2014/main" id="{00000000-0008-0000-0800-0000551C0000}"/>
            </a:ext>
          </a:extLst>
        </xdr:cNvPr>
        <xdr:cNvSpPr txBox="1">
          <a:spLocks noChangeArrowheads="1"/>
        </xdr:cNvSpPr>
      </xdr:nvSpPr>
      <xdr:spPr bwMode="auto">
        <a:xfrm>
          <a:off x="6057900" y="13944600"/>
          <a:ext cx="76200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900" b="0" i="0" u="none" strike="noStrike" baseline="0">
              <a:solidFill>
                <a:srgbClr val="000000"/>
              </a:solidFill>
              <a:latin typeface="Arial"/>
              <a:cs typeface="Arial"/>
            </a:rPr>
            <a:t>Enrobage en sable</a:t>
          </a:r>
        </a:p>
      </xdr:txBody>
    </xdr:sp>
    <xdr:clientData/>
  </xdr:twoCellAnchor>
  <xdr:twoCellAnchor>
    <xdr:from>
      <xdr:col>4</xdr:col>
      <xdr:colOff>704850</xdr:colOff>
      <xdr:row>86</xdr:row>
      <xdr:rowOff>76200</xdr:rowOff>
    </xdr:from>
    <xdr:to>
      <xdr:col>5</xdr:col>
      <xdr:colOff>609600</xdr:colOff>
      <xdr:row>86</xdr:row>
      <xdr:rowOff>76200</xdr:rowOff>
    </xdr:to>
    <xdr:sp macro="" textlink="">
      <xdr:nvSpPr>
        <xdr:cNvPr id="210865" name="Line 86">
          <a:extLst>
            <a:ext uri="{FF2B5EF4-FFF2-40B4-BE49-F238E27FC236}">
              <a16:creationId xmlns:a16="http://schemas.microsoft.com/office/drawing/2014/main" id="{00000000-0008-0000-0800-0000B1370300}"/>
            </a:ext>
          </a:extLst>
        </xdr:cNvPr>
        <xdr:cNvSpPr>
          <a:spLocks noChangeShapeType="1"/>
        </xdr:cNvSpPr>
      </xdr:nvSpPr>
      <xdr:spPr bwMode="auto">
        <a:xfrm>
          <a:off x="3857625" y="15525750"/>
          <a:ext cx="71437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0</xdr:colOff>
      <xdr:row>94</xdr:row>
      <xdr:rowOff>76200</xdr:rowOff>
    </xdr:from>
    <xdr:to>
      <xdr:col>10</xdr:col>
      <xdr:colOff>0</xdr:colOff>
      <xdr:row>94</xdr:row>
      <xdr:rowOff>76200</xdr:rowOff>
    </xdr:to>
    <xdr:sp macro="" textlink="">
      <xdr:nvSpPr>
        <xdr:cNvPr id="210866" name="Line 87">
          <a:extLst>
            <a:ext uri="{FF2B5EF4-FFF2-40B4-BE49-F238E27FC236}">
              <a16:creationId xmlns:a16="http://schemas.microsoft.com/office/drawing/2014/main" id="{00000000-0008-0000-0800-0000B2370300}"/>
            </a:ext>
          </a:extLst>
        </xdr:cNvPr>
        <xdr:cNvSpPr>
          <a:spLocks noChangeShapeType="1"/>
        </xdr:cNvSpPr>
      </xdr:nvSpPr>
      <xdr:spPr bwMode="auto">
        <a:xfrm>
          <a:off x="7867650" y="168211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95</xdr:row>
      <xdr:rowOff>66675</xdr:rowOff>
    </xdr:from>
    <xdr:to>
      <xdr:col>10</xdr:col>
      <xdr:colOff>0</xdr:colOff>
      <xdr:row>95</xdr:row>
      <xdr:rowOff>66675</xdr:rowOff>
    </xdr:to>
    <xdr:sp macro="" textlink="">
      <xdr:nvSpPr>
        <xdr:cNvPr id="210867" name="Line 88">
          <a:extLst>
            <a:ext uri="{FF2B5EF4-FFF2-40B4-BE49-F238E27FC236}">
              <a16:creationId xmlns:a16="http://schemas.microsoft.com/office/drawing/2014/main" id="{00000000-0008-0000-0800-0000B3370300}"/>
            </a:ext>
          </a:extLst>
        </xdr:cNvPr>
        <xdr:cNvSpPr>
          <a:spLocks noChangeShapeType="1"/>
        </xdr:cNvSpPr>
      </xdr:nvSpPr>
      <xdr:spPr bwMode="auto">
        <a:xfrm>
          <a:off x="7867650" y="169735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28575</xdr:colOff>
      <xdr:row>93</xdr:row>
      <xdr:rowOff>0</xdr:rowOff>
    </xdr:from>
    <xdr:to>
      <xdr:col>2</xdr:col>
      <xdr:colOff>800100</xdr:colOff>
      <xdr:row>108</xdr:row>
      <xdr:rowOff>0</xdr:rowOff>
    </xdr:to>
    <xdr:sp macro="" textlink="">
      <xdr:nvSpPr>
        <xdr:cNvPr id="7257" name="Text Box 89">
          <a:extLst>
            <a:ext uri="{FF2B5EF4-FFF2-40B4-BE49-F238E27FC236}">
              <a16:creationId xmlns:a16="http://schemas.microsoft.com/office/drawing/2014/main" id="{00000000-0008-0000-0800-0000591C0000}"/>
            </a:ext>
          </a:extLst>
        </xdr:cNvPr>
        <xdr:cNvSpPr txBox="1">
          <a:spLocks noChangeArrowheads="1"/>
        </xdr:cNvSpPr>
      </xdr:nvSpPr>
      <xdr:spPr bwMode="auto">
        <a:xfrm>
          <a:off x="28575" y="16583025"/>
          <a:ext cx="2428875" cy="24288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Suivant le tableau, l'épaisseur </a:t>
          </a:r>
          <a:r>
            <a:rPr lang="fr-FR" sz="800" b="0" i="0" u="sng" strike="noStrike" baseline="0">
              <a:solidFill>
                <a:srgbClr val="000000"/>
              </a:solidFill>
              <a:latin typeface="Arial"/>
              <a:cs typeface="Arial"/>
            </a:rPr>
            <a:t>maximale</a:t>
          </a:r>
          <a:r>
            <a:rPr lang="fr-FR" sz="800" b="0" i="0" u="none" strike="noStrike" baseline="0">
              <a:solidFill>
                <a:srgbClr val="000000"/>
              </a:solidFill>
              <a:latin typeface="Arial"/>
              <a:cs typeface="Arial"/>
            </a:rPr>
            <a:t> une fois compactée est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pour obtenir un objectif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a:t>
          </a:r>
        </a:p>
        <a:p>
          <a:pPr algn="l" rtl="0">
            <a:defRPr sz="1000"/>
          </a:pPr>
          <a:r>
            <a:rPr lang="fr-FR" sz="800" b="0" i="0" u="none" strike="noStrike" baseline="0">
              <a:solidFill>
                <a:srgbClr val="000000"/>
              </a:solidFill>
              <a:latin typeface="Arial"/>
              <a:cs typeface="Arial"/>
            </a:rPr>
            <a:t>  On réalisera la partie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 en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couches successives : une de 30 cm et une de 15 cm. </a:t>
          </a:r>
        </a:p>
        <a:p>
          <a:pPr algn="l" rtl="0">
            <a:defRPr sz="1000"/>
          </a:pPr>
          <a:r>
            <a:rPr lang="fr-FR" sz="800" b="0" i="0" u="none" strike="noStrike" baseline="0">
              <a:solidFill>
                <a:srgbClr val="000000"/>
              </a:solidFill>
              <a:latin typeface="Arial"/>
              <a:cs typeface="Arial"/>
            </a:rPr>
            <a:t>                             (30+</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=45)</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le nombre de passe </a:t>
          </a:r>
          <a:r>
            <a:rPr lang="fr-FR" sz="800" b="1" i="0" u="none" strike="noStrike" baseline="0">
              <a:solidFill>
                <a:srgbClr val="000000"/>
              </a:solidFill>
              <a:latin typeface="Arial"/>
              <a:cs typeface="Arial"/>
            </a:rPr>
            <a:t>= 6</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(conformément au tableau)</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 le nombre de passe sera proportionnel à l'épaisseur à compacter. C'est-à-dire :</a:t>
          </a:r>
        </a:p>
        <a:p>
          <a:pPr algn="l" rtl="0">
            <a:defRPr sz="1000"/>
          </a:pPr>
          <a:r>
            <a:rPr lang="fr-FR" sz="800" b="0" i="0" u="none" strike="noStrike" baseline="0">
              <a:solidFill>
                <a:srgbClr val="000000"/>
              </a:solidFill>
              <a:latin typeface="Arial"/>
              <a:cs typeface="Arial"/>
            </a:rPr>
            <a:t>   si, pour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on réalise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on réalisera : 30 divisé 15 =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 soit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fois moins de passes que pour les 30 cm soit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/2=</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passes</a:t>
          </a: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Il faudra exécuter :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a:t>
          </a: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0</xdr:col>
      <xdr:colOff>47625</xdr:colOff>
      <xdr:row>109</xdr:row>
      <xdr:rowOff>76200</xdr:rowOff>
    </xdr:from>
    <xdr:to>
      <xdr:col>2</xdr:col>
      <xdr:colOff>828675</xdr:colOff>
      <xdr:row>118</xdr:row>
      <xdr:rowOff>114300</xdr:rowOff>
    </xdr:to>
    <xdr:sp macro="" textlink="">
      <xdr:nvSpPr>
        <xdr:cNvPr id="7258" name="Text Box 90">
          <a:extLst>
            <a:ext uri="{FF2B5EF4-FFF2-40B4-BE49-F238E27FC236}">
              <a16:creationId xmlns:a16="http://schemas.microsoft.com/office/drawing/2014/main" id="{00000000-0008-0000-0800-00005A1C0000}"/>
            </a:ext>
          </a:extLst>
        </xdr:cNvPr>
        <xdr:cNvSpPr txBox="1">
          <a:spLocks noChangeArrowheads="1"/>
        </xdr:cNvSpPr>
      </xdr:nvSpPr>
      <xdr:spPr bwMode="auto">
        <a:xfrm>
          <a:off x="47625" y="19250025"/>
          <a:ext cx="2438400" cy="14954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En fonction de la largeur du patin, réaliser autant de traces de compactage qu'il faut pour couvrir la largueur totale de la tranchée.</a:t>
          </a: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Exemple :</a:t>
          </a:r>
        </a:p>
        <a:p>
          <a:pPr algn="l" rtl="0">
            <a:defRPr sz="1000"/>
          </a:pPr>
          <a:r>
            <a:rPr lang="fr-FR" sz="800" b="0" i="0" u="none" strike="noStrike" baseline="0">
              <a:solidFill>
                <a:srgbClr val="000000"/>
              </a:solidFill>
              <a:latin typeface="Arial"/>
              <a:cs typeface="Arial"/>
            </a:rPr>
            <a:t> Avec la </a:t>
          </a:r>
          <a:r>
            <a:rPr lang="fr-FR" sz="800" b="1" i="0" u="none" strike="noStrike" baseline="0">
              <a:solidFill>
                <a:srgbClr val="000000"/>
              </a:solidFill>
              <a:latin typeface="Arial"/>
              <a:cs typeface="Arial"/>
            </a:rPr>
            <a:t>WAKER DS 72Y</a:t>
          </a:r>
          <a:r>
            <a:rPr lang="fr-FR" sz="800" b="0" i="0" u="none" strike="noStrike" baseline="0">
              <a:solidFill>
                <a:srgbClr val="000000"/>
              </a:solidFill>
              <a:latin typeface="Arial"/>
              <a:cs typeface="Arial"/>
            </a:rPr>
            <a:t> le patin fait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cm de large</a:t>
          </a:r>
        </a:p>
        <a:p>
          <a:pPr algn="l" rtl="0">
            <a:defRPr sz="1000"/>
          </a:pPr>
          <a:r>
            <a:rPr lang="fr-FR" sz="800" b="0" i="0" u="none" strike="noStrike" baseline="0">
              <a:solidFill>
                <a:srgbClr val="000000"/>
              </a:solidFill>
              <a:latin typeface="Arial"/>
              <a:cs typeface="Arial"/>
            </a:rPr>
            <a:t>      Pour une tranhée de 65 cm, on aura :</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65</a:t>
          </a:r>
          <a:r>
            <a:rPr lang="fr-FR" sz="800" b="0" i="0" u="none" strike="noStrike" baseline="0">
              <a:solidFill>
                <a:srgbClr val="000000"/>
              </a:solidFill>
              <a:latin typeface="Arial"/>
              <a:cs typeface="Arial"/>
            </a:rPr>
            <a:t> divisé par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 2,3 à arrondir à </a:t>
          </a:r>
          <a:r>
            <a:rPr lang="fr-FR" sz="800" b="1" i="0" u="none" strike="noStrike" baseline="0">
              <a:solidFill>
                <a:srgbClr val="000000"/>
              </a:solidFill>
              <a:latin typeface="Arial"/>
              <a:cs typeface="Arial"/>
            </a:rPr>
            <a:t>3</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Il faudra donc exécuter </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traces</a:t>
          </a:r>
          <a:r>
            <a:rPr lang="fr-FR" sz="800" b="0" i="0" u="none" strike="noStrike" baseline="0">
              <a:solidFill>
                <a:srgbClr val="000000"/>
              </a:solidFill>
              <a:latin typeface="Arial"/>
              <a:cs typeface="Arial"/>
            </a:rPr>
            <a:t> pour compacter sur toute la largueur de cette tranchée. </a:t>
          </a:r>
        </a:p>
      </xdr:txBody>
    </xdr:sp>
    <xdr:clientData/>
  </xdr:twoCellAnchor>
  <xdr:twoCellAnchor>
    <xdr:from>
      <xdr:col>4</xdr:col>
      <xdr:colOff>495300</xdr:colOff>
      <xdr:row>93</xdr:row>
      <xdr:rowOff>57150</xdr:rowOff>
    </xdr:from>
    <xdr:to>
      <xdr:col>4</xdr:col>
      <xdr:colOff>800100</xdr:colOff>
      <xdr:row>94</xdr:row>
      <xdr:rowOff>85725</xdr:rowOff>
    </xdr:to>
    <xdr:sp macro="" textlink="">
      <xdr:nvSpPr>
        <xdr:cNvPr id="7259" name="Text Box 91">
          <a:extLst>
            <a:ext uri="{FF2B5EF4-FFF2-40B4-BE49-F238E27FC236}">
              <a16:creationId xmlns:a16="http://schemas.microsoft.com/office/drawing/2014/main" id="{00000000-0008-0000-0800-00005B1C0000}"/>
            </a:ext>
          </a:extLst>
        </xdr:cNvPr>
        <xdr:cNvSpPr txBox="1">
          <a:spLocks noChangeArrowheads="1"/>
        </xdr:cNvSpPr>
      </xdr:nvSpPr>
      <xdr:spPr bwMode="auto">
        <a:xfrm>
          <a:off x="3648075" y="16640175"/>
          <a:ext cx="3048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PN2</a:t>
          </a:r>
        </a:p>
      </xdr:txBody>
    </xdr:sp>
    <xdr:clientData/>
  </xdr:twoCellAnchor>
  <xdr:twoCellAnchor>
    <xdr:from>
      <xdr:col>4</xdr:col>
      <xdr:colOff>495300</xdr:colOff>
      <xdr:row>96</xdr:row>
      <xdr:rowOff>47625</xdr:rowOff>
    </xdr:from>
    <xdr:to>
      <xdr:col>5</xdr:col>
      <xdr:colOff>28575</xdr:colOff>
      <xdr:row>97</xdr:row>
      <xdr:rowOff>38100</xdr:rowOff>
    </xdr:to>
    <xdr:sp macro="" textlink="">
      <xdr:nvSpPr>
        <xdr:cNvPr id="7260" name="Text Box 92">
          <a:extLst>
            <a:ext uri="{FF2B5EF4-FFF2-40B4-BE49-F238E27FC236}">
              <a16:creationId xmlns:a16="http://schemas.microsoft.com/office/drawing/2014/main" id="{00000000-0008-0000-0800-00005C1C0000}"/>
            </a:ext>
          </a:extLst>
        </xdr:cNvPr>
        <xdr:cNvSpPr txBox="1">
          <a:spLocks noChangeArrowheads="1"/>
        </xdr:cNvSpPr>
      </xdr:nvSpPr>
      <xdr:spPr bwMode="auto">
        <a:xfrm>
          <a:off x="3648075" y="17116425"/>
          <a:ext cx="3429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PN3</a:t>
          </a:r>
        </a:p>
      </xdr:txBody>
    </xdr:sp>
    <xdr:clientData/>
  </xdr:twoCellAnchor>
  <xdr:twoCellAnchor>
    <xdr:from>
      <xdr:col>4</xdr:col>
      <xdr:colOff>447675</xdr:colOff>
      <xdr:row>99</xdr:row>
      <xdr:rowOff>57150</xdr:rowOff>
    </xdr:from>
    <xdr:to>
      <xdr:col>4</xdr:col>
      <xdr:colOff>800100</xdr:colOff>
      <xdr:row>100</xdr:row>
      <xdr:rowOff>57150</xdr:rowOff>
    </xdr:to>
    <xdr:sp macro="" textlink="">
      <xdr:nvSpPr>
        <xdr:cNvPr id="7261" name="Text Box 93">
          <a:extLst>
            <a:ext uri="{FF2B5EF4-FFF2-40B4-BE49-F238E27FC236}">
              <a16:creationId xmlns:a16="http://schemas.microsoft.com/office/drawing/2014/main" id="{00000000-0008-0000-0800-00005D1C0000}"/>
            </a:ext>
          </a:extLst>
        </xdr:cNvPr>
        <xdr:cNvSpPr txBox="1">
          <a:spLocks noChangeArrowheads="1"/>
        </xdr:cNvSpPr>
      </xdr:nvSpPr>
      <xdr:spPr bwMode="auto">
        <a:xfrm>
          <a:off x="3600450" y="17611725"/>
          <a:ext cx="3524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PV2</a:t>
          </a:r>
        </a:p>
      </xdr:txBody>
    </xdr:sp>
    <xdr:clientData/>
  </xdr:twoCellAnchor>
  <xdr:twoCellAnchor>
    <xdr:from>
      <xdr:col>4</xdr:col>
      <xdr:colOff>390525</xdr:colOff>
      <xdr:row>102</xdr:row>
      <xdr:rowOff>28575</xdr:rowOff>
    </xdr:from>
    <xdr:to>
      <xdr:col>5</xdr:col>
      <xdr:colOff>19050</xdr:colOff>
      <xdr:row>103</xdr:row>
      <xdr:rowOff>28575</xdr:rowOff>
    </xdr:to>
    <xdr:sp macro="" textlink="">
      <xdr:nvSpPr>
        <xdr:cNvPr id="7262" name="Text Box 94">
          <a:extLst>
            <a:ext uri="{FF2B5EF4-FFF2-40B4-BE49-F238E27FC236}">
              <a16:creationId xmlns:a16="http://schemas.microsoft.com/office/drawing/2014/main" id="{00000000-0008-0000-0800-00005E1C0000}"/>
            </a:ext>
          </a:extLst>
        </xdr:cNvPr>
        <xdr:cNvSpPr txBox="1">
          <a:spLocks noChangeArrowheads="1"/>
        </xdr:cNvSpPr>
      </xdr:nvSpPr>
      <xdr:spPr bwMode="auto">
        <a:xfrm>
          <a:off x="3543300" y="18068925"/>
          <a:ext cx="4381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PQ3</a:t>
          </a:r>
        </a:p>
      </xdr:txBody>
    </xdr:sp>
    <xdr:clientData/>
  </xdr:twoCellAnchor>
  <xdr:twoCellAnchor>
    <xdr:from>
      <xdr:col>4</xdr:col>
      <xdr:colOff>447675</xdr:colOff>
      <xdr:row>105</xdr:row>
      <xdr:rowOff>28575</xdr:rowOff>
    </xdr:from>
    <xdr:to>
      <xdr:col>5</xdr:col>
      <xdr:colOff>0</xdr:colOff>
      <xdr:row>106</xdr:row>
      <xdr:rowOff>38100</xdr:rowOff>
    </xdr:to>
    <xdr:sp macro="" textlink="">
      <xdr:nvSpPr>
        <xdr:cNvPr id="7263" name="Text Box 95">
          <a:extLst>
            <a:ext uri="{FF2B5EF4-FFF2-40B4-BE49-F238E27FC236}">
              <a16:creationId xmlns:a16="http://schemas.microsoft.com/office/drawing/2014/main" id="{00000000-0008-0000-0800-00005F1C0000}"/>
            </a:ext>
          </a:extLst>
        </xdr:cNvPr>
        <xdr:cNvSpPr txBox="1">
          <a:spLocks noChangeArrowheads="1"/>
        </xdr:cNvSpPr>
      </xdr:nvSpPr>
      <xdr:spPr bwMode="auto">
        <a:xfrm>
          <a:off x="3600450" y="18554700"/>
          <a:ext cx="3619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PQ4</a:t>
          </a:r>
        </a:p>
      </xdr:txBody>
    </xdr:sp>
    <xdr:clientData/>
  </xdr:twoCellAnchor>
  <xdr:twoCellAnchor>
    <xdr:from>
      <xdr:col>0</xdr:col>
      <xdr:colOff>57150</xdr:colOff>
      <xdr:row>119</xdr:row>
      <xdr:rowOff>9525</xdr:rowOff>
    </xdr:from>
    <xdr:to>
      <xdr:col>3</xdr:col>
      <xdr:colOff>104775</xdr:colOff>
      <xdr:row>122</xdr:row>
      <xdr:rowOff>104775</xdr:rowOff>
    </xdr:to>
    <xdr:sp macro="" textlink="">
      <xdr:nvSpPr>
        <xdr:cNvPr id="7264" name="Text Box 96">
          <a:extLst>
            <a:ext uri="{FF2B5EF4-FFF2-40B4-BE49-F238E27FC236}">
              <a16:creationId xmlns:a16="http://schemas.microsoft.com/office/drawing/2014/main" id="{00000000-0008-0000-0800-0000601C0000}"/>
            </a:ext>
          </a:extLst>
        </xdr:cNvPr>
        <xdr:cNvSpPr txBox="1">
          <a:spLocks noChangeArrowheads="1"/>
        </xdr:cNvSpPr>
      </xdr:nvSpPr>
      <xdr:spPr bwMode="auto">
        <a:xfrm>
          <a:off x="57150" y="20802600"/>
          <a:ext cx="2552700" cy="581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1" i="0" u="sng" strike="noStrike" baseline="0">
              <a:solidFill>
                <a:srgbClr val="000000"/>
              </a:solidFill>
              <a:latin typeface="Arial"/>
              <a:cs typeface="Arial"/>
            </a:rPr>
            <a:t>En conclusion</a:t>
          </a:r>
          <a:r>
            <a:rPr lang="fr-FR" sz="800" b="0" i="0" u="sng" strike="noStrike" baseline="0">
              <a:solidFill>
                <a:srgbClr val="000000"/>
              </a:solidFill>
              <a:latin typeface="Arial"/>
              <a:cs typeface="Arial"/>
            </a:rPr>
            <a:t> pour cet exemple, il faudra exécuter</a:t>
          </a:r>
          <a:r>
            <a:rPr lang="fr-FR" sz="800" b="0" i="0" u="none" strike="noStrike" baseline="0">
              <a:solidFill>
                <a:srgbClr val="000000"/>
              </a:solidFill>
              <a:latin typeface="Arial"/>
              <a:cs typeface="Arial"/>
            </a:rPr>
            <a:t> :</a:t>
          </a:r>
        </a:p>
        <a:p>
          <a:pPr algn="l" rtl="0">
            <a:defRPr sz="1000"/>
          </a:pP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traces de </a:t>
          </a:r>
          <a:r>
            <a:rPr lang="fr-FR" sz="800" b="1" i="0" u="none" strike="noStrike" baseline="0">
              <a:solidFill>
                <a:srgbClr val="000000"/>
              </a:solidFill>
              <a:latin typeface="Arial"/>
              <a:cs typeface="Arial"/>
            </a:rPr>
            <a:t>6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premiers cm,</a:t>
          </a:r>
        </a:p>
        <a:p>
          <a:pPr algn="l" rtl="0">
            <a:defRPr sz="1000"/>
          </a:pP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traces de </a:t>
          </a: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derniers cm,</a:t>
          </a:r>
        </a:p>
        <a:p>
          <a:pPr algn="l" rtl="0">
            <a:defRPr sz="1000"/>
          </a:pPr>
          <a:r>
            <a:rPr lang="fr-FR" sz="800" b="0" i="0" u="none" strike="noStrike" baseline="0">
              <a:solidFill>
                <a:srgbClr val="000000"/>
              </a:solidFill>
              <a:latin typeface="Arial"/>
              <a:cs typeface="Arial"/>
            </a:rPr>
            <a:t>Soit </a:t>
          </a:r>
          <a:r>
            <a:rPr lang="fr-FR" sz="800" b="1" i="0" u="none" strike="noStrike" baseline="0">
              <a:solidFill>
                <a:srgbClr val="000000"/>
              </a:solidFill>
              <a:latin typeface="Arial"/>
              <a:cs typeface="Arial"/>
            </a:rPr>
            <a:t>(3x6)</a:t>
          </a: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 (3x3) = </a:t>
          </a:r>
          <a:r>
            <a:rPr lang="fr-FR" sz="800" b="1" i="0" u="sng" strike="noStrike" baseline="0">
              <a:solidFill>
                <a:srgbClr val="000000"/>
              </a:solidFill>
              <a:latin typeface="Arial"/>
              <a:cs typeface="Arial"/>
            </a:rPr>
            <a:t>27 passes</a:t>
          </a:r>
        </a:p>
      </xdr:txBody>
    </xdr:sp>
    <xdr:clientData/>
  </xdr:twoCellAnchor>
  <xdr:twoCellAnchor>
    <xdr:from>
      <xdr:col>0</xdr:col>
      <xdr:colOff>19050</xdr:colOff>
      <xdr:row>91</xdr:row>
      <xdr:rowOff>28575</xdr:rowOff>
    </xdr:from>
    <xdr:to>
      <xdr:col>0</xdr:col>
      <xdr:colOff>381000</xdr:colOff>
      <xdr:row>92</xdr:row>
      <xdr:rowOff>133350</xdr:rowOff>
    </xdr:to>
    <xdr:sp macro="" textlink="">
      <xdr:nvSpPr>
        <xdr:cNvPr id="210876" name="Oval 97">
          <a:extLst>
            <a:ext uri="{FF2B5EF4-FFF2-40B4-BE49-F238E27FC236}">
              <a16:creationId xmlns:a16="http://schemas.microsoft.com/office/drawing/2014/main" id="{00000000-0008-0000-0800-0000BC370300}"/>
            </a:ext>
          </a:extLst>
        </xdr:cNvPr>
        <xdr:cNvSpPr>
          <a:spLocks noChangeArrowheads="1"/>
        </xdr:cNvSpPr>
      </xdr:nvSpPr>
      <xdr:spPr bwMode="auto">
        <a:xfrm>
          <a:off x="19050" y="16287750"/>
          <a:ext cx="361950" cy="2667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123825</xdr:colOff>
      <xdr:row>91</xdr:row>
      <xdr:rowOff>66675</xdr:rowOff>
    </xdr:from>
    <xdr:to>
      <xdr:col>0</xdr:col>
      <xdr:colOff>295275</xdr:colOff>
      <xdr:row>92</xdr:row>
      <xdr:rowOff>47625</xdr:rowOff>
    </xdr:to>
    <xdr:sp macro="" textlink="">
      <xdr:nvSpPr>
        <xdr:cNvPr id="7266" name="Text Box 98">
          <a:extLst>
            <a:ext uri="{FF2B5EF4-FFF2-40B4-BE49-F238E27FC236}">
              <a16:creationId xmlns:a16="http://schemas.microsoft.com/office/drawing/2014/main" id="{00000000-0008-0000-0800-0000621C0000}"/>
            </a:ext>
          </a:extLst>
        </xdr:cNvPr>
        <xdr:cNvSpPr txBox="1">
          <a:spLocks noChangeArrowheads="1"/>
        </xdr:cNvSpPr>
      </xdr:nvSpPr>
      <xdr:spPr bwMode="auto">
        <a:xfrm>
          <a:off x="123825" y="16325850"/>
          <a:ext cx="1714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1</a:t>
          </a:r>
        </a:p>
      </xdr:txBody>
    </xdr:sp>
    <xdr:clientData/>
  </xdr:twoCellAnchor>
  <xdr:twoCellAnchor>
    <xdr:from>
      <xdr:col>0</xdr:col>
      <xdr:colOff>28575</xdr:colOff>
      <xdr:row>108</xdr:row>
      <xdr:rowOff>0</xdr:rowOff>
    </xdr:from>
    <xdr:to>
      <xdr:col>0</xdr:col>
      <xdr:colOff>304800</xdr:colOff>
      <xdr:row>109</xdr:row>
      <xdr:rowOff>85725</xdr:rowOff>
    </xdr:to>
    <xdr:sp macro="" textlink="">
      <xdr:nvSpPr>
        <xdr:cNvPr id="210878" name="Oval 99">
          <a:extLst>
            <a:ext uri="{FF2B5EF4-FFF2-40B4-BE49-F238E27FC236}">
              <a16:creationId xmlns:a16="http://schemas.microsoft.com/office/drawing/2014/main" id="{00000000-0008-0000-0800-0000BE370300}"/>
            </a:ext>
          </a:extLst>
        </xdr:cNvPr>
        <xdr:cNvSpPr>
          <a:spLocks noChangeArrowheads="1"/>
        </xdr:cNvSpPr>
      </xdr:nvSpPr>
      <xdr:spPr bwMode="auto">
        <a:xfrm>
          <a:off x="28575" y="19011900"/>
          <a:ext cx="276225" cy="24765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57150</xdr:colOff>
      <xdr:row>108</xdr:row>
      <xdr:rowOff>19050</xdr:rowOff>
    </xdr:from>
    <xdr:to>
      <xdr:col>0</xdr:col>
      <xdr:colOff>295275</xdr:colOff>
      <xdr:row>109</xdr:row>
      <xdr:rowOff>76200</xdr:rowOff>
    </xdr:to>
    <xdr:sp macro="" textlink="">
      <xdr:nvSpPr>
        <xdr:cNvPr id="7268" name="Text Box 100">
          <a:extLst>
            <a:ext uri="{FF2B5EF4-FFF2-40B4-BE49-F238E27FC236}">
              <a16:creationId xmlns:a16="http://schemas.microsoft.com/office/drawing/2014/main" id="{00000000-0008-0000-0800-0000641C0000}"/>
            </a:ext>
          </a:extLst>
        </xdr:cNvPr>
        <xdr:cNvSpPr txBox="1">
          <a:spLocks noChangeArrowheads="1"/>
        </xdr:cNvSpPr>
      </xdr:nvSpPr>
      <xdr:spPr bwMode="auto">
        <a:xfrm>
          <a:off x="57150" y="19030950"/>
          <a:ext cx="238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2</a:t>
          </a:r>
        </a:p>
      </xdr:txBody>
    </xdr:sp>
    <xdr:clientData/>
  </xdr:twoCellAnchor>
  <xdr:twoCellAnchor>
    <xdr:from>
      <xdr:col>4</xdr:col>
      <xdr:colOff>0</xdr:colOff>
      <xdr:row>111</xdr:row>
      <xdr:rowOff>0</xdr:rowOff>
    </xdr:from>
    <xdr:to>
      <xdr:col>5</xdr:col>
      <xdr:colOff>0</xdr:colOff>
      <xdr:row>113</xdr:row>
      <xdr:rowOff>0</xdr:rowOff>
    </xdr:to>
    <xdr:sp macro="" textlink="">
      <xdr:nvSpPr>
        <xdr:cNvPr id="210880" name="Line 101">
          <a:extLst>
            <a:ext uri="{FF2B5EF4-FFF2-40B4-BE49-F238E27FC236}">
              <a16:creationId xmlns:a16="http://schemas.microsoft.com/office/drawing/2014/main" id="{00000000-0008-0000-0800-0000C0370300}"/>
            </a:ext>
          </a:extLst>
        </xdr:cNvPr>
        <xdr:cNvSpPr>
          <a:spLocks noChangeShapeType="1"/>
        </xdr:cNvSpPr>
      </xdr:nvSpPr>
      <xdr:spPr bwMode="auto">
        <a:xfrm>
          <a:off x="3152775" y="19497675"/>
          <a:ext cx="809625"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118</xdr:row>
      <xdr:rowOff>0</xdr:rowOff>
    </xdr:from>
    <xdr:to>
      <xdr:col>5</xdr:col>
      <xdr:colOff>9525</xdr:colOff>
      <xdr:row>120</xdr:row>
      <xdr:rowOff>19050</xdr:rowOff>
    </xdr:to>
    <xdr:sp macro="" textlink="">
      <xdr:nvSpPr>
        <xdr:cNvPr id="210881" name="Line 102">
          <a:extLst>
            <a:ext uri="{FF2B5EF4-FFF2-40B4-BE49-F238E27FC236}">
              <a16:creationId xmlns:a16="http://schemas.microsoft.com/office/drawing/2014/main" id="{00000000-0008-0000-0800-0000C1370300}"/>
            </a:ext>
          </a:extLst>
        </xdr:cNvPr>
        <xdr:cNvSpPr>
          <a:spLocks noChangeShapeType="1"/>
        </xdr:cNvSpPr>
      </xdr:nvSpPr>
      <xdr:spPr bwMode="auto">
        <a:xfrm>
          <a:off x="3152775" y="20631150"/>
          <a:ext cx="819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109</xdr:row>
      <xdr:rowOff>0</xdr:rowOff>
    </xdr:from>
    <xdr:to>
      <xdr:col>6</xdr:col>
      <xdr:colOff>28575</xdr:colOff>
      <xdr:row>111</xdr:row>
      <xdr:rowOff>9525</xdr:rowOff>
    </xdr:to>
    <xdr:sp macro="" textlink="">
      <xdr:nvSpPr>
        <xdr:cNvPr id="210882" name="Line 103">
          <a:extLst>
            <a:ext uri="{FF2B5EF4-FFF2-40B4-BE49-F238E27FC236}">
              <a16:creationId xmlns:a16="http://schemas.microsoft.com/office/drawing/2014/main" id="{00000000-0008-0000-0800-0000C2370300}"/>
            </a:ext>
          </a:extLst>
        </xdr:cNvPr>
        <xdr:cNvSpPr>
          <a:spLocks noChangeShapeType="1"/>
        </xdr:cNvSpPr>
      </xdr:nvSpPr>
      <xdr:spPr bwMode="auto">
        <a:xfrm flipV="1">
          <a:off x="3162300" y="19173825"/>
          <a:ext cx="1638300"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110</xdr:row>
      <xdr:rowOff>152400</xdr:rowOff>
    </xdr:from>
    <xdr:to>
      <xdr:col>7</xdr:col>
      <xdr:colOff>9525</xdr:colOff>
      <xdr:row>113</xdr:row>
      <xdr:rowOff>9525</xdr:rowOff>
    </xdr:to>
    <xdr:sp macro="" textlink="">
      <xdr:nvSpPr>
        <xdr:cNvPr id="210883" name="Line 104">
          <a:extLst>
            <a:ext uri="{FF2B5EF4-FFF2-40B4-BE49-F238E27FC236}">
              <a16:creationId xmlns:a16="http://schemas.microsoft.com/office/drawing/2014/main" id="{00000000-0008-0000-0800-0000C3370300}"/>
            </a:ext>
          </a:extLst>
        </xdr:cNvPr>
        <xdr:cNvSpPr>
          <a:spLocks noChangeShapeType="1"/>
        </xdr:cNvSpPr>
      </xdr:nvSpPr>
      <xdr:spPr bwMode="auto">
        <a:xfrm flipV="1">
          <a:off x="3981450" y="19488150"/>
          <a:ext cx="1609725" cy="342900"/>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112</xdr:row>
      <xdr:rowOff>19050</xdr:rowOff>
    </xdr:from>
    <xdr:to>
      <xdr:col>7</xdr:col>
      <xdr:colOff>9525</xdr:colOff>
      <xdr:row>114</xdr:row>
      <xdr:rowOff>152400</xdr:rowOff>
    </xdr:to>
    <xdr:sp macro="" textlink="">
      <xdr:nvSpPr>
        <xdr:cNvPr id="210884" name="Line 105">
          <a:extLst>
            <a:ext uri="{FF2B5EF4-FFF2-40B4-BE49-F238E27FC236}">
              <a16:creationId xmlns:a16="http://schemas.microsoft.com/office/drawing/2014/main" id="{00000000-0008-0000-0800-0000C4370300}"/>
            </a:ext>
          </a:extLst>
        </xdr:cNvPr>
        <xdr:cNvSpPr>
          <a:spLocks noChangeShapeType="1"/>
        </xdr:cNvSpPr>
      </xdr:nvSpPr>
      <xdr:spPr bwMode="auto">
        <a:xfrm flipV="1">
          <a:off x="3162300" y="19678650"/>
          <a:ext cx="2428875"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115</xdr:row>
      <xdr:rowOff>0</xdr:rowOff>
    </xdr:from>
    <xdr:to>
      <xdr:col>4</xdr:col>
      <xdr:colOff>800100</xdr:colOff>
      <xdr:row>117</xdr:row>
      <xdr:rowOff>0</xdr:rowOff>
    </xdr:to>
    <xdr:sp macro="" textlink="">
      <xdr:nvSpPr>
        <xdr:cNvPr id="210885" name="Line 106">
          <a:extLst>
            <a:ext uri="{FF2B5EF4-FFF2-40B4-BE49-F238E27FC236}">
              <a16:creationId xmlns:a16="http://schemas.microsoft.com/office/drawing/2014/main" id="{00000000-0008-0000-0800-0000C5370300}"/>
            </a:ext>
          </a:extLst>
        </xdr:cNvPr>
        <xdr:cNvSpPr>
          <a:spLocks noChangeShapeType="1"/>
        </xdr:cNvSpPr>
      </xdr:nvSpPr>
      <xdr:spPr bwMode="auto">
        <a:xfrm>
          <a:off x="3171825" y="20145375"/>
          <a:ext cx="78105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114</xdr:row>
      <xdr:rowOff>9525</xdr:rowOff>
    </xdr:from>
    <xdr:to>
      <xdr:col>8</xdr:col>
      <xdr:colOff>28575</xdr:colOff>
      <xdr:row>116</xdr:row>
      <xdr:rowOff>152400</xdr:rowOff>
    </xdr:to>
    <xdr:sp macro="" textlink="">
      <xdr:nvSpPr>
        <xdr:cNvPr id="210886" name="Line 107">
          <a:extLst>
            <a:ext uri="{FF2B5EF4-FFF2-40B4-BE49-F238E27FC236}">
              <a16:creationId xmlns:a16="http://schemas.microsoft.com/office/drawing/2014/main" id="{00000000-0008-0000-0800-0000C6370300}"/>
            </a:ext>
          </a:extLst>
        </xdr:cNvPr>
        <xdr:cNvSpPr>
          <a:spLocks noChangeShapeType="1"/>
        </xdr:cNvSpPr>
      </xdr:nvSpPr>
      <xdr:spPr bwMode="auto">
        <a:xfrm flipV="1">
          <a:off x="3990975" y="19992975"/>
          <a:ext cx="238125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116</xdr:row>
      <xdr:rowOff>0</xdr:rowOff>
    </xdr:from>
    <xdr:to>
      <xdr:col>4</xdr:col>
      <xdr:colOff>790575</xdr:colOff>
      <xdr:row>118</xdr:row>
      <xdr:rowOff>9525</xdr:rowOff>
    </xdr:to>
    <xdr:sp macro="" textlink="">
      <xdr:nvSpPr>
        <xdr:cNvPr id="210887" name="Line 108">
          <a:extLst>
            <a:ext uri="{FF2B5EF4-FFF2-40B4-BE49-F238E27FC236}">
              <a16:creationId xmlns:a16="http://schemas.microsoft.com/office/drawing/2014/main" id="{00000000-0008-0000-0800-0000C7370300}"/>
            </a:ext>
          </a:extLst>
        </xdr:cNvPr>
        <xdr:cNvSpPr>
          <a:spLocks noChangeShapeType="1"/>
        </xdr:cNvSpPr>
      </xdr:nvSpPr>
      <xdr:spPr bwMode="auto">
        <a:xfrm>
          <a:off x="3152775" y="20307300"/>
          <a:ext cx="790575"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115</xdr:row>
      <xdr:rowOff>9525</xdr:rowOff>
    </xdr:from>
    <xdr:to>
      <xdr:col>7</xdr:col>
      <xdr:colOff>752475</xdr:colOff>
      <xdr:row>117</xdr:row>
      <xdr:rowOff>152400</xdr:rowOff>
    </xdr:to>
    <xdr:sp macro="" textlink="">
      <xdr:nvSpPr>
        <xdr:cNvPr id="210888" name="Line 109">
          <a:extLst>
            <a:ext uri="{FF2B5EF4-FFF2-40B4-BE49-F238E27FC236}">
              <a16:creationId xmlns:a16="http://schemas.microsoft.com/office/drawing/2014/main" id="{00000000-0008-0000-0800-0000C8370300}"/>
            </a:ext>
          </a:extLst>
        </xdr:cNvPr>
        <xdr:cNvSpPr>
          <a:spLocks noChangeShapeType="1"/>
        </xdr:cNvSpPr>
      </xdr:nvSpPr>
      <xdr:spPr bwMode="auto">
        <a:xfrm flipV="1">
          <a:off x="3990975" y="20154900"/>
          <a:ext cx="2343150" cy="46672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117</xdr:row>
      <xdr:rowOff>9525</xdr:rowOff>
    </xdr:from>
    <xdr:to>
      <xdr:col>4</xdr:col>
      <xdr:colOff>800100</xdr:colOff>
      <xdr:row>118</xdr:row>
      <xdr:rowOff>152400</xdr:rowOff>
    </xdr:to>
    <xdr:sp macro="" textlink="">
      <xdr:nvSpPr>
        <xdr:cNvPr id="210889" name="Line 110">
          <a:extLst>
            <a:ext uri="{FF2B5EF4-FFF2-40B4-BE49-F238E27FC236}">
              <a16:creationId xmlns:a16="http://schemas.microsoft.com/office/drawing/2014/main" id="{00000000-0008-0000-0800-0000C9370300}"/>
            </a:ext>
          </a:extLst>
        </xdr:cNvPr>
        <xdr:cNvSpPr>
          <a:spLocks noChangeShapeType="1"/>
        </xdr:cNvSpPr>
      </xdr:nvSpPr>
      <xdr:spPr bwMode="auto">
        <a:xfrm>
          <a:off x="3162300" y="20478750"/>
          <a:ext cx="790575" cy="304800"/>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116</xdr:row>
      <xdr:rowOff>19050</xdr:rowOff>
    </xdr:from>
    <xdr:to>
      <xdr:col>8</xdr:col>
      <xdr:colOff>19050</xdr:colOff>
      <xdr:row>119</xdr:row>
      <xdr:rowOff>0</xdr:rowOff>
    </xdr:to>
    <xdr:sp macro="" textlink="">
      <xdr:nvSpPr>
        <xdr:cNvPr id="210890" name="Line 111">
          <a:extLst>
            <a:ext uri="{FF2B5EF4-FFF2-40B4-BE49-F238E27FC236}">
              <a16:creationId xmlns:a16="http://schemas.microsoft.com/office/drawing/2014/main" id="{00000000-0008-0000-0800-0000CA370300}"/>
            </a:ext>
          </a:extLst>
        </xdr:cNvPr>
        <xdr:cNvSpPr>
          <a:spLocks noChangeShapeType="1"/>
        </xdr:cNvSpPr>
      </xdr:nvSpPr>
      <xdr:spPr bwMode="auto">
        <a:xfrm flipV="1">
          <a:off x="3971925" y="20326350"/>
          <a:ext cx="2390775" cy="466725"/>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219075</xdr:colOff>
      <xdr:row>112</xdr:row>
      <xdr:rowOff>38100</xdr:rowOff>
    </xdr:from>
    <xdr:to>
      <xdr:col>7</xdr:col>
      <xdr:colOff>714375</xdr:colOff>
      <xdr:row>115</xdr:row>
      <xdr:rowOff>114300</xdr:rowOff>
    </xdr:to>
    <xdr:sp macro="" textlink="">
      <xdr:nvSpPr>
        <xdr:cNvPr id="210891" name="Line 112">
          <a:extLst>
            <a:ext uri="{FF2B5EF4-FFF2-40B4-BE49-F238E27FC236}">
              <a16:creationId xmlns:a16="http://schemas.microsoft.com/office/drawing/2014/main" id="{00000000-0008-0000-0800-0000CB370300}"/>
            </a:ext>
          </a:extLst>
        </xdr:cNvPr>
        <xdr:cNvSpPr>
          <a:spLocks noChangeShapeType="1"/>
        </xdr:cNvSpPr>
      </xdr:nvSpPr>
      <xdr:spPr bwMode="auto">
        <a:xfrm flipV="1">
          <a:off x="3371850" y="19697700"/>
          <a:ext cx="2924175" cy="561975"/>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514350</xdr:colOff>
      <xdr:row>112</xdr:row>
      <xdr:rowOff>152400</xdr:rowOff>
    </xdr:from>
    <xdr:to>
      <xdr:col>8</xdr:col>
      <xdr:colOff>38100</xdr:colOff>
      <xdr:row>116</xdr:row>
      <xdr:rowOff>76200</xdr:rowOff>
    </xdr:to>
    <xdr:sp macro="" textlink="">
      <xdr:nvSpPr>
        <xdr:cNvPr id="210892" name="Line 113">
          <a:extLst>
            <a:ext uri="{FF2B5EF4-FFF2-40B4-BE49-F238E27FC236}">
              <a16:creationId xmlns:a16="http://schemas.microsoft.com/office/drawing/2014/main" id="{00000000-0008-0000-0800-0000CC370300}"/>
            </a:ext>
          </a:extLst>
        </xdr:cNvPr>
        <xdr:cNvSpPr>
          <a:spLocks noChangeShapeType="1"/>
        </xdr:cNvSpPr>
      </xdr:nvSpPr>
      <xdr:spPr bwMode="auto">
        <a:xfrm flipV="1">
          <a:off x="3667125" y="19812000"/>
          <a:ext cx="2714625" cy="571500"/>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112</xdr:row>
      <xdr:rowOff>9525</xdr:rowOff>
    </xdr:from>
    <xdr:to>
      <xdr:col>8</xdr:col>
      <xdr:colOff>28575</xdr:colOff>
      <xdr:row>114</xdr:row>
      <xdr:rowOff>0</xdr:rowOff>
    </xdr:to>
    <xdr:sp macro="" textlink="">
      <xdr:nvSpPr>
        <xdr:cNvPr id="210893" name="Line 114">
          <a:extLst>
            <a:ext uri="{FF2B5EF4-FFF2-40B4-BE49-F238E27FC236}">
              <a16:creationId xmlns:a16="http://schemas.microsoft.com/office/drawing/2014/main" id="{00000000-0008-0000-0800-0000CD370300}"/>
            </a:ext>
          </a:extLst>
        </xdr:cNvPr>
        <xdr:cNvSpPr>
          <a:spLocks noChangeShapeType="1"/>
        </xdr:cNvSpPr>
      </xdr:nvSpPr>
      <xdr:spPr bwMode="auto">
        <a:xfrm>
          <a:off x="5581650" y="19669125"/>
          <a:ext cx="79057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120</xdr:row>
      <xdr:rowOff>0</xdr:rowOff>
    </xdr:from>
    <xdr:to>
      <xdr:col>4</xdr:col>
      <xdr:colOff>800100</xdr:colOff>
      <xdr:row>122</xdr:row>
      <xdr:rowOff>9525</xdr:rowOff>
    </xdr:to>
    <xdr:sp macro="" textlink="">
      <xdr:nvSpPr>
        <xdr:cNvPr id="210894" name="Line 115">
          <a:extLst>
            <a:ext uri="{FF2B5EF4-FFF2-40B4-BE49-F238E27FC236}">
              <a16:creationId xmlns:a16="http://schemas.microsoft.com/office/drawing/2014/main" id="{00000000-0008-0000-0800-0000CE370300}"/>
            </a:ext>
          </a:extLst>
        </xdr:cNvPr>
        <xdr:cNvSpPr>
          <a:spLocks noChangeShapeType="1"/>
        </xdr:cNvSpPr>
      </xdr:nvSpPr>
      <xdr:spPr bwMode="auto">
        <a:xfrm>
          <a:off x="3152775" y="20955000"/>
          <a:ext cx="80010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119</xdr:row>
      <xdr:rowOff>0</xdr:rowOff>
    </xdr:from>
    <xdr:to>
      <xdr:col>8</xdr:col>
      <xdr:colOff>28575</xdr:colOff>
      <xdr:row>121</xdr:row>
      <xdr:rowOff>152400</xdr:rowOff>
    </xdr:to>
    <xdr:sp macro="" textlink="">
      <xdr:nvSpPr>
        <xdr:cNvPr id="210895" name="Line 116">
          <a:extLst>
            <a:ext uri="{FF2B5EF4-FFF2-40B4-BE49-F238E27FC236}">
              <a16:creationId xmlns:a16="http://schemas.microsoft.com/office/drawing/2014/main" id="{00000000-0008-0000-0800-0000CF370300}"/>
            </a:ext>
          </a:extLst>
        </xdr:cNvPr>
        <xdr:cNvSpPr>
          <a:spLocks noChangeShapeType="1"/>
        </xdr:cNvSpPr>
      </xdr:nvSpPr>
      <xdr:spPr bwMode="auto">
        <a:xfrm flipV="1">
          <a:off x="3981450" y="20793075"/>
          <a:ext cx="2390775"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800100</xdr:colOff>
      <xdr:row>117</xdr:row>
      <xdr:rowOff>0</xdr:rowOff>
    </xdr:from>
    <xdr:to>
      <xdr:col>8</xdr:col>
      <xdr:colOff>19050</xdr:colOff>
      <xdr:row>120</xdr:row>
      <xdr:rowOff>9525</xdr:rowOff>
    </xdr:to>
    <xdr:sp macro="" textlink="">
      <xdr:nvSpPr>
        <xdr:cNvPr id="210896" name="Line 117">
          <a:extLst>
            <a:ext uri="{FF2B5EF4-FFF2-40B4-BE49-F238E27FC236}">
              <a16:creationId xmlns:a16="http://schemas.microsoft.com/office/drawing/2014/main" id="{00000000-0008-0000-0800-0000D0370300}"/>
            </a:ext>
          </a:extLst>
        </xdr:cNvPr>
        <xdr:cNvSpPr>
          <a:spLocks noChangeShapeType="1"/>
        </xdr:cNvSpPr>
      </xdr:nvSpPr>
      <xdr:spPr bwMode="auto">
        <a:xfrm flipV="1">
          <a:off x="3952875" y="20469225"/>
          <a:ext cx="2409825" cy="495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276225</xdr:colOff>
      <xdr:row>90</xdr:row>
      <xdr:rowOff>47625</xdr:rowOff>
    </xdr:from>
    <xdr:to>
      <xdr:col>7</xdr:col>
      <xdr:colOff>495300</xdr:colOff>
      <xdr:row>91</xdr:row>
      <xdr:rowOff>19050</xdr:rowOff>
    </xdr:to>
    <xdr:sp macro="" textlink="">
      <xdr:nvSpPr>
        <xdr:cNvPr id="210897" name="Oval 118">
          <a:extLst>
            <a:ext uri="{FF2B5EF4-FFF2-40B4-BE49-F238E27FC236}">
              <a16:creationId xmlns:a16="http://schemas.microsoft.com/office/drawing/2014/main" id="{00000000-0008-0000-0800-0000D1370300}"/>
            </a:ext>
          </a:extLst>
        </xdr:cNvPr>
        <xdr:cNvSpPr>
          <a:spLocks noChangeArrowheads="1"/>
        </xdr:cNvSpPr>
      </xdr:nvSpPr>
      <xdr:spPr bwMode="auto">
        <a:xfrm>
          <a:off x="5857875" y="16144875"/>
          <a:ext cx="219075" cy="13335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276225</xdr:colOff>
      <xdr:row>92</xdr:row>
      <xdr:rowOff>28575</xdr:rowOff>
    </xdr:from>
    <xdr:to>
      <xdr:col>7</xdr:col>
      <xdr:colOff>514350</xdr:colOff>
      <xdr:row>93</xdr:row>
      <xdr:rowOff>47625</xdr:rowOff>
    </xdr:to>
    <xdr:sp macro="" textlink="">
      <xdr:nvSpPr>
        <xdr:cNvPr id="210898" name="Oval 119">
          <a:extLst>
            <a:ext uri="{FF2B5EF4-FFF2-40B4-BE49-F238E27FC236}">
              <a16:creationId xmlns:a16="http://schemas.microsoft.com/office/drawing/2014/main" id="{00000000-0008-0000-0800-0000D2370300}"/>
            </a:ext>
          </a:extLst>
        </xdr:cNvPr>
        <xdr:cNvSpPr>
          <a:spLocks noChangeArrowheads="1"/>
        </xdr:cNvSpPr>
      </xdr:nvSpPr>
      <xdr:spPr bwMode="auto">
        <a:xfrm>
          <a:off x="5857875" y="16449675"/>
          <a:ext cx="238125" cy="1809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219075</xdr:colOff>
      <xdr:row>96</xdr:row>
      <xdr:rowOff>38100</xdr:rowOff>
    </xdr:from>
    <xdr:to>
      <xdr:col>7</xdr:col>
      <xdr:colOff>600075</xdr:colOff>
      <xdr:row>98</xdr:row>
      <xdr:rowOff>66675</xdr:rowOff>
    </xdr:to>
    <xdr:sp macro="" textlink="">
      <xdr:nvSpPr>
        <xdr:cNvPr id="210899" name="Oval 120">
          <a:extLst>
            <a:ext uri="{FF2B5EF4-FFF2-40B4-BE49-F238E27FC236}">
              <a16:creationId xmlns:a16="http://schemas.microsoft.com/office/drawing/2014/main" id="{00000000-0008-0000-0800-0000D3370300}"/>
            </a:ext>
          </a:extLst>
        </xdr:cNvPr>
        <xdr:cNvSpPr>
          <a:spLocks noChangeArrowheads="1"/>
        </xdr:cNvSpPr>
      </xdr:nvSpPr>
      <xdr:spPr bwMode="auto">
        <a:xfrm>
          <a:off x="5800725" y="17106900"/>
          <a:ext cx="381000" cy="35242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809625</xdr:colOff>
      <xdr:row>97</xdr:row>
      <xdr:rowOff>19050</xdr:rowOff>
    </xdr:from>
    <xdr:to>
      <xdr:col>4</xdr:col>
      <xdr:colOff>447675</xdr:colOff>
      <xdr:row>98</xdr:row>
      <xdr:rowOff>47625</xdr:rowOff>
    </xdr:to>
    <xdr:sp macro="" textlink="">
      <xdr:nvSpPr>
        <xdr:cNvPr id="210900" name="Oval 121">
          <a:extLst>
            <a:ext uri="{FF2B5EF4-FFF2-40B4-BE49-F238E27FC236}">
              <a16:creationId xmlns:a16="http://schemas.microsoft.com/office/drawing/2014/main" id="{00000000-0008-0000-0800-0000D4370300}"/>
            </a:ext>
          </a:extLst>
        </xdr:cNvPr>
        <xdr:cNvSpPr>
          <a:spLocks noChangeArrowheads="1"/>
        </xdr:cNvSpPr>
      </xdr:nvSpPr>
      <xdr:spPr bwMode="auto">
        <a:xfrm>
          <a:off x="2466975" y="17249775"/>
          <a:ext cx="1133475" cy="1905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xdr:colOff>
      <xdr:row>121</xdr:row>
      <xdr:rowOff>9525</xdr:rowOff>
    </xdr:from>
    <xdr:to>
      <xdr:col>5</xdr:col>
      <xdr:colOff>723900</xdr:colOff>
      <xdr:row>121</xdr:row>
      <xdr:rowOff>142875</xdr:rowOff>
    </xdr:to>
    <xdr:sp macro="" textlink="">
      <xdr:nvSpPr>
        <xdr:cNvPr id="210901" name="AutoShape 122">
          <a:extLst>
            <a:ext uri="{FF2B5EF4-FFF2-40B4-BE49-F238E27FC236}">
              <a16:creationId xmlns:a16="http://schemas.microsoft.com/office/drawing/2014/main" id="{00000000-0008-0000-0800-0000D5370300}"/>
            </a:ext>
          </a:extLst>
        </xdr:cNvPr>
        <xdr:cNvSpPr>
          <a:spLocks noChangeArrowheads="1"/>
        </xdr:cNvSpPr>
      </xdr:nvSpPr>
      <xdr:spPr bwMode="auto">
        <a:xfrm flipV="1">
          <a:off x="3971925" y="2112645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19050</xdr:rowOff>
    </xdr:from>
    <xdr:to>
      <xdr:col>6</xdr:col>
      <xdr:colOff>0</xdr:colOff>
      <xdr:row>120</xdr:row>
      <xdr:rowOff>0</xdr:rowOff>
    </xdr:to>
    <xdr:sp macro="" textlink="">
      <xdr:nvSpPr>
        <xdr:cNvPr id="210902" name="AutoShape 123">
          <a:extLst>
            <a:ext uri="{FF2B5EF4-FFF2-40B4-BE49-F238E27FC236}">
              <a16:creationId xmlns:a16="http://schemas.microsoft.com/office/drawing/2014/main" id="{00000000-0008-0000-0800-0000D6370300}"/>
            </a:ext>
          </a:extLst>
        </xdr:cNvPr>
        <xdr:cNvSpPr>
          <a:spLocks noChangeArrowheads="1"/>
        </xdr:cNvSpPr>
      </xdr:nvSpPr>
      <xdr:spPr bwMode="auto">
        <a:xfrm flipH="1">
          <a:off x="3971925" y="2081212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120</xdr:row>
      <xdr:rowOff>9525</xdr:rowOff>
    </xdr:from>
    <xdr:to>
      <xdr:col>6</xdr:col>
      <xdr:colOff>714375</xdr:colOff>
      <xdr:row>120</xdr:row>
      <xdr:rowOff>142875</xdr:rowOff>
    </xdr:to>
    <xdr:sp macro="" textlink="">
      <xdr:nvSpPr>
        <xdr:cNvPr id="210903" name="AutoShape 124">
          <a:extLst>
            <a:ext uri="{FF2B5EF4-FFF2-40B4-BE49-F238E27FC236}">
              <a16:creationId xmlns:a16="http://schemas.microsoft.com/office/drawing/2014/main" id="{00000000-0008-0000-0800-0000D7370300}"/>
            </a:ext>
          </a:extLst>
        </xdr:cNvPr>
        <xdr:cNvSpPr>
          <a:spLocks noChangeArrowheads="1"/>
        </xdr:cNvSpPr>
      </xdr:nvSpPr>
      <xdr:spPr bwMode="auto">
        <a:xfrm flipV="1">
          <a:off x="4772025" y="20964525"/>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119</xdr:row>
      <xdr:rowOff>9525</xdr:rowOff>
    </xdr:from>
    <xdr:to>
      <xdr:col>7</xdr:col>
      <xdr:colOff>714375</xdr:colOff>
      <xdr:row>119</xdr:row>
      <xdr:rowOff>142875</xdr:rowOff>
    </xdr:to>
    <xdr:sp macro="" textlink="">
      <xdr:nvSpPr>
        <xdr:cNvPr id="210904" name="AutoShape 125">
          <a:extLst>
            <a:ext uri="{FF2B5EF4-FFF2-40B4-BE49-F238E27FC236}">
              <a16:creationId xmlns:a16="http://schemas.microsoft.com/office/drawing/2014/main" id="{00000000-0008-0000-0800-0000D8370300}"/>
            </a:ext>
          </a:extLst>
        </xdr:cNvPr>
        <xdr:cNvSpPr>
          <a:spLocks noChangeArrowheads="1"/>
        </xdr:cNvSpPr>
      </xdr:nvSpPr>
      <xdr:spPr bwMode="auto">
        <a:xfrm flipV="1">
          <a:off x="5581650" y="2080260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xdr:colOff>
      <xdr:row>118</xdr:row>
      <xdr:rowOff>9525</xdr:rowOff>
    </xdr:from>
    <xdr:to>
      <xdr:col>7</xdr:col>
      <xdr:colOff>0</xdr:colOff>
      <xdr:row>119</xdr:row>
      <xdr:rowOff>0</xdr:rowOff>
    </xdr:to>
    <xdr:sp macro="" textlink="">
      <xdr:nvSpPr>
        <xdr:cNvPr id="210905" name="AutoShape 126">
          <a:extLst>
            <a:ext uri="{FF2B5EF4-FFF2-40B4-BE49-F238E27FC236}">
              <a16:creationId xmlns:a16="http://schemas.microsoft.com/office/drawing/2014/main" id="{00000000-0008-0000-0800-0000D9370300}"/>
            </a:ext>
          </a:extLst>
        </xdr:cNvPr>
        <xdr:cNvSpPr>
          <a:spLocks noChangeArrowheads="1"/>
        </xdr:cNvSpPr>
      </xdr:nvSpPr>
      <xdr:spPr bwMode="auto">
        <a:xfrm flipH="1">
          <a:off x="4781550" y="20640675"/>
          <a:ext cx="800100" cy="1524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781050</xdr:colOff>
      <xdr:row>117</xdr:row>
      <xdr:rowOff>19050</xdr:rowOff>
    </xdr:from>
    <xdr:to>
      <xdr:col>8</xdr:col>
      <xdr:colOff>9525</xdr:colOff>
      <xdr:row>118</xdr:row>
      <xdr:rowOff>0</xdr:rowOff>
    </xdr:to>
    <xdr:sp macro="" textlink="">
      <xdr:nvSpPr>
        <xdr:cNvPr id="210906" name="AutoShape 127">
          <a:extLst>
            <a:ext uri="{FF2B5EF4-FFF2-40B4-BE49-F238E27FC236}">
              <a16:creationId xmlns:a16="http://schemas.microsoft.com/office/drawing/2014/main" id="{00000000-0008-0000-0800-0000DA370300}"/>
            </a:ext>
          </a:extLst>
        </xdr:cNvPr>
        <xdr:cNvSpPr>
          <a:spLocks noChangeArrowheads="1"/>
        </xdr:cNvSpPr>
      </xdr:nvSpPr>
      <xdr:spPr bwMode="auto">
        <a:xfrm flipH="1">
          <a:off x="5553075" y="2048827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19050</xdr:colOff>
      <xdr:row>118</xdr:row>
      <xdr:rowOff>19050</xdr:rowOff>
    </xdr:from>
    <xdr:to>
      <xdr:col>4</xdr:col>
      <xdr:colOff>742950</xdr:colOff>
      <xdr:row>120</xdr:row>
      <xdr:rowOff>0</xdr:rowOff>
    </xdr:to>
    <xdr:sp macro="" textlink="">
      <xdr:nvSpPr>
        <xdr:cNvPr id="210907" name="AutoShape 128">
          <a:extLst>
            <a:ext uri="{FF2B5EF4-FFF2-40B4-BE49-F238E27FC236}">
              <a16:creationId xmlns:a16="http://schemas.microsoft.com/office/drawing/2014/main" id="{00000000-0008-0000-0800-0000DB370300}"/>
            </a:ext>
          </a:extLst>
        </xdr:cNvPr>
        <xdr:cNvSpPr>
          <a:spLocks noChangeArrowheads="1"/>
        </xdr:cNvSpPr>
      </xdr:nvSpPr>
      <xdr:spPr bwMode="auto">
        <a:xfrm>
          <a:off x="3171825" y="20650200"/>
          <a:ext cx="723900" cy="3048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119</xdr:row>
      <xdr:rowOff>152400</xdr:rowOff>
    </xdr:from>
    <xdr:to>
      <xdr:col>4</xdr:col>
      <xdr:colOff>800100</xdr:colOff>
      <xdr:row>122</xdr:row>
      <xdr:rowOff>9525</xdr:rowOff>
    </xdr:to>
    <xdr:sp macro="" textlink="">
      <xdr:nvSpPr>
        <xdr:cNvPr id="210908" name="AutoShape 129">
          <a:extLst>
            <a:ext uri="{FF2B5EF4-FFF2-40B4-BE49-F238E27FC236}">
              <a16:creationId xmlns:a16="http://schemas.microsoft.com/office/drawing/2014/main" id="{00000000-0008-0000-0800-0000DC370300}"/>
            </a:ext>
          </a:extLst>
        </xdr:cNvPr>
        <xdr:cNvSpPr>
          <a:spLocks noChangeArrowheads="1"/>
        </xdr:cNvSpPr>
      </xdr:nvSpPr>
      <xdr:spPr bwMode="auto">
        <a:xfrm flipH="1" flipV="1">
          <a:off x="3162300" y="20945475"/>
          <a:ext cx="790575" cy="3429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117</xdr:row>
      <xdr:rowOff>19050</xdr:rowOff>
    </xdr:from>
    <xdr:to>
      <xdr:col>4</xdr:col>
      <xdr:colOff>409575</xdr:colOff>
      <xdr:row>118</xdr:row>
      <xdr:rowOff>0</xdr:rowOff>
    </xdr:to>
    <xdr:sp macro="" textlink="">
      <xdr:nvSpPr>
        <xdr:cNvPr id="210909" name="AutoShape 130" descr="25 %">
          <a:extLst>
            <a:ext uri="{FF2B5EF4-FFF2-40B4-BE49-F238E27FC236}">
              <a16:creationId xmlns:a16="http://schemas.microsoft.com/office/drawing/2014/main" id="{00000000-0008-0000-0800-0000DD370300}"/>
            </a:ext>
          </a:extLst>
        </xdr:cNvPr>
        <xdr:cNvSpPr>
          <a:spLocks noChangeArrowheads="1"/>
        </xdr:cNvSpPr>
      </xdr:nvSpPr>
      <xdr:spPr bwMode="auto">
        <a:xfrm>
          <a:off x="3162300" y="204882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119</xdr:row>
      <xdr:rowOff>9525</xdr:rowOff>
    </xdr:from>
    <xdr:to>
      <xdr:col>4</xdr:col>
      <xdr:colOff>800100</xdr:colOff>
      <xdr:row>120</xdr:row>
      <xdr:rowOff>19050</xdr:rowOff>
    </xdr:to>
    <xdr:sp macro="" textlink="">
      <xdr:nvSpPr>
        <xdr:cNvPr id="210910" name="AutoShape 131" descr="25 %">
          <a:extLst>
            <a:ext uri="{FF2B5EF4-FFF2-40B4-BE49-F238E27FC236}">
              <a16:creationId xmlns:a16="http://schemas.microsoft.com/office/drawing/2014/main" id="{00000000-0008-0000-0800-0000DE370300}"/>
            </a:ext>
          </a:extLst>
        </xdr:cNvPr>
        <xdr:cNvSpPr>
          <a:spLocks noChangeArrowheads="1"/>
        </xdr:cNvSpPr>
      </xdr:nvSpPr>
      <xdr:spPr bwMode="auto">
        <a:xfrm flipH="1" flipV="1">
          <a:off x="3571875" y="2080260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9525</xdr:rowOff>
    </xdr:from>
    <xdr:to>
      <xdr:col>5</xdr:col>
      <xdr:colOff>723900</xdr:colOff>
      <xdr:row>119</xdr:row>
      <xdr:rowOff>142875</xdr:rowOff>
    </xdr:to>
    <xdr:sp macro="" textlink="">
      <xdr:nvSpPr>
        <xdr:cNvPr id="210911" name="AutoShape 132" descr="25 %">
          <a:extLst>
            <a:ext uri="{FF2B5EF4-FFF2-40B4-BE49-F238E27FC236}">
              <a16:creationId xmlns:a16="http://schemas.microsoft.com/office/drawing/2014/main" id="{00000000-0008-0000-0800-0000DF370300}"/>
            </a:ext>
          </a:extLst>
        </xdr:cNvPr>
        <xdr:cNvSpPr>
          <a:spLocks noChangeArrowheads="1"/>
        </xdr:cNvSpPr>
      </xdr:nvSpPr>
      <xdr:spPr bwMode="auto">
        <a:xfrm flipV="1">
          <a:off x="3971925" y="2080260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118</xdr:row>
      <xdr:rowOff>9525</xdr:rowOff>
    </xdr:from>
    <xdr:to>
      <xdr:col>6</xdr:col>
      <xdr:colOff>714375</xdr:colOff>
      <xdr:row>118</xdr:row>
      <xdr:rowOff>142875</xdr:rowOff>
    </xdr:to>
    <xdr:sp macro="" textlink="">
      <xdr:nvSpPr>
        <xdr:cNvPr id="210912" name="AutoShape 133" descr="25 %">
          <a:extLst>
            <a:ext uri="{FF2B5EF4-FFF2-40B4-BE49-F238E27FC236}">
              <a16:creationId xmlns:a16="http://schemas.microsoft.com/office/drawing/2014/main" id="{00000000-0008-0000-0800-0000E0370300}"/>
            </a:ext>
          </a:extLst>
        </xdr:cNvPr>
        <xdr:cNvSpPr>
          <a:spLocks noChangeArrowheads="1"/>
        </xdr:cNvSpPr>
      </xdr:nvSpPr>
      <xdr:spPr bwMode="auto">
        <a:xfrm flipV="1">
          <a:off x="47720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9525</xdr:colOff>
      <xdr:row>117</xdr:row>
      <xdr:rowOff>9525</xdr:rowOff>
    </xdr:from>
    <xdr:to>
      <xdr:col>7</xdr:col>
      <xdr:colOff>723900</xdr:colOff>
      <xdr:row>117</xdr:row>
      <xdr:rowOff>142875</xdr:rowOff>
    </xdr:to>
    <xdr:sp macro="" textlink="">
      <xdr:nvSpPr>
        <xdr:cNvPr id="210913" name="AutoShape 134" descr="25 %">
          <a:extLst>
            <a:ext uri="{FF2B5EF4-FFF2-40B4-BE49-F238E27FC236}">
              <a16:creationId xmlns:a16="http://schemas.microsoft.com/office/drawing/2014/main" id="{00000000-0008-0000-0800-0000E1370300}"/>
            </a:ext>
          </a:extLst>
        </xdr:cNvPr>
        <xdr:cNvSpPr>
          <a:spLocks noChangeArrowheads="1"/>
        </xdr:cNvSpPr>
      </xdr:nvSpPr>
      <xdr:spPr bwMode="auto">
        <a:xfrm flipV="1">
          <a:off x="559117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118</xdr:row>
      <xdr:rowOff>19050</xdr:rowOff>
    </xdr:from>
    <xdr:to>
      <xdr:col>5</xdr:col>
      <xdr:colOff>800100</xdr:colOff>
      <xdr:row>119</xdr:row>
      <xdr:rowOff>0</xdr:rowOff>
    </xdr:to>
    <xdr:sp macro="" textlink="">
      <xdr:nvSpPr>
        <xdr:cNvPr id="210914" name="AutoShape 135" descr="25 %">
          <a:extLst>
            <a:ext uri="{FF2B5EF4-FFF2-40B4-BE49-F238E27FC236}">
              <a16:creationId xmlns:a16="http://schemas.microsoft.com/office/drawing/2014/main" id="{00000000-0008-0000-0800-0000E2370300}"/>
            </a:ext>
          </a:extLst>
        </xdr:cNvPr>
        <xdr:cNvSpPr>
          <a:spLocks noChangeArrowheads="1"/>
        </xdr:cNvSpPr>
      </xdr:nvSpPr>
      <xdr:spPr bwMode="auto">
        <a:xfrm rot="10739695" flipV="1">
          <a:off x="4048125" y="206502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117</xdr:row>
      <xdr:rowOff>28575</xdr:rowOff>
    </xdr:from>
    <xdr:to>
      <xdr:col>6</xdr:col>
      <xdr:colOff>800100</xdr:colOff>
      <xdr:row>117</xdr:row>
      <xdr:rowOff>152400</xdr:rowOff>
    </xdr:to>
    <xdr:sp macro="" textlink="">
      <xdr:nvSpPr>
        <xdr:cNvPr id="210915" name="AutoShape 136" descr="25 %">
          <a:extLst>
            <a:ext uri="{FF2B5EF4-FFF2-40B4-BE49-F238E27FC236}">
              <a16:creationId xmlns:a16="http://schemas.microsoft.com/office/drawing/2014/main" id="{00000000-0008-0000-0800-0000E3370300}"/>
            </a:ext>
          </a:extLst>
        </xdr:cNvPr>
        <xdr:cNvSpPr>
          <a:spLocks noChangeArrowheads="1"/>
        </xdr:cNvSpPr>
      </xdr:nvSpPr>
      <xdr:spPr bwMode="auto">
        <a:xfrm rot="10739695" flipV="1">
          <a:off x="4867275" y="20497800"/>
          <a:ext cx="704850"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47625</xdr:colOff>
      <xdr:row>116</xdr:row>
      <xdr:rowOff>38100</xdr:rowOff>
    </xdr:from>
    <xdr:to>
      <xdr:col>7</xdr:col>
      <xdr:colOff>742950</xdr:colOff>
      <xdr:row>117</xdr:row>
      <xdr:rowOff>0</xdr:rowOff>
    </xdr:to>
    <xdr:sp macro="" textlink="">
      <xdr:nvSpPr>
        <xdr:cNvPr id="210916" name="AutoShape 137" descr="25 %">
          <a:extLst>
            <a:ext uri="{FF2B5EF4-FFF2-40B4-BE49-F238E27FC236}">
              <a16:creationId xmlns:a16="http://schemas.microsoft.com/office/drawing/2014/main" id="{00000000-0008-0000-0800-0000E4370300}"/>
            </a:ext>
          </a:extLst>
        </xdr:cNvPr>
        <xdr:cNvSpPr>
          <a:spLocks noChangeArrowheads="1"/>
        </xdr:cNvSpPr>
      </xdr:nvSpPr>
      <xdr:spPr bwMode="auto">
        <a:xfrm rot="10739695" flipV="1">
          <a:off x="5629275" y="20345400"/>
          <a:ext cx="695325"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117</xdr:row>
      <xdr:rowOff>9525</xdr:rowOff>
    </xdr:from>
    <xdr:to>
      <xdr:col>5</xdr:col>
      <xdr:colOff>800100</xdr:colOff>
      <xdr:row>117</xdr:row>
      <xdr:rowOff>152400</xdr:rowOff>
    </xdr:to>
    <xdr:sp macro="" textlink="">
      <xdr:nvSpPr>
        <xdr:cNvPr id="210917" name="AutoShape 138" descr="25 %">
          <a:extLst>
            <a:ext uri="{FF2B5EF4-FFF2-40B4-BE49-F238E27FC236}">
              <a16:creationId xmlns:a16="http://schemas.microsoft.com/office/drawing/2014/main" id="{00000000-0008-0000-0800-0000E5370300}"/>
            </a:ext>
          </a:extLst>
        </xdr:cNvPr>
        <xdr:cNvSpPr>
          <a:spLocks noChangeArrowheads="1"/>
        </xdr:cNvSpPr>
      </xdr:nvSpPr>
      <xdr:spPr bwMode="auto">
        <a:xfrm rot="10739695" flipV="1">
          <a:off x="4048125" y="2047875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66675</xdr:colOff>
      <xdr:row>116</xdr:row>
      <xdr:rowOff>0</xdr:rowOff>
    </xdr:from>
    <xdr:to>
      <xdr:col>6</xdr:col>
      <xdr:colOff>800100</xdr:colOff>
      <xdr:row>116</xdr:row>
      <xdr:rowOff>152400</xdr:rowOff>
    </xdr:to>
    <xdr:sp macro="" textlink="">
      <xdr:nvSpPr>
        <xdr:cNvPr id="210918" name="AutoShape 139" descr="25 %">
          <a:extLst>
            <a:ext uri="{FF2B5EF4-FFF2-40B4-BE49-F238E27FC236}">
              <a16:creationId xmlns:a16="http://schemas.microsoft.com/office/drawing/2014/main" id="{00000000-0008-0000-0800-0000E6370300}"/>
            </a:ext>
          </a:extLst>
        </xdr:cNvPr>
        <xdr:cNvSpPr>
          <a:spLocks noChangeArrowheads="1"/>
        </xdr:cNvSpPr>
      </xdr:nvSpPr>
      <xdr:spPr bwMode="auto">
        <a:xfrm rot="10739695" flipV="1">
          <a:off x="4838700" y="20307300"/>
          <a:ext cx="73342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38100</xdr:colOff>
      <xdr:row>115</xdr:row>
      <xdr:rowOff>9525</xdr:rowOff>
    </xdr:from>
    <xdr:to>
      <xdr:col>7</xdr:col>
      <xdr:colOff>752475</xdr:colOff>
      <xdr:row>115</xdr:row>
      <xdr:rowOff>152400</xdr:rowOff>
    </xdr:to>
    <xdr:sp macro="" textlink="">
      <xdr:nvSpPr>
        <xdr:cNvPr id="210919" name="AutoShape 140" descr="25 %">
          <a:extLst>
            <a:ext uri="{FF2B5EF4-FFF2-40B4-BE49-F238E27FC236}">
              <a16:creationId xmlns:a16="http://schemas.microsoft.com/office/drawing/2014/main" id="{00000000-0008-0000-0800-0000E7370300}"/>
            </a:ext>
          </a:extLst>
        </xdr:cNvPr>
        <xdr:cNvSpPr>
          <a:spLocks noChangeArrowheads="1"/>
        </xdr:cNvSpPr>
      </xdr:nvSpPr>
      <xdr:spPr bwMode="auto">
        <a:xfrm rot="10739695" flipV="1">
          <a:off x="5619750"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118</xdr:row>
      <xdr:rowOff>9525</xdr:rowOff>
    </xdr:from>
    <xdr:to>
      <xdr:col>5</xdr:col>
      <xdr:colOff>723900</xdr:colOff>
      <xdr:row>118</xdr:row>
      <xdr:rowOff>142875</xdr:rowOff>
    </xdr:to>
    <xdr:sp macro="" textlink="">
      <xdr:nvSpPr>
        <xdr:cNvPr id="210920" name="AutoShape 141" descr="25 %">
          <a:extLst>
            <a:ext uri="{FF2B5EF4-FFF2-40B4-BE49-F238E27FC236}">
              <a16:creationId xmlns:a16="http://schemas.microsoft.com/office/drawing/2014/main" id="{00000000-0008-0000-0800-0000E8370300}"/>
            </a:ext>
          </a:extLst>
        </xdr:cNvPr>
        <xdr:cNvSpPr>
          <a:spLocks noChangeArrowheads="1"/>
        </xdr:cNvSpPr>
      </xdr:nvSpPr>
      <xdr:spPr bwMode="auto">
        <a:xfrm flipV="1">
          <a:off x="39719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117</xdr:row>
      <xdr:rowOff>0</xdr:rowOff>
    </xdr:from>
    <xdr:to>
      <xdr:col>6</xdr:col>
      <xdr:colOff>714375</xdr:colOff>
      <xdr:row>117</xdr:row>
      <xdr:rowOff>152400</xdr:rowOff>
    </xdr:to>
    <xdr:sp macro="" textlink="">
      <xdr:nvSpPr>
        <xdr:cNvPr id="210921" name="AutoShape 142" descr="25 %">
          <a:extLst>
            <a:ext uri="{FF2B5EF4-FFF2-40B4-BE49-F238E27FC236}">
              <a16:creationId xmlns:a16="http://schemas.microsoft.com/office/drawing/2014/main" id="{00000000-0008-0000-0800-0000E9370300}"/>
            </a:ext>
          </a:extLst>
        </xdr:cNvPr>
        <xdr:cNvSpPr>
          <a:spLocks noChangeArrowheads="1"/>
        </xdr:cNvSpPr>
      </xdr:nvSpPr>
      <xdr:spPr bwMode="auto">
        <a:xfrm flipV="1">
          <a:off x="4772025" y="20469225"/>
          <a:ext cx="71437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116</xdr:row>
      <xdr:rowOff>9525</xdr:rowOff>
    </xdr:from>
    <xdr:to>
      <xdr:col>7</xdr:col>
      <xdr:colOff>714375</xdr:colOff>
      <xdr:row>116</xdr:row>
      <xdr:rowOff>142875</xdr:rowOff>
    </xdr:to>
    <xdr:sp macro="" textlink="">
      <xdr:nvSpPr>
        <xdr:cNvPr id="210922" name="AutoShape 143" descr="25 %">
          <a:extLst>
            <a:ext uri="{FF2B5EF4-FFF2-40B4-BE49-F238E27FC236}">
              <a16:creationId xmlns:a16="http://schemas.microsoft.com/office/drawing/2014/main" id="{00000000-0008-0000-0800-0000EA370300}"/>
            </a:ext>
          </a:extLst>
        </xdr:cNvPr>
        <xdr:cNvSpPr>
          <a:spLocks noChangeArrowheads="1"/>
        </xdr:cNvSpPr>
      </xdr:nvSpPr>
      <xdr:spPr bwMode="auto">
        <a:xfrm flipV="1">
          <a:off x="5581650"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118</xdr:row>
      <xdr:rowOff>9525</xdr:rowOff>
    </xdr:from>
    <xdr:to>
      <xdr:col>4</xdr:col>
      <xdr:colOff>790575</xdr:colOff>
      <xdr:row>118</xdr:row>
      <xdr:rowOff>123825</xdr:rowOff>
    </xdr:to>
    <xdr:sp macro="" textlink="">
      <xdr:nvSpPr>
        <xdr:cNvPr id="210923" name="AutoShape 144" descr="25 %">
          <a:extLst>
            <a:ext uri="{FF2B5EF4-FFF2-40B4-BE49-F238E27FC236}">
              <a16:creationId xmlns:a16="http://schemas.microsoft.com/office/drawing/2014/main" id="{00000000-0008-0000-0800-0000EB370300}"/>
            </a:ext>
          </a:extLst>
        </xdr:cNvPr>
        <xdr:cNvSpPr>
          <a:spLocks noChangeArrowheads="1"/>
        </xdr:cNvSpPr>
      </xdr:nvSpPr>
      <xdr:spPr bwMode="auto">
        <a:xfrm flipH="1" flipV="1">
          <a:off x="3562350" y="20640675"/>
          <a:ext cx="381000" cy="11430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117</xdr:row>
      <xdr:rowOff>9525</xdr:rowOff>
    </xdr:from>
    <xdr:to>
      <xdr:col>4</xdr:col>
      <xdr:colOff>800100</xdr:colOff>
      <xdr:row>118</xdr:row>
      <xdr:rowOff>19050</xdr:rowOff>
    </xdr:to>
    <xdr:sp macro="" textlink="">
      <xdr:nvSpPr>
        <xdr:cNvPr id="210924" name="AutoShape 145" descr="25 %">
          <a:extLst>
            <a:ext uri="{FF2B5EF4-FFF2-40B4-BE49-F238E27FC236}">
              <a16:creationId xmlns:a16="http://schemas.microsoft.com/office/drawing/2014/main" id="{00000000-0008-0000-0800-0000EC370300}"/>
            </a:ext>
          </a:extLst>
        </xdr:cNvPr>
        <xdr:cNvSpPr>
          <a:spLocks noChangeArrowheads="1"/>
        </xdr:cNvSpPr>
      </xdr:nvSpPr>
      <xdr:spPr bwMode="auto">
        <a:xfrm flipH="1" flipV="1">
          <a:off x="3571875" y="2047875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116</xdr:row>
      <xdr:rowOff>19050</xdr:rowOff>
    </xdr:from>
    <xdr:to>
      <xdr:col>4</xdr:col>
      <xdr:colOff>409575</xdr:colOff>
      <xdr:row>117</xdr:row>
      <xdr:rowOff>0</xdr:rowOff>
    </xdr:to>
    <xdr:sp macro="" textlink="">
      <xdr:nvSpPr>
        <xdr:cNvPr id="210925" name="AutoShape 146" descr="25 %">
          <a:extLst>
            <a:ext uri="{FF2B5EF4-FFF2-40B4-BE49-F238E27FC236}">
              <a16:creationId xmlns:a16="http://schemas.microsoft.com/office/drawing/2014/main" id="{00000000-0008-0000-0800-0000ED370300}"/>
            </a:ext>
          </a:extLst>
        </xdr:cNvPr>
        <xdr:cNvSpPr>
          <a:spLocks noChangeArrowheads="1"/>
        </xdr:cNvSpPr>
      </xdr:nvSpPr>
      <xdr:spPr bwMode="auto">
        <a:xfrm>
          <a:off x="316230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371475</xdr:colOff>
      <xdr:row>118</xdr:row>
      <xdr:rowOff>9525</xdr:rowOff>
    </xdr:from>
    <xdr:to>
      <xdr:col>4</xdr:col>
      <xdr:colOff>771525</xdr:colOff>
      <xdr:row>118</xdr:row>
      <xdr:rowOff>152400</xdr:rowOff>
    </xdr:to>
    <xdr:sp macro="" textlink="">
      <xdr:nvSpPr>
        <xdr:cNvPr id="210926" name="AutoShape 147" descr="25 %">
          <a:extLst>
            <a:ext uri="{FF2B5EF4-FFF2-40B4-BE49-F238E27FC236}">
              <a16:creationId xmlns:a16="http://schemas.microsoft.com/office/drawing/2014/main" id="{00000000-0008-0000-0800-0000EE370300}"/>
            </a:ext>
          </a:extLst>
        </xdr:cNvPr>
        <xdr:cNvSpPr>
          <a:spLocks noChangeArrowheads="1"/>
        </xdr:cNvSpPr>
      </xdr:nvSpPr>
      <xdr:spPr bwMode="auto">
        <a:xfrm>
          <a:off x="3524250" y="206406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115</xdr:row>
      <xdr:rowOff>19050</xdr:rowOff>
    </xdr:from>
    <xdr:to>
      <xdr:col>4</xdr:col>
      <xdr:colOff>409575</xdr:colOff>
      <xdr:row>116</xdr:row>
      <xdr:rowOff>0</xdr:rowOff>
    </xdr:to>
    <xdr:sp macro="" textlink="">
      <xdr:nvSpPr>
        <xdr:cNvPr id="210927" name="AutoShape 148" descr="25 %">
          <a:extLst>
            <a:ext uri="{FF2B5EF4-FFF2-40B4-BE49-F238E27FC236}">
              <a16:creationId xmlns:a16="http://schemas.microsoft.com/office/drawing/2014/main" id="{00000000-0008-0000-0800-0000EF370300}"/>
            </a:ext>
          </a:extLst>
        </xdr:cNvPr>
        <xdr:cNvSpPr>
          <a:spLocks noChangeArrowheads="1"/>
        </xdr:cNvSpPr>
      </xdr:nvSpPr>
      <xdr:spPr bwMode="auto">
        <a:xfrm>
          <a:off x="3162300" y="2016442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390525</xdr:colOff>
      <xdr:row>117</xdr:row>
      <xdr:rowOff>38100</xdr:rowOff>
    </xdr:from>
    <xdr:to>
      <xdr:col>4</xdr:col>
      <xdr:colOff>790575</xdr:colOff>
      <xdr:row>118</xdr:row>
      <xdr:rowOff>0</xdr:rowOff>
    </xdr:to>
    <xdr:sp macro="" textlink="">
      <xdr:nvSpPr>
        <xdr:cNvPr id="210928" name="AutoShape 149" descr="25 %">
          <a:extLst>
            <a:ext uri="{FF2B5EF4-FFF2-40B4-BE49-F238E27FC236}">
              <a16:creationId xmlns:a16="http://schemas.microsoft.com/office/drawing/2014/main" id="{00000000-0008-0000-0800-0000F0370300}"/>
            </a:ext>
          </a:extLst>
        </xdr:cNvPr>
        <xdr:cNvSpPr>
          <a:spLocks noChangeArrowheads="1"/>
        </xdr:cNvSpPr>
      </xdr:nvSpPr>
      <xdr:spPr bwMode="auto">
        <a:xfrm>
          <a:off x="3543300" y="20507325"/>
          <a:ext cx="400050" cy="12382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116</xdr:row>
      <xdr:rowOff>19050</xdr:rowOff>
    </xdr:from>
    <xdr:to>
      <xdr:col>5</xdr:col>
      <xdr:colOff>0</xdr:colOff>
      <xdr:row>117</xdr:row>
      <xdr:rowOff>0</xdr:rowOff>
    </xdr:to>
    <xdr:sp macro="" textlink="">
      <xdr:nvSpPr>
        <xdr:cNvPr id="210929" name="AutoShape 150" descr="25 %">
          <a:extLst>
            <a:ext uri="{FF2B5EF4-FFF2-40B4-BE49-F238E27FC236}">
              <a16:creationId xmlns:a16="http://schemas.microsoft.com/office/drawing/2014/main" id="{00000000-0008-0000-0800-0000F1370300}"/>
            </a:ext>
          </a:extLst>
        </xdr:cNvPr>
        <xdr:cNvSpPr>
          <a:spLocks noChangeArrowheads="1"/>
        </xdr:cNvSpPr>
      </xdr:nvSpPr>
      <xdr:spPr bwMode="auto">
        <a:xfrm>
          <a:off x="356235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28575</xdr:colOff>
      <xdr:row>118</xdr:row>
      <xdr:rowOff>0</xdr:rowOff>
    </xdr:from>
    <xdr:to>
      <xdr:col>4</xdr:col>
      <xdr:colOff>371475</xdr:colOff>
      <xdr:row>118</xdr:row>
      <xdr:rowOff>142875</xdr:rowOff>
    </xdr:to>
    <xdr:sp macro="" textlink="">
      <xdr:nvSpPr>
        <xdr:cNvPr id="210930" name="AutoShape 151" descr="25 %">
          <a:extLst>
            <a:ext uri="{FF2B5EF4-FFF2-40B4-BE49-F238E27FC236}">
              <a16:creationId xmlns:a16="http://schemas.microsoft.com/office/drawing/2014/main" id="{00000000-0008-0000-0800-0000F2370300}"/>
            </a:ext>
          </a:extLst>
        </xdr:cNvPr>
        <xdr:cNvSpPr>
          <a:spLocks noChangeArrowheads="1"/>
        </xdr:cNvSpPr>
      </xdr:nvSpPr>
      <xdr:spPr bwMode="auto">
        <a:xfrm flipH="1" flipV="1">
          <a:off x="3181350" y="206311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66675</xdr:colOff>
      <xdr:row>117</xdr:row>
      <xdr:rowOff>9525</xdr:rowOff>
    </xdr:from>
    <xdr:to>
      <xdr:col>4</xdr:col>
      <xdr:colOff>409575</xdr:colOff>
      <xdr:row>117</xdr:row>
      <xdr:rowOff>152400</xdr:rowOff>
    </xdr:to>
    <xdr:sp macro="" textlink="">
      <xdr:nvSpPr>
        <xdr:cNvPr id="210931" name="AutoShape 152" descr="25 %">
          <a:extLst>
            <a:ext uri="{FF2B5EF4-FFF2-40B4-BE49-F238E27FC236}">
              <a16:creationId xmlns:a16="http://schemas.microsoft.com/office/drawing/2014/main" id="{00000000-0008-0000-0800-0000F3370300}"/>
            </a:ext>
          </a:extLst>
        </xdr:cNvPr>
        <xdr:cNvSpPr>
          <a:spLocks noChangeArrowheads="1"/>
        </xdr:cNvSpPr>
      </xdr:nvSpPr>
      <xdr:spPr bwMode="auto">
        <a:xfrm flipH="1" flipV="1">
          <a:off x="3219450" y="204787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76200</xdr:colOff>
      <xdr:row>116</xdr:row>
      <xdr:rowOff>9525</xdr:rowOff>
    </xdr:from>
    <xdr:to>
      <xdr:col>4</xdr:col>
      <xdr:colOff>419100</xdr:colOff>
      <xdr:row>116</xdr:row>
      <xdr:rowOff>152400</xdr:rowOff>
    </xdr:to>
    <xdr:sp macro="" textlink="">
      <xdr:nvSpPr>
        <xdr:cNvPr id="210932" name="AutoShape 153" descr="25 %">
          <a:extLst>
            <a:ext uri="{FF2B5EF4-FFF2-40B4-BE49-F238E27FC236}">
              <a16:creationId xmlns:a16="http://schemas.microsoft.com/office/drawing/2014/main" id="{00000000-0008-0000-0800-0000F4370300}"/>
            </a:ext>
          </a:extLst>
        </xdr:cNvPr>
        <xdr:cNvSpPr>
          <a:spLocks noChangeArrowheads="1"/>
        </xdr:cNvSpPr>
      </xdr:nvSpPr>
      <xdr:spPr bwMode="auto">
        <a:xfrm flipH="1" flipV="1">
          <a:off x="3228975" y="20316825"/>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19050</xdr:colOff>
      <xdr:row>116</xdr:row>
      <xdr:rowOff>9525</xdr:rowOff>
    </xdr:from>
    <xdr:to>
      <xdr:col>6</xdr:col>
      <xdr:colOff>733425</xdr:colOff>
      <xdr:row>116</xdr:row>
      <xdr:rowOff>142875</xdr:rowOff>
    </xdr:to>
    <xdr:sp macro="" textlink="">
      <xdr:nvSpPr>
        <xdr:cNvPr id="210933" name="AutoShape 154" descr="25 %">
          <a:extLst>
            <a:ext uri="{FF2B5EF4-FFF2-40B4-BE49-F238E27FC236}">
              <a16:creationId xmlns:a16="http://schemas.microsoft.com/office/drawing/2014/main" id="{00000000-0008-0000-0800-0000F5370300}"/>
            </a:ext>
          </a:extLst>
        </xdr:cNvPr>
        <xdr:cNvSpPr>
          <a:spLocks noChangeArrowheads="1"/>
        </xdr:cNvSpPr>
      </xdr:nvSpPr>
      <xdr:spPr bwMode="auto">
        <a:xfrm flipV="1">
          <a:off x="4791075"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117</xdr:row>
      <xdr:rowOff>9525</xdr:rowOff>
    </xdr:from>
    <xdr:to>
      <xdr:col>5</xdr:col>
      <xdr:colOff>723900</xdr:colOff>
      <xdr:row>117</xdr:row>
      <xdr:rowOff>142875</xdr:rowOff>
    </xdr:to>
    <xdr:sp macro="" textlink="">
      <xdr:nvSpPr>
        <xdr:cNvPr id="210934" name="AutoShape 155" descr="25 %">
          <a:extLst>
            <a:ext uri="{FF2B5EF4-FFF2-40B4-BE49-F238E27FC236}">
              <a16:creationId xmlns:a16="http://schemas.microsoft.com/office/drawing/2014/main" id="{00000000-0008-0000-0800-0000F6370300}"/>
            </a:ext>
          </a:extLst>
        </xdr:cNvPr>
        <xdr:cNvSpPr>
          <a:spLocks noChangeArrowheads="1"/>
        </xdr:cNvSpPr>
      </xdr:nvSpPr>
      <xdr:spPr bwMode="auto">
        <a:xfrm flipV="1">
          <a:off x="397192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19050</xdr:colOff>
      <xdr:row>115</xdr:row>
      <xdr:rowOff>0</xdr:rowOff>
    </xdr:from>
    <xdr:to>
      <xdr:col>7</xdr:col>
      <xdr:colOff>733425</xdr:colOff>
      <xdr:row>115</xdr:row>
      <xdr:rowOff>133350</xdr:rowOff>
    </xdr:to>
    <xdr:sp macro="" textlink="">
      <xdr:nvSpPr>
        <xdr:cNvPr id="210935" name="AutoShape 156" descr="25 %">
          <a:extLst>
            <a:ext uri="{FF2B5EF4-FFF2-40B4-BE49-F238E27FC236}">
              <a16:creationId xmlns:a16="http://schemas.microsoft.com/office/drawing/2014/main" id="{00000000-0008-0000-0800-0000F7370300}"/>
            </a:ext>
          </a:extLst>
        </xdr:cNvPr>
        <xdr:cNvSpPr>
          <a:spLocks noChangeArrowheads="1"/>
        </xdr:cNvSpPr>
      </xdr:nvSpPr>
      <xdr:spPr bwMode="auto">
        <a:xfrm flipV="1">
          <a:off x="5600700" y="201453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76200</xdr:colOff>
      <xdr:row>116</xdr:row>
      <xdr:rowOff>9525</xdr:rowOff>
    </xdr:from>
    <xdr:to>
      <xdr:col>5</xdr:col>
      <xdr:colOff>790575</xdr:colOff>
      <xdr:row>116</xdr:row>
      <xdr:rowOff>152400</xdr:rowOff>
    </xdr:to>
    <xdr:sp macro="" textlink="">
      <xdr:nvSpPr>
        <xdr:cNvPr id="210936" name="AutoShape 157" descr="25 %">
          <a:extLst>
            <a:ext uri="{FF2B5EF4-FFF2-40B4-BE49-F238E27FC236}">
              <a16:creationId xmlns:a16="http://schemas.microsoft.com/office/drawing/2014/main" id="{00000000-0008-0000-0800-0000F8370300}"/>
            </a:ext>
          </a:extLst>
        </xdr:cNvPr>
        <xdr:cNvSpPr>
          <a:spLocks noChangeArrowheads="1"/>
        </xdr:cNvSpPr>
      </xdr:nvSpPr>
      <xdr:spPr bwMode="auto">
        <a:xfrm rot="10739695" flipV="1">
          <a:off x="4038600" y="20316825"/>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115</xdr:row>
      <xdr:rowOff>9525</xdr:rowOff>
    </xdr:from>
    <xdr:to>
      <xdr:col>7</xdr:col>
      <xdr:colOff>0</xdr:colOff>
      <xdr:row>115</xdr:row>
      <xdr:rowOff>152400</xdr:rowOff>
    </xdr:to>
    <xdr:sp macro="" textlink="">
      <xdr:nvSpPr>
        <xdr:cNvPr id="210937" name="AutoShape 158" descr="25 %">
          <a:extLst>
            <a:ext uri="{FF2B5EF4-FFF2-40B4-BE49-F238E27FC236}">
              <a16:creationId xmlns:a16="http://schemas.microsoft.com/office/drawing/2014/main" id="{00000000-0008-0000-0800-0000F9370300}"/>
            </a:ext>
          </a:extLst>
        </xdr:cNvPr>
        <xdr:cNvSpPr>
          <a:spLocks noChangeArrowheads="1"/>
        </xdr:cNvSpPr>
      </xdr:nvSpPr>
      <xdr:spPr bwMode="auto">
        <a:xfrm rot="10739695" flipV="1">
          <a:off x="4867275"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142875</xdr:colOff>
      <xdr:row>114</xdr:row>
      <xdr:rowOff>38100</xdr:rowOff>
    </xdr:from>
    <xdr:to>
      <xdr:col>8</xdr:col>
      <xdr:colOff>0</xdr:colOff>
      <xdr:row>114</xdr:row>
      <xdr:rowOff>142875</xdr:rowOff>
    </xdr:to>
    <xdr:sp macro="" textlink="">
      <xdr:nvSpPr>
        <xdr:cNvPr id="210938" name="AutoShape 159" descr="25 %">
          <a:extLst>
            <a:ext uri="{FF2B5EF4-FFF2-40B4-BE49-F238E27FC236}">
              <a16:creationId xmlns:a16="http://schemas.microsoft.com/office/drawing/2014/main" id="{00000000-0008-0000-0800-0000FA370300}"/>
            </a:ext>
          </a:extLst>
        </xdr:cNvPr>
        <xdr:cNvSpPr>
          <a:spLocks noChangeArrowheads="1"/>
        </xdr:cNvSpPr>
      </xdr:nvSpPr>
      <xdr:spPr bwMode="auto">
        <a:xfrm rot="10739695" flipV="1">
          <a:off x="5724525" y="20021550"/>
          <a:ext cx="619125" cy="1047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781050</xdr:colOff>
      <xdr:row>112</xdr:row>
      <xdr:rowOff>85725</xdr:rowOff>
    </xdr:from>
    <xdr:to>
      <xdr:col>6</xdr:col>
      <xdr:colOff>800100</xdr:colOff>
      <xdr:row>113</xdr:row>
      <xdr:rowOff>66675</xdr:rowOff>
    </xdr:to>
    <xdr:sp macro="" textlink="">
      <xdr:nvSpPr>
        <xdr:cNvPr id="210939" name="AutoShape 160">
          <a:extLst>
            <a:ext uri="{FF2B5EF4-FFF2-40B4-BE49-F238E27FC236}">
              <a16:creationId xmlns:a16="http://schemas.microsoft.com/office/drawing/2014/main" id="{00000000-0008-0000-0800-0000FB370300}"/>
            </a:ext>
          </a:extLst>
        </xdr:cNvPr>
        <xdr:cNvSpPr>
          <a:spLocks noChangeArrowheads="1"/>
        </xdr:cNvSpPr>
      </xdr:nvSpPr>
      <xdr:spPr bwMode="auto">
        <a:xfrm rot="-725685">
          <a:off x="4743450" y="19745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581025</xdr:colOff>
      <xdr:row>113</xdr:row>
      <xdr:rowOff>123825</xdr:rowOff>
    </xdr:from>
    <xdr:to>
      <xdr:col>7</xdr:col>
      <xdr:colOff>600075</xdr:colOff>
      <xdr:row>114</xdr:row>
      <xdr:rowOff>104775</xdr:rowOff>
    </xdr:to>
    <xdr:sp macro="" textlink="">
      <xdr:nvSpPr>
        <xdr:cNvPr id="210940" name="AutoShape 161">
          <a:extLst>
            <a:ext uri="{FF2B5EF4-FFF2-40B4-BE49-F238E27FC236}">
              <a16:creationId xmlns:a16="http://schemas.microsoft.com/office/drawing/2014/main" id="{00000000-0008-0000-0800-0000FC370300}"/>
            </a:ext>
          </a:extLst>
        </xdr:cNvPr>
        <xdr:cNvSpPr>
          <a:spLocks noChangeArrowheads="1"/>
        </xdr:cNvSpPr>
      </xdr:nvSpPr>
      <xdr:spPr bwMode="auto">
        <a:xfrm rot="-725685">
          <a:off x="5353050" y="19945350"/>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600075</xdr:colOff>
      <xdr:row>114</xdr:row>
      <xdr:rowOff>142875</xdr:rowOff>
    </xdr:from>
    <xdr:to>
      <xdr:col>5</xdr:col>
      <xdr:colOff>619125</xdr:colOff>
      <xdr:row>115</xdr:row>
      <xdr:rowOff>123825</xdr:rowOff>
    </xdr:to>
    <xdr:sp macro="" textlink="">
      <xdr:nvSpPr>
        <xdr:cNvPr id="210941" name="AutoShape 162">
          <a:extLst>
            <a:ext uri="{FF2B5EF4-FFF2-40B4-BE49-F238E27FC236}">
              <a16:creationId xmlns:a16="http://schemas.microsoft.com/office/drawing/2014/main" id="{00000000-0008-0000-0800-0000FD370300}"/>
            </a:ext>
          </a:extLst>
        </xdr:cNvPr>
        <xdr:cNvSpPr>
          <a:spLocks noChangeArrowheads="1"/>
        </xdr:cNvSpPr>
      </xdr:nvSpPr>
      <xdr:spPr bwMode="auto">
        <a:xfrm rot="10049911">
          <a:off x="3752850" y="20126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714375</xdr:colOff>
      <xdr:row>114</xdr:row>
      <xdr:rowOff>142875</xdr:rowOff>
    </xdr:from>
    <xdr:to>
      <xdr:col>8</xdr:col>
      <xdr:colOff>657225</xdr:colOff>
      <xdr:row>116</xdr:row>
      <xdr:rowOff>152400</xdr:rowOff>
    </xdr:to>
    <xdr:sp macro="" textlink="">
      <xdr:nvSpPr>
        <xdr:cNvPr id="7331" name="Text Box 163">
          <a:extLst>
            <a:ext uri="{FF2B5EF4-FFF2-40B4-BE49-F238E27FC236}">
              <a16:creationId xmlns:a16="http://schemas.microsoft.com/office/drawing/2014/main" id="{00000000-0008-0000-0800-0000A31C0000}"/>
            </a:ext>
          </a:extLst>
        </xdr:cNvPr>
        <xdr:cNvSpPr txBox="1">
          <a:spLocks noChangeArrowheads="1"/>
        </xdr:cNvSpPr>
      </xdr:nvSpPr>
      <xdr:spPr bwMode="auto">
        <a:xfrm>
          <a:off x="6296025" y="20126325"/>
          <a:ext cx="704850" cy="3333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Grillage avertisseur</a:t>
          </a:r>
        </a:p>
      </xdr:txBody>
    </xdr:sp>
    <xdr:clientData/>
  </xdr:twoCellAnchor>
  <xdr:twoCellAnchor>
    <xdr:from>
      <xdr:col>5</xdr:col>
      <xdr:colOff>542925</xdr:colOff>
      <xdr:row>116</xdr:row>
      <xdr:rowOff>47625</xdr:rowOff>
    </xdr:from>
    <xdr:to>
      <xdr:col>5</xdr:col>
      <xdr:colOff>800100</xdr:colOff>
      <xdr:row>117</xdr:row>
      <xdr:rowOff>114300</xdr:rowOff>
    </xdr:to>
    <xdr:sp macro="" textlink="">
      <xdr:nvSpPr>
        <xdr:cNvPr id="7332" name="Text Box 164">
          <a:extLst>
            <a:ext uri="{FF2B5EF4-FFF2-40B4-BE49-F238E27FC236}">
              <a16:creationId xmlns:a16="http://schemas.microsoft.com/office/drawing/2014/main" id="{00000000-0008-0000-0800-0000A41C0000}"/>
            </a:ext>
          </a:extLst>
        </xdr:cNvPr>
        <xdr:cNvSpPr txBox="1">
          <a:spLocks noChangeArrowheads="1"/>
        </xdr:cNvSpPr>
      </xdr:nvSpPr>
      <xdr:spPr bwMode="auto">
        <a:xfrm>
          <a:off x="4505325" y="20354925"/>
          <a:ext cx="257175" cy="2286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q3</a:t>
          </a:r>
        </a:p>
      </xdr:txBody>
    </xdr:sp>
    <xdr:clientData/>
  </xdr:twoCellAnchor>
  <xdr:twoCellAnchor>
    <xdr:from>
      <xdr:col>5</xdr:col>
      <xdr:colOff>361950</xdr:colOff>
      <xdr:row>119</xdr:row>
      <xdr:rowOff>104775</xdr:rowOff>
    </xdr:from>
    <xdr:to>
      <xdr:col>5</xdr:col>
      <xdr:colOff>752475</xdr:colOff>
      <xdr:row>120</xdr:row>
      <xdr:rowOff>142875</xdr:rowOff>
    </xdr:to>
    <xdr:sp macro="" textlink="">
      <xdr:nvSpPr>
        <xdr:cNvPr id="7333" name="Text Box 165">
          <a:extLst>
            <a:ext uri="{FF2B5EF4-FFF2-40B4-BE49-F238E27FC236}">
              <a16:creationId xmlns:a16="http://schemas.microsoft.com/office/drawing/2014/main" id="{00000000-0008-0000-0800-0000A51C0000}"/>
            </a:ext>
          </a:extLst>
        </xdr:cNvPr>
        <xdr:cNvSpPr txBox="1">
          <a:spLocks noChangeArrowheads="1"/>
        </xdr:cNvSpPr>
      </xdr:nvSpPr>
      <xdr:spPr bwMode="auto">
        <a:xfrm>
          <a:off x="4324350" y="20897850"/>
          <a:ext cx="390525" cy="2000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Sable</a:t>
          </a:r>
        </a:p>
      </xdr:txBody>
    </xdr:sp>
    <xdr:clientData/>
  </xdr:twoCellAnchor>
  <xdr:twoCellAnchor>
    <xdr:from>
      <xdr:col>3</xdr:col>
      <xdr:colOff>257175</xdr:colOff>
      <xdr:row>115</xdr:row>
      <xdr:rowOff>9525</xdr:rowOff>
    </xdr:from>
    <xdr:to>
      <xdr:col>3</xdr:col>
      <xdr:colOff>257175</xdr:colOff>
      <xdr:row>118</xdr:row>
      <xdr:rowOff>0</xdr:rowOff>
    </xdr:to>
    <xdr:sp macro="" textlink="">
      <xdr:nvSpPr>
        <xdr:cNvPr id="227329" name="Line 166">
          <a:extLst>
            <a:ext uri="{FF2B5EF4-FFF2-40B4-BE49-F238E27FC236}">
              <a16:creationId xmlns:a16="http://schemas.microsoft.com/office/drawing/2014/main" id="{00000000-0008-0000-0800-000001780300}"/>
            </a:ext>
          </a:extLst>
        </xdr:cNvPr>
        <xdr:cNvSpPr>
          <a:spLocks noChangeShapeType="1"/>
        </xdr:cNvSpPr>
      </xdr:nvSpPr>
      <xdr:spPr bwMode="auto">
        <a:xfrm>
          <a:off x="2762250" y="201549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104775</xdr:colOff>
      <xdr:row>114</xdr:row>
      <xdr:rowOff>152400</xdr:rowOff>
    </xdr:from>
    <xdr:to>
      <xdr:col>3</xdr:col>
      <xdr:colOff>590550</xdr:colOff>
      <xdr:row>114</xdr:row>
      <xdr:rowOff>152400</xdr:rowOff>
    </xdr:to>
    <xdr:sp macro="" textlink="">
      <xdr:nvSpPr>
        <xdr:cNvPr id="227330" name="Line 167">
          <a:extLst>
            <a:ext uri="{FF2B5EF4-FFF2-40B4-BE49-F238E27FC236}">
              <a16:creationId xmlns:a16="http://schemas.microsoft.com/office/drawing/2014/main" id="{00000000-0008-0000-0800-000002780300}"/>
            </a:ext>
          </a:extLst>
        </xdr:cNvPr>
        <xdr:cNvSpPr>
          <a:spLocks noChangeShapeType="1"/>
        </xdr:cNvSpPr>
      </xdr:nvSpPr>
      <xdr:spPr bwMode="auto">
        <a:xfrm>
          <a:off x="2609850" y="2013585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118</xdr:row>
      <xdr:rowOff>0</xdr:rowOff>
    </xdr:from>
    <xdr:to>
      <xdr:col>3</xdr:col>
      <xdr:colOff>581025</xdr:colOff>
      <xdr:row>118</xdr:row>
      <xdr:rowOff>0</xdr:rowOff>
    </xdr:to>
    <xdr:sp macro="" textlink="">
      <xdr:nvSpPr>
        <xdr:cNvPr id="227331" name="Line 168">
          <a:extLst>
            <a:ext uri="{FF2B5EF4-FFF2-40B4-BE49-F238E27FC236}">
              <a16:creationId xmlns:a16="http://schemas.microsoft.com/office/drawing/2014/main" id="{00000000-0008-0000-0800-000003780300}"/>
            </a:ext>
          </a:extLst>
        </xdr:cNvPr>
        <xdr:cNvSpPr>
          <a:spLocks noChangeShapeType="1"/>
        </xdr:cNvSpPr>
      </xdr:nvSpPr>
      <xdr:spPr bwMode="auto">
        <a:xfrm>
          <a:off x="2581275" y="20631150"/>
          <a:ext cx="504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333375</xdr:colOff>
      <xdr:row>116</xdr:row>
      <xdr:rowOff>0</xdr:rowOff>
    </xdr:from>
    <xdr:to>
      <xdr:col>3</xdr:col>
      <xdr:colOff>600075</xdr:colOff>
      <xdr:row>116</xdr:row>
      <xdr:rowOff>0</xdr:rowOff>
    </xdr:to>
    <xdr:sp macro="" textlink="">
      <xdr:nvSpPr>
        <xdr:cNvPr id="227332" name="Line 169">
          <a:extLst>
            <a:ext uri="{FF2B5EF4-FFF2-40B4-BE49-F238E27FC236}">
              <a16:creationId xmlns:a16="http://schemas.microsoft.com/office/drawing/2014/main" id="{00000000-0008-0000-0800-000004780300}"/>
            </a:ext>
          </a:extLst>
        </xdr:cNvPr>
        <xdr:cNvSpPr>
          <a:spLocks noChangeShapeType="1"/>
        </xdr:cNvSpPr>
      </xdr:nvSpPr>
      <xdr:spPr bwMode="auto">
        <a:xfrm>
          <a:off x="2838450" y="2030730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552450</xdr:colOff>
      <xdr:row>116</xdr:row>
      <xdr:rowOff>28575</xdr:rowOff>
    </xdr:from>
    <xdr:to>
      <xdr:col>3</xdr:col>
      <xdr:colOff>552450</xdr:colOff>
      <xdr:row>117</xdr:row>
      <xdr:rowOff>142875</xdr:rowOff>
    </xdr:to>
    <xdr:sp macro="" textlink="">
      <xdr:nvSpPr>
        <xdr:cNvPr id="227333" name="Line 170">
          <a:extLst>
            <a:ext uri="{FF2B5EF4-FFF2-40B4-BE49-F238E27FC236}">
              <a16:creationId xmlns:a16="http://schemas.microsoft.com/office/drawing/2014/main" id="{00000000-0008-0000-0800-000005780300}"/>
            </a:ext>
          </a:extLst>
        </xdr:cNvPr>
        <xdr:cNvSpPr>
          <a:spLocks noChangeShapeType="1"/>
        </xdr:cNvSpPr>
      </xdr:nvSpPr>
      <xdr:spPr bwMode="auto">
        <a:xfrm>
          <a:off x="3057525" y="203358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619125</xdr:colOff>
      <xdr:row>119</xdr:row>
      <xdr:rowOff>114300</xdr:rowOff>
    </xdr:from>
    <xdr:to>
      <xdr:col>4</xdr:col>
      <xdr:colOff>476250</xdr:colOff>
      <xdr:row>121</xdr:row>
      <xdr:rowOff>47625</xdr:rowOff>
    </xdr:to>
    <xdr:sp macro="" textlink="">
      <xdr:nvSpPr>
        <xdr:cNvPr id="227334" name="AutoShape 171">
          <a:extLst>
            <a:ext uri="{FF2B5EF4-FFF2-40B4-BE49-F238E27FC236}">
              <a16:creationId xmlns:a16="http://schemas.microsoft.com/office/drawing/2014/main" id="{00000000-0008-0000-0800-000006780300}"/>
            </a:ext>
          </a:extLst>
        </xdr:cNvPr>
        <xdr:cNvSpPr>
          <a:spLocks noChangeArrowheads="1"/>
        </xdr:cNvSpPr>
      </xdr:nvSpPr>
      <xdr:spPr bwMode="auto">
        <a:xfrm rot="20147092" flipH="1">
          <a:off x="3124200" y="20907375"/>
          <a:ext cx="504825" cy="257175"/>
        </a:xfrm>
        <a:prstGeom prst="flowChartMagneticDrum">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466725</xdr:colOff>
      <xdr:row>121</xdr:row>
      <xdr:rowOff>0</xdr:rowOff>
    </xdr:from>
    <xdr:to>
      <xdr:col>4</xdr:col>
      <xdr:colOff>419100</xdr:colOff>
      <xdr:row>122</xdr:row>
      <xdr:rowOff>123825</xdr:rowOff>
    </xdr:to>
    <xdr:sp macro="" textlink="">
      <xdr:nvSpPr>
        <xdr:cNvPr id="227335" name="Line 172">
          <a:extLst>
            <a:ext uri="{FF2B5EF4-FFF2-40B4-BE49-F238E27FC236}">
              <a16:creationId xmlns:a16="http://schemas.microsoft.com/office/drawing/2014/main" id="{00000000-0008-0000-0800-000007780300}"/>
            </a:ext>
          </a:extLst>
        </xdr:cNvPr>
        <xdr:cNvSpPr>
          <a:spLocks noChangeShapeType="1"/>
        </xdr:cNvSpPr>
      </xdr:nvSpPr>
      <xdr:spPr bwMode="auto">
        <a:xfrm>
          <a:off x="2971800" y="21116925"/>
          <a:ext cx="600075"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371475</xdr:colOff>
      <xdr:row>115</xdr:row>
      <xdr:rowOff>9525</xdr:rowOff>
    </xdr:from>
    <xdr:to>
      <xdr:col>3</xdr:col>
      <xdr:colOff>619125</xdr:colOff>
      <xdr:row>115</xdr:row>
      <xdr:rowOff>152400</xdr:rowOff>
    </xdr:to>
    <xdr:sp macro="" textlink="">
      <xdr:nvSpPr>
        <xdr:cNvPr id="7341" name="Text Box 173">
          <a:extLst>
            <a:ext uri="{FF2B5EF4-FFF2-40B4-BE49-F238E27FC236}">
              <a16:creationId xmlns:a16="http://schemas.microsoft.com/office/drawing/2014/main" id="{00000000-0008-0000-0800-0000AD1C0000}"/>
            </a:ext>
          </a:extLst>
        </xdr:cNvPr>
        <xdr:cNvSpPr txBox="1">
          <a:spLocks noChangeArrowheads="1"/>
        </xdr:cNvSpPr>
      </xdr:nvSpPr>
      <xdr:spPr bwMode="auto">
        <a:xfrm>
          <a:off x="2876550" y="20154900"/>
          <a:ext cx="2476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15</a:t>
          </a:r>
        </a:p>
      </xdr:txBody>
    </xdr:sp>
    <xdr:clientData/>
  </xdr:twoCellAnchor>
  <xdr:twoCellAnchor>
    <xdr:from>
      <xdr:col>3</xdr:col>
      <xdr:colOff>314325</xdr:colOff>
      <xdr:row>116</xdr:row>
      <xdr:rowOff>133350</xdr:rowOff>
    </xdr:from>
    <xdr:to>
      <xdr:col>3</xdr:col>
      <xdr:colOff>495300</xdr:colOff>
      <xdr:row>117</xdr:row>
      <xdr:rowOff>95250</xdr:rowOff>
    </xdr:to>
    <xdr:sp macro="" textlink="">
      <xdr:nvSpPr>
        <xdr:cNvPr id="7342" name="Text Box 174">
          <a:extLst>
            <a:ext uri="{FF2B5EF4-FFF2-40B4-BE49-F238E27FC236}">
              <a16:creationId xmlns:a16="http://schemas.microsoft.com/office/drawing/2014/main" id="{00000000-0008-0000-0800-0000AE1C0000}"/>
            </a:ext>
          </a:extLst>
        </xdr:cNvPr>
        <xdr:cNvSpPr txBox="1">
          <a:spLocks noChangeArrowheads="1"/>
        </xdr:cNvSpPr>
      </xdr:nvSpPr>
      <xdr:spPr bwMode="auto">
        <a:xfrm>
          <a:off x="2819400" y="20440650"/>
          <a:ext cx="18097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a:t>
          </a:r>
        </a:p>
      </xdr:txBody>
    </xdr:sp>
    <xdr:clientData/>
  </xdr:twoCellAnchor>
  <xdr:twoCellAnchor>
    <xdr:from>
      <xdr:col>3</xdr:col>
      <xdr:colOff>28575</xdr:colOff>
      <xdr:row>116</xdr:row>
      <xdr:rowOff>47625</xdr:rowOff>
    </xdr:from>
    <xdr:to>
      <xdr:col>3</xdr:col>
      <xdr:colOff>285750</xdr:colOff>
      <xdr:row>117</xdr:row>
      <xdr:rowOff>28575</xdr:rowOff>
    </xdr:to>
    <xdr:sp macro="" textlink="">
      <xdr:nvSpPr>
        <xdr:cNvPr id="7343" name="Text Box 175">
          <a:extLst>
            <a:ext uri="{FF2B5EF4-FFF2-40B4-BE49-F238E27FC236}">
              <a16:creationId xmlns:a16="http://schemas.microsoft.com/office/drawing/2014/main" id="{00000000-0008-0000-0800-0000AF1C0000}"/>
            </a:ext>
          </a:extLst>
        </xdr:cNvPr>
        <xdr:cNvSpPr txBox="1">
          <a:spLocks noChangeArrowheads="1"/>
        </xdr:cNvSpPr>
      </xdr:nvSpPr>
      <xdr:spPr bwMode="auto">
        <a:xfrm>
          <a:off x="2533650" y="20354925"/>
          <a:ext cx="257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45</a:t>
          </a:r>
        </a:p>
      </xdr:txBody>
    </xdr:sp>
    <xdr:clientData/>
  </xdr:twoCellAnchor>
  <xdr:twoCellAnchor>
    <xdr:from>
      <xdr:col>3</xdr:col>
      <xdr:colOff>409575</xdr:colOff>
      <xdr:row>120</xdr:row>
      <xdr:rowOff>76200</xdr:rowOff>
    </xdr:from>
    <xdr:to>
      <xdr:col>3</xdr:col>
      <xdr:colOff>514350</xdr:colOff>
      <xdr:row>121</xdr:row>
      <xdr:rowOff>47625</xdr:rowOff>
    </xdr:to>
    <xdr:sp macro="" textlink="">
      <xdr:nvSpPr>
        <xdr:cNvPr id="227339" name="Line 176">
          <a:extLst>
            <a:ext uri="{FF2B5EF4-FFF2-40B4-BE49-F238E27FC236}">
              <a16:creationId xmlns:a16="http://schemas.microsoft.com/office/drawing/2014/main" id="{00000000-0008-0000-0800-00000B780300}"/>
            </a:ext>
          </a:extLst>
        </xdr:cNvPr>
        <xdr:cNvSpPr>
          <a:spLocks noChangeShapeType="1"/>
        </xdr:cNvSpPr>
      </xdr:nvSpPr>
      <xdr:spPr bwMode="auto">
        <a:xfrm flipH="1">
          <a:off x="2914650" y="21031200"/>
          <a:ext cx="10477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371475</xdr:colOff>
      <xdr:row>122</xdr:row>
      <xdr:rowOff>47625</xdr:rowOff>
    </xdr:from>
    <xdr:to>
      <xdr:col>4</xdr:col>
      <xdr:colOff>485775</xdr:colOff>
      <xdr:row>123</xdr:row>
      <xdr:rowOff>0</xdr:rowOff>
    </xdr:to>
    <xdr:sp macro="" textlink="">
      <xdr:nvSpPr>
        <xdr:cNvPr id="227340" name="Line 177">
          <a:extLst>
            <a:ext uri="{FF2B5EF4-FFF2-40B4-BE49-F238E27FC236}">
              <a16:creationId xmlns:a16="http://schemas.microsoft.com/office/drawing/2014/main" id="{00000000-0008-0000-0800-00000C780300}"/>
            </a:ext>
          </a:extLst>
        </xdr:cNvPr>
        <xdr:cNvSpPr>
          <a:spLocks noChangeShapeType="1"/>
        </xdr:cNvSpPr>
      </xdr:nvSpPr>
      <xdr:spPr bwMode="auto">
        <a:xfrm flipH="1">
          <a:off x="3524250" y="21326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276225</xdr:colOff>
      <xdr:row>121</xdr:row>
      <xdr:rowOff>114300</xdr:rowOff>
    </xdr:from>
    <xdr:to>
      <xdr:col>3</xdr:col>
      <xdr:colOff>590550</xdr:colOff>
      <xdr:row>122</xdr:row>
      <xdr:rowOff>114300</xdr:rowOff>
    </xdr:to>
    <xdr:sp macro="" textlink="">
      <xdr:nvSpPr>
        <xdr:cNvPr id="7346" name="Text Box 178">
          <a:extLst>
            <a:ext uri="{FF2B5EF4-FFF2-40B4-BE49-F238E27FC236}">
              <a16:creationId xmlns:a16="http://schemas.microsoft.com/office/drawing/2014/main" id="{00000000-0008-0000-0800-0000B21C0000}"/>
            </a:ext>
          </a:extLst>
        </xdr:cNvPr>
        <xdr:cNvSpPr txBox="1">
          <a:spLocks noChangeArrowheads="1"/>
        </xdr:cNvSpPr>
      </xdr:nvSpPr>
      <xdr:spPr bwMode="auto">
        <a:xfrm>
          <a:off x="2781300" y="21231225"/>
          <a:ext cx="3143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65</a:t>
          </a:r>
        </a:p>
      </xdr:txBody>
    </xdr:sp>
    <xdr:clientData/>
  </xdr:twoCellAnchor>
  <xdr:twoCellAnchor>
    <xdr:from>
      <xdr:col>7</xdr:col>
      <xdr:colOff>495300</xdr:colOff>
      <xdr:row>74</xdr:row>
      <xdr:rowOff>104775</xdr:rowOff>
    </xdr:from>
    <xdr:to>
      <xdr:col>7</xdr:col>
      <xdr:colOff>495300</xdr:colOff>
      <xdr:row>75</xdr:row>
      <xdr:rowOff>104775</xdr:rowOff>
    </xdr:to>
    <xdr:sp macro="" textlink="">
      <xdr:nvSpPr>
        <xdr:cNvPr id="227342" name="Line 181">
          <a:extLst>
            <a:ext uri="{FF2B5EF4-FFF2-40B4-BE49-F238E27FC236}">
              <a16:creationId xmlns:a16="http://schemas.microsoft.com/office/drawing/2014/main" id="{00000000-0008-0000-0800-00000E780300}"/>
            </a:ext>
          </a:extLst>
        </xdr:cNvPr>
        <xdr:cNvSpPr>
          <a:spLocks noChangeShapeType="1"/>
        </xdr:cNvSpPr>
      </xdr:nvSpPr>
      <xdr:spPr bwMode="auto">
        <a:xfrm>
          <a:off x="6076950" y="1361122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400050</xdr:colOff>
      <xdr:row>97</xdr:row>
      <xdr:rowOff>28575</xdr:rowOff>
    </xdr:from>
    <xdr:to>
      <xdr:col>7</xdr:col>
      <xdr:colOff>228600</xdr:colOff>
      <xdr:row>97</xdr:row>
      <xdr:rowOff>85725</xdr:rowOff>
    </xdr:to>
    <xdr:sp macro="" textlink="">
      <xdr:nvSpPr>
        <xdr:cNvPr id="227343" name="Line 182">
          <a:extLst>
            <a:ext uri="{FF2B5EF4-FFF2-40B4-BE49-F238E27FC236}">
              <a16:creationId xmlns:a16="http://schemas.microsoft.com/office/drawing/2014/main" id="{00000000-0008-0000-0800-00000F780300}"/>
            </a:ext>
          </a:extLst>
        </xdr:cNvPr>
        <xdr:cNvSpPr>
          <a:spLocks noChangeShapeType="1"/>
        </xdr:cNvSpPr>
      </xdr:nvSpPr>
      <xdr:spPr bwMode="auto">
        <a:xfrm flipV="1">
          <a:off x="3552825" y="17259300"/>
          <a:ext cx="225742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93</xdr:row>
      <xdr:rowOff>95250</xdr:rowOff>
    </xdr:from>
    <xdr:to>
      <xdr:col>7</xdr:col>
      <xdr:colOff>285750</xdr:colOff>
      <xdr:row>96</xdr:row>
      <xdr:rowOff>85725</xdr:rowOff>
    </xdr:to>
    <xdr:sp macro="" textlink="">
      <xdr:nvSpPr>
        <xdr:cNvPr id="227344" name="Line 183">
          <a:extLst>
            <a:ext uri="{FF2B5EF4-FFF2-40B4-BE49-F238E27FC236}">
              <a16:creationId xmlns:a16="http://schemas.microsoft.com/office/drawing/2014/main" id="{00000000-0008-0000-0800-000010780300}"/>
            </a:ext>
          </a:extLst>
        </xdr:cNvPr>
        <xdr:cNvSpPr>
          <a:spLocks noChangeShapeType="1"/>
        </xdr:cNvSpPr>
      </xdr:nvSpPr>
      <xdr:spPr bwMode="auto">
        <a:xfrm>
          <a:off x="5638800" y="16678275"/>
          <a:ext cx="22860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92</xdr:row>
      <xdr:rowOff>133350</xdr:rowOff>
    </xdr:from>
    <xdr:to>
      <xdr:col>7</xdr:col>
      <xdr:colOff>266700</xdr:colOff>
      <xdr:row>93</xdr:row>
      <xdr:rowOff>85725</xdr:rowOff>
    </xdr:to>
    <xdr:sp macro="" textlink="">
      <xdr:nvSpPr>
        <xdr:cNvPr id="227345" name="Line 184">
          <a:extLst>
            <a:ext uri="{FF2B5EF4-FFF2-40B4-BE49-F238E27FC236}">
              <a16:creationId xmlns:a16="http://schemas.microsoft.com/office/drawing/2014/main" id="{00000000-0008-0000-0800-000011780300}"/>
            </a:ext>
          </a:extLst>
        </xdr:cNvPr>
        <xdr:cNvSpPr>
          <a:spLocks noChangeShapeType="1"/>
        </xdr:cNvSpPr>
      </xdr:nvSpPr>
      <xdr:spPr bwMode="auto">
        <a:xfrm flipH="1">
          <a:off x="5638800" y="16554450"/>
          <a:ext cx="20955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xdr:colOff>
      <xdr:row>90</xdr:row>
      <xdr:rowOff>142875</xdr:rowOff>
    </xdr:from>
    <xdr:to>
      <xdr:col>7</xdr:col>
      <xdr:colOff>276225</xdr:colOff>
      <xdr:row>93</xdr:row>
      <xdr:rowOff>76200</xdr:rowOff>
    </xdr:to>
    <xdr:sp macro="" textlink="">
      <xdr:nvSpPr>
        <xdr:cNvPr id="227346" name="Line 185">
          <a:extLst>
            <a:ext uri="{FF2B5EF4-FFF2-40B4-BE49-F238E27FC236}">
              <a16:creationId xmlns:a16="http://schemas.microsoft.com/office/drawing/2014/main" id="{00000000-0008-0000-0800-000012780300}"/>
            </a:ext>
          </a:extLst>
        </xdr:cNvPr>
        <xdr:cNvSpPr>
          <a:spLocks noChangeShapeType="1"/>
        </xdr:cNvSpPr>
      </xdr:nvSpPr>
      <xdr:spPr bwMode="auto">
        <a:xfrm flipH="1">
          <a:off x="5648325" y="16240125"/>
          <a:ext cx="20955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28575</xdr:colOff>
      <xdr:row>0</xdr:row>
      <xdr:rowOff>28575</xdr:rowOff>
    </xdr:from>
    <xdr:to>
      <xdr:col>1</xdr:col>
      <xdr:colOff>172322</xdr:colOff>
      <xdr:row>0</xdr:row>
      <xdr:rowOff>447675</xdr:rowOff>
    </xdr:to>
    <xdr:pic>
      <xdr:nvPicPr>
        <xdr:cNvPr id="187" name="Image 186">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58</xdr:row>
      <xdr:rowOff>47625</xdr:rowOff>
    </xdr:from>
    <xdr:to>
      <xdr:col>1</xdr:col>
      <xdr:colOff>181847</xdr:colOff>
      <xdr:row>58</xdr:row>
      <xdr:rowOff>466725</xdr:rowOff>
    </xdr:to>
    <xdr:pic>
      <xdr:nvPicPr>
        <xdr:cNvPr id="188" name="Image 187">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06203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28575</xdr:colOff>
      <xdr:row>0</xdr:row>
      <xdr:rowOff>28575</xdr:rowOff>
    </xdr:from>
    <xdr:to>
      <xdr:col>0</xdr:col>
      <xdr:colOff>981947</xdr:colOff>
      <xdr:row>1</xdr:row>
      <xdr:rowOff>152400</xdr:rowOff>
    </xdr:to>
    <xdr:pic>
      <xdr:nvPicPr>
        <xdr:cNvPr id="7" name="Imag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76200</xdr:colOff>
      <xdr:row>38</xdr:row>
      <xdr:rowOff>85725</xdr:rowOff>
    </xdr:from>
    <xdr:to>
      <xdr:col>1</xdr:col>
      <xdr:colOff>190500</xdr:colOff>
      <xdr:row>38</xdr:row>
      <xdr:rowOff>219075</xdr:rowOff>
    </xdr:to>
    <xdr:sp macro="" textlink="">
      <xdr:nvSpPr>
        <xdr:cNvPr id="2" name="Text Box 3">
          <a:extLst>
            <a:ext uri="{FF2B5EF4-FFF2-40B4-BE49-F238E27FC236}">
              <a16:creationId xmlns:a16="http://schemas.microsoft.com/office/drawing/2014/main" id="{00000000-0008-0000-0A00-000002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3" name="Text Box 4">
          <a:extLst>
            <a:ext uri="{FF2B5EF4-FFF2-40B4-BE49-F238E27FC236}">
              <a16:creationId xmlns:a16="http://schemas.microsoft.com/office/drawing/2014/main" id="{00000000-0008-0000-0A00-000003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38</xdr:row>
      <xdr:rowOff>85725</xdr:rowOff>
    </xdr:from>
    <xdr:to>
      <xdr:col>1</xdr:col>
      <xdr:colOff>190500</xdr:colOff>
      <xdr:row>38</xdr:row>
      <xdr:rowOff>219075</xdr:rowOff>
    </xdr:to>
    <xdr:sp macro="" textlink="">
      <xdr:nvSpPr>
        <xdr:cNvPr id="4" name="Text Box 5">
          <a:extLst>
            <a:ext uri="{FF2B5EF4-FFF2-40B4-BE49-F238E27FC236}">
              <a16:creationId xmlns:a16="http://schemas.microsoft.com/office/drawing/2014/main" id="{00000000-0008-0000-0A00-000004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5" name="Text Box 6">
          <a:extLst>
            <a:ext uri="{FF2B5EF4-FFF2-40B4-BE49-F238E27FC236}">
              <a16:creationId xmlns:a16="http://schemas.microsoft.com/office/drawing/2014/main" id="{00000000-0008-0000-0A00-000005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6" name="Text Box 7">
          <a:extLst>
            <a:ext uri="{FF2B5EF4-FFF2-40B4-BE49-F238E27FC236}">
              <a16:creationId xmlns:a16="http://schemas.microsoft.com/office/drawing/2014/main" id="{00000000-0008-0000-0A00-000006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8" name="Text Box 11">
          <a:extLst>
            <a:ext uri="{FF2B5EF4-FFF2-40B4-BE49-F238E27FC236}">
              <a16:creationId xmlns:a16="http://schemas.microsoft.com/office/drawing/2014/main" id="{00000000-0008-0000-0A00-000008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editAs="oneCell">
    <xdr:from>
      <xdr:col>2</xdr:col>
      <xdr:colOff>0</xdr:colOff>
      <xdr:row>22</xdr:row>
      <xdr:rowOff>171450</xdr:rowOff>
    </xdr:from>
    <xdr:to>
      <xdr:col>6</xdr:col>
      <xdr:colOff>0</xdr:colOff>
      <xdr:row>38</xdr:row>
      <xdr:rowOff>133350</xdr:rowOff>
    </xdr:to>
    <xdr:pic>
      <xdr:nvPicPr>
        <xdr:cNvPr id="103930" name="Picture 17">
          <a:extLst>
            <a:ext uri="{FF2B5EF4-FFF2-40B4-BE49-F238E27FC236}">
              <a16:creationId xmlns:a16="http://schemas.microsoft.com/office/drawing/2014/main" id="{00000000-0008-0000-0A00-0000FA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62000"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38100</xdr:colOff>
      <xdr:row>22</xdr:row>
      <xdr:rowOff>171450</xdr:rowOff>
    </xdr:from>
    <xdr:to>
      <xdr:col>16</xdr:col>
      <xdr:colOff>114300</xdr:colOff>
      <xdr:row>38</xdr:row>
      <xdr:rowOff>133350</xdr:rowOff>
    </xdr:to>
    <xdr:pic>
      <xdr:nvPicPr>
        <xdr:cNvPr id="103931" name="Picture 17">
          <a:extLst>
            <a:ext uri="{FF2B5EF4-FFF2-40B4-BE49-F238E27FC236}">
              <a16:creationId xmlns:a16="http://schemas.microsoft.com/office/drawing/2014/main" id="{00000000-0008-0000-0A00-0000FB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10125"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xdr:colOff>
      <xdr:row>45</xdr:row>
      <xdr:rowOff>104775</xdr:rowOff>
    </xdr:from>
    <xdr:to>
      <xdr:col>6</xdr:col>
      <xdr:colOff>19050</xdr:colOff>
      <xdr:row>61</xdr:row>
      <xdr:rowOff>28575</xdr:rowOff>
    </xdr:to>
    <xdr:pic>
      <xdr:nvPicPr>
        <xdr:cNvPr id="103932" name="Picture 17">
          <a:extLst>
            <a:ext uri="{FF2B5EF4-FFF2-40B4-BE49-F238E27FC236}">
              <a16:creationId xmlns:a16="http://schemas.microsoft.com/office/drawing/2014/main" id="{00000000-0008-0000-0A00-0000FC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81050"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57150</xdr:colOff>
      <xdr:row>45</xdr:row>
      <xdr:rowOff>104775</xdr:rowOff>
    </xdr:from>
    <xdr:to>
      <xdr:col>16</xdr:col>
      <xdr:colOff>133350</xdr:colOff>
      <xdr:row>61</xdr:row>
      <xdr:rowOff>28575</xdr:rowOff>
    </xdr:to>
    <xdr:pic>
      <xdr:nvPicPr>
        <xdr:cNvPr id="103933" name="Picture 17">
          <a:extLst>
            <a:ext uri="{FF2B5EF4-FFF2-40B4-BE49-F238E27FC236}">
              <a16:creationId xmlns:a16="http://schemas.microsoft.com/office/drawing/2014/main" id="{00000000-0008-0000-0A00-0000FD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29175"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259244</xdr:colOff>
      <xdr:row>14</xdr:row>
      <xdr:rowOff>51289</xdr:rowOff>
    </xdr:from>
    <xdr:to>
      <xdr:col>1</xdr:col>
      <xdr:colOff>0</xdr:colOff>
      <xdr:row>14</xdr:row>
      <xdr:rowOff>146539</xdr:rowOff>
    </xdr:to>
    <xdr:sp macro="" textlink="">
      <xdr:nvSpPr>
        <xdr:cNvPr id="16" name="Rectangle 15">
          <a:extLst>
            <a:ext uri="{FF2B5EF4-FFF2-40B4-BE49-F238E27FC236}">
              <a16:creationId xmlns:a16="http://schemas.microsoft.com/office/drawing/2014/main" id="{00000000-0008-0000-0A00-000010000000}"/>
            </a:ext>
          </a:extLst>
        </xdr:cNvPr>
        <xdr:cNvSpPr>
          <a:spLocks noChangeArrowheads="1"/>
        </xdr:cNvSpPr>
      </xdr:nvSpPr>
      <xdr:spPr bwMode="auto">
        <a:xfrm>
          <a:off x="259244" y="3414347"/>
          <a:ext cx="92448" cy="95250"/>
        </a:xfrm>
        <a:prstGeom prst="rect">
          <a:avLst/>
        </a:prstGeom>
        <a:solidFill>
          <a:srgbClr val="FFFFFF"/>
        </a:solidFill>
        <a:ln w="9525">
          <a:solidFill>
            <a:srgbClr val="000000"/>
          </a:solidFill>
          <a:miter lim="800000"/>
          <a:headEnd/>
          <a:tailEnd/>
        </a:ln>
      </xdr:spPr>
    </xdr:sp>
    <xdr:clientData/>
  </xdr:twoCellAnchor>
  <xdr:twoCellAnchor>
    <xdr:from>
      <xdr:col>7</xdr:col>
      <xdr:colOff>291483</xdr:colOff>
      <xdr:row>14</xdr:row>
      <xdr:rowOff>49824</xdr:rowOff>
    </xdr:from>
    <xdr:to>
      <xdr:col>8</xdr:col>
      <xdr:colOff>2931</xdr:colOff>
      <xdr:row>14</xdr:row>
      <xdr:rowOff>145074</xdr:rowOff>
    </xdr:to>
    <xdr:sp macro="" textlink="">
      <xdr:nvSpPr>
        <xdr:cNvPr id="17" name="Rectangle 16">
          <a:extLst>
            <a:ext uri="{FF2B5EF4-FFF2-40B4-BE49-F238E27FC236}">
              <a16:creationId xmlns:a16="http://schemas.microsoft.com/office/drawing/2014/main" id="{00000000-0008-0000-0A00-000011000000}"/>
            </a:ext>
          </a:extLst>
        </xdr:cNvPr>
        <xdr:cNvSpPr>
          <a:spLocks noChangeArrowheads="1"/>
        </xdr:cNvSpPr>
      </xdr:nvSpPr>
      <xdr:spPr bwMode="auto">
        <a:xfrm>
          <a:off x="3163637" y="3412882"/>
          <a:ext cx="92448" cy="95250"/>
        </a:xfrm>
        <a:prstGeom prst="rect">
          <a:avLst/>
        </a:prstGeom>
        <a:solidFill>
          <a:srgbClr val="FFFFFF"/>
        </a:solidFill>
        <a:ln w="9525">
          <a:solidFill>
            <a:srgbClr val="000000"/>
          </a:solidFill>
          <a:miter lim="800000"/>
          <a:headEnd/>
          <a:tailEnd/>
        </a:ln>
      </xdr:spPr>
    </xdr:sp>
    <xdr:clientData/>
  </xdr:twoCellAnchor>
  <xdr:twoCellAnchor>
    <xdr:from>
      <xdr:col>15</xdr:col>
      <xdr:colOff>288552</xdr:colOff>
      <xdr:row>14</xdr:row>
      <xdr:rowOff>48359</xdr:rowOff>
    </xdr:from>
    <xdr:to>
      <xdr:col>15</xdr:col>
      <xdr:colOff>381000</xdr:colOff>
      <xdr:row>14</xdr:row>
      <xdr:rowOff>143609</xdr:rowOff>
    </xdr:to>
    <xdr:sp macro="" textlink="">
      <xdr:nvSpPr>
        <xdr:cNvPr id="18" name="Rectangle 17">
          <a:extLst>
            <a:ext uri="{FF2B5EF4-FFF2-40B4-BE49-F238E27FC236}">
              <a16:creationId xmlns:a16="http://schemas.microsoft.com/office/drawing/2014/main" id="{00000000-0008-0000-0A00-000012000000}"/>
            </a:ext>
          </a:extLst>
        </xdr:cNvPr>
        <xdr:cNvSpPr>
          <a:spLocks noChangeArrowheads="1"/>
        </xdr:cNvSpPr>
      </xdr:nvSpPr>
      <xdr:spPr bwMode="auto">
        <a:xfrm>
          <a:off x="6340590" y="3411417"/>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85725</xdr:colOff>
      <xdr:row>0</xdr:row>
      <xdr:rowOff>57150</xdr:rowOff>
    </xdr:from>
    <xdr:to>
      <xdr:col>2</xdr:col>
      <xdr:colOff>277097</xdr:colOff>
      <xdr:row>1</xdr:row>
      <xdr:rowOff>247650</xdr:rowOff>
    </xdr:to>
    <xdr:pic>
      <xdr:nvPicPr>
        <xdr:cNvPr id="19" name="Image 18">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371475</xdr:colOff>
      <xdr:row>0</xdr:row>
      <xdr:rowOff>0</xdr:rowOff>
    </xdr:to>
    <xdr:pic>
      <xdr:nvPicPr>
        <xdr:cNvPr id="10574" name="Picture 1" descr="logo SOBECA">
          <a:extLst>
            <a:ext uri="{FF2B5EF4-FFF2-40B4-BE49-F238E27FC236}">
              <a16:creationId xmlns:a16="http://schemas.microsoft.com/office/drawing/2014/main" id="{00000000-0008-0000-0B00-00004E29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r="4265" b="28358"/>
        <a:stretch>
          <a:fillRect/>
        </a:stretch>
      </xdr:blipFill>
      <xdr:spPr bwMode="auto">
        <a:xfrm>
          <a:off x="0" y="0"/>
          <a:ext cx="2095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3</xdr:col>
      <xdr:colOff>371475</xdr:colOff>
      <xdr:row>0</xdr:row>
      <xdr:rowOff>0</xdr:rowOff>
    </xdr:to>
    <xdr:pic>
      <xdr:nvPicPr>
        <xdr:cNvPr id="10576" name="Picture 3" descr="logo SOBECA">
          <a:extLst>
            <a:ext uri="{FF2B5EF4-FFF2-40B4-BE49-F238E27FC236}">
              <a16:creationId xmlns:a16="http://schemas.microsoft.com/office/drawing/2014/main" id="{00000000-0008-0000-0B00-00005029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r="4265" b="28358"/>
        <a:stretch>
          <a:fillRect/>
        </a:stretch>
      </xdr:blipFill>
      <xdr:spPr bwMode="auto">
        <a:xfrm>
          <a:off x="0" y="0"/>
          <a:ext cx="2095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0</xdr:row>
      <xdr:rowOff>57150</xdr:rowOff>
    </xdr:from>
    <xdr:to>
      <xdr:col>1</xdr:col>
      <xdr:colOff>315197</xdr:colOff>
      <xdr:row>1</xdr:row>
      <xdr:rowOff>238125</xdr:rowOff>
    </xdr:to>
    <xdr:pic>
      <xdr:nvPicPr>
        <xdr:cNvPr id="5" name="Imag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22411</xdr:colOff>
      <xdr:row>0</xdr:row>
      <xdr:rowOff>44824</xdr:rowOff>
    </xdr:from>
    <xdr:to>
      <xdr:col>0</xdr:col>
      <xdr:colOff>975783</xdr:colOff>
      <xdr:row>2</xdr:row>
      <xdr:rowOff>15689</xdr:rowOff>
    </xdr:to>
    <xdr:pic>
      <xdr:nvPicPr>
        <xdr:cNvPr id="5" name="Imag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411" y="4482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981947</xdr:colOff>
      <xdr:row>2</xdr:row>
      <xdr:rowOff>9525</xdr:rowOff>
    </xdr:to>
    <xdr:pic>
      <xdr:nvPicPr>
        <xdr:cNvPr id="6" name="Image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33128</xdr:colOff>
      <xdr:row>0</xdr:row>
      <xdr:rowOff>41413</xdr:rowOff>
    </xdr:from>
    <xdr:to>
      <xdr:col>0</xdr:col>
      <xdr:colOff>986500</xdr:colOff>
      <xdr:row>1</xdr:row>
      <xdr:rowOff>162339</xdr:rowOff>
    </xdr:to>
    <xdr:pic>
      <xdr:nvPicPr>
        <xdr:cNvPr id="5" name="Image 4">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128" y="41413"/>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19050</xdr:rowOff>
    </xdr:from>
    <xdr:to>
      <xdr:col>0</xdr:col>
      <xdr:colOff>972422</xdr:colOff>
      <xdr:row>1</xdr:row>
      <xdr:rowOff>142875</xdr:rowOff>
    </xdr:to>
    <xdr:pic>
      <xdr:nvPicPr>
        <xdr:cNvPr id="5" name="Imag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28575</xdr:colOff>
      <xdr:row>0</xdr:row>
      <xdr:rowOff>0</xdr:rowOff>
    </xdr:from>
    <xdr:to>
      <xdr:col>5</xdr:col>
      <xdr:colOff>371475</xdr:colOff>
      <xdr:row>0</xdr:row>
      <xdr:rowOff>0</xdr:rowOff>
    </xdr:to>
    <xdr:pic>
      <xdr:nvPicPr>
        <xdr:cNvPr id="18767" name="Picture 1" descr="logo SOBECA">
          <a:extLst>
            <a:ext uri="{FF2B5EF4-FFF2-40B4-BE49-F238E27FC236}">
              <a16:creationId xmlns:a16="http://schemas.microsoft.com/office/drawing/2014/main" id="{00000000-0008-0000-1000-00004F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4265" b="28358"/>
        <a:stretch>
          <a:fillRect/>
        </a:stretch>
      </xdr:blipFill>
      <xdr:spPr bwMode="auto">
        <a:xfrm>
          <a:off x="28575" y="0"/>
          <a:ext cx="4457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28575</xdr:colOff>
      <xdr:row>0</xdr:row>
      <xdr:rowOff>0</xdr:rowOff>
    </xdr:from>
    <xdr:to>
      <xdr:col>5</xdr:col>
      <xdr:colOff>371475</xdr:colOff>
      <xdr:row>0</xdr:row>
      <xdr:rowOff>0</xdr:rowOff>
    </xdr:to>
    <xdr:pic>
      <xdr:nvPicPr>
        <xdr:cNvPr id="18768" name="Picture 2" descr="logo SOBECA">
          <a:extLst>
            <a:ext uri="{FF2B5EF4-FFF2-40B4-BE49-F238E27FC236}">
              <a16:creationId xmlns:a16="http://schemas.microsoft.com/office/drawing/2014/main" id="{00000000-0008-0000-1000-000050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4265" b="28358"/>
        <a:stretch>
          <a:fillRect/>
        </a:stretch>
      </xdr:blipFill>
      <xdr:spPr bwMode="auto">
        <a:xfrm>
          <a:off x="28575" y="0"/>
          <a:ext cx="4457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63954</xdr:colOff>
      <xdr:row>0</xdr:row>
      <xdr:rowOff>59871</xdr:rowOff>
    </xdr:from>
    <xdr:to>
      <xdr:col>0</xdr:col>
      <xdr:colOff>1017326</xdr:colOff>
      <xdr:row>1</xdr:row>
      <xdr:rowOff>315685</xdr:rowOff>
    </xdr:to>
    <xdr:pic>
      <xdr:nvPicPr>
        <xdr:cNvPr id="5" name="Imag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954" y="5987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0</xdr:colOff>
      <xdr:row>8</xdr:row>
      <xdr:rowOff>276225</xdr:rowOff>
    </xdr:from>
    <xdr:to>
      <xdr:col>16</xdr:col>
      <xdr:colOff>0</xdr:colOff>
      <xdr:row>8</xdr:row>
      <xdr:rowOff>447675</xdr:rowOff>
    </xdr:to>
    <xdr:sp macro="" textlink="">
      <xdr:nvSpPr>
        <xdr:cNvPr id="2" name="Texte 9">
          <a:extLst>
            <a:ext uri="{FF2B5EF4-FFF2-40B4-BE49-F238E27FC236}">
              <a16:creationId xmlns:a16="http://schemas.microsoft.com/office/drawing/2014/main" id="{00000000-0008-0000-1100-000002000000}"/>
            </a:ext>
          </a:extLst>
        </xdr:cNvPr>
        <xdr:cNvSpPr txBox="1">
          <a:spLocks noChangeArrowheads="1"/>
        </xdr:cNvSpPr>
      </xdr:nvSpPr>
      <xdr:spPr bwMode="auto">
        <a:xfrm>
          <a:off x="12296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9</xdr:col>
      <xdr:colOff>0</xdr:colOff>
      <xdr:row>8</xdr:row>
      <xdr:rowOff>276225</xdr:rowOff>
    </xdr:from>
    <xdr:to>
      <xdr:col>9</xdr:col>
      <xdr:colOff>0</xdr:colOff>
      <xdr:row>8</xdr:row>
      <xdr:rowOff>447675</xdr:rowOff>
    </xdr:to>
    <xdr:sp macro="" textlink="">
      <xdr:nvSpPr>
        <xdr:cNvPr id="3" name="Texte 9">
          <a:extLst>
            <a:ext uri="{FF2B5EF4-FFF2-40B4-BE49-F238E27FC236}">
              <a16:creationId xmlns:a16="http://schemas.microsoft.com/office/drawing/2014/main" id="{00000000-0008-0000-1100-000003000000}"/>
            </a:ext>
          </a:extLst>
        </xdr:cNvPr>
        <xdr:cNvSpPr txBox="1">
          <a:spLocks noChangeArrowheads="1"/>
        </xdr:cNvSpPr>
      </xdr:nvSpPr>
      <xdr:spPr bwMode="auto">
        <a:xfrm>
          <a:off x="6962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6</xdr:col>
      <xdr:colOff>1019175</xdr:colOff>
      <xdr:row>0</xdr:row>
      <xdr:rowOff>28575</xdr:rowOff>
    </xdr:from>
    <xdr:to>
      <xdr:col>7</xdr:col>
      <xdr:colOff>1038225</xdr:colOff>
      <xdr:row>0</xdr:row>
      <xdr:rowOff>523875</xdr:rowOff>
    </xdr:to>
    <xdr:sp macro="" textlink="">
      <xdr:nvSpPr>
        <xdr:cNvPr id="83297" name="Oval 23">
          <a:extLst>
            <a:ext uri="{FF2B5EF4-FFF2-40B4-BE49-F238E27FC236}">
              <a16:creationId xmlns:a16="http://schemas.microsoft.com/office/drawing/2014/main" id="{00000000-0008-0000-1100-000061450100}"/>
            </a:ext>
          </a:extLst>
        </xdr:cNvPr>
        <xdr:cNvSpPr>
          <a:spLocks noChangeArrowheads="1"/>
        </xdr:cNvSpPr>
      </xdr:nvSpPr>
      <xdr:spPr bwMode="auto">
        <a:xfrm>
          <a:off x="5772150" y="28575"/>
          <a:ext cx="1066800" cy="4953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6</xdr:col>
      <xdr:colOff>1038225</xdr:colOff>
      <xdr:row>0</xdr:row>
      <xdr:rowOff>0</xdr:rowOff>
    </xdr:from>
    <xdr:to>
      <xdr:col>7</xdr:col>
      <xdr:colOff>1019175</xdr:colOff>
      <xdr:row>0</xdr:row>
      <xdr:rowOff>609600</xdr:rowOff>
    </xdr:to>
    <xdr:sp macro="" textlink="">
      <xdr:nvSpPr>
        <xdr:cNvPr id="5" name="Text Box 24">
          <a:extLst>
            <a:ext uri="{FF2B5EF4-FFF2-40B4-BE49-F238E27FC236}">
              <a16:creationId xmlns:a16="http://schemas.microsoft.com/office/drawing/2014/main" id="{00000000-0008-0000-1100-000005000000}"/>
            </a:ext>
          </a:extLst>
        </xdr:cNvPr>
        <xdr:cNvSpPr txBox="1">
          <a:spLocks noChangeArrowheads="1"/>
        </xdr:cNvSpPr>
      </xdr:nvSpPr>
      <xdr:spPr bwMode="auto">
        <a:xfrm>
          <a:off x="5791200" y="0"/>
          <a:ext cx="10287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DAZSQ002 A</a:t>
          </a:r>
        </a:p>
        <a:p>
          <a:pPr algn="ctr" rtl="0">
            <a:lnSpc>
              <a:spcPts val="1000"/>
            </a:lnSpc>
            <a:defRPr sz="1000"/>
          </a:pPr>
          <a:r>
            <a:rPr lang="fr-FR" sz="1000" b="0" i="0" u="none" strike="noStrike" baseline="0">
              <a:solidFill>
                <a:sysClr val="windowText" lastClr="000000"/>
              </a:solidFill>
              <a:latin typeface="Arial"/>
              <a:cs typeface="Arial"/>
            </a:rPr>
            <a:t>Indice b</a:t>
          </a:r>
        </a:p>
      </xdr:txBody>
    </xdr:sp>
    <xdr:clientData/>
  </xdr:twoCellAnchor>
  <xdr:twoCellAnchor editAs="oneCell">
    <xdr:from>
      <xdr:col>0</xdr:col>
      <xdr:colOff>180974</xdr:colOff>
      <xdr:row>0</xdr:row>
      <xdr:rowOff>66675</xdr:rowOff>
    </xdr:from>
    <xdr:to>
      <xdr:col>1</xdr:col>
      <xdr:colOff>953371</xdr:colOff>
      <xdr:row>0</xdr:row>
      <xdr:rowOff>485775</xdr:rowOff>
    </xdr:to>
    <xdr:pic>
      <xdr:nvPicPr>
        <xdr:cNvPr id="7" name="Image 6">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4"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145678</xdr:colOff>
      <xdr:row>0</xdr:row>
      <xdr:rowOff>99561</xdr:rowOff>
    </xdr:from>
    <xdr:to>
      <xdr:col>0</xdr:col>
      <xdr:colOff>1099050</xdr:colOff>
      <xdr:row>1</xdr:row>
      <xdr:rowOff>227308</xdr:rowOff>
    </xdr:to>
    <xdr:pic>
      <xdr:nvPicPr>
        <xdr:cNvPr id="6" name="Image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678" y="9956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1</xdr:col>
      <xdr:colOff>119405</xdr:colOff>
      <xdr:row>2</xdr:row>
      <xdr:rowOff>10583</xdr:rowOff>
    </xdr:to>
    <xdr:pic>
      <xdr:nvPicPr>
        <xdr:cNvPr id="3" name="Image 2">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152400</xdr:colOff>
      <xdr:row>0</xdr:row>
      <xdr:rowOff>85725</xdr:rowOff>
    </xdr:from>
    <xdr:to>
      <xdr:col>1</xdr:col>
      <xdr:colOff>153272</xdr:colOff>
      <xdr:row>1</xdr:row>
      <xdr:rowOff>314325</xdr:rowOff>
    </xdr:to>
    <xdr:pic>
      <xdr:nvPicPr>
        <xdr:cNvPr id="3" name="Image 2">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161925</xdr:colOff>
      <xdr:row>21</xdr:row>
      <xdr:rowOff>85725</xdr:rowOff>
    </xdr:from>
    <xdr:to>
      <xdr:col>14</xdr:col>
      <xdr:colOff>361950</xdr:colOff>
      <xdr:row>25</xdr:row>
      <xdr:rowOff>144525</xdr:rowOff>
    </xdr:to>
    <xdr:sp macro="" textlink="">
      <xdr:nvSpPr>
        <xdr:cNvPr id="2" name="Rectangle 1">
          <a:extLst>
            <a:ext uri="{FF2B5EF4-FFF2-40B4-BE49-F238E27FC236}">
              <a16:creationId xmlns:a16="http://schemas.microsoft.com/office/drawing/2014/main" id="{00000000-0008-0000-1500-000002000000}"/>
            </a:ext>
          </a:extLst>
        </xdr:cNvPr>
        <xdr:cNvSpPr>
          <a:spLocks noChangeArrowheads="1"/>
        </xdr:cNvSpPr>
      </xdr:nvSpPr>
      <xdr:spPr bwMode="auto">
        <a:xfrm>
          <a:off x="2886075" y="4800600"/>
          <a:ext cx="2276475" cy="706500"/>
        </a:xfrm>
        <a:prstGeom prst="rect">
          <a:avLst/>
        </a:prstGeom>
        <a:solidFill>
          <a:srgbClr val="FFFF99"/>
        </a:solidFill>
        <a:ln w="9525">
          <a:solidFill>
            <a:srgbClr val="000000"/>
          </a:solidFill>
          <a:miter lim="800000"/>
          <a:headEnd/>
          <a:tailEnd/>
        </a:ln>
      </xdr:spPr>
    </xdr:sp>
    <xdr:clientData/>
  </xdr:twoCellAnchor>
  <xdr:twoCellAnchor>
    <xdr:from>
      <xdr:col>15</xdr:col>
      <xdr:colOff>476250</xdr:colOff>
      <xdr:row>21</xdr:row>
      <xdr:rowOff>0</xdr:rowOff>
    </xdr:from>
    <xdr:to>
      <xdr:col>16</xdr:col>
      <xdr:colOff>647700</xdr:colOff>
      <xdr:row>23</xdr:row>
      <xdr:rowOff>133350</xdr:rowOff>
    </xdr:to>
    <xdr:sp macro="" textlink="">
      <xdr:nvSpPr>
        <xdr:cNvPr id="3" name="Text Box 69">
          <a:extLst>
            <a:ext uri="{FF2B5EF4-FFF2-40B4-BE49-F238E27FC236}">
              <a16:creationId xmlns:a16="http://schemas.microsoft.com/office/drawing/2014/main" id="{00000000-0008-0000-1500-000003000000}"/>
            </a:ext>
          </a:extLst>
        </xdr:cNvPr>
        <xdr:cNvSpPr txBox="1">
          <a:spLocks noChangeArrowheads="1"/>
        </xdr:cNvSpPr>
      </xdr:nvSpPr>
      <xdr:spPr bwMode="auto">
        <a:xfrm>
          <a:off x="5772150" y="4714875"/>
          <a:ext cx="933450" cy="4572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Réseau 3/45  vers chambre N° 4 </a:t>
          </a:r>
        </a:p>
        <a:p>
          <a:pPr algn="l" rtl="0">
            <a:defRPr sz="1000"/>
          </a:pPr>
          <a:endParaRPr lang="fr-FR" sz="800" b="0" i="0" u="none" strike="noStrike" baseline="0">
            <a:solidFill>
              <a:srgbClr val="000000"/>
            </a:solidFill>
            <a:latin typeface="Times New Roman"/>
            <a:cs typeface="Times New Roman"/>
          </a:endParaRP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15</xdr:col>
      <xdr:colOff>533400</xdr:colOff>
      <xdr:row>30</xdr:row>
      <xdr:rowOff>114300</xdr:rowOff>
    </xdr:from>
    <xdr:to>
      <xdr:col>16</xdr:col>
      <xdr:colOff>609600</xdr:colOff>
      <xdr:row>33</xdr:row>
      <xdr:rowOff>28575</xdr:rowOff>
    </xdr:to>
    <xdr:sp macro="" textlink="">
      <xdr:nvSpPr>
        <xdr:cNvPr id="4" name="Text Box 28">
          <a:extLst>
            <a:ext uri="{FF2B5EF4-FFF2-40B4-BE49-F238E27FC236}">
              <a16:creationId xmlns:a16="http://schemas.microsoft.com/office/drawing/2014/main" id="{00000000-0008-0000-1500-000004000000}"/>
            </a:ext>
          </a:extLst>
        </xdr:cNvPr>
        <xdr:cNvSpPr txBox="1">
          <a:spLocks noChangeArrowheads="1"/>
        </xdr:cNvSpPr>
      </xdr:nvSpPr>
      <xdr:spPr bwMode="auto">
        <a:xfrm>
          <a:off x="5829300" y="6286500"/>
          <a:ext cx="838200" cy="4000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1 / 28 vers maison n° 16</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xdr:col>
      <xdr:colOff>133350</xdr:colOff>
      <xdr:row>29</xdr:row>
      <xdr:rowOff>180975</xdr:rowOff>
    </xdr:from>
    <xdr:to>
      <xdr:col>4</xdr:col>
      <xdr:colOff>171450</xdr:colOff>
      <xdr:row>32</xdr:row>
      <xdr:rowOff>47625</xdr:rowOff>
    </xdr:to>
    <xdr:sp macro="" textlink="">
      <xdr:nvSpPr>
        <xdr:cNvPr id="5" name="Text Box 50">
          <a:extLst>
            <a:ext uri="{FF2B5EF4-FFF2-40B4-BE49-F238E27FC236}">
              <a16:creationId xmlns:a16="http://schemas.microsoft.com/office/drawing/2014/main" id="{00000000-0008-0000-1500-000005000000}"/>
            </a:ext>
          </a:extLst>
        </xdr:cNvPr>
        <xdr:cNvSpPr txBox="1">
          <a:spLocks noChangeArrowheads="1"/>
        </xdr:cNvSpPr>
      </xdr:nvSpPr>
      <xdr:spPr bwMode="auto">
        <a:xfrm>
          <a:off x="381000" y="6172200"/>
          <a:ext cx="781050" cy="3714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1 / 28 vers maison n° 14</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8</xdr:col>
      <xdr:colOff>9525</xdr:colOff>
      <xdr:row>25</xdr:row>
      <xdr:rowOff>142875</xdr:rowOff>
    </xdr:from>
    <xdr:to>
      <xdr:col>11</xdr:col>
      <xdr:colOff>152400</xdr:colOff>
      <xdr:row>30</xdr:row>
      <xdr:rowOff>95250</xdr:rowOff>
    </xdr:to>
    <xdr:sp macro="" textlink="">
      <xdr:nvSpPr>
        <xdr:cNvPr id="6" name="Rectangle 5">
          <a:extLst>
            <a:ext uri="{FF2B5EF4-FFF2-40B4-BE49-F238E27FC236}">
              <a16:creationId xmlns:a16="http://schemas.microsoft.com/office/drawing/2014/main" id="{00000000-0008-0000-1500-000006000000}"/>
            </a:ext>
          </a:extLst>
        </xdr:cNvPr>
        <xdr:cNvSpPr>
          <a:spLocks noChangeArrowheads="1"/>
        </xdr:cNvSpPr>
      </xdr:nvSpPr>
      <xdr:spPr bwMode="auto">
        <a:xfrm>
          <a:off x="1990725" y="5505450"/>
          <a:ext cx="885825" cy="762000"/>
        </a:xfrm>
        <a:prstGeom prst="rect">
          <a:avLst/>
        </a:prstGeom>
        <a:solidFill>
          <a:srgbClr val="FFFF99"/>
        </a:solidFill>
        <a:ln w="9525">
          <a:solidFill>
            <a:srgbClr val="000000"/>
          </a:solidFill>
          <a:miter lim="800000"/>
          <a:headEnd/>
          <a:tailEnd/>
        </a:ln>
      </xdr:spPr>
    </xdr:sp>
    <xdr:clientData/>
  </xdr:twoCellAnchor>
  <xdr:twoCellAnchor>
    <xdr:from>
      <xdr:col>15</xdr:col>
      <xdr:colOff>781050</xdr:colOff>
      <xdr:row>24</xdr:row>
      <xdr:rowOff>85725</xdr:rowOff>
    </xdr:from>
    <xdr:to>
      <xdr:col>17</xdr:col>
      <xdr:colOff>28575</xdr:colOff>
      <xdr:row>27</xdr:row>
      <xdr:rowOff>76199</xdr:rowOff>
    </xdr:to>
    <xdr:sp macro="" textlink="">
      <xdr:nvSpPr>
        <xdr:cNvPr id="9" name="Text Box 4">
          <a:extLst>
            <a:ext uri="{FF2B5EF4-FFF2-40B4-BE49-F238E27FC236}">
              <a16:creationId xmlns:a16="http://schemas.microsoft.com/office/drawing/2014/main" id="{00000000-0008-0000-1500-000009000000}"/>
            </a:ext>
          </a:extLst>
        </xdr:cNvPr>
        <xdr:cNvSpPr txBox="1">
          <a:spLocks noChangeArrowheads="1"/>
        </xdr:cNvSpPr>
      </xdr:nvSpPr>
      <xdr:spPr bwMode="auto">
        <a:xfrm>
          <a:off x="6057900" y="5286375"/>
          <a:ext cx="790575" cy="476249"/>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fr-FR" sz="800" b="0" i="0" u="none" strike="noStrike" baseline="0">
              <a:solidFill>
                <a:srgbClr val="000000"/>
              </a:solidFill>
              <a:latin typeface="Times New Roman"/>
              <a:cs typeface="Times New Roman"/>
            </a:rPr>
            <a:t>1/ 28 Vers maison    n° 27</a:t>
          </a:r>
        </a:p>
        <a:p>
          <a:pPr algn="l" rtl="0">
            <a:lnSpc>
              <a:spcPts val="7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14</xdr:col>
      <xdr:colOff>342900</xdr:colOff>
      <xdr:row>25</xdr:row>
      <xdr:rowOff>142875</xdr:rowOff>
    </xdr:from>
    <xdr:to>
      <xdr:col>15</xdr:col>
      <xdr:colOff>733425</xdr:colOff>
      <xdr:row>30</xdr:row>
      <xdr:rowOff>95250</xdr:rowOff>
    </xdr:to>
    <xdr:sp macro="" textlink="">
      <xdr:nvSpPr>
        <xdr:cNvPr id="10" name="Rectangle 9">
          <a:extLst>
            <a:ext uri="{FF2B5EF4-FFF2-40B4-BE49-F238E27FC236}">
              <a16:creationId xmlns:a16="http://schemas.microsoft.com/office/drawing/2014/main" id="{00000000-0008-0000-1500-00000A000000}"/>
            </a:ext>
          </a:extLst>
        </xdr:cNvPr>
        <xdr:cNvSpPr>
          <a:spLocks noChangeArrowheads="1"/>
        </xdr:cNvSpPr>
      </xdr:nvSpPr>
      <xdr:spPr bwMode="auto">
        <a:xfrm>
          <a:off x="5143500" y="5505450"/>
          <a:ext cx="885825" cy="762000"/>
        </a:xfrm>
        <a:prstGeom prst="rect">
          <a:avLst/>
        </a:prstGeom>
        <a:solidFill>
          <a:srgbClr val="FFFF99"/>
        </a:solidFill>
        <a:ln w="9525">
          <a:solidFill>
            <a:srgbClr val="000000"/>
          </a:solidFill>
          <a:miter lim="800000"/>
          <a:headEnd/>
          <a:tailEnd/>
        </a:ln>
      </xdr:spPr>
    </xdr:sp>
    <xdr:clientData/>
  </xdr:twoCellAnchor>
  <xdr:twoCellAnchor>
    <xdr:from>
      <xdr:col>11</xdr:col>
      <xdr:colOff>161925</xdr:colOff>
      <xdr:row>30</xdr:row>
      <xdr:rowOff>95250</xdr:rowOff>
    </xdr:from>
    <xdr:to>
      <xdr:col>14</xdr:col>
      <xdr:colOff>361950</xdr:colOff>
      <xdr:row>34</xdr:row>
      <xdr:rowOff>152400</xdr:rowOff>
    </xdr:to>
    <xdr:sp macro="" textlink="">
      <xdr:nvSpPr>
        <xdr:cNvPr id="11" name="Rectangle 10">
          <a:extLst>
            <a:ext uri="{FF2B5EF4-FFF2-40B4-BE49-F238E27FC236}">
              <a16:creationId xmlns:a16="http://schemas.microsoft.com/office/drawing/2014/main" id="{00000000-0008-0000-1500-00000B000000}"/>
            </a:ext>
          </a:extLst>
        </xdr:cNvPr>
        <xdr:cNvSpPr>
          <a:spLocks noChangeArrowheads="1"/>
        </xdr:cNvSpPr>
      </xdr:nvSpPr>
      <xdr:spPr bwMode="auto">
        <a:xfrm>
          <a:off x="2886075" y="6267450"/>
          <a:ext cx="2276475" cy="704850"/>
        </a:xfrm>
        <a:prstGeom prst="rect">
          <a:avLst/>
        </a:prstGeom>
        <a:solidFill>
          <a:srgbClr val="FFFF99"/>
        </a:solidFill>
        <a:ln w="9525">
          <a:solidFill>
            <a:srgbClr val="000000"/>
          </a:solidFill>
          <a:miter lim="800000"/>
          <a:headEnd/>
          <a:tailEnd/>
        </a:ln>
      </xdr:spPr>
    </xdr:sp>
    <xdr:clientData/>
  </xdr:twoCellAnchor>
  <xdr:twoCellAnchor>
    <xdr:from>
      <xdr:col>15</xdr:col>
      <xdr:colOff>342900</xdr:colOff>
      <xdr:row>25</xdr:row>
      <xdr:rowOff>57150</xdr:rowOff>
    </xdr:from>
    <xdr:to>
      <xdr:col>15</xdr:col>
      <xdr:colOff>342900</xdr:colOff>
      <xdr:row>26</xdr:row>
      <xdr:rowOff>114300</xdr:rowOff>
    </xdr:to>
    <xdr:sp macro="" textlink="">
      <xdr:nvSpPr>
        <xdr:cNvPr id="12" name="Line 10">
          <a:extLst>
            <a:ext uri="{FF2B5EF4-FFF2-40B4-BE49-F238E27FC236}">
              <a16:creationId xmlns:a16="http://schemas.microsoft.com/office/drawing/2014/main" id="{00000000-0008-0000-1500-00000C000000}"/>
            </a:ext>
          </a:extLst>
        </xdr:cNvPr>
        <xdr:cNvSpPr>
          <a:spLocks noChangeShapeType="1"/>
        </xdr:cNvSpPr>
      </xdr:nvSpPr>
      <xdr:spPr bwMode="auto">
        <a:xfrm flipV="1">
          <a:off x="5638800" y="5419725"/>
          <a:ext cx="0" cy="21907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333375</xdr:colOff>
      <xdr:row>25</xdr:row>
      <xdr:rowOff>47625</xdr:rowOff>
    </xdr:from>
    <xdr:to>
      <xdr:col>15</xdr:col>
      <xdr:colOff>733425</xdr:colOff>
      <xdr:row>25</xdr:row>
      <xdr:rowOff>47625</xdr:rowOff>
    </xdr:to>
    <xdr:sp macro="" textlink="">
      <xdr:nvSpPr>
        <xdr:cNvPr id="13" name="Line 11">
          <a:extLst>
            <a:ext uri="{FF2B5EF4-FFF2-40B4-BE49-F238E27FC236}">
              <a16:creationId xmlns:a16="http://schemas.microsoft.com/office/drawing/2014/main" id="{00000000-0008-0000-1500-00000D000000}"/>
            </a:ext>
          </a:extLst>
        </xdr:cNvPr>
        <xdr:cNvSpPr>
          <a:spLocks noChangeShapeType="1"/>
        </xdr:cNvSpPr>
      </xdr:nvSpPr>
      <xdr:spPr bwMode="auto">
        <a:xfrm flipV="1">
          <a:off x="5629275" y="5410200"/>
          <a:ext cx="40005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466725</xdr:colOff>
      <xdr:row>28</xdr:row>
      <xdr:rowOff>28575</xdr:rowOff>
    </xdr:from>
    <xdr:to>
      <xdr:col>15</xdr:col>
      <xdr:colOff>66675</xdr:colOff>
      <xdr:row>28</xdr:row>
      <xdr:rowOff>28575</xdr:rowOff>
    </xdr:to>
    <xdr:sp macro="" textlink="">
      <xdr:nvSpPr>
        <xdr:cNvPr id="14" name="Line 12">
          <a:extLst>
            <a:ext uri="{FF2B5EF4-FFF2-40B4-BE49-F238E27FC236}">
              <a16:creationId xmlns:a16="http://schemas.microsoft.com/office/drawing/2014/main" id="{00000000-0008-0000-1500-00000E000000}"/>
            </a:ext>
          </a:extLst>
        </xdr:cNvPr>
        <xdr:cNvSpPr>
          <a:spLocks noChangeShapeType="1"/>
        </xdr:cNvSpPr>
      </xdr:nvSpPr>
      <xdr:spPr bwMode="auto">
        <a:xfrm flipH="1">
          <a:off x="5267325" y="5876925"/>
          <a:ext cx="9525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476250</xdr:colOff>
      <xdr:row>23</xdr:row>
      <xdr:rowOff>76200</xdr:rowOff>
    </xdr:from>
    <xdr:to>
      <xdr:col>14</xdr:col>
      <xdr:colOff>476250</xdr:colOff>
      <xdr:row>29</xdr:row>
      <xdr:rowOff>85200</xdr:rowOff>
    </xdr:to>
    <xdr:sp macro="" textlink="">
      <xdr:nvSpPr>
        <xdr:cNvPr id="15" name="Line 13">
          <a:extLst>
            <a:ext uri="{FF2B5EF4-FFF2-40B4-BE49-F238E27FC236}">
              <a16:creationId xmlns:a16="http://schemas.microsoft.com/office/drawing/2014/main" id="{00000000-0008-0000-1500-00000F000000}"/>
            </a:ext>
          </a:extLst>
        </xdr:cNvPr>
        <xdr:cNvSpPr>
          <a:spLocks noChangeShapeType="1"/>
        </xdr:cNvSpPr>
      </xdr:nvSpPr>
      <xdr:spPr bwMode="auto">
        <a:xfrm flipV="1">
          <a:off x="5276850" y="5114925"/>
          <a:ext cx="0" cy="9805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466725</xdr:colOff>
      <xdr:row>29</xdr:row>
      <xdr:rowOff>76200</xdr:rowOff>
    </xdr:from>
    <xdr:to>
      <xdr:col>15</xdr:col>
      <xdr:colOff>85725</xdr:colOff>
      <xdr:row>29</xdr:row>
      <xdr:rowOff>76200</xdr:rowOff>
    </xdr:to>
    <xdr:sp macro="" textlink="">
      <xdr:nvSpPr>
        <xdr:cNvPr id="16" name="Line 14">
          <a:extLst>
            <a:ext uri="{FF2B5EF4-FFF2-40B4-BE49-F238E27FC236}">
              <a16:creationId xmlns:a16="http://schemas.microsoft.com/office/drawing/2014/main" id="{00000000-0008-0000-1500-000010000000}"/>
            </a:ext>
          </a:extLst>
        </xdr:cNvPr>
        <xdr:cNvSpPr>
          <a:spLocks noChangeShapeType="1"/>
        </xdr:cNvSpPr>
      </xdr:nvSpPr>
      <xdr:spPr bwMode="auto">
        <a:xfrm flipH="1" flipV="1">
          <a:off x="5267325" y="6086475"/>
          <a:ext cx="11430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485775</xdr:colOff>
      <xdr:row>27</xdr:row>
      <xdr:rowOff>0</xdr:rowOff>
    </xdr:from>
    <xdr:to>
      <xdr:col>15</xdr:col>
      <xdr:colOff>66675</xdr:colOff>
      <xdr:row>27</xdr:row>
      <xdr:rowOff>0</xdr:rowOff>
    </xdr:to>
    <xdr:sp macro="" textlink="">
      <xdr:nvSpPr>
        <xdr:cNvPr id="17" name="Line 15">
          <a:extLst>
            <a:ext uri="{FF2B5EF4-FFF2-40B4-BE49-F238E27FC236}">
              <a16:creationId xmlns:a16="http://schemas.microsoft.com/office/drawing/2014/main" id="{00000000-0008-0000-1500-000011000000}"/>
            </a:ext>
          </a:extLst>
        </xdr:cNvPr>
        <xdr:cNvSpPr>
          <a:spLocks noChangeShapeType="1"/>
        </xdr:cNvSpPr>
      </xdr:nvSpPr>
      <xdr:spPr bwMode="auto">
        <a:xfrm>
          <a:off x="5286375" y="5686425"/>
          <a:ext cx="7620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352424</xdr:colOff>
      <xdr:row>29</xdr:row>
      <xdr:rowOff>19049</xdr:rowOff>
    </xdr:from>
    <xdr:to>
      <xdr:col>15</xdr:col>
      <xdr:colOff>352425</xdr:colOff>
      <xdr:row>32</xdr:row>
      <xdr:rowOff>19050</xdr:rowOff>
    </xdr:to>
    <xdr:sp macro="" textlink="">
      <xdr:nvSpPr>
        <xdr:cNvPr id="18" name="Line 16">
          <a:extLst>
            <a:ext uri="{FF2B5EF4-FFF2-40B4-BE49-F238E27FC236}">
              <a16:creationId xmlns:a16="http://schemas.microsoft.com/office/drawing/2014/main" id="{00000000-0008-0000-1500-000012000000}"/>
            </a:ext>
          </a:extLst>
        </xdr:cNvPr>
        <xdr:cNvSpPr>
          <a:spLocks noChangeShapeType="1"/>
        </xdr:cNvSpPr>
      </xdr:nvSpPr>
      <xdr:spPr bwMode="auto">
        <a:xfrm>
          <a:off x="5648324" y="6029324"/>
          <a:ext cx="1" cy="485776"/>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361950</xdr:colOff>
      <xdr:row>32</xdr:row>
      <xdr:rowOff>9525</xdr:rowOff>
    </xdr:from>
    <xdr:to>
      <xdr:col>15</xdr:col>
      <xdr:colOff>600075</xdr:colOff>
      <xdr:row>32</xdr:row>
      <xdr:rowOff>9525</xdr:rowOff>
    </xdr:to>
    <xdr:sp macro="" textlink="">
      <xdr:nvSpPr>
        <xdr:cNvPr id="19" name="Line 17">
          <a:extLst>
            <a:ext uri="{FF2B5EF4-FFF2-40B4-BE49-F238E27FC236}">
              <a16:creationId xmlns:a16="http://schemas.microsoft.com/office/drawing/2014/main" id="{00000000-0008-0000-1500-000013000000}"/>
            </a:ext>
          </a:extLst>
        </xdr:cNvPr>
        <xdr:cNvSpPr>
          <a:spLocks noChangeShapeType="1"/>
        </xdr:cNvSpPr>
      </xdr:nvSpPr>
      <xdr:spPr bwMode="auto">
        <a:xfrm flipV="1">
          <a:off x="5657850" y="6505575"/>
          <a:ext cx="238125"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733425</xdr:colOff>
      <xdr:row>20</xdr:row>
      <xdr:rowOff>0</xdr:rowOff>
    </xdr:from>
    <xdr:to>
      <xdr:col>13</xdr:col>
      <xdr:colOff>733425</xdr:colOff>
      <xdr:row>23</xdr:row>
      <xdr:rowOff>104775</xdr:rowOff>
    </xdr:to>
    <xdr:sp macro="" textlink="">
      <xdr:nvSpPr>
        <xdr:cNvPr id="20" name="Line 18">
          <a:extLst>
            <a:ext uri="{FF2B5EF4-FFF2-40B4-BE49-F238E27FC236}">
              <a16:creationId xmlns:a16="http://schemas.microsoft.com/office/drawing/2014/main" id="{00000000-0008-0000-1500-000014000000}"/>
            </a:ext>
          </a:extLst>
        </xdr:cNvPr>
        <xdr:cNvSpPr>
          <a:spLocks noChangeShapeType="1"/>
        </xdr:cNvSpPr>
      </xdr:nvSpPr>
      <xdr:spPr bwMode="auto">
        <a:xfrm flipV="1">
          <a:off x="4772025" y="4552950"/>
          <a:ext cx="0" cy="5905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152400</xdr:colOff>
      <xdr:row>19</xdr:row>
      <xdr:rowOff>95250</xdr:rowOff>
    </xdr:from>
    <xdr:to>
      <xdr:col>13</xdr:col>
      <xdr:colOff>390525</xdr:colOff>
      <xdr:row>20</xdr:row>
      <xdr:rowOff>152400</xdr:rowOff>
    </xdr:to>
    <xdr:sp macro="" textlink="">
      <xdr:nvSpPr>
        <xdr:cNvPr id="21" name="Text Box 19">
          <a:extLst>
            <a:ext uri="{FF2B5EF4-FFF2-40B4-BE49-F238E27FC236}">
              <a16:creationId xmlns:a16="http://schemas.microsoft.com/office/drawing/2014/main" id="{00000000-0008-0000-1500-000015000000}"/>
            </a:ext>
          </a:extLst>
        </xdr:cNvPr>
        <xdr:cNvSpPr txBox="1">
          <a:spLocks noChangeArrowheads="1"/>
        </xdr:cNvSpPr>
      </xdr:nvSpPr>
      <xdr:spPr bwMode="auto">
        <a:xfrm>
          <a:off x="2876550" y="4457700"/>
          <a:ext cx="1552575" cy="247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       2 /45 vers Borne n° 1</a:t>
          </a:r>
        </a:p>
      </xdr:txBody>
    </xdr:sp>
    <xdr:clientData/>
  </xdr:twoCellAnchor>
  <xdr:twoCellAnchor>
    <xdr:from>
      <xdr:col>11</xdr:col>
      <xdr:colOff>85724</xdr:colOff>
      <xdr:row>23</xdr:row>
      <xdr:rowOff>28573</xdr:rowOff>
    </xdr:from>
    <xdr:to>
      <xdr:col>11</xdr:col>
      <xdr:colOff>85725</xdr:colOff>
      <xdr:row>29</xdr:row>
      <xdr:rowOff>73573</xdr:rowOff>
    </xdr:to>
    <xdr:sp macro="" textlink="">
      <xdr:nvSpPr>
        <xdr:cNvPr id="22" name="Line 20">
          <a:extLst>
            <a:ext uri="{FF2B5EF4-FFF2-40B4-BE49-F238E27FC236}">
              <a16:creationId xmlns:a16="http://schemas.microsoft.com/office/drawing/2014/main" id="{00000000-0008-0000-1500-000016000000}"/>
            </a:ext>
          </a:extLst>
        </xdr:cNvPr>
        <xdr:cNvSpPr>
          <a:spLocks noChangeShapeType="1"/>
        </xdr:cNvSpPr>
      </xdr:nvSpPr>
      <xdr:spPr bwMode="auto">
        <a:xfrm flipV="1">
          <a:off x="2809874" y="5067298"/>
          <a:ext cx="1" cy="10165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238124</xdr:colOff>
      <xdr:row>27</xdr:row>
      <xdr:rowOff>0</xdr:rowOff>
    </xdr:from>
    <xdr:to>
      <xdr:col>11</xdr:col>
      <xdr:colOff>88949</xdr:colOff>
      <xdr:row>27</xdr:row>
      <xdr:rowOff>0</xdr:rowOff>
    </xdr:to>
    <xdr:sp macro="" textlink="">
      <xdr:nvSpPr>
        <xdr:cNvPr id="23" name="Line 21">
          <a:extLst>
            <a:ext uri="{FF2B5EF4-FFF2-40B4-BE49-F238E27FC236}">
              <a16:creationId xmlns:a16="http://schemas.microsoft.com/office/drawing/2014/main" id="{00000000-0008-0000-1500-000017000000}"/>
            </a:ext>
          </a:extLst>
        </xdr:cNvPr>
        <xdr:cNvSpPr>
          <a:spLocks noChangeShapeType="1"/>
        </xdr:cNvSpPr>
      </xdr:nvSpPr>
      <xdr:spPr bwMode="auto">
        <a:xfrm>
          <a:off x="2714624" y="5686425"/>
          <a:ext cx="984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238125</xdr:colOff>
      <xdr:row>28</xdr:row>
      <xdr:rowOff>19050</xdr:rowOff>
    </xdr:from>
    <xdr:to>
      <xdr:col>11</xdr:col>
      <xdr:colOff>88950</xdr:colOff>
      <xdr:row>28</xdr:row>
      <xdr:rowOff>19050</xdr:rowOff>
    </xdr:to>
    <xdr:sp macro="" textlink="">
      <xdr:nvSpPr>
        <xdr:cNvPr id="24" name="Line 22">
          <a:extLst>
            <a:ext uri="{FF2B5EF4-FFF2-40B4-BE49-F238E27FC236}">
              <a16:creationId xmlns:a16="http://schemas.microsoft.com/office/drawing/2014/main" id="{00000000-0008-0000-1500-000018000000}"/>
            </a:ext>
          </a:extLst>
        </xdr:cNvPr>
        <xdr:cNvSpPr>
          <a:spLocks noChangeShapeType="1"/>
        </xdr:cNvSpPr>
      </xdr:nvSpPr>
      <xdr:spPr bwMode="auto">
        <a:xfrm>
          <a:off x="2714625" y="5867400"/>
          <a:ext cx="984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228600</xdr:colOff>
      <xdr:row>29</xdr:row>
      <xdr:rowOff>57150</xdr:rowOff>
    </xdr:from>
    <xdr:to>
      <xdr:col>11</xdr:col>
      <xdr:colOff>79425</xdr:colOff>
      <xdr:row>29</xdr:row>
      <xdr:rowOff>57150</xdr:rowOff>
    </xdr:to>
    <xdr:sp macro="" textlink="">
      <xdr:nvSpPr>
        <xdr:cNvPr id="25" name="Line 23">
          <a:extLst>
            <a:ext uri="{FF2B5EF4-FFF2-40B4-BE49-F238E27FC236}">
              <a16:creationId xmlns:a16="http://schemas.microsoft.com/office/drawing/2014/main" id="{00000000-0008-0000-1500-000019000000}"/>
            </a:ext>
          </a:extLst>
        </xdr:cNvPr>
        <xdr:cNvSpPr>
          <a:spLocks noChangeShapeType="1"/>
        </xdr:cNvSpPr>
      </xdr:nvSpPr>
      <xdr:spPr bwMode="auto">
        <a:xfrm>
          <a:off x="2705100" y="6067425"/>
          <a:ext cx="984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28576</xdr:colOff>
      <xdr:row>21</xdr:row>
      <xdr:rowOff>47626</xdr:rowOff>
    </xdr:from>
    <xdr:to>
      <xdr:col>9</xdr:col>
      <xdr:colOff>219075</xdr:colOff>
      <xdr:row>23</xdr:row>
      <xdr:rowOff>76200</xdr:rowOff>
    </xdr:to>
    <xdr:sp macro="" textlink="">
      <xdr:nvSpPr>
        <xdr:cNvPr id="26" name="Text Box 24">
          <a:extLst>
            <a:ext uri="{FF2B5EF4-FFF2-40B4-BE49-F238E27FC236}">
              <a16:creationId xmlns:a16="http://schemas.microsoft.com/office/drawing/2014/main" id="{00000000-0008-0000-1500-00001A000000}"/>
            </a:ext>
          </a:extLst>
        </xdr:cNvPr>
        <xdr:cNvSpPr txBox="1">
          <a:spLocks noChangeArrowheads="1"/>
        </xdr:cNvSpPr>
      </xdr:nvSpPr>
      <xdr:spPr bwMode="auto">
        <a:xfrm>
          <a:off x="1514476" y="4762501"/>
          <a:ext cx="933449" cy="352424"/>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fr-FR" sz="800" b="0" i="0" u="none" strike="noStrike" baseline="0">
              <a:solidFill>
                <a:srgbClr val="000000"/>
              </a:solidFill>
              <a:latin typeface="Times New Roman"/>
              <a:cs typeface="Times New Roman"/>
            </a:rPr>
            <a:t>Réseau 3 /45 vers chambre N° 2</a:t>
          </a:r>
        </a:p>
        <a:p>
          <a:pPr algn="l" rtl="0">
            <a:lnSpc>
              <a:spcPts val="7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13</xdr:col>
      <xdr:colOff>742950</xdr:colOff>
      <xdr:row>22</xdr:row>
      <xdr:rowOff>171450</xdr:rowOff>
    </xdr:from>
    <xdr:to>
      <xdr:col>14</xdr:col>
      <xdr:colOff>161925</xdr:colOff>
      <xdr:row>22</xdr:row>
      <xdr:rowOff>171450</xdr:rowOff>
    </xdr:to>
    <xdr:sp macro="" textlink="">
      <xdr:nvSpPr>
        <xdr:cNvPr id="27" name="Line 25">
          <a:extLst>
            <a:ext uri="{FF2B5EF4-FFF2-40B4-BE49-F238E27FC236}">
              <a16:creationId xmlns:a16="http://schemas.microsoft.com/office/drawing/2014/main" id="{00000000-0008-0000-1500-00001B000000}"/>
            </a:ext>
          </a:extLst>
        </xdr:cNvPr>
        <xdr:cNvSpPr>
          <a:spLocks noChangeShapeType="1"/>
        </xdr:cNvSpPr>
      </xdr:nvSpPr>
      <xdr:spPr bwMode="auto">
        <a:xfrm>
          <a:off x="4781550" y="5038725"/>
          <a:ext cx="18097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171450</xdr:colOff>
      <xdr:row>22</xdr:row>
      <xdr:rowOff>161925</xdr:rowOff>
    </xdr:from>
    <xdr:to>
      <xdr:col>14</xdr:col>
      <xdr:colOff>171450</xdr:colOff>
      <xdr:row>23</xdr:row>
      <xdr:rowOff>114300</xdr:rowOff>
    </xdr:to>
    <xdr:sp macro="" textlink="">
      <xdr:nvSpPr>
        <xdr:cNvPr id="28" name="Line 26">
          <a:extLst>
            <a:ext uri="{FF2B5EF4-FFF2-40B4-BE49-F238E27FC236}">
              <a16:creationId xmlns:a16="http://schemas.microsoft.com/office/drawing/2014/main" id="{00000000-0008-0000-1500-00001C000000}"/>
            </a:ext>
          </a:extLst>
        </xdr:cNvPr>
        <xdr:cNvSpPr>
          <a:spLocks noChangeShapeType="1"/>
        </xdr:cNvSpPr>
      </xdr:nvSpPr>
      <xdr:spPr bwMode="auto">
        <a:xfrm flipH="1">
          <a:off x="4972050" y="5038725"/>
          <a:ext cx="0" cy="11430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838200</xdr:colOff>
      <xdr:row>35</xdr:row>
      <xdr:rowOff>95251</xdr:rowOff>
    </xdr:from>
    <xdr:to>
      <xdr:col>14</xdr:col>
      <xdr:colOff>47625</xdr:colOff>
      <xdr:row>37</xdr:row>
      <xdr:rowOff>95251</xdr:rowOff>
    </xdr:to>
    <xdr:sp macro="" textlink="">
      <xdr:nvSpPr>
        <xdr:cNvPr id="29" name="Text Box 27">
          <a:extLst>
            <a:ext uri="{FF2B5EF4-FFF2-40B4-BE49-F238E27FC236}">
              <a16:creationId xmlns:a16="http://schemas.microsoft.com/office/drawing/2014/main" id="{00000000-0008-0000-1500-00001D000000}"/>
            </a:ext>
          </a:extLst>
        </xdr:cNvPr>
        <xdr:cNvSpPr txBox="1">
          <a:spLocks noChangeArrowheads="1"/>
        </xdr:cNvSpPr>
      </xdr:nvSpPr>
      <xdr:spPr bwMode="auto">
        <a:xfrm>
          <a:off x="3810000" y="7077076"/>
          <a:ext cx="1038225" cy="3238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3/ 45 vers chambre LIT n° 2</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7</xdr:col>
      <xdr:colOff>142875</xdr:colOff>
      <xdr:row>43</xdr:row>
      <xdr:rowOff>152400</xdr:rowOff>
    </xdr:from>
    <xdr:to>
      <xdr:col>16</xdr:col>
      <xdr:colOff>133350</xdr:colOff>
      <xdr:row>56</xdr:row>
      <xdr:rowOff>66675</xdr:rowOff>
    </xdr:to>
    <xdr:grpSp>
      <xdr:nvGrpSpPr>
        <xdr:cNvPr id="30" name="Group 30">
          <a:extLst>
            <a:ext uri="{FF2B5EF4-FFF2-40B4-BE49-F238E27FC236}">
              <a16:creationId xmlns:a16="http://schemas.microsoft.com/office/drawing/2014/main" id="{00000000-0008-0000-1500-00001E000000}"/>
            </a:ext>
          </a:extLst>
        </xdr:cNvPr>
        <xdr:cNvGrpSpPr>
          <a:grpSpLocks/>
        </xdr:cNvGrpSpPr>
      </xdr:nvGrpSpPr>
      <xdr:grpSpPr bwMode="auto">
        <a:xfrm>
          <a:off x="1868581" y="8276665"/>
          <a:ext cx="4304740" cy="1953745"/>
          <a:chOff x="130" y="831"/>
          <a:chExt cx="442" cy="257"/>
        </a:xfrm>
      </xdr:grpSpPr>
      <xdr:sp macro="" textlink="">
        <xdr:nvSpPr>
          <xdr:cNvPr id="31" name="Rectangle 30">
            <a:extLst>
              <a:ext uri="{FF2B5EF4-FFF2-40B4-BE49-F238E27FC236}">
                <a16:creationId xmlns:a16="http://schemas.microsoft.com/office/drawing/2014/main" id="{00000000-0008-0000-1500-00001F000000}"/>
              </a:ext>
            </a:extLst>
          </xdr:cNvPr>
          <xdr:cNvSpPr>
            <a:spLocks noChangeArrowheads="1"/>
          </xdr:cNvSpPr>
        </xdr:nvSpPr>
        <xdr:spPr bwMode="auto">
          <a:xfrm>
            <a:off x="130" y="919"/>
            <a:ext cx="97" cy="87"/>
          </a:xfrm>
          <a:prstGeom prst="rect">
            <a:avLst/>
          </a:prstGeom>
          <a:solidFill>
            <a:srgbClr val="FFFF99"/>
          </a:solidFill>
          <a:ln w="9525">
            <a:solidFill>
              <a:srgbClr val="000000"/>
            </a:solidFill>
            <a:miter lim="800000"/>
            <a:headEnd/>
            <a:tailEnd/>
          </a:ln>
        </xdr:spPr>
      </xdr:sp>
      <xdr:sp macro="" textlink="">
        <xdr:nvSpPr>
          <xdr:cNvPr id="32" name="Rectangle 31">
            <a:extLst>
              <a:ext uri="{FF2B5EF4-FFF2-40B4-BE49-F238E27FC236}">
                <a16:creationId xmlns:a16="http://schemas.microsoft.com/office/drawing/2014/main" id="{00000000-0008-0000-1500-000020000000}"/>
              </a:ext>
            </a:extLst>
          </xdr:cNvPr>
          <xdr:cNvSpPr>
            <a:spLocks noChangeArrowheads="1"/>
          </xdr:cNvSpPr>
        </xdr:nvSpPr>
        <xdr:spPr bwMode="auto">
          <a:xfrm>
            <a:off x="227" y="831"/>
            <a:ext cx="249" cy="88"/>
          </a:xfrm>
          <a:prstGeom prst="rect">
            <a:avLst/>
          </a:prstGeom>
          <a:solidFill>
            <a:srgbClr val="FFFF99"/>
          </a:solidFill>
          <a:ln w="9525">
            <a:solidFill>
              <a:srgbClr val="000000"/>
            </a:solidFill>
            <a:miter lim="800000"/>
            <a:headEnd/>
            <a:tailEnd/>
          </a:ln>
        </xdr:spPr>
      </xdr:sp>
      <xdr:sp macro="" textlink="">
        <xdr:nvSpPr>
          <xdr:cNvPr id="33" name="Rectangle 32">
            <a:extLst>
              <a:ext uri="{FF2B5EF4-FFF2-40B4-BE49-F238E27FC236}">
                <a16:creationId xmlns:a16="http://schemas.microsoft.com/office/drawing/2014/main" id="{00000000-0008-0000-1500-000021000000}"/>
              </a:ext>
            </a:extLst>
          </xdr:cNvPr>
          <xdr:cNvSpPr>
            <a:spLocks noChangeArrowheads="1"/>
          </xdr:cNvSpPr>
        </xdr:nvSpPr>
        <xdr:spPr bwMode="auto">
          <a:xfrm>
            <a:off x="476" y="919"/>
            <a:ext cx="96" cy="87"/>
          </a:xfrm>
          <a:prstGeom prst="rect">
            <a:avLst/>
          </a:prstGeom>
          <a:solidFill>
            <a:srgbClr val="FFFF99"/>
          </a:solidFill>
          <a:ln w="9525">
            <a:solidFill>
              <a:srgbClr val="000000"/>
            </a:solidFill>
            <a:miter lim="800000"/>
            <a:headEnd/>
            <a:tailEnd/>
          </a:ln>
        </xdr:spPr>
      </xdr:sp>
      <xdr:sp macro="" textlink="">
        <xdr:nvSpPr>
          <xdr:cNvPr id="34" name="Rectangle 33">
            <a:extLst>
              <a:ext uri="{FF2B5EF4-FFF2-40B4-BE49-F238E27FC236}">
                <a16:creationId xmlns:a16="http://schemas.microsoft.com/office/drawing/2014/main" id="{00000000-0008-0000-1500-000022000000}"/>
              </a:ext>
            </a:extLst>
          </xdr:cNvPr>
          <xdr:cNvSpPr>
            <a:spLocks noChangeArrowheads="1"/>
          </xdr:cNvSpPr>
        </xdr:nvSpPr>
        <xdr:spPr bwMode="auto">
          <a:xfrm>
            <a:off x="227" y="1006"/>
            <a:ext cx="249" cy="82"/>
          </a:xfrm>
          <a:prstGeom prst="rect">
            <a:avLst/>
          </a:prstGeom>
          <a:solidFill>
            <a:srgbClr val="FFFF99"/>
          </a:solidFill>
          <a:ln w="9525">
            <a:solidFill>
              <a:srgbClr val="000000"/>
            </a:solidFill>
            <a:miter lim="800000"/>
            <a:headEnd/>
            <a:tailEnd/>
          </a:ln>
        </xdr:spPr>
      </xdr:sp>
      <xdr:sp macro="" textlink="">
        <xdr:nvSpPr>
          <xdr:cNvPr id="35" name="Rectangle 34">
            <a:extLst>
              <a:ext uri="{FF2B5EF4-FFF2-40B4-BE49-F238E27FC236}">
                <a16:creationId xmlns:a16="http://schemas.microsoft.com/office/drawing/2014/main" id="{00000000-0008-0000-1500-000023000000}"/>
              </a:ext>
            </a:extLst>
          </xdr:cNvPr>
          <xdr:cNvSpPr>
            <a:spLocks noChangeArrowheads="1"/>
          </xdr:cNvSpPr>
        </xdr:nvSpPr>
        <xdr:spPr bwMode="auto">
          <a:xfrm>
            <a:off x="227" y="919"/>
            <a:ext cx="249" cy="87"/>
          </a:xfrm>
          <a:prstGeom prst="rect">
            <a:avLst/>
          </a:prstGeom>
          <a:gradFill rotWithShape="1">
            <a:gsLst>
              <a:gs pos="0">
                <a:srgbClr val="767647"/>
              </a:gs>
              <a:gs pos="50000">
                <a:srgbClr val="FFFF99"/>
              </a:gs>
              <a:gs pos="100000">
                <a:srgbClr val="767647"/>
              </a:gs>
            </a:gsLst>
            <a:lin ang="0" scaled="1"/>
          </a:gradFill>
          <a:ln w="9525">
            <a:solidFill>
              <a:srgbClr val="000000"/>
            </a:solidFill>
            <a:miter lim="800000"/>
            <a:headEnd/>
            <a:tailEnd/>
          </a:ln>
        </xdr:spPr>
      </xdr:sp>
    </xdr:grpSp>
    <xdr:clientData/>
  </xdr:twoCellAnchor>
  <xdr:twoCellAnchor>
    <xdr:from>
      <xdr:col>15</xdr:col>
      <xdr:colOff>771525</xdr:colOff>
      <xdr:row>26</xdr:row>
      <xdr:rowOff>28576</xdr:rowOff>
    </xdr:from>
    <xdr:to>
      <xdr:col>16</xdr:col>
      <xdr:colOff>762000</xdr:colOff>
      <xdr:row>27</xdr:row>
      <xdr:rowOff>95251</xdr:rowOff>
    </xdr:to>
    <xdr:sp macro="" textlink="">
      <xdr:nvSpPr>
        <xdr:cNvPr id="36" name="Text Box 36">
          <a:extLst>
            <a:ext uri="{FF2B5EF4-FFF2-40B4-BE49-F238E27FC236}">
              <a16:creationId xmlns:a16="http://schemas.microsoft.com/office/drawing/2014/main" id="{00000000-0008-0000-1500-000024000000}"/>
            </a:ext>
          </a:extLst>
        </xdr:cNvPr>
        <xdr:cNvSpPr txBox="1">
          <a:spLocks noChangeArrowheads="1"/>
        </xdr:cNvSpPr>
      </xdr:nvSpPr>
      <xdr:spPr bwMode="auto">
        <a:xfrm>
          <a:off x="6057900" y="5553076"/>
          <a:ext cx="762000" cy="22860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8m</a:t>
          </a:r>
        </a:p>
      </xdr:txBody>
    </xdr:sp>
    <xdr:clientData/>
  </xdr:twoCellAnchor>
  <xdr:twoCellAnchor>
    <xdr:from>
      <xdr:col>15</xdr:col>
      <xdr:colOff>514350</xdr:colOff>
      <xdr:row>32</xdr:row>
      <xdr:rowOff>114300</xdr:rowOff>
    </xdr:from>
    <xdr:to>
      <xdr:col>16</xdr:col>
      <xdr:colOff>504825</xdr:colOff>
      <xdr:row>34</xdr:row>
      <xdr:rowOff>95250</xdr:rowOff>
    </xdr:to>
    <xdr:sp macro="" textlink="">
      <xdr:nvSpPr>
        <xdr:cNvPr id="37" name="Text Box 37">
          <a:extLst>
            <a:ext uri="{FF2B5EF4-FFF2-40B4-BE49-F238E27FC236}">
              <a16:creationId xmlns:a16="http://schemas.microsoft.com/office/drawing/2014/main" id="{00000000-0008-0000-1500-000025000000}"/>
            </a:ext>
          </a:extLst>
        </xdr:cNvPr>
        <xdr:cNvSpPr txBox="1">
          <a:spLocks noChangeArrowheads="1"/>
        </xdr:cNvSpPr>
      </xdr:nvSpPr>
      <xdr:spPr bwMode="auto">
        <a:xfrm>
          <a:off x="5810250" y="6610350"/>
          <a:ext cx="752475" cy="30480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12m</a:t>
          </a:r>
        </a:p>
      </xdr:txBody>
    </xdr:sp>
    <xdr:clientData/>
  </xdr:twoCellAnchor>
  <xdr:twoCellAnchor>
    <xdr:from>
      <xdr:col>9</xdr:col>
      <xdr:colOff>85725</xdr:colOff>
      <xdr:row>19</xdr:row>
      <xdr:rowOff>104775</xdr:rowOff>
    </xdr:from>
    <xdr:to>
      <xdr:col>12</xdr:col>
      <xdr:colOff>95250</xdr:colOff>
      <xdr:row>20</xdr:row>
      <xdr:rowOff>130275</xdr:rowOff>
    </xdr:to>
    <xdr:sp macro="" textlink="">
      <xdr:nvSpPr>
        <xdr:cNvPr id="38" name="Text Box 38">
          <a:extLst>
            <a:ext uri="{FF2B5EF4-FFF2-40B4-BE49-F238E27FC236}">
              <a16:creationId xmlns:a16="http://schemas.microsoft.com/office/drawing/2014/main" id="{00000000-0008-0000-1500-000026000000}"/>
            </a:ext>
          </a:extLst>
        </xdr:cNvPr>
        <xdr:cNvSpPr txBox="1">
          <a:spLocks noChangeArrowheads="1"/>
        </xdr:cNvSpPr>
      </xdr:nvSpPr>
      <xdr:spPr bwMode="auto">
        <a:xfrm>
          <a:off x="2314575" y="4467225"/>
          <a:ext cx="752475" cy="21600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2m</a:t>
          </a:r>
        </a:p>
      </xdr:txBody>
    </xdr:sp>
    <xdr:clientData/>
  </xdr:twoCellAnchor>
  <xdr:twoCellAnchor>
    <xdr:from>
      <xdr:col>6</xdr:col>
      <xdr:colOff>28575</xdr:colOff>
      <xdr:row>23</xdr:row>
      <xdr:rowOff>9525</xdr:rowOff>
    </xdr:from>
    <xdr:to>
      <xdr:col>9</xdr:col>
      <xdr:colOff>38100</xdr:colOff>
      <xdr:row>24</xdr:row>
      <xdr:rowOff>85725</xdr:rowOff>
    </xdr:to>
    <xdr:sp macro="" textlink="">
      <xdr:nvSpPr>
        <xdr:cNvPr id="39" name="Text Box 39">
          <a:extLst>
            <a:ext uri="{FF2B5EF4-FFF2-40B4-BE49-F238E27FC236}">
              <a16:creationId xmlns:a16="http://schemas.microsoft.com/office/drawing/2014/main" id="{00000000-0008-0000-1500-000027000000}"/>
            </a:ext>
          </a:extLst>
        </xdr:cNvPr>
        <xdr:cNvSpPr txBox="1">
          <a:spLocks noChangeArrowheads="1"/>
        </xdr:cNvSpPr>
      </xdr:nvSpPr>
      <xdr:spPr bwMode="auto">
        <a:xfrm>
          <a:off x="1514475" y="5048250"/>
          <a:ext cx="752475" cy="23812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57m</a:t>
          </a:r>
        </a:p>
      </xdr:txBody>
    </xdr:sp>
    <xdr:clientData/>
  </xdr:twoCellAnchor>
  <xdr:twoCellAnchor>
    <xdr:from>
      <xdr:col>14</xdr:col>
      <xdr:colOff>123825</xdr:colOff>
      <xdr:row>23</xdr:row>
      <xdr:rowOff>123825</xdr:rowOff>
    </xdr:from>
    <xdr:to>
      <xdr:col>14</xdr:col>
      <xdr:colOff>231825</xdr:colOff>
      <xdr:row>24</xdr:row>
      <xdr:rowOff>69900</xdr:rowOff>
    </xdr:to>
    <xdr:sp macro="" textlink="">
      <xdr:nvSpPr>
        <xdr:cNvPr id="40" name="Oval 40">
          <a:extLst>
            <a:ext uri="{FF2B5EF4-FFF2-40B4-BE49-F238E27FC236}">
              <a16:creationId xmlns:a16="http://schemas.microsoft.com/office/drawing/2014/main" id="{00000000-0008-0000-1500-000028000000}"/>
            </a:ext>
          </a:extLst>
        </xdr:cNvPr>
        <xdr:cNvSpPr>
          <a:spLocks noChangeArrowheads="1"/>
        </xdr:cNvSpPr>
      </xdr:nvSpPr>
      <xdr:spPr bwMode="auto">
        <a:xfrm>
          <a:off x="4924425" y="5162550"/>
          <a:ext cx="108000" cy="108000"/>
        </a:xfrm>
        <a:prstGeom prst="ellipse">
          <a:avLst/>
        </a:prstGeom>
        <a:solidFill>
          <a:srgbClr val="FFFFFF"/>
        </a:solidFill>
        <a:ln w="9525">
          <a:solidFill>
            <a:srgbClr val="000000"/>
          </a:solidFill>
          <a:round/>
          <a:headEnd/>
          <a:tailEnd/>
        </a:ln>
      </xdr:spPr>
    </xdr:sp>
    <xdr:clientData/>
  </xdr:twoCellAnchor>
  <xdr:twoCellAnchor>
    <xdr:from>
      <xdr:col>13</xdr:col>
      <xdr:colOff>695325</xdr:colOff>
      <xdr:row>23</xdr:row>
      <xdr:rowOff>123825</xdr:rowOff>
    </xdr:from>
    <xdr:to>
      <xdr:col>14</xdr:col>
      <xdr:colOff>3225</xdr:colOff>
      <xdr:row>24</xdr:row>
      <xdr:rowOff>69900</xdr:rowOff>
    </xdr:to>
    <xdr:sp macro="" textlink="">
      <xdr:nvSpPr>
        <xdr:cNvPr id="41" name="Oval 41">
          <a:extLst>
            <a:ext uri="{FF2B5EF4-FFF2-40B4-BE49-F238E27FC236}">
              <a16:creationId xmlns:a16="http://schemas.microsoft.com/office/drawing/2014/main" id="{00000000-0008-0000-1500-000029000000}"/>
            </a:ext>
          </a:extLst>
        </xdr:cNvPr>
        <xdr:cNvSpPr>
          <a:spLocks noChangeArrowheads="1"/>
        </xdr:cNvSpPr>
      </xdr:nvSpPr>
      <xdr:spPr bwMode="auto">
        <a:xfrm>
          <a:off x="4733925" y="5162550"/>
          <a:ext cx="69900" cy="108000"/>
        </a:xfrm>
        <a:prstGeom prst="ellipse">
          <a:avLst/>
        </a:prstGeom>
        <a:solidFill>
          <a:srgbClr val="FFFFFF"/>
        </a:solidFill>
        <a:ln w="9525">
          <a:solidFill>
            <a:srgbClr val="000000"/>
          </a:solidFill>
          <a:round/>
          <a:headEnd/>
          <a:tailEnd/>
        </a:ln>
      </xdr:spPr>
    </xdr:sp>
    <xdr:clientData/>
  </xdr:twoCellAnchor>
  <xdr:twoCellAnchor>
    <xdr:from>
      <xdr:col>4</xdr:col>
      <xdr:colOff>95250</xdr:colOff>
      <xdr:row>31</xdr:row>
      <xdr:rowOff>133350</xdr:rowOff>
    </xdr:from>
    <xdr:to>
      <xdr:col>9</xdr:col>
      <xdr:colOff>209550</xdr:colOff>
      <xdr:row>31</xdr:row>
      <xdr:rowOff>133350</xdr:rowOff>
    </xdr:to>
    <xdr:sp macro="" textlink="">
      <xdr:nvSpPr>
        <xdr:cNvPr id="42" name="Line 43">
          <a:extLst>
            <a:ext uri="{FF2B5EF4-FFF2-40B4-BE49-F238E27FC236}">
              <a16:creationId xmlns:a16="http://schemas.microsoft.com/office/drawing/2014/main" id="{00000000-0008-0000-1500-00002A000000}"/>
            </a:ext>
          </a:extLst>
        </xdr:cNvPr>
        <xdr:cNvSpPr>
          <a:spLocks noChangeShapeType="1"/>
        </xdr:cNvSpPr>
      </xdr:nvSpPr>
      <xdr:spPr bwMode="auto">
        <a:xfrm flipH="1">
          <a:off x="1085850" y="6467475"/>
          <a:ext cx="13525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285750</xdr:colOff>
      <xdr:row>33</xdr:row>
      <xdr:rowOff>47625</xdr:rowOff>
    </xdr:from>
    <xdr:to>
      <xdr:col>12</xdr:col>
      <xdr:colOff>285750</xdr:colOff>
      <xdr:row>36</xdr:row>
      <xdr:rowOff>38100</xdr:rowOff>
    </xdr:to>
    <xdr:sp macro="" textlink="">
      <xdr:nvSpPr>
        <xdr:cNvPr id="43" name="Line 44">
          <a:extLst>
            <a:ext uri="{FF2B5EF4-FFF2-40B4-BE49-F238E27FC236}">
              <a16:creationId xmlns:a16="http://schemas.microsoft.com/office/drawing/2014/main" id="{00000000-0008-0000-1500-00002B000000}"/>
            </a:ext>
          </a:extLst>
        </xdr:cNvPr>
        <xdr:cNvSpPr>
          <a:spLocks noChangeShapeType="1"/>
        </xdr:cNvSpPr>
      </xdr:nvSpPr>
      <xdr:spPr bwMode="auto">
        <a:xfrm flipV="1">
          <a:off x="3257550" y="6705600"/>
          <a:ext cx="0" cy="47625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180975</xdr:colOff>
      <xdr:row>33</xdr:row>
      <xdr:rowOff>57150</xdr:rowOff>
    </xdr:from>
    <xdr:to>
      <xdr:col>12</xdr:col>
      <xdr:colOff>419100</xdr:colOff>
      <xdr:row>33</xdr:row>
      <xdr:rowOff>57150</xdr:rowOff>
    </xdr:to>
    <xdr:sp macro="" textlink="">
      <xdr:nvSpPr>
        <xdr:cNvPr id="44" name="Line 45">
          <a:extLst>
            <a:ext uri="{FF2B5EF4-FFF2-40B4-BE49-F238E27FC236}">
              <a16:creationId xmlns:a16="http://schemas.microsoft.com/office/drawing/2014/main" id="{00000000-0008-0000-1500-00002C000000}"/>
            </a:ext>
          </a:extLst>
        </xdr:cNvPr>
        <xdr:cNvSpPr>
          <a:spLocks noChangeShapeType="1"/>
        </xdr:cNvSpPr>
      </xdr:nvSpPr>
      <xdr:spPr bwMode="auto">
        <a:xfrm>
          <a:off x="3152775" y="6715125"/>
          <a:ext cx="23812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200025</xdr:colOff>
      <xdr:row>28</xdr:row>
      <xdr:rowOff>85725</xdr:rowOff>
    </xdr:from>
    <xdr:to>
      <xdr:col>9</xdr:col>
      <xdr:colOff>200025</xdr:colOff>
      <xdr:row>31</xdr:row>
      <xdr:rowOff>123825</xdr:rowOff>
    </xdr:to>
    <xdr:sp macro="" textlink="">
      <xdr:nvSpPr>
        <xdr:cNvPr id="45" name="Line 42">
          <a:extLst>
            <a:ext uri="{FF2B5EF4-FFF2-40B4-BE49-F238E27FC236}">
              <a16:creationId xmlns:a16="http://schemas.microsoft.com/office/drawing/2014/main" id="{00000000-0008-0000-1500-00002D000000}"/>
            </a:ext>
          </a:extLst>
        </xdr:cNvPr>
        <xdr:cNvSpPr>
          <a:spLocks noChangeShapeType="1"/>
        </xdr:cNvSpPr>
      </xdr:nvSpPr>
      <xdr:spPr bwMode="auto">
        <a:xfrm>
          <a:off x="2428875" y="5934075"/>
          <a:ext cx="0" cy="52387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152400</xdr:colOff>
      <xdr:row>27</xdr:row>
      <xdr:rowOff>142874</xdr:rowOff>
    </xdr:from>
    <xdr:to>
      <xdr:col>9</xdr:col>
      <xdr:colOff>224400</xdr:colOff>
      <xdr:row>28</xdr:row>
      <xdr:rowOff>52949</xdr:rowOff>
    </xdr:to>
    <xdr:sp macro="" textlink="">
      <xdr:nvSpPr>
        <xdr:cNvPr id="46" name="Oval 48">
          <a:extLst>
            <a:ext uri="{FF2B5EF4-FFF2-40B4-BE49-F238E27FC236}">
              <a16:creationId xmlns:a16="http://schemas.microsoft.com/office/drawing/2014/main" id="{00000000-0008-0000-1500-00002E000000}"/>
            </a:ext>
          </a:extLst>
        </xdr:cNvPr>
        <xdr:cNvSpPr>
          <a:spLocks noChangeArrowheads="1"/>
        </xdr:cNvSpPr>
      </xdr:nvSpPr>
      <xdr:spPr bwMode="auto">
        <a:xfrm>
          <a:off x="2381250" y="5829299"/>
          <a:ext cx="72000" cy="72000"/>
        </a:xfrm>
        <a:prstGeom prst="ellipse">
          <a:avLst/>
        </a:prstGeom>
        <a:solidFill>
          <a:srgbClr val="FFFFFF"/>
        </a:solidFill>
        <a:ln w="9525">
          <a:solidFill>
            <a:srgbClr val="000000"/>
          </a:solidFill>
          <a:round/>
          <a:headEnd/>
          <a:tailEnd/>
        </a:ln>
      </xdr:spPr>
    </xdr:sp>
    <xdr:clientData/>
  </xdr:twoCellAnchor>
  <xdr:twoCellAnchor>
    <xdr:from>
      <xdr:col>9</xdr:col>
      <xdr:colOff>161925</xdr:colOff>
      <xdr:row>23</xdr:row>
      <xdr:rowOff>38100</xdr:rowOff>
    </xdr:from>
    <xdr:to>
      <xdr:col>11</xdr:col>
      <xdr:colOff>66675</xdr:colOff>
      <xdr:row>23</xdr:row>
      <xdr:rowOff>38100</xdr:rowOff>
    </xdr:to>
    <xdr:sp macro="" textlink="">
      <xdr:nvSpPr>
        <xdr:cNvPr id="47" name="Line 49">
          <a:extLst>
            <a:ext uri="{FF2B5EF4-FFF2-40B4-BE49-F238E27FC236}">
              <a16:creationId xmlns:a16="http://schemas.microsoft.com/office/drawing/2014/main" id="{00000000-0008-0000-1500-00002F000000}"/>
            </a:ext>
          </a:extLst>
        </xdr:cNvPr>
        <xdr:cNvSpPr>
          <a:spLocks noChangeShapeType="1"/>
        </xdr:cNvSpPr>
      </xdr:nvSpPr>
      <xdr:spPr bwMode="auto">
        <a:xfrm flipH="1">
          <a:off x="2390775" y="5076825"/>
          <a:ext cx="4000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200025</xdr:colOff>
      <xdr:row>25</xdr:row>
      <xdr:rowOff>47625</xdr:rowOff>
    </xdr:from>
    <xdr:to>
      <xdr:col>9</xdr:col>
      <xdr:colOff>200025</xdr:colOff>
      <xdr:row>26</xdr:row>
      <xdr:rowOff>114300</xdr:rowOff>
    </xdr:to>
    <xdr:sp macro="" textlink="">
      <xdr:nvSpPr>
        <xdr:cNvPr id="48" name="Line 46">
          <a:extLst>
            <a:ext uri="{FF2B5EF4-FFF2-40B4-BE49-F238E27FC236}">
              <a16:creationId xmlns:a16="http://schemas.microsoft.com/office/drawing/2014/main" id="{00000000-0008-0000-1500-000030000000}"/>
            </a:ext>
          </a:extLst>
        </xdr:cNvPr>
        <xdr:cNvSpPr>
          <a:spLocks noChangeShapeType="1"/>
        </xdr:cNvSpPr>
      </xdr:nvSpPr>
      <xdr:spPr bwMode="auto">
        <a:xfrm flipV="1">
          <a:off x="2428875" y="5410200"/>
          <a:ext cx="0" cy="22860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1085850</xdr:colOff>
      <xdr:row>20</xdr:row>
      <xdr:rowOff>0</xdr:rowOff>
    </xdr:from>
    <xdr:to>
      <xdr:col>13</xdr:col>
      <xdr:colOff>733425</xdr:colOff>
      <xdr:row>20</xdr:row>
      <xdr:rowOff>0</xdr:rowOff>
    </xdr:to>
    <xdr:sp macro="" textlink="">
      <xdr:nvSpPr>
        <xdr:cNvPr id="49" name="Line 52">
          <a:extLst>
            <a:ext uri="{FF2B5EF4-FFF2-40B4-BE49-F238E27FC236}">
              <a16:creationId xmlns:a16="http://schemas.microsoft.com/office/drawing/2014/main" id="{00000000-0008-0000-1500-000031000000}"/>
            </a:ext>
          </a:extLst>
        </xdr:cNvPr>
        <xdr:cNvSpPr>
          <a:spLocks noChangeShapeType="1"/>
        </xdr:cNvSpPr>
      </xdr:nvSpPr>
      <xdr:spPr bwMode="auto">
        <a:xfrm flipH="1" flipV="1">
          <a:off x="4038600" y="4552950"/>
          <a:ext cx="73342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152400</xdr:colOff>
      <xdr:row>31</xdr:row>
      <xdr:rowOff>123825</xdr:rowOff>
    </xdr:from>
    <xdr:to>
      <xdr:col>4</xdr:col>
      <xdr:colOff>66675</xdr:colOff>
      <xdr:row>32</xdr:row>
      <xdr:rowOff>161925</xdr:rowOff>
    </xdr:to>
    <xdr:sp macro="" textlink="">
      <xdr:nvSpPr>
        <xdr:cNvPr id="50" name="Text Box 54">
          <a:extLst>
            <a:ext uri="{FF2B5EF4-FFF2-40B4-BE49-F238E27FC236}">
              <a16:creationId xmlns:a16="http://schemas.microsoft.com/office/drawing/2014/main" id="{00000000-0008-0000-1500-000032000000}"/>
            </a:ext>
          </a:extLst>
        </xdr:cNvPr>
        <xdr:cNvSpPr txBox="1">
          <a:spLocks noChangeArrowheads="1"/>
        </xdr:cNvSpPr>
      </xdr:nvSpPr>
      <xdr:spPr bwMode="auto">
        <a:xfrm>
          <a:off x="400050" y="6457950"/>
          <a:ext cx="657225" cy="20002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10m</a:t>
          </a:r>
        </a:p>
      </xdr:txBody>
    </xdr:sp>
    <xdr:clientData/>
  </xdr:twoCellAnchor>
  <xdr:twoCellAnchor>
    <xdr:from>
      <xdr:col>12</xdr:col>
      <xdr:colOff>285750</xdr:colOff>
      <xdr:row>36</xdr:row>
      <xdr:rowOff>38100</xdr:rowOff>
    </xdr:from>
    <xdr:to>
      <xdr:col>12</xdr:col>
      <xdr:colOff>876300</xdr:colOff>
      <xdr:row>36</xdr:row>
      <xdr:rowOff>38100</xdr:rowOff>
    </xdr:to>
    <xdr:sp macro="" textlink="">
      <xdr:nvSpPr>
        <xdr:cNvPr id="51" name="Line 55">
          <a:extLst>
            <a:ext uri="{FF2B5EF4-FFF2-40B4-BE49-F238E27FC236}">
              <a16:creationId xmlns:a16="http://schemas.microsoft.com/office/drawing/2014/main" id="{00000000-0008-0000-1500-000033000000}"/>
            </a:ext>
          </a:extLst>
        </xdr:cNvPr>
        <xdr:cNvSpPr>
          <a:spLocks noChangeShapeType="1"/>
        </xdr:cNvSpPr>
      </xdr:nvSpPr>
      <xdr:spPr bwMode="auto">
        <a:xfrm>
          <a:off x="3257550" y="7181850"/>
          <a:ext cx="59055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13</xdr:col>
      <xdr:colOff>733425</xdr:colOff>
      <xdr:row>35</xdr:row>
      <xdr:rowOff>104775</xdr:rowOff>
    </xdr:from>
    <xdr:to>
      <xdr:col>15</xdr:col>
      <xdr:colOff>228600</xdr:colOff>
      <xdr:row>36</xdr:row>
      <xdr:rowOff>152400</xdr:rowOff>
    </xdr:to>
    <xdr:sp macro="" textlink="">
      <xdr:nvSpPr>
        <xdr:cNvPr id="52" name="Text Box 56">
          <a:extLst>
            <a:ext uri="{FF2B5EF4-FFF2-40B4-BE49-F238E27FC236}">
              <a16:creationId xmlns:a16="http://schemas.microsoft.com/office/drawing/2014/main" id="{00000000-0008-0000-1500-000034000000}"/>
            </a:ext>
          </a:extLst>
        </xdr:cNvPr>
        <xdr:cNvSpPr txBox="1">
          <a:spLocks noChangeArrowheads="1"/>
        </xdr:cNvSpPr>
      </xdr:nvSpPr>
      <xdr:spPr bwMode="auto">
        <a:xfrm>
          <a:off x="4772025" y="7086600"/>
          <a:ext cx="752475" cy="20955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25m</a:t>
          </a:r>
        </a:p>
      </xdr:txBody>
    </xdr:sp>
    <xdr:clientData/>
  </xdr:twoCellAnchor>
  <xdr:twoCellAnchor>
    <xdr:from>
      <xdr:col>15</xdr:col>
      <xdr:colOff>76200</xdr:colOff>
      <xdr:row>26</xdr:row>
      <xdr:rowOff>123824</xdr:rowOff>
    </xdr:from>
    <xdr:to>
      <xdr:col>15</xdr:col>
      <xdr:colOff>184200</xdr:colOff>
      <xdr:row>27</xdr:row>
      <xdr:rowOff>69899</xdr:rowOff>
    </xdr:to>
    <xdr:sp macro="" textlink="">
      <xdr:nvSpPr>
        <xdr:cNvPr id="53" name="Oval 57">
          <a:extLst>
            <a:ext uri="{FF2B5EF4-FFF2-40B4-BE49-F238E27FC236}">
              <a16:creationId xmlns:a16="http://schemas.microsoft.com/office/drawing/2014/main" id="{00000000-0008-0000-1500-000035000000}"/>
            </a:ext>
          </a:extLst>
        </xdr:cNvPr>
        <xdr:cNvSpPr>
          <a:spLocks noChangeArrowheads="1"/>
        </xdr:cNvSpPr>
      </xdr:nvSpPr>
      <xdr:spPr bwMode="auto">
        <a:xfrm>
          <a:off x="5372100" y="564832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95250</xdr:colOff>
      <xdr:row>26</xdr:row>
      <xdr:rowOff>114299</xdr:rowOff>
    </xdr:from>
    <xdr:to>
      <xdr:col>10</xdr:col>
      <xdr:colOff>203250</xdr:colOff>
      <xdr:row>27</xdr:row>
      <xdr:rowOff>60374</xdr:rowOff>
    </xdr:to>
    <xdr:sp macro="" textlink="">
      <xdr:nvSpPr>
        <xdr:cNvPr id="54" name="Oval 58">
          <a:extLst>
            <a:ext uri="{FF2B5EF4-FFF2-40B4-BE49-F238E27FC236}">
              <a16:creationId xmlns:a16="http://schemas.microsoft.com/office/drawing/2014/main" id="{00000000-0008-0000-1500-000036000000}"/>
            </a:ext>
          </a:extLst>
        </xdr:cNvPr>
        <xdr:cNvSpPr>
          <a:spLocks noChangeArrowheads="1"/>
        </xdr:cNvSpPr>
      </xdr:nvSpPr>
      <xdr:spPr bwMode="auto">
        <a:xfrm>
          <a:off x="2571750" y="563879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85725</xdr:colOff>
      <xdr:row>27</xdr:row>
      <xdr:rowOff>152399</xdr:rowOff>
    </xdr:from>
    <xdr:to>
      <xdr:col>15</xdr:col>
      <xdr:colOff>193725</xdr:colOff>
      <xdr:row>28</xdr:row>
      <xdr:rowOff>98474</xdr:rowOff>
    </xdr:to>
    <xdr:sp macro="" textlink="">
      <xdr:nvSpPr>
        <xdr:cNvPr id="55" name="Oval 59">
          <a:extLst>
            <a:ext uri="{FF2B5EF4-FFF2-40B4-BE49-F238E27FC236}">
              <a16:creationId xmlns:a16="http://schemas.microsoft.com/office/drawing/2014/main" id="{00000000-0008-0000-1500-000037000000}"/>
            </a:ext>
          </a:extLst>
        </xdr:cNvPr>
        <xdr:cNvSpPr>
          <a:spLocks noChangeArrowheads="1"/>
        </xdr:cNvSpPr>
      </xdr:nvSpPr>
      <xdr:spPr bwMode="auto">
        <a:xfrm>
          <a:off x="5381625" y="583882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104775</xdr:colOff>
      <xdr:row>27</xdr:row>
      <xdr:rowOff>142874</xdr:rowOff>
    </xdr:from>
    <xdr:to>
      <xdr:col>10</xdr:col>
      <xdr:colOff>212775</xdr:colOff>
      <xdr:row>28</xdr:row>
      <xdr:rowOff>88949</xdr:rowOff>
    </xdr:to>
    <xdr:sp macro="" textlink="">
      <xdr:nvSpPr>
        <xdr:cNvPr id="56" name="Oval 60">
          <a:extLst>
            <a:ext uri="{FF2B5EF4-FFF2-40B4-BE49-F238E27FC236}">
              <a16:creationId xmlns:a16="http://schemas.microsoft.com/office/drawing/2014/main" id="{00000000-0008-0000-1500-000038000000}"/>
            </a:ext>
          </a:extLst>
        </xdr:cNvPr>
        <xdr:cNvSpPr>
          <a:spLocks noChangeArrowheads="1"/>
        </xdr:cNvSpPr>
      </xdr:nvSpPr>
      <xdr:spPr bwMode="auto">
        <a:xfrm>
          <a:off x="2581275" y="582929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104775</xdr:colOff>
      <xdr:row>28</xdr:row>
      <xdr:rowOff>161924</xdr:rowOff>
    </xdr:from>
    <xdr:to>
      <xdr:col>10</xdr:col>
      <xdr:colOff>212775</xdr:colOff>
      <xdr:row>29</xdr:row>
      <xdr:rowOff>107999</xdr:rowOff>
    </xdr:to>
    <xdr:sp macro="" textlink="">
      <xdr:nvSpPr>
        <xdr:cNvPr id="57" name="Oval 61">
          <a:extLst>
            <a:ext uri="{FF2B5EF4-FFF2-40B4-BE49-F238E27FC236}">
              <a16:creationId xmlns:a16="http://schemas.microsoft.com/office/drawing/2014/main" id="{00000000-0008-0000-1500-000039000000}"/>
            </a:ext>
          </a:extLst>
        </xdr:cNvPr>
        <xdr:cNvSpPr>
          <a:spLocks noChangeArrowheads="1"/>
        </xdr:cNvSpPr>
      </xdr:nvSpPr>
      <xdr:spPr bwMode="auto">
        <a:xfrm>
          <a:off x="2581275" y="601027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76200</xdr:colOff>
      <xdr:row>29</xdr:row>
      <xdr:rowOff>19049</xdr:rowOff>
    </xdr:from>
    <xdr:to>
      <xdr:col>15</xdr:col>
      <xdr:colOff>184200</xdr:colOff>
      <xdr:row>29</xdr:row>
      <xdr:rowOff>127049</xdr:rowOff>
    </xdr:to>
    <xdr:sp macro="" textlink="">
      <xdr:nvSpPr>
        <xdr:cNvPr id="58" name="Oval 62">
          <a:extLst>
            <a:ext uri="{FF2B5EF4-FFF2-40B4-BE49-F238E27FC236}">
              <a16:creationId xmlns:a16="http://schemas.microsoft.com/office/drawing/2014/main" id="{00000000-0008-0000-1500-00003A000000}"/>
            </a:ext>
          </a:extLst>
        </xdr:cNvPr>
        <xdr:cNvSpPr>
          <a:spLocks noChangeArrowheads="1"/>
        </xdr:cNvSpPr>
      </xdr:nvSpPr>
      <xdr:spPr bwMode="auto">
        <a:xfrm>
          <a:off x="5372100" y="602932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352425</xdr:colOff>
      <xdr:row>31</xdr:row>
      <xdr:rowOff>85724</xdr:rowOff>
    </xdr:from>
    <xdr:to>
      <xdr:col>12</xdr:col>
      <xdr:colOff>460425</xdr:colOff>
      <xdr:row>32</xdr:row>
      <xdr:rowOff>31799</xdr:rowOff>
    </xdr:to>
    <xdr:sp macro="" textlink="">
      <xdr:nvSpPr>
        <xdr:cNvPr id="59" name="Oval 63">
          <a:extLst>
            <a:ext uri="{FF2B5EF4-FFF2-40B4-BE49-F238E27FC236}">
              <a16:creationId xmlns:a16="http://schemas.microsoft.com/office/drawing/2014/main" id="{00000000-0008-0000-1500-00003B000000}"/>
            </a:ext>
          </a:extLst>
        </xdr:cNvPr>
        <xdr:cNvSpPr>
          <a:spLocks noChangeArrowheads="1"/>
        </xdr:cNvSpPr>
      </xdr:nvSpPr>
      <xdr:spPr bwMode="auto">
        <a:xfrm>
          <a:off x="3324225" y="641984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161925</xdr:colOff>
      <xdr:row>31</xdr:row>
      <xdr:rowOff>85724</xdr:rowOff>
    </xdr:from>
    <xdr:to>
      <xdr:col>12</xdr:col>
      <xdr:colOff>269925</xdr:colOff>
      <xdr:row>32</xdr:row>
      <xdr:rowOff>31799</xdr:rowOff>
    </xdr:to>
    <xdr:sp macro="" textlink="">
      <xdr:nvSpPr>
        <xdr:cNvPr id="60" name="Oval 64">
          <a:extLst>
            <a:ext uri="{FF2B5EF4-FFF2-40B4-BE49-F238E27FC236}">
              <a16:creationId xmlns:a16="http://schemas.microsoft.com/office/drawing/2014/main" id="{00000000-0008-0000-1500-00003C000000}"/>
            </a:ext>
          </a:extLst>
        </xdr:cNvPr>
        <xdr:cNvSpPr>
          <a:spLocks noChangeArrowheads="1"/>
        </xdr:cNvSpPr>
      </xdr:nvSpPr>
      <xdr:spPr bwMode="auto">
        <a:xfrm>
          <a:off x="3133725" y="641984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161924</xdr:colOff>
      <xdr:row>32</xdr:row>
      <xdr:rowOff>76200</xdr:rowOff>
    </xdr:from>
    <xdr:to>
      <xdr:col>12</xdr:col>
      <xdr:colOff>269924</xdr:colOff>
      <xdr:row>33</xdr:row>
      <xdr:rowOff>22275</xdr:rowOff>
    </xdr:to>
    <xdr:sp macro="" textlink="">
      <xdr:nvSpPr>
        <xdr:cNvPr id="61" name="Oval 65">
          <a:extLst>
            <a:ext uri="{FF2B5EF4-FFF2-40B4-BE49-F238E27FC236}">
              <a16:creationId xmlns:a16="http://schemas.microsoft.com/office/drawing/2014/main" id="{00000000-0008-0000-1500-00003D000000}"/>
            </a:ext>
          </a:extLst>
        </xdr:cNvPr>
        <xdr:cNvSpPr>
          <a:spLocks noChangeArrowheads="1"/>
        </xdr:cNvSpPr>
      </xdr:nvSpPr>
      <xdr:spPr bwMode="auto">
        <a:xfrm>
          <a:off x="3133724" y="6572250"/>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314325</xdr:colOff>
      <xdr:row>27</xdr:row>
      <xdr:rowOff>161924</xdr:rowOff>
    </xdr:from>
    <xdr:to>
      <xdr:col>15</xdr:col>
      <xdr:colOff>386325</xdr:colOff>
      <xdr:row>28</xdr:row>
      <xdr:rowOff>71999</xdr:rowOff>
    </xdr:to>
    <xdr:sp macro="" textlink="">
      <xdr:nvSpPr>
        <xdr:cNvPr id="62" name="Oval 66">
          <a:extLst>
            <a:ext uri="{FF2B5EF4-FFF2-40B4-BE49-F238E27FC236}">
              <a16:creationId xmlns:a16="http://schemas.microsoft.com/office/drawing/2014/main" id="{00000000-0008-0000-1500-00003E000000}"/>
            </a:ext>
          </a:extLst>
        </xdr:cNvPr>
        <xdr:cNvSpPr>
          <a:spLocks noChangeArrowheads="1"/>
        </xdr:cNvSpPr>
      </xdr:nvSpPr>
      <xdr:spPr bwMode="auto">
        <a:xfrm>
          <a:off x="5610225" y="5848349"/>
          <a:ext cx="72000" cy="72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304800</xdr:colOff>
      <xdr:row>26</xdr:row>
      <xdr:rowOff>161924</xdr:rowOff>
    </xdr:from>
    <xdr:to>
      <xdr:col>15</xdr:col>
      <xdr:colOff>376800</xdr:colOff>
      <xdr:row>27</xdr:row>
      <xdr:rowOff>71999</xdr:rowOff>
    </xdr:to>
    <xdr:sp macro="" textlink="">
      <xdr:nvSpPr>
        <xdr:cNvPr id="63" name="Oval 67">
          <a:extLst>
            <a:ext uri="{FF2B5EF4-FFF2-40B4-BE49-F238E27FC236}">
              <a16:creationId xmlns:a16="http://schemas.microsoft.com/office/drawing/2014/main" id="{00000000-0008-0000-1500-00003F000000}"/>
            </a:ext>
          </a:extLst>
        </xdr:cNvPr>
        <xdr:cNvSpPr>
          <a:spLocks noChangeArrowheads="1"/>
        </xdr:cNvSpPr>
      </xdr:nvSpPr>
      <xdr:spPr bwMode="auto">
        <a:xfrm>
          <a:off x="5600700" y="5686424"/>
          <a:ext cx="72000" cy="72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161925</xdr:colOff>
      <xdr:row>26</xdr:row>
      <xdr:rowOff>152399</xdr:rowOff>
    </xdr:from>
    <xdr:to>
      <xdr:col>9</xdr:col>
      <xdr:colOff>233925</xdr:colOff>
      <xdr:row>27</xdr:row>
      <xdr:rowOff>62474</xdr:rowOff>
    </xdr:to>
    <xdr:sp macro="" textlink="">
      <xdr:nvSpPr>
        <xdr:cNvPr id="64" name="Oval 68">
          <a:extLst>
            <a:ext uri="{FF2B5EF4-FFF2-40B4-BE49-F238E27FC236}">
              <a16:creationId xmlns:a16="http://schemas.microsoft.com/office/drawing/2014/main" id="{00000000-0008-0000-1500-000040000000}"/>
            </a:ext>
          </a:extLst>
        </xdr:cNvPr>
        <xdr:cNvSpPr>
          <a:spLocks noChangeArrowheads="1"/>
        </xdr:cNvSpPr>
      </xdr:nvSpPr>
      <xdr:spPr bwMode="auto">
        <a:xfrm>
          <a:off x="2390775" y="5676899"/>
          <a:ext cx="72000" cy="72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552450</xdr:colOff>
      <xdr:row>22</xdr:row>
      <xdr:rowOff>142875</xdr:rowOff>
    </xdr:from>
    <xdr:to>
      <xdr:col>16</xdr:col>
      <xdr:colOff>542925</xdr:colOff>
      <xdr:row>24</xdr:row>
      <xdr:rowOff>38100</xdr:rowOff>
    </xdr:to>
    <xdr:sp macro="" textlink="">
      <xdr:nvSpPr>
        <xdr:cNvPr id="65" name="Text Box 70">
          <a:extLst>
            <a:ext uri="{FF2B5EF4-FFF2-40B4-BE49-F238E27FC236}">
              <a16:creationId xmlns:a16="http://schemas.microsoft.com/office/drawing/2014/main" id="{00000000-0008-0000-1500-000041000000}"/>
            </a:ext>
          </a:extLst>
        </xdr:cNvPr>
        <xdr:cNvSpPr txBox="1">
          <a:spLocks noChangeArrowheads="1"/>
        </xdr:cNvSpPr>
      </xdr:nvSpPr>
      <xdr:spPr bwMode="auto">
        <a:xfrm>
          <a:off x="5848350" y="5019675"/>
          <a:ext cx="752475" cy="21907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60m</a:t>
          </a:r>
        </a:p>
      </xdr:txBody>
    </xdr:sp>
    <xdr:clientData/>
  </xdr:twoCellAnchor>
  <xdr:twoCellAnchor>
    <xdr:from>
      <xdr:col>14</xdr:col>
      <xdr:colOff>466725</xdr:colOff>
      <xdr:row>23</xdr:row>
      <xdr:rowOff>85724</xdr:rowOff>
    </xdr:from>
    <xdr:to>
      <xdr:col>15</xdr:col>
      <xdr:colOff>511425</xdr:colOff>
      <xdr:row>23</xdr:row>
      <xdr:rowOff>85725</xdr:rowOff>
    </xdr:to>
    <xdr:sp macro="" textlink="">
      <xdr:nvSpPr>
        <xdr:cNvPr id="66" name="Line 49">
          <a:extLst>
            <a:ext uri="{FF2B5EF4-FFF2-40B4-BE49-F238E27FC236}">
              <a16:creationId xmlns:a16="http://schemas.microsoft.com/office/drawing/2014/main" id="{00000000-0008-0000-1500-000042000000}"/>
            </a:ext>
          </a:extLst>
        </xdr:cNvPr>
        <xdr:cNvSpPr>
          <a:spLocks noChangeShapeType="1"/>
        </xdr:cNvSpPr>
      </xdr:nvSpPr>
      <xdr:spPr bwMode="auto">
        <a:xfrm>
          <a:off x="5267325" y="5124449"/>
          <a:ext cx="540000" cy="1"/>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161925</xdr:colOff>
      <xdr:row>25</xdr:row>
      <xdr:rowOff>142875</xdr:rowOff>
    </xdr:from>
    <xdr:to>
      <xdr:col>14</xdr:col>
      <xdr:colOff>361950</xdr:colOff>
      <xdr:row>30</xdr:row>
      <xdr:rowOff>95250</xdr:rowOff>
    </xdr:to>
    <xdr:sp macro="" textlink="">
      <xdr:nvSpPr>
        <xdr:cNvPr id="67" name="Rectangle 66">
          <a:extLst>
            <a:ext uri="{FF2B5EF4-FFF2-40B4-BE49-F238E27FC236}">
              <a16:creationId xmlns:a16="http://schemas.microsoft.com/office/drawing/2014/main" id="{00000000-0008-0000-1500-000043000000}"/>
            </a:ext>
          </a:extLst>
        </xdr:cNvPr>
        <xdr:cNvSpPr>
          <a:spLocks noChangeArrowheads="1"/>
        </xdr:cNvSpPr>
      </xdr:nvSpPr>
      <xdr:spPr bwMode="auto">
        <a:xfrm>
          <a:off x="2886075" y="5505450"/>
          <a:ext cx="2276475" cy="762000"/>
        </a:xfrm>
        <a:prstGeom prst="rect">
          <a:avLst/>
        </a:prstGeom>
        <a:gradFill rotWithShape="1">
          <a:gsLst>
            <a:gs pos="0">
              <a:srgbClr val="767647"/>
            </a:gs>
            <a:gs pos="50000">
              <a:srgbClr val="FFFF99"/>
            </a:gs>
            <a:gs pos="100000">
              <a:srgbClr val="767647"/>
            </a:gs>
          </a:gsLst>
          <a:lin ang="0" scaled="1"/>
        </a:gradFill>
        <a:ln w="9525">
          <a:solidFill>
            <a:srgbClr val="000000"/>
          </a:solidFill>
          <a:miter lim="800000"/>
          <a:headEnd/>
          <a:tailEnd/>
        </a:ln>
      </xdr:spPr>
    </xdr:sp>
    <xdr:clientData/>
  </xdr:twoCellAnchor>
  <xdr:twoCellAnchor>
    <xdr:from>
      <xdr:col>1</xdr:col>
      <xdr:colOff>171450</xdr:colOff>
      <xdr:row>24</xdr:row>
      <xdr:rowOff>0</xdr:rowOff>
    </xdr:from>
    <xdr:to>
      <xdr:col>5</xdr:col>
      <xdr:colOff>0</xdr:colOff>
      <xdr:row>26</xdr:row>
      <xdr:rowOff>38100</xdr:rowOff>
    </xdr:to>
    <xdr:sp macro="" textlink="">
      <xdr:nvSpPr>
        <xdr:cNvPr id="70" name="Text Box 51">
          <a:extLst>
            <a:ext uri="{FF2B5EF4-FFF2-40B4-BE49-F238E27FC236}">
              <a16:creationId xmlns:a16="http://schemas.microsoft.com/office/drawing/2014/main" id="{00000000-0008-0000-1500-000046000000}"/>
            </a:ext>
          </a:extLst>
        </xdr:cNvPr>
        <xdr:cNvSpPr txBox="1">
          <a:spLocks noChangeArrowheads="1"/>
        </xdr:cNvSpPr>
      </xdr:nvSpPr>
      <xdr:spPr bwMode="auto">
        <a:xfrm>
          <a:off x="419100" y="5200650"/>
          <a:ext cx="819150" cy="3619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1 / 28 vers maison n° 25</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4</xdr:col>
      <xdr:colOff>123825</xdr:colOff>
      <xdr:row>25</xdr:row>
      <xdr:rowOff>47625</xdr:rowOff>
    </xdr:from>
    <xdr:to>
      <xdr:col>9</xdr:col>
      <xdr:colOff>209550</xdr:colOff>
      <xdr:row>25</xdr:row>
      <xdr:rowOff>47625</xdr:rowOff>
    </xdr:to>
    <xdr:sp macro="" textlink="">
      <xdr:nvSpPr>
        <xdr:cNvPr id="71" name="Line 47">
          <a:extLst>
            <a:ext uri="{FF2B5EF4-FFF2-40B4-BE49-F238E27FC236}">
              <a16:creationId xmlns:a16="http://schemas.microsoft.com/office/drawing/2014/main" id="{00000000-0008-0000-1500-000047000000}"/>
            </a:ext>
          </a:extLst>
        </xdr:cNvPr>
        <xdr:cNvSpPr>
          <a:spLocks noChangeShapeType="1"/>
        </xdr:cNvSpPr>
      </xdr:nvSpPr>
      <xdr:spPr bwMode="auto">
        <a:xfrm flipH="1">
          <a:off x="1114425" y="5410200"/>
          <a:ext cx="132397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238125</xdr:colOff>
      <xdr:row>25</xdr:row>
      <xdr:rowOff>152400</xdr:rowOff>
    </xdr:from>
    <xdr:to>
      <xdr:col>4</xdr:col>
      <xdr:colOff>123825</xdr:colOff>
      <xdr:row>27</xdr:row>
      <xdr:rowOff>47625</xdr:rowOff>
    </xdr:to>
    <xdr:sp macro="" textlink="">
      <xdr:nvSpPr>
        <xdr:cNvPr id="72" name="Text Box 53">
          <a:extLst>
            <a:ext uri="{FF2B5EF4-FFF2-40B4-BE49-F238E27FC236}">
              <a16:creationId xmlns:a16="http://schemas.microsoft.com/office/drawing/2014/main" id="{00000000-0008-0000-1500-000048000000}"/>
            </a:ext>
          </a:extLst>
        </xdr:cNvPr>
        <xdr:cNvSpPr txBox="1">
          <a:spLocks noChangeArrowheads="1"/>
        </xdr:cNvSpPr>
      </xdr:nvSpPr>
      <xdr:spPr bwMode="auto">
        <a:xfrm>
          <a:off x="485775" y="5514975"/>
          <a:ext cx="628650" cy="21907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13m</a:t>
          </a:r>
        </a:p>
      </xdr:txBody>
    </xdr:sp>
    <xdr:clientData/>
  </xdr:twoCellAnchor>
  <xdr:twoCellAnchor editAs="oneCell">
    <xdr:from>
      <xdr:col>0</xdr:col>
      <xdr:colOff>67236</xdr:colOff>
      <xdr:row>0</xdr:row>
      <xdr:rowOff>100853</xdr:rowOff>
    </xdr:from>
    <xdr:to>
      <xdr:col>3</xdr:col>
      <xdr:colOff>33619</xdr:colOff>
      <xdr:row>1</xdr:row>
      <xdr:rowOff>352691</xdr:rowOff>
    </xdr:to>
    <xdr:pic>
      <xdr:nvPicPr>
        <xdr:cNvPr id="75" name="Image 74">
          <a:extLst>
            <a:ext uri="{FF2B5EF4-FFF2-40B4-BE49-F238E27FC236}">
              <a16:creationId xmlns:a16="http://schemas.microsoft.com/office/drawing/2014/main" id="{00000000-0008-0000-1500-00004B000000}"/>
            </a:ext>
          </a:extLst>
        </xdr:cNvPr>
        <xdr:cNvPicPr>
          <a:picLocks noChangeAspect="1"/>
        </xdr:cNvPicPr>
      </xdr:nvPicPr>
      <xdr:blipFill>
        <a:blip xmlns:r="http://schemas.openxmlformats.org/officeDocument/2006/relationships" r:embed="rId1"/>
        <a:stretch>
          <a:fillRect/>
        </a:stretch>
      </xdr:blipFill>
      <xdr:spPr>
        <a:xfrm>
          <a:off x="67236" y="100853"/>
          <a:ext cx="705971" cy="408720"/>
        </a:xfrm>
        <a:prstGeom prst="rect">
          <a:avLst/>
        </a:prstGeom>
      </xdr:spPr>
    </xdr:pic>
    <xdr:clientData/>
  </xdr:twoCellAnchor>
  <xdr:twoCellAnchor editAs="oneCell">
    <xdr:from>
      <xdr:col>18</xdr:col>
      <xdr:colOff>100852</xdr:colOff>
      <xdr:row>0</xdr:row>
      <xdr:rowOff>78441</xdr:rowOff>
    </xdr:from>
    <xdr:to>
      <xdr:col>22</xdr:col>
      <xdr:colOff>68107</xdr:colOff>
      <xdr:row>1</xdr:row>
      <xdr:rowOff>340659</xdr:rowOff>
    </xdr:to>
    <xdr:pic>
      <xdr:nvPicPr>
        <xdr:cNvPr id="73" name="Image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64823" y="7844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116416</xdr:colOff>
      <xdr:row>0</xdr:row>
      <xdr:rowOff>42334</xdr:rowOff>
    </xdr:from>
    <xdr:to>
      <xdr:col>2</xdr:col>
      <xdr:colOff>149038</xdr:colOff>
      <xdr:row>1</xdr:row>
      <xdr:rowOff>196851</xdr:rowOff>
    </xdr:to>
    <xdr:pic>
      <xdr:nvPicPr>
        <xdr:cNvPr id="4" name="Image 3">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6416" y="4233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28575</xdr:colOff>
      <xdr:row>21</xdr:row>
      <xdr:rowOff>76200</xdr:rowOff>
    </xdr:from>
    <xdr:to>
      <xdr:col>9</xdr:col>
      <xdr:colOff>57150</xdr:colOff>
      <xdr:row>22</xdr:row>
      <xdr:rowOff>152400</xdr:rowOff>
    </xdr:to>
    <xdr:sp macro="" textlink="">
      <xdr:nvSpPr>
        <xdr:cNvPr id="77983" name="AutoShape 1">
          <a:extLst>
            <a:ext uri="{FF2B5EF4-FFF2-40B4-BE49-F238E27FC236}">
              <a16:creationId xmlns:a16="http://schemas.microsoft.com/office/drawing/2014/main" id="{00000000-0008-0000-1700-00009F300100}"/>
            </a:ext>
          </a:extLst>
        </xdr:cNvPr>
        <xdr:cNvSpPr>
          <a:spLocks noChangeArrowheads="1"/>
        </xdr:cNvSpPr>
      </xdr:nvSpPr>
      <xdr:spPr bwMode="auto">
        <a:xfrm>
          <a:off x="1828800" y="3400425"/>
          <a:ext cx="247650" cy="161925"/>
        </a:xfrm>
        <a:prstGeom prst="triangle">
          <a:avLst>
            <a:gd name="adj" fmla="val 50000"/>
          </a:avLst>
        </a:prstGeom>
        <a:noFill/>
        <a:ln w="9525" algn="ctr">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52918</xdr:colOff>
      <xdr:row>0</xdr:row>
      <xdr:rowOff>63499</xdr:rowOff>
    </xdr:from>
    <xdr:to>
      <xdr:col>3</xdr:col>
      <xdr:colOff>635873</xdr:colOff>
      <xdr:row>0</xdr:row>
      <xdr:rowOff>482599</xdr:rowOff>
    </xdr:to>
    <xdr:pic>
      <xdr:nvPicPr>
        <xdr:cNvPr id="4" name="Image 3">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918" y="63499"/>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1</xdr:col>
      <xdr:colOff>600947</xdr:colOff>
      <xdr:row>3</xdr:row>
      <xdr:rowOff>9525</xdr:rowOff>
    </xdr:to>
    <xdr:pic>
      <xdr:nvPicPr>
        <xdr:cNvPr id="3" name="Imag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495300</xdr:colOff>
          <xdr:row>11</xdr:row>
          <xdr:rowOff>0</xdr:rowOff>
        </xdr:from>
        <xdr:to>
          <xdr:col>7</xdr:col>
          <xdr:colOff>19050</xdr:colOff>
          <xdr:row>12</xdr:row>
          <xdr:rowOff>19050</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1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9525</xdr:rowOff>
        </xdr:from>
        <xdr:to>
          <xdr:col>2</xdr:col>
          <xdr:colOff>266700</xdr:colOff>
          <xdr:row>12</xdr:row>
          <xdr:rowOff>28575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1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20</xdr:row>
          <xdr:rowOff>19050</xdr:rowOff>
        </xdr:from>
        <xdr:to>
          <xdr:col>7</xdr:col>
          <xdr:colOff>9525</xdr:colOff>
          <xdr:row>21</xdr:row>
          <xdr:rowOff>9525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1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12</xdr:row>
          <xdr:rowOff>19050</xdr:rowOff>
        </xdr:from>
        <xdr:to>
          <xdr:col>7</xdr:col>
          <xdr:colOff>9525</xdr:colOff>
          <xdr:row>13</xdr:row>
          <xdr:rowOff>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12</xdr:row>
          <xdr:rowOff>28575</xdr:rowOff>
        </xdr:from>
        <xdr:to>
          <xdr:col>2</xdr:col>
          <xdr:colOff>266700</xdr:colOff>
          <xdr:row>12</xdr:row>
          <xdr:rowOff>190500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12</xdr:row>
          <xdr:rowOff>19050</xdr:rowOff>
        </xdr:from>
        <xdr:to>
          <xdr:col>11</xdr:col>
          <xdr:colOff>628650</xdr:colOff>
          <xdr:row>13</xdr:row>
          <xdr:rowOff>47625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10</xdr:row>
          <xdr:rowOff>0</xdr:rowOff>
        </xdr:from>
        <xdr:to>
          <xdr:col>11</xdr:col>
          <xdr:colOff>628650</xdr:colOff>
          <xdr:row>11</xdr:row>
          <xdr:rowOff>57150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11</xdr:row>
          <xdr:rowOff>47625</xdr:rowOff>
        </xdr:from>
        <xdr:to>
          <xdr:col>11</xdr:col>
          <xdr:colOff>628650</xdr:colOff>
          <xdr:row>12</xdr:row>
          <xdr:rowOff>9525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161925</xdr:colOff>
      <xdr:row>2</xdr:row>
      <xdr:rowOff>219075</xdr:rowOff>
    </xdr:from>
    <xdr:to>
      <xdr:col>7</xdr:col>
      <xdr:colOff>438150</xdr:colOff>
      <xdr:row>4</xdr:row>
      <xdr:rowOff>9525</xdr:rowOff>
    </xdr:to>
    <xdr:sp macro="" textlink="">
      <xdr:nvSpPr>
        <xdr:cNvPr id="11" name="Texte 7">
          <a:extLst>
            <a:ext uri="{FF2B5EF4-FFF2-40B4-BE49-F238E27FC236}">
              <a16:creationId xmlns:a16="http://schemas.microsoft.com/office/drawing/2014/main" id="{00000000-0008-0000-1900-00000B000000}"/>
            </a:ext>
          </a:extLst>
        </xdr:cNvPr>
        <xdr:cNvSpPr>
          <a:spLocks noChangeArrowheads="1"/>
        </xdr:cNvSpPr>
      </xdr:nvSpPr>
      <xdr:spPr bwMode="auto">
        <a:xfrm>
          <a:off x="1114425" y="609600"/>
          <a:ext cx="2276475" cy="371475"/>
        </a:xfrm>
        <a:prstGeom prst="roundRect">
          <a:avLst>
            <a:gd name="adj" fmla="val 16667"/>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18288" rIns="27432" bIns="18288" anchor="ctr" upright="1"/>
        <a:lstStyle/>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11</xdr:col>
          <xdr:colOff>342900</xdr:colOff>
          <xdr:row>13</xdr:row>
          <xdr:rowOff>9525</xdr:rowOff>
        </xdr:from>
        <xdr:to>
          <xdr:col>11</xdr:col>
          <xdr:colOff>628650</xdr:colOff>
          <xdr:row>14</xdr:row>
          <xdr:rowOff>28575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17</xdr:row>
          <xdr:rowOff>19050</xdr:rowOff>
        </xdr:from>
        <xdr:to>
          <xdr:col>2</xdr:col>
          <xdr:colOff>295275</xdr:colOff>
          <xdr:row>18</xdr:row>
          <xdr:rowOff>38100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1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17</xdr:row>
          <xdr:rowOff>190500</xdr:rowOff>
        </xdr:from>
        <xdr:to>
          <xdr:col>2</xdr:col>
          <xdr:colOff>295275</xdr:colOff>
          <xdr:row>18</xdr:row>
          <xdr:rowOff>152400</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1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20</xdr:row>
          <xdr:rowOff>9525</xdr:rowOff>
        </xdr:from>
        <xdr:to>
          <xdr:col>12</xdr:col>
          <xdr:colOff>9525</xdr:colOff>
          <xdr:row>21</xdr:row>
          <xdr:rowOff>19050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457200</xdr:colOff>
          <xdr:row>20</xdr:row>
          <xdr:rowOff>38100</xdr:rowOff>
        </xdr:from>
        <xdr:to>
          <xdr:col>13</xdr:col>
          <xdr:colOff>9525</xdr:colOff>
          <xdr:row>21</xdr:row>
          <xdr:rowOff>0</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9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17</xdr:row>
          <xdr:rowOff>0</xdr:rowOff>
        </xdr:from>
        <xdr:to>
          <xdr:col>8</xdr:col>
          <xdr:colOff>400050</xdr:colOff>
          <xdr:row>18</xdr:row>
          <xdr:rowOff>38100</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9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18</xdr:row>
          <xdr:rowOff>0</xdr:rowOff>
        </xdr:from>
        <xdr:to>
          <xdr:col>8</xdr:col>
          <xdr:colOff>400050</xdr:colOff>
          <xdr:row>19</xdr:row>
          <xdr:rowOff>38100</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9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9525</xdr:rowOff>
        </xdr:from>
        <xdr:to>
          <xdr:col>2</xdr:col>
          <xdr:colOff>76200</xdr:colOff>
          <xdr:row>25</xdr:row>
          <xdr:rowOff>9525</xdr:rowOff>
        </xdr:to>
        <xdr:sp macro="" textlink="">
          <xdr:nvSpPr>
            <xdr:cNvPr id="83986" name="Check Box 18" hidden="1">
              <a:extLst>
                <a:ext uri="{63B3BB69-23CF-44E3-9099-C40C66FF867C}">
                  <a14:compatExt spid="_x0000_s83986"/>
                </a:ext>
                <a:ext uri="{FF2B5EF4-FFF2-40B4-BE49-F238E27FC236}">
                  <a16:creationId xmlns:a16="http://schemas.microsoft.com/office/drawing/2014/main" id="{00000000-0008-0000-19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24</xdr:row>
          <xdr:rowOff>9525</xdr:rowOff>
        </xdr:from>
        <xdr:to>
          <xdr:col>5</xdr:col>
          <xdr:colOff>495300</xdr:colOff>
          <xdr:row>25</xdr:row>
          <xdr:rowOff>38100</xdr:rowOff>
        </xdr:to>
        <xdr:sp macro="" textlink="">
          <xdr:nvSpPr>
            <xdr:cNvPr id="83987" name="Check Box 19" hidden="1">
              <a:extLst>
                <a:ext uri="{63B3BB69-23CF-44E3-9099-C40C66FF867C}">
                  <a14:compatExt spid="_x0000_s83987"/>
                </a:ext>
                <a:ext uri="{FF2B5EF4-FFF2-40B4-BE49-F238E27FC236}">
                  <a16:creationId xmlns:a16="http://schemas.microsoft.com/office/drawing/2014/main" id="{00000000-0008-0000-19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38100</xdr:rowOff>
        </xdr:from>
        <xdr:to>
          <xdr:col>2</xdr:col>
          <xdr:colOff>76200</xdr:colOff>
          <xdr:row>25</xdr:row>
          <xdr:rowOff>180975</xdr:rowOff>
        </xdr:to>
        <xdr:sp macro="" textlink="">
          <xdr:nvSpPr>
            <xdr:cNvPr id="83988" name="Check Box 20" hidden="1">
              <a:extLst>
                <a:ext uri="{63B3BB69-23CF-44E3-9099-C40C66FF867C}">
                  <a14:compatExt spid="_x0000_s83988"/>
                </a:ext>
                <a:ext uri="{FF2B5EF4-FFF2-40B4-BE49-F238E27FC236}">
                  <a16:creationId xmlns:a16="http://schemas.microsoft.com/office/drawing/2014/main" id="{00000000-0008-0000-19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24</xdr:row>
          <xdr:rowOff>0</xdr:rowOff>
        </xdr:from>
        <xdr:to>
          <xdr:col>10</xdr:col>
          <xdr:colOff>28575</xdr:colOff>
          <xdr:row>25</xdr:row>
          <xdr:rowOff>28575</xdr:rowOff>
        </xdr:to>
        <xdr:sp macro="" textlink="">
          <xdr:nvSpPr>
            <xdr:cNvPr id="83989" name="Check Box 21" hidden="1">
              <a:extLst>
                <a:ext uri="{63B3BB69-23CF-44E3-9099-C40C66FF867C}">
                  <a14:compatExt spid="_x0000_s83989"/>
                </a:ext>
                <a:ext uri="{FF2B5EF4-FFF2-40B4-BE49-F238E27FC236}">
                  <a16:creationId xmlns:a16="http://schemas.microsoft.com/office/drawing/2014/main" id="{00000000-0008-0000-19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25</xdr:row>
          <xdr:rowOff>47625</xdr:rowOff>
        </xdr:from>
        <xdr:to>
          <xdr:col>10</xdr:col>
          <xdr:colOff>28575</xdr:colOff>
          <xdr:row>26</xdr:row>
          <xdr:rowOff>9525</xdr:rowOff>
        </xdr:to>
        <xdr:sp macro="" textlink="">
          <xdr:nvSpPr>
            <xdr:cNvPr id="83990" name="Check Box 22" hidden="1">
              <a:extLst>
                <a:ext uri="{63B3BB69-23CF-44E3-9099-C40C66FF867C}">
                  <a14:compatExt spid="_x0000_s83990"/>
                </a:ext>
                <a:ext uri="{FF2B5EF4-FFF2-40B4-BE49-F238E27FC236}">
                  <a16:creationId xmlns:a16="http://schemas.microsoft.com/office/drawing/2014/main" id="{00000000-0008-0000-19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20</xdr:row>
          <xdr:rowOff>0</xdr:rowOff>
        </xdr:from>
        <xdr:to>
          <xdr:col>5</xdr:col>
          <xdr:colOff>0</xdr:colOff>
          <xdr:row>21</xdr:row>
          <xdr:rowOff>28575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9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14</xdr:row>
          <xdr:rowOff>19050</xdr:rowOff>
        </xdr:from>
        <xdr:to>
          <xdr:col>11</xdr:col>
          <xdr:colOff>628650</xdr:colOff>
          <xdr:row>15</xdr:row>
          <xdr:rowOff>47625</xdr:rowOff>
        </xdr:to>
        <xdr:sp macro="" textlink="">
          <xdr:nvSpPr>
            <xdr:cNvPr id="83992" name="Check Box 24" hidden="1">
              <a:extLst>
                <a:ext uri="{63B3BB69-23CF-44E3-9099-C40C66FF867C}">
                  <a14:compatExt spid="_x0000_s83992"/>
                </a:ext>
                <a:ext uri="{FF2B5EF4-FFF2-40B4-BE49-F238E27FC236}">
                  <a16:creationId xmlns:a16="http://schemas.microsoft.com/office/drawing/2014/main" id="{00000000-0008-0000-19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161925</xdr:colOff>
      <xdr:row>2</xdr:row>
      <xdr:rowOff>219075</xdr:rowOff>
    </xdr:from>
    <xdr:to>
      <xdr:col>7</xdr:col>
      <xdr:colOff>438150</xdr:colOff>
      <xdr:row>4</xdr:row>
      <xdr:rowOff>9525</xdr:rowOff>
    </xdr:to>
    <xdr:sp macro="" textlink="">
      <xdr:nvSpPr>
        <xdr:cNvPr id="28" name="Texte 7">
          <a:extLst>
            <a:ext uri="{FF2B5EF4-FFF2-40B4-BE49-F238E27FC236}">
              <a16:creationId xmlns:a16="http://schemas.microsoft.com/office/drawing/2014/main" id="{00000000-0008-0000-1900-00001C000000}"/>
            </a:ext>
          </a:extLst>
        </xdr:cNvPr>
        <xdr:cNvSpPr>
          <a:spLocks noChangeArrowheads="1"/>
        </xdr:cNvSpPr>
      </xdr:nvSpPr>
      <xdr:spPr bwMode="auto">
        <a:xfrm>
          <a:off x="1114425" y="609600"/>
          <a:ext cx="2276475" cy="371475"/>
        </a:xfrm>
        <a:prstGeom prst="roundRect">
          <a:avLst>
            <a:gd name="adj" fmla="val 16667"/>
          </a:avLst>
        </a:prstGeom>
        <a:noFill/>
        <a:ln w="17145">
          <a:solidFill>
            <a:srgbClr val="000000"/>
          </a:solidFill>
          <a:round/>
          <a:headEnd/>
          <a:tailEnd/>
        </a:ln>
      </xdr:spPr>
      <xdr:txBody>
        <a:bodyPr vertOverflow="clip" wrap="square" lIns="27432" tIns="22860" rIns="27432" bIns="22860" anchor="ctr" upright="1"/>
        <a:lstStyle/>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5</xdr:col>
          <xdr:colOff>247650</xdr:colOff>
          <xdr:row>25</xdr:row>
          <xdr:rowOff>0</xdr:rowOff>
        </xdr:from>
        <xdr:to>
          <xdr:col>5</xdr:col>
          <xdr:colOff>495300</xdr:colOff>
          <xdr:row>26</xdr:row>
          <xdr:rowOff>28575</xdr:rowOff>
        </xdr:to>
        <xdr:sp macro="" textlink="">
          <xdr:nvSpPr>
            <xdr:cNvPr id="83993" name="Check Box 25" hidden="1">
              <a:extLst>
                <a:ext uri="{63B3BB69-23CF-44E3-9099-C40C66FF867C}">
                  <a14:compatExt spid="_x0000_s83993"/>
                </a:ext>
                <a:ext uri="{FF2B5EF4-FFF2-40B4-BE49-F238E27FC236}">
                  <a16:creationId xmlns:a16="http://schemas.microsoft.com/office/drawing/2014/main" id="{00000000-0008-0000-19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123825</xdr:colOff>
      <xdr:row>0</xdr:row>
      <xdr:rowOff>76200</xdr:rowOff>
    </xdr:from>
    <xdr:to>
      <xdr:col>3</xdr:col>
      <xdr:colOff>124697</xdr:colOff>
      <xdr:row>2</xdr:row>
      <xdr:rowOff>104775</xdr:rowOff>
    </xdr:to>
    <xdr:pic>
      <xdr:nvPicPr>
        <xdr:cNvPr id="29" name="Image 28">
          <a:extLst>
            <a:ext uri="{FF2B5EF4-FFF2-40B4-BE49-F238E27FC236}">
              <a16:creationId xmlns:a16="http://schemas.microsoft.com/office/drawing/2014/main" id="{00000000-0008-0000-1900-00001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95250</xdr:colOff>
      <xdr:row>0</xdr:row>
      <xdr:rowOff>85725</xdr:rowOff>
    </xdr:from>
    <xdr:to>
      <xdr:col>1</xdr:col>
      <xdr:colOff>600947</xdr:colOff>
      <xdr:row>3</xdr:row>
      <xdr:rowOff>19050</xdr:rowOff>
    </xdr:to>
    <xdr:pic>
      <xdr:nvPicPr>
        <xdr:cNvPr id="3" name="Image 2">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66675</xdr:colOff>
      <xdr:row>0</xdr:row>
      <xdr:rowOff>57150</xdr:rowOff>
    </xdr:from>
    <xdr:to>
      <xdr:col>3</xdr:col>
      <xdr:colOff>655612</xdr:colOff>
      <xdr:row>0</xdr:row>
      <xdr:rowOff>476250</xdr:rowOff>
    </xdr:to>
    <xdr:pic>
      <xdr:nvPicPr>
        <xdr:cNvPr id="3" name="Image 2">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714375</xdr:colOff>
          <xdr:row>12</xdr:row>
          <xdr:rowOff>57150</xdr:rowOff>
        </xdr:from>
        <xdr:to>
          <xdr:col>3</xdr:col>
          <xdr:colOff>219075</xdr:colOff>
          <xdr:row>12</xdr:row>
          <xdr:rowOff>276225</xdr:rowOff>
        </xdr:to>
        <xdr:sp macro="" textlink="">
          <xdr:nvSpPr>
            <xdr:cNvPr id="369665" name="Check Box 1" hidden="1">
              <a:extLst>
                <a:ext uri="{63B3BB69-23CF-44E3-9099-C40C66FF867C}">
                  <a14:compatExt spid="_x0000_s369665"/>
                </a:ext>
                <a:ext uri="{FF2B5EF4-FFF2-40B4-BE49-F238E27FC236}">
                  <a16:creationId xmlns:a16="http://schemas.microsoft.com/office/drawing/2014/main" id="{00000000-0008-0000-1C00-000001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12</xdr:row>
          <xdr:rowOff>57150</xdr:rowOff>
        </xdr:from>
        <xdr:to>
          <xdr:col>5</xdr:col>
          <xdr:colOff>238125</xdr:colOff>
          <xdr:row>12</xdr:row>
          <xdr:rowOff>276225</xdr:rowOff>
        </xdr:to>
        <xdr:sp macro="" textlink="">
          <xdr:nvSpPr>
            <xdr:cNvPr id="369666" name="Check Box 2" hidden="1">
              <a:extLst>
                <a:ext uri="{63B3BB69-23CF-44E3-9099-C40C66FF867C}">
                  <a14:compatExt spid="_x0000_s369666"/>
                </a:ext>
                <a:ext uri="{FF2B5EF4-FFF2-40B4-BE49-F238E27FC236}">
                  <a16:creationId xmlns:a16="http://schemas.microsoft.com/office/drawing/2014/main" id="{00000000-0008-0000-1C00-000002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84666</xdr:colOff>
      <xdr:row>0</xdr:row>
      <xdr:rowOff>74084</xdr:rowOff>
    </xdr:from>
    <xdr:to>
      <xdr:col>1</xdr:col>
      <xdr:colOff>276038</xdr:colOff>
      <xdr:row>1</xdr:row>
      <xdr:rowOff>145802</xdr:rowOff>
    </xdr:to>
    <xdr:pic>
      <xdr:nvPicPr>
        <xdr:cNvPr id="5" name="Imag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666" y="7408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22225</xdr:colOff>
      <xdr:row>0</xdr:row>
      <xdr:rowOff>60325</xdr:rowOff>
    </xdr:from>
    <xdr:to>
      <xdr:col>3</xdr:col>
      <xdr:colOff>680322</xdr:colOff>
      <xdr:row>0</xdr:row>
      <xdr:rowOff>479425</xdr:rowOff>
    </xdr:to>
    <xdr:pic>
      <xdr:nvPicPr>
        <xdr:cNvPr id="3" name="Imag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8425" y="603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104775</xdr:colOff>
      <xdr:row>0</xdr:row>
      <xdr:rowOff>85725</xdr:rowOff>
    </xdr:from>
    <xdr:to>
      <xdr:col>2</xdr:col>
      <xdr:colOff>296147</xdr:colOff>
      <xdr:row>2</xdr:row>
      <xdr:rowOff>171450</xdr:rowOff>
    </xdr:to>
    <xdr:pic>
      <xdr:nvPicPr>
        <xdr:cNvPr id="3" name="Image 2">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314325</xdr:colOff>
      <xdr:row>29</xdr:row>
      <xdr:rowOff>85725</xdr:rowOff>
    </xdr:from>
    <xdr:to>
      <xdr:col>6</xdr:col>
      <xdr:colOff>295275</xdr:colOff>
      <xdr:row>35</xdr:row>
      <xdr:rowOff>76200</xdr:rowOff>
    </xdr:to>
    <xdr:sp macro="" textlink="">
      <xdr:nvSpPr>
        <xdr:cNvPr id="37865" name="AutoShape 2">
          <a:extLst>
            <a:ext uri="{FF2B5EF4-FFF2-40B4-BE49-F238E27FC236}">
              <a16:creationId xmlns:a16="http://schemas.microsoft.com/office/drawing/2014/main" id="{00000000-0008-0000-1F00-0000E9930000}"/>
            </a:ext>
          </a:extLst>
        </xdr:cNvPr>
        <xdr:cNvSpPr>
          <a:spLocks noChangeArrowheads="1"/>
        </xdr:cNvSpPr>
      </xdr:nvSpPr>
      <xdr:spPr bwMode="auto">
        <a:xfrm rot="9693240">
          <a:off x="1219200" y="6143625"/>
          <a:ext cx="4200525" cy="962025"/>
        </a:xfrm>
        <a:prstGeom prst="parallelogram">
          <a:avLst>
            <a:gd name="adj" fmla="val 3392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485775</xdr:colOff>
      <xdr:row>35</xdr:row>
      <xdr:rowOff>95250</xdr:rowOff>
    </xdr:from>
    <xdr:to>
      <xdr:col>6</xdr:col>
      <xdr:colOff>219075</xdr:colOff>
      <xdr:row>37</xdr:row>
      <xdr:rowOff>114300</xdr:rowOff>
    </xdr:to>
    <xdr:sp macro="" textlink="">
      <xdr:nvSpPr>
        <xdr:cNvPr id="37866" name="AutoShape 3">
          <a:extLst>
            <a:ext uri="{FF2B5EF4-FFF2-40B4-BE49-F238E27FC236}">
              <a16:creationId xmlns:a16="http://schemas.microsoft.com/office/drawing/2014/main" id="{00000000-0008-0000-1F00-0000EA930000}"/>
            </a:ext>
          </a:extLst>
        </xdr:cNvPr>
        <xdr:cNvSpPr>
          <a:spLocks noChangeArrowheads="1"/>
        </xdr:cNvSpPr>
      </xdr:nvSpPr>
      <xdr:spPr bwMode="auto">
        <a:xfrm rot="9693240">
          <a:off x="1390650" y="7124700"/>
          <a:ext cx="3952875" cy="342900"/>
        </a:xfrm>
        <a:prstGeom prst="parallelogram">
          <a:avLst>
            <a:gd name="adj" fmla="val 0"/>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28575</xdr:rowOff>
    </xdr:from>
    <xdr:to>
      <xdr:col>1</xdr:col>
      <xdr:colOff>657225</xdr:colOff>
      <xdr:row>41</xdr:row>
      <xdr:rowOff>133350</xdr:rowOff>
    </xdr:to>
    <xdr:sp macro="" textlink="">
      <xdr:nvSpPr>
        <xdr:cNvPr id="37867" name="Rectangle 4">
          <a:extLst>
            <a:ext uri="{FF2B5EF4-FFF2-40B4-BE49-F238E27FC236}">
              <a16:creationId xmlns:a16="http://schemas.microsoft.com/office/drawing/2014/main" id="{00000000-0008-0000-1F00-0000EB930000}"/>
            </a:ext>
          </a:extLst>
        </xdr:cNvPr>
        <xdr:cNvSpPr>
          <a:spLocks noChangeArrowheads="1"/>
        </xdr:cNvSpPr>
      </xdr:nvSpPr>
      <xdr:spPr bwMode="auto">
        <a:xfrm>
          <a:off x="904875" y="6734175"/>
          <a:ext cx="657225" cy="14001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xdr:colOff>
      <xdr:row>25</xdr:row>
      <xdr:rowOff>47625</xdr:rowOff>
    </xdr:from>
    <xdr:to>
      <xdr:col>6</xdr:col>
      <xdr:colOff>685800</xdr:colOff>
      <xdr:row>33</xdr:row>
      <xdr:rowOff>152400</xdr:rowOff>
    </xdr:to>
    <xdr:sp macro="" textlink="">
      <xdr:nvSpPr>
        <xdr:cNvPr id="37868" name="Rectangle 5">
          <a:extLst>
            <a:ext uri="{FF2B5EF4-FFF2-40B4-BE49-F238E27FC236}">
              <a16:creationId xmlns:a16="http://schemas.microsoft.com/office/drawing/2014/main" id="{00000000-0008-0000-1F00-0000EC930000}"/>
            </a:ext>
          </a:extLst>
        </xdr:cNvPr>
        <xdr:cNvSpPr>
          <a:spLocks noChangeArrowheads="1"/>
        </xdr:cNvSpPr>
      </xdr:nvSpPr>
      <xdr:spPr bwMode="auto">
        <a:xfrm>
          <a:off x="5153025" y="5457825"/>
          <a:ext cx="657225" cy="14001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485775</xdr:colOff>
      <xdr:row>29</xdr:row>
      <xdr:rowOff>57150</xdr:rowOff>
    </xdr:from>
    <xdr:to>
      <xdr:col>3</xdr:col>
      <xdr:colOff>485775</xdr:colOff>
      <xdr:row>35</xdr:row>
      <xdr:rowOff>85725</xdr:rowOff>
    </xdr:to>
    <xdr:sp macro="" textlink="">
      <xdr:nvSpPr>
        <xdr:cNvPr id="37869" name="Line 6">
          <a:extLst>
            <a:ext uri="{FF2B5EF4-FFF2-40B4-BE49-F238E27FC236}">
              <a16:creationId xmlns:a16="http://schemas.microsoft.com/office/drawing/2014/main" id="{00000000-0008-0000-1F00-0000ED930000}"/>
            </a:ext>
          </a:extLst>
        </xdr:cNvPr>
        <xdr:cNvSpPr>
          <a:spLocks noChangeShapeType="1"/>
        </xdr:cNvSpPr>
      </xdr:nvSpPr>
      <xdr:spPr bwMode="auto">
        <a:xfrm>
          <a:off x="3324225" y="6115050"/>
          <a:ext cx="0" cy="1000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514350</xdr:colOff>
      <xdr:row>30</xdr:row>
      <xdr:rowOff>0</xdr:rowOff>
    </xdr:from>
    <xdr:to>
      <xdr:col>5</xdr:col>
      <xdr:colOff>457200</xdr:colOff>
      <xdr:row>32</xdr:row>
      <xdr:rowOff>9525</xdr:rowOff>
    </xdr:to>
    <xdr:sp macro="" textlink="">
      <xdr:nvSpPr>
        <xdr:cNvPr id="36871" name="Text Box 7">
          <a:extLst>
            <a:ext uri="{FF2B5EF4-FFF2-40B4-BE49-F238E27FC236}">
              <a16:creationId xmlns:a16="http://schemas.microsoft.com/office/drawing/2014/main" id="{00000000-0008-0000-1F00-000007900000}"/>
            </a:ext>
          </a:extLst>
        </xdr:cNvPr>
        <xdr:cNvSpPr txBox="1">
          <a:spLocks noChangeArrowheads="1"/>
        </xdr:cNvSpPr>
      </xdr:nvSpPr>
      <xdr:spPr bwMode="auto">
        <a:xfrm>
          <a:off x="3352800" y="6219825"/>
          <a:ext cx="1466850" cy="33337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0" bIns="0" anchor="t" upright="1"/>
        <a:lstStyle/>
        <a:p>
          <a:pPr algn="l" rtl="0">
            <a:defRPr sz="1000"/>
          </a:pPr>
          <a:r>
            <a:rPr lang="fr-FR" sz="1800" b="1" i="0" u="none" strike="noStrike" baseline="0">
              <a:solidFill>
                <a:srgbClr val="000000"/>
              </a:solidFill>
              <a:latin typeface="Arial"/>
              <a:cs typeface="Arial"/>
            </a:rPr>
            <a:t>CHARGE</a:t>
          </a:r>
        </a:p>
      </xdr:txBody>
    </xdr:sp>
    <xdr:clientData/>
  </xdr:twoCellAnchor>
  <xdr:twoCellAnchor>
    <xdr:from>
      <xdr:col>1</xdr:col>
      <xdr:colOff>28575</xdr:colOff>
      <xdr:row>32</xdr:row>
      <xdr:rowOff>142875</xdr:rowOff>
    </xdr:from>
    <xdr:to>
      <xdr:col>1</xdr:col>
      <xdr:colOff>552450</xdr:colOff>
      <xdr:row>35</xdr:row>
      <xdr:rowOff>142875</xdr:rowOff>
    </xdr:to>
    <xdr:sp macro="" textlink="">
      <xdr:nvSpPr>
        <xdr:cNvPr id="36872" name="Text Box 8">
          <a:extLst>
            <a:ext uri="{FF2B5EF4-FFF2-40B4-BE49-F238E27FC236}">
              <a16:creationId xmlns:a16="http://schemas.microsoft.com/office/drawing/2014/main" id="{00000000-0008-0000-1F00-000008900000}"/>
            </a:ext>
          </a:extLst>
        </xdr:cNvPr>
        <xdr:cNvSpPr txBox="1">
          <a:spLocks noChangeArrowheads="1"/>
        </xdr:cNvSpPr>
      </xdr:nvSpPr>
      <xdr:spPr bwMode="auto">
        <a:xfrm>
          <a:off x="933450" y="6686550"/>
          <a:ext cx="523875" cy="4857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fr-FR" sz="2200" b="1" i="0" u="none" strike="noStrike" baseline="0">
              <a:solidFill>
                <a:srgbClr val="000000"/>
              </a:solidFill>
              <a:latin typeface="Arial"/>
              <a:cs typeface="Arial"/>
            </a:rPr>
            <a:t>R</a:t>
          </a:r>
        </a:p>
      </xdr:txBody>
    </xdr:sp>
    <xdr:clientData/>
  </xdr:twoCellAnchor>
  <xdr:twoCellAnchor>
    <xdr:from>
      <xdr:col>6</xdr:col>
      <xdr:colOff>28575</xdr:colOff>
      <xdr:row>25</xdr:row>
      <xdr:rowOff>95250</xdr:rowOff>
    </xdr:from>
    <xdr:to>
      <xdr:col>6</xdr:col>
      <xdr:colOff>552450</xdr:colOff>
      <xdr:row>28</xdr:row>
      <xdr:rowOff>95250</xdr:rowOff>
    </xdr:to>
    <xdr:sp macro="" textlink="">
      <xdr:nvSpPr>
        <xdr:cNvPr id="36873" name="Text Box 9">
          <a:extLst>
            <a:ext uri="{FF2B5EF4-FFF2-40B4-BE49-F238E27FC236}">
              <a16:creationId xmlns:a16="http://schemas.microsoft.com/office/drawing/2014/main" id="{00000000-0008-0000-1F00-000009900000}"/>
            </a:ext>
          </a:extLst>
        </xdr:cNvPr>
        <xdr:cNvSpPr txBox="1">
          <a:spLocks noChangeArrowheads="1"/>
        </xdr:cNvSpPr>
      </xdr:nvSpPr>
      <xdr:spPr bwMode="auto">
        <a:xfrm>
          <a:off x="5153025" y="5505450"/>
          <a:ext cx="523875" cy="4857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fr-FR" sz="2200" b="1" i="0" u="none" strike="noStrike" baseline="0">
              <a:solidFill>
                <a:srgbClr val="000000"/>
              </a:solidFill>
              <a:latin typeface="Arial"/>
              <a:cs typeface="Arial"/>
            </a:rPr>
            <a:t>R</a:t>
          </a:r>
        </a:p>
      </xdr:txBody>
    </xdr:sp>
    <xdr:clientData/>
  </xdr:twoCellAnchor>
  <xdr:twoCellAnchor editAs="oneCell">
    <xdr:from>
      <xdr:col>0</xdr:col>
      <xdr:colOff>47625</xdr:colOff>
      <xdr:row>0</xdr:row>
      <xdr:rowOff>47625</xdr:rowOff>
    </xdr:from>
    <xdr:to>
      <xdr:col>1</xdr:col>
      <xdr:colOff>96122</xdr:colOff>
      <xdr:row>1</xdr:row>
      <xdr:rowOff>9525</xdr:rowOff>
    </xdr:to>
    <xdr:pic>
      <xdr:nvPicPr>
        <xdr:cNvPr id="11" name="Image 10">
          <a:extLst>
            <a:ext uri="{FF2B5EF4-FFF2-40B4-BE49-F238E27FC236}">
              <a16:creationId xmlns:a16="http://schemas.microsoft.com/office/drawing/2014/main" id="{00000000-0008-0000-1F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1010522</xdr:colOff>
      <xdr:row>2</xdr:row>
      <xdr:rowOff>76200</xdr:rowOff>
    </xdr:to>
    <xdr:pic>
      <xdr:nvPicPr>
        <xdr:cNvPr id="3" name="Imag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1</xdr:col>
      <xdr:colOff>505697</xdr:colOff>
      <xdr:row>2</xdr:row>
      <xdr:rowOff>95250</xdr:rowOff>
    </xdr:to>
    <xdr:pic>
      <xdr:nvPicPr>
        <xdr:cNvPr id="3" name="Image 2">
          <a:extLst>
            <a:ext uri="{FF2B5EF4-FFF2-40B4-BE49-F238E27FC236}">
              <a16:creationId xmlns:a16="http://schemas.microsoft.com/office/drawing/2014/main" id="{00000000-0008-0000-2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19414</xdr:colOff>
      <xdr:row>0</xdr:row>
      <xdr:rowOff>54613</xdr:rowOff>
    </xdr:from>
    <xdr:to>
      <xdr:col>0</xdr:col>
      <xdr:colOff>912611</xdr:colOff>
      <xdr:row>1</xdr:row>
      <xdr:rowOff>215347</xdr:rowOff>
    </xdr:to>
    <xdr:pic>
      <xdr:nvPicPr>
        <xdr:cNvPr id="3" name="Image 2">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414" y="54613"/>
          <a:ext cx="893197" cy="3926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19050</xdr:colOff>
      <xdr:row>10</xdr:row>
      <xdr:rowOff>9525</xdr:rowOff>
    </xdr:from>
    <xdr:to>
      <xdr:col>18</xdr:col>
      <xdr:colOff>104775</xdr:colOff>
      <xdr:row>10</xdr:row>
      <xdr:rowOff>9525</xdr:rowOff>
    </xdr:to>
    <xdr:sp macro="" textlink="">
      <xdr:nvSpPr>
        <xdr:cNvPr id="102240" name="Line 1">
          <a:extLst>
            <a:ext uri="{FF2B5EF4-FFF2-40B4-BE49-F238E27FC236}">
              <a16:creationId xmlns:a16="http://schemas.microsoft.com/office/drawing/2014/main" id="{00000000-0008-0000-2300-0000608F0100}"/>
            </a:ext>
          </a:extLst>
        </xdr:cNvPr>
        <xdr:cNvSpPr>
          <a:spLocks noChangeShapeType="1"/>
        </xdr:cNvSpPr>
      </xdr:nvSpPr>
      <xdr:spPr bwMode="auto">
        <a:xfrm flipV="1">
          <a:off x="152400" y="2276475"/>
          <a:ext cx="7353300" cy="0"/>
        </a:xfrm>
        <a:prstGeom prst="line">
          <a:avLst/>
        </a:prstGeom>
        <a:noFill/>
        <a:ln w="254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1647825</xdr:colOff>
      <xdr:row>8</xdr:row>
      <xdr:rowOff>152400</xdr:rowOff>
    </xdr:from>
    <xdr:to>
      <xdr:col>6</xdr:col>
      <xdr:colOff>276225</xdr:colOff>
      <xdr:row>8</xdr:row>
      <xdr:rowOff>171450</xdr:rowOff>
    </xdr:to>
    <xdr:sp macro="" textlink="">
      <xdr:nvSpPr>
        <xdr:cNvPr id="102241" name="Line 2">
          <a:extLst>
            <a:ext uri="{FF2B5EF4-FFF2-40B4-BE49-F238E27FC236}">
              <a16:creationId xmlns:a16="http://schemas.microsoft.com/office/drawing/2014/main" id="{00000000-0008-0000-2300-0000618F0100}"/>
            </a:ext>
          </a:extLst>
        </xdr:cNvPr>
        <xdr:cNvSpPr>
          <a:spLocks noChangeShapeType="1"/>
        </xdr:cNvSpPr>
      </xdr:nvSpPr>
      <xdr:spPr bwMode="auto">
        <a:xfrm rot="2700000">
          <a:off x="2990850" y="1447800"/>
          <a:ext cx="19050" cy="112395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171450</xdr:colOff>
      <xdr:row>8</xdr:row>
      <xdr:rowOff>123825</xdr:rowOff>
    </xdr:from>
    <xdr:to>
      <xdr:col>7</xdr:col>
      <xdr:colOff>323850</xdr:colOff>
      <xdr:row>8</xdr:row>
      <xdr:rowOff>142875</xdr:rowOff>
    </xdr:to>
    <xdr:sp macro="" textlink="">
      <xdr:nvSpPr>
        <xdr:cNvPr id="102242" name="Line 3">
          <a:extLst>
            <a:ext uri="{FF2B5EF4-FFF2-40B4-BE49-F238E27FC236}">
              <a16:creationId xmlns:a16="http://schemas.microsoft.com/office/drawing/2014/main" id="{00000000-0008-0000-2300-0000628F0100}"/>
            </a:ext>
          </a:extLst>
        </xdr:cNvPr>
        <xdr:cNvSpPr>
          <a:spLocks noChangeShapeType="1"/>
        </xdr:cNvSpPr>
      </xdr:nvSpPr>
      <xdr:spPr bwMode="auto">
        <a:xfrm rot="2700000">
          <a:off x="33528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8</xdr:row>
      <xdr:rowOff>123825</xdr:rowOff>
    </xdr:from>
    <xdr:to>
      <xdr:col>8</xdr:col>
      <xdr:colOff>323850</xdr:colOff>
      <xdr:row>8</xdr:row>
      <xdr:rowOff>133350</xdr:rowOff>
    </xdr:to>
    <xdr:sp macro="" textlink="">
      <xdr:nvSpPr>
        <xdr:cNvPr id="102243" name="Line 4">
          <a:extLst>
            <a:ext uri="{FF2B5EF4-FFF2-40B4-BE49-F238E27FC236}">
              <a16:creationId xmlns:a16="http://schemas.microsoft.com/office/drawing/2014/main" id="{00000000-0008-0000-2300-0000638F0100}"/>
            </a:ext>
          </a:extLst>
        </xdr:cNvPr>
        <xdr:cNvSpPr>
          <a:spLocks noChangeShapeType="1"/>
        </xdr:cNvSpPr>
      </xdr:nvSpPr>
      <xdr:spPr bwMode="auto">
        <a:xfrm rot="2700000">
          <a:off x="3700462" y="1385888"/>
          <a:ext cx="9525"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171450</xdr:colOff>
      <xdr:row>8</xdr:row>
      <xdr:rowOff>123825</xdr:rowOff>
    </xdr:from>
    <xdr:to>
      <xdr:col>10</xdr:col>
      <xdr:colOff>323850</xdr:colOff>
      <xdr:row>8</xdr:row>
      <xdr:rowOff>152400</xdr:rowOff>
    </xdr:to>
    <xdr:sp macro="" textlink="">
      <xdr:nvSpPr>
        <xdr:cNvPr id="102244" name="Line 5">
          <a:extLst>
            <a:ext uri="{FF2B5EF4-FFF2-40B4-BE49-F238E27FC236}">
              <a16:creationId xmlns:a16="http://schemas.microsoft.com/office/drawing/2014/main" id="{00000000-0008-0000-2300-0000648F0100}"/>
            </a:ext>
          </a:extLst>
        </xdr:cNvPr>
        <xdr:cNvSpPr>
          <a:spLocks noChangeShapeType="1"/>
        </xdr:cNvSpPr>
      </xdr:nvSpPr>
      <xdr:spPr bwMode="auto">
        <a:xfrm rot="2700000">
          <a:off x="4376737" y="1395413"/>
          <a:ext cx="28575"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6</xdr:col>
      <xdr:colOff>161925</xdr:colOff>
      <xdr:row>8</xdr:row>
      <xdr:rowOff>123825</xdr:rowOff>
    </xdr:from>
    <xdr:to>
      <xdr:col>9</xdr:col>
      <xdr:colOff>314325</xdr:colOff>
      <xdr:row>8</xdr:row>
      <xdr:rowOff>142875</xdr:rowOff>
    </xdr:to>
    <xdr:sp macro="" textlink="">
      <xdr:nvSpPr>
        <xdr:cNvPr id="102245" name="Line 6">
          <a:extLst>
            <a:ext uri="{FF2B5EF4-FFF2-40B4-BE49-F238E27FC236}">
              <a16:creationId xmlns:a16="http://schemas.microsoft.com/office/drawing/2014/main" id="{00000000-0008-0000-2300-0000658F0100}"/>
            </a:ext>
          </a:extLst>
        </xdr:cNvPr>
        <xdr:cNvSpPr>
          <a:spLocks noChangeShapeType="1"/>
        </xdr:cNvSpPr>
      </xdr:nvSpPr>
      <xdr:spPr bwMode="auto">
        <a:xfrm rot="2700000">
          <a:off x="4029075"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8</xdr:col>
      <xdr:colOff>171450</xdr:colOff>
      <xdr:row>8</xdr:row>
      <xdr:rowOff>123825</xdr:rowOff>
    </xdr:from>
    <xdr:to>
      <xdr:col>11</xdr:col>
      <xdr:colOff>323850</xdr:colOff>
      <xdr:row>8</xdr:row>
      <xdr:rowOff>142875</xdr:rowOff>
    </xdr:to>
    <xdr:sp macro="" textlink="">
      <xdr:nvSpPr>
        <xdr:cNvPr id="102246" name="Line 7">
          <a:extLst>
            <a:ext uri="{FF2B5EF4-FFF2-40B4-BE49-F238E27FC236}">
              <a16:creationId xmlns:a16="http://schemas.microsoft.com/office/drawing/2014/main" id="{00000000-0008-0000-2300-0000668F0100}"/>
            </a:ext>
          </a:extLst>
        </xdr:cNvPr>
        <xdr:cNvSpPr>
          <a:spLocks noChangeShapeType="1"/>
        </xdr:cNvSpPr>
      </xdr:nvSpPr>
      <xdr:spPr bwMode="auto">
        <a:xfrm rot="2700000">
          <a:off x="47244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9</xdr:col>
      <xdr:colOff>161925</xdr:colOff>
      <xdr:row>8</xdr:row>
      <xdr:rowOff>123825</xdr:rowOff>
    </xdr:from>
    <xdr:to>
      <xdr:col>12</xdr:col>
      <xdr:colOff>314325</xdr:colOff>
      <xdr:row>8</xdr:row>
      <xdr:rowOff>142875</xdr:rowOff>
    </xdr:to>
    <xdr:sp macro="" textlink="">
      <xdr:nvSpPr>
        <xdr:cNvPr id="102247" name="Line 8">
          <a:extLst>
            <a:ext uri="{FF2B5EF4-FFF2-40B4-BE49-F238E27FC236}">
              <a16:creationId xmlns:a16="http://schemas.microsoft.com/office/drawing/2014/main" id="{00000000-0008-0000-2300-0000678F0100}"/>
            </a:ext>
          </a:extLst>
        </xdr:cNvPr>
        <xdr:cNvSpPr>
          <a:spLocks noChangeShapeType="1"/>
        </xdr:cNvSpPr>
      </xdr:nvSpPr>
      <xdr:spPr bwMode="auto">
        <a:xfrm rot="2700000">
          <a:off x="5057775"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8</xdr:row>
      <xdr:rowOff>123825</xdr:rowOff>
    </xdr:from>
    <xdr:to>
      <xdr:col>13</xdr:col>
      <xdr:colOff>323850</xdr:colOff>
      <xdr:row>8</xdr:row>
      <xdr:rowOff>142875</xdr:rowOff>
    </xdr:to>
    <xdr:sp macro="" textlink="">
      <xdr:nvSpPr>
        <xdr:cNvPr id="102248" name="Line 9">
          <a:extLst>
            <a:ext uri="{FF2B5EF4-FFF2-40B4-BE49-F238E27FC236}">
              <a16:creationId xmlns:a16="http://schemas.microsoft.com/office/drawing/2014/main" id="{00000000-0008-0000-2300-0000688F0100}"/>
            </a:ext>
          </a:extLst>
        </xdr:cNvPr>
        <xdr:cNvSpPr>
          <a:spLocks noChangeShapeType="1"/>
        </xdr:cNvSpPr>
      </xdr:nvSpPr>
      <xdr:spPr bwMode="auto">
        <a:xfrm rot="2700000">
          <a:off x="54102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11</xdr:col>
      <xdr:colOff>171450</xdr:colOff>
      <xdr:row>8</xdr:row>
      <xdr:rowOff>123825</xdr:rowOff>
    </xdr:from>
    <xdr:to>
      <xdr:col>14</xdr:col>
      <xdr:colOff>323850</xdr:colOff>
      <xdr:row>8</xdr:row>
      <xdr:rowOff>142875</xdr:rowOff>
    </xdr:to>
    <xdr:sp macro="" textlink="">
      <xdr:nvSpPr>
        <xdr:cNvPr id="102249" name="Line 10">
          <a:extLst>
            <a:ext uri="{FF2B5EF4-FFF2-40B4-BE49-F238E27FC236}">
              <a16:creationId xmlns:a16="http://schemas.microsoft.com/office/drawing/2014/main" id="{00000000-0008-0000-2300-0000698F0100}"/>
            </a:ext>
          </a:extLst>
        </xdr:cNvPr>
        <xdr:cNvSpPr>
          <a:spLocks noChangeShapeType="1"/>
        </xdr:cNvSpPr>
      </xdr:nvSpPr>
      <xdr:spPr bwMode="auto">
        <a:xfrm rot="2700000">
          <a:off x="57531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12</xdr:col>
      <xdr:colOff>171450</xdr:colOff>
      <xdr:row>8</xdr:row>
      <xdr:rowOff>123825</xdr:rowOff>
    </xdr:from>
    <xdr:to>
      <xdr:col>15</xdr:col>
      <xdr:colOff>323850</xdr:colOff>
      <xdr:row>8</xdr:row>
      <xdr:rowOff>142875</xdr:rowOff>
    </xdr:to>
    <xdr:sp macro="" textlink="">
      <xdr:nvSpPr>
        <xdr:cNvPr id="102250" name="Line 11">
          <a:extLst>
            <a:ext uri="{FF2B5EF4-FFF2-40B4-BE49-F238E27FC236}">
              <a16:creationId xmlns:a16="http://schemas.microsoft.com/office/drawing/2014/main" id="{00000000-0008-0000-2300-00006A8F0100}"/>
            </a:ext>
          </a:extLst>
        </xdr:cNvPr>
        <xdr:cNvSpPr>
          <a:spLocks noChangeShapeType="1"/>
        </xdr:cNvSpPr>
      </xdr:nvSpPr>
      <xdr:spPr bwMode="auto">
        <a:xfrm rot="2700000">
          <a:off x="60960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13</xdr:col>
      <xdr:colOff>171450</xdr:colOff>
      <xdr:row>8</xdr:row>
      <xdr:rowOff>123825</xdr:rowOff>
    </xdr:from>
    <xdr:to>
      <xdr:col>16</xdr:col>
      <xdr:colOff>323850</xdr:colOff>
      <xdr:row>8</xdr:row>
      <xdr:rowOff>161925</xdr:rowOff>
    </xdr:to>
    <xdr:sp macro="" textlink="">
      <xdr:nvSpPr>
        <xdr:cNvPr id="102251" name="Line 12">
          <a:extLst>
            <a:ext uri="{FF2B5EF4-FFF2-40B4-BE49-F238E27FC236}">
              <a16:creationId xmlns:a16="http://schemas.microsoft.com/office/drawing/2014/main" id="{00000000-0008-0000-2300-00006B8F0100}"/>
            </a:ext>
          </a:extLst>
        </xdr:cNvPr>
        <xdr:cNvSpPr>
          <a:spLocks noChangeShapeType="1"/>
        </xdr:cNvSpPr>
      </xdr:nvSpPr>
      <xdr:spPr bwMode="auto">
        <a:xfrm rot="2700000">
          <a:off x="6429375" y="1400175"/>
          <a:ext cx="3810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14</xdr:col>
      <xdr:colOff>171450</xdr:colOff>
      <xdr:row>8</xdr:row>
      <xdr:rowOff>123825</xdr:rowOff>
    </xdr:from>
    <xdr:to>
      <xdr:col>17</xdr:col>
      <xdr:colOff>323850</xdr:colOff>
      <xdr:row>8</xdr:row>
      <xdr:rowOff>152400</xdr:rowOff>
    </xdr:to>
    <xdr:sp macro="" textlink="">
      <xdr:nvSpPr>
        <xdr:cNvPr id="102252" name="Line 13">
          <a:extLst>
            <a:ext uri="{FF2B5EF4-FFF2-40B4-BE49-F238E27FC236}">
              <a16:creationId xmlns:a16="http://schemas.microsoft.com/office/drawing/2014/main" id="{00000000-0008-0000-2300-00006C8F0100}"/>
            </a:ext>
          </a:extLst>
        </xdr:cNvPr>
        <xdr:cNvSpPr>
          <a:spLocks noChangeShapeType="1"/>
        </xdr:cNvSpPr>
      </xdr:nvSpPr>
      <xdr:spPr bwMode="auto">
        <a:xfrm rot="2700000">
          <a:off x="6777037" y="1395413"/>
          <a:ext cx="28575"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15</xdr:col>
      <xdr:colOff>171450</xdr:colOff>
      <xdr:row>8</xdr:row>
      <xdr:rowOff>123825</xdr:rowOff>
    </xdr:from>
    <xdr:to>
      <xdr:col>18</xdr:col>
      <xdr:colOff>323850</xdr:colOff>
      <xdr:row>8</xdr:row>
      <xdr:rowOff>142875</xdr:rowOff>
    </xdr:to>
    <xdr:sp macro="" textlink="">
      <xdr:nvSpPr>
        <xdr:cNvPr id="102253" name="Line 14">
          <a:extLst>
            <a:ext uri="{FF2B5EF4-FFF2-40B4-BE49-F238E27FC236}">
              <a16:creationId xmlns:a16="http://schemas.microsoft.com/office/drawing/2014/main" id="{00000000-0008-0000-2300-00006D8F0100}"/>
            </a:ext>
          </a:extLst>
        </xdr:cNvPr>
        <xdr:cNvSpPr>
          <a:spLocks noChangeShapeType="1"/>
        </xdr:cNvSpPr>
      </xdr:nvSpPr>
      <xdr:spPr bwMode="auto">
        <a:xfrm rot="2700000">
          <a:off x="71247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16</xdr:col>
      <xdr:colOff>190500</xdr:colOff>
      <xdr:row>8</xdr:row>
      <xdr:rowOff>200025</xdr:rowOff>
    </xdr:from>
    <xdr:to>
      <xdr:col>19</xdr:col>
      <xdr:colOff>152400</xdr:colOff>
      <xdr:row>9</xdr:row>
      <xdr:rowOff>9525</xdr:rowOff>
    </xdr:to>
    <xdr:sp macro="" textlink="">
      <xdr:nvSpPr>
        <xdr:cNvPr id="102254" name="Line 15">
          <a:extLst>
            <a:ext uri="{FF2B5EF4-FFF2-40B4-BE49-F238E27FC236}">
              <a16:creationId xmlns:a16="http://schemas.microsoft.com/office/drawing/2014/main" id="{00000000-0008-0000-2300-00006E8F0100}"/>
            </a:ext>
          </a:extLst>
        </xdr:cNvPr>
        <xdr:cNvSpPr>
          <a:spLocks noChangeShapeType="1"/>
        </xdr:cNvSpPr>
      </xdr:nvSpPr>
      <xdr:spPr bwMode="auto">
        <a:xfrm rot="2700000">
          <a:off x="7391400" y="1562100"/>
          <a:ext cx="19050" cy="9906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17</xdr:col>
      <xdr:colOff>257175</xdr:colOff>
      <xdr:row>9</xdr:row>
      <xdr:rowOff>152400</xdr:rowOff>
    </xdr:from>
    <xdr:to>
      <xdr:col>19</xdr:col>
      <xdr:colOff>95250</xdr:colOff>
      <xdr:row>9</xdr:row>
      <xdr:rowOff>152400</xdr:rowOff>
    </xdr:to>
    <xdr:sp macro="" textlink="">
      <xdr:nvSpPr>
        <xdr:cNvPr id="102255" name="Line 16">
          <a:extLst>
            <a:ext uri="{FF2B5EF4-FFF2-40B4-BE49-F238E27FC236}">
              <a16:creationId xmlns:a16="http://schemas.microsoft.com/office/drawing/2014/main" id="{00000000-0008-0000-2300-00006F8F0100}"/>
            </a:ext>
          </a:extLst>
        </xdr:cNvPr>
        <xdr:cNvSpPr>
          <a:spLocks noChangeShapeType="1"/>
        </xdr:cNvSpPr>
      </xdr:nvSpPr>
      <xdr:spPr bwMode="auto">
        <a:xfrm rot="2700000">
          <a:off x="7577138" y="1947862"/>
          <a:ext cx="0" cy="523875"/>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57150</xdr:colOff>
      <xdr:row>0</xdr:row>
      <xdr:rowOff>57150</xdr:rowOff>
    </xdr:from>
    <xdr:to>
      <xdr:col>3</xdr:col>
      <xdr:colOff>219947</xdr:colOff>
      <xdr:row>2</xdr:row>
      <xdr:rowOff>114300</xdr:rowOff>
    </xdr:to>
    <xdr:pic>
      <xdr:nvPicPr>
        <xdr:cNvPr id="19" name="Image 18">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523875</xdr:colOff>
      <xdr:row>6</xdr:row>
      <xdr:rowOff>0</xdr:rowOff>
    </xdr:from>
    <xdr:to>
      <xdr:col>1</xdr:col>
      <xdr:colOff>771525</xdr:colOff>
      <xdr:row>9</xdr:row>
      <xdr:rowOff>95250</xdr:rowOff>
    </xdr:to>
    <xdr:sp macro="" textlink="">
      <xdr:nvSpPr>
        <xdr:cNvPr id="44033" name="WordArt 1">
          <a:extLst>
            <a:ext uri="{FF2B5EF4-FFF2-40B4-BE49-F238E27FC236}">
              <a16:creationId xmlns:a16="http://schemas.microsoft.com/office/drawing/2014/main" id="{00000000-0008-0000-2400-000001AC0000}"/>
            </a:ext>
          </a:extLst>
        </xdr:cNvPr>
        <xdr:cNvSpPr>
          <a:spLocks noChangeArrowheads="1" noChangeShapeType="1" noTextEdit="1"/>
        </xdr:cNvSpPr>
      </xdr:nvSpPr>
      <xdr:spPr bwMode="auto">
        <a:xfrm rot="17700000">
          <a:off x="442912" y="1566863"/>
          <a:ext cx="638175" cy="2476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51"/>
            </a:avLst>
          </a:prstTxWarp>
        </a:bodyPr>
        <a:lstStyle/>
        <a:p>
          <a:pPr algn="ctr" rtl="0">
            <a:buNone/>
          </a:pPr>
          <a:r>
            <a:rPr lang="fr-FR" sz="3600" kern="10" spc="0">
              <a:ln w="9525">
                <a:solidFill>
                  <a:srgbClr val="000000"/>
                </a:solidFill>
                <a:round/>
                <a:headEnd/>
                <a:tailEnd/>
              </a:ln>
              <a:solidFill>
                <a:srgbClr val="FFFFFF"/>
              </a:solidFill>
              <a:effectLst/>
              <a:latin typeface="Arial Black"/>
            </a:rPr>
            <a:t>POSTES</a:t>
          </a:r>
        </a:p>
      </xdr:txBody>
    </xdr:sp>
    <xdr:clientData/>
  </xdr:twoCellAnchor>
  <xdr:twoCellAnchor>
    <xdr:from>
      <xdr:col>2</xdr:col>
      <xdr:colOff>0</xdr:colOff>
      <xdr:row>5</xdr:row>
      <xdr:rowOff>95250</xdr:rowOff>
    </xdr:from>
    <xdr:to>
      <xdr:col>3</xdr:col>
      <xdr:colOff>95250</xdr:colOff>
      <xdr:row>10</xdr:row>
      <xdr:rowOff>0</xdr:rowOff>
    </xdr:to>
    <xdr:sp macro="" textlink="">
      <xdr:nvSpPr>
        <xdr:cNvPr id="172429" name="Line 3">
          <a:extLst>
            <a:ext uri="{FF2B5EF4-FFF2-40B4-BE49-F238E27FC236}">
              <a16:creationId xmlns:a16="http://schemas.microsoft.com/office/drawing/2014/main" id="{00000000-0008-0000-2400-00008DA10200}"/>
            </a:ext>
          </a:extLst>
        </xdr:cNvPr>
        <xdr:cNvSpPr>
          <a:spLocks noChangeShapeType="1"/>
        </xdr:cNvSpPr>
      </xdr:nvSpPr>
      <xdr:spPr bwMode="auto">
        <a:xfrm flipV="1">
          <a:off x="942975"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0</xdr:colOff>
      <xdr:row>5</xdr:row>
      <xdr:rowOff>104775</xdr:rowOff>
    </xdr:from>
    <xdr:to>
      <xdr:col>5</xdr:col>
      <xdr:colOff>95250</xdr:colOff>
      <xdr:row>10</xdr:row>
      <xdr:rowOff>9525</xdr:rowOff>
    </xdr:to>
    <xdr:sp macro="" textlink="">
      <xdr:nvSpPr>
        <xdr:cNvPr id="172430" name="Line 4">
          <a:extLst>
            <a:ext uri="{FF2B5EF4-FFF2-40B4-BE49-F238E27FC236}">
              <a16:creationId xmlns:a16="http://schemas.microsoft.com/office/drawing/2014/main" id="{00000000-0008-0000-2400-00008EA10200}"/>
            </a:ext>
          </a:extLst>
        </xdr:cNvPr>
        <xdr:cNvSpPr>
          <a:spLocks noChangeShapeType="1"/>
        </xdr:cNvSpPr>
      </xdr:nvSpPr>
      <xdr:spPr bwMode="auto">
        <a:xfrm flipV="1">
          <a:off x="2314575" y="122872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9525</xdr:colOff>
      <xdr:row>5</xdr:row>
      <xdr:rowOff>95250</xdr:rowOff>
    </xdr:from>
    <xdr:to>
      <xdr:col>6</xdr:col>
      <xdr:colOff>104775</xdr:colOff>
      <xdr:row>10</xdr:row>
      <xdr:rowOff>0</xdr:rowOff>
    </xdr:to>
    <xdr:sp macro="" textlink="">
      <xdr:nvSpPr>
        <xdr:cNvPr id="172431" name="Line 5">
          <a:extLst>
            <a:ext uri="{FF2B5EF4-FFF2-40B4-BE49-F238E27FC236}">
              <a16:creationId xmlns:a16="http://schemas.microsoft.com/office/drawing/2014/main" id="{00000000-0008-0000-2400-00008FA10200}"/>
            </a:ext>
          </a:extLst>
        </xdr:cNvPr>
        <xdr:cNvSpPr>
          <a:spLocks noChangeShapeType="1"/>
        </xdr:cNvSpPr>
      </xdr:nvSpPr>
      <xdr:spPr bwMode="auto">
        <a:xfrm flipV="1">
          <a:off x="26670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9525</xdr:colOff>
      <xdr:row>5</xdr:row>
      <xdr:rowOff>95250</xdr:rowOff>
    </xdr:from>
    <xdr:to>
      <xdr:col>7</xdr:col>
      <xdr:colOff>104775</xdr:colOff>
      <xdr:row>10</xdr:row>
      <xdr:rowOff>0</xdr:rowOff>
    </xdr:to>
    <xdr:sp macro="" textlink="">
      <xdr:nvSpPr>
        <xdr:cNvPr id="172432" name="Line 6">
          <a:extLst>
            <a:ext uri="{FF2B5EF4-FFF2-40B4-BE49-F238E27FC236}">
              <a16:creationId xmlns:a16="http://schemas.microsoft.com/office/drawing/2014/main" id="{00000000-0008-0000-2400-000090A10200}"/>
            </a:ext>
          </a:extLst>
        </xdr:cNvPr>
        <xdr:cNvSpPr>
          <a:spLocks noChangeShapeType="1"/>
        </xdr:cNvSpPr>
      </xdr:nvSpPr>
      <xdr:spPr bwMode="auto">
        <a:xfrm flipV="1">
          <a:off x="30099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9525</xdr:colOff>
      <xdr:row>5</xdr:row>
      <xdr:rowOff>95250</xdr:rowOff>
    </xdr:from>
    <xdr:to>
      <xdr:col>8</xdr:col>
      <xdr:colOff>104775</xdr:colOff>
      <xdr:row>10</xdr:row>
      <xdr:rowOff>0</xdr:rowOff>
    </xdr:to>
    <xdr:sp macro="" textlink="">
      <xdr:nvSpPr>
        <xdr:cNvPr id="172433" name="Line 7">
          <a:extLst>
            <a:ext uri="{FF2B5EF4-FFF2-40B4-BE49-F238E27FC236}">
              <a16:creationId xmlns:a16="http://schemas.microsoft.com/office/drawing/2014/main" id="{00000000-0008-0000-2400-000091A10200}"/>
            </a:ext>
          </a:extLst>
        </xdr:cNvPr>
        <xdr:cNvSpPr>
          <a:spLocks noChangeShapeType="1"/>
        </xdr:cNvSpPr>
      </xdr:nvSpPr>
      <xdr:spPr bwMode="auto">
        <a:xfrm flipV="1">
          <a:off x="33528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xdr:col>
      <xdr:colOff>19050</xdr:colOff>
      <xdr:row>5</xdr:row>
      <xdr:rowOff>76200</xdr:rowOff>
    </xdr:from>
    <xdr:to>
      <xdr:col>9</xdr:col>
      <xdr:colOff>114300</xdr:colOff>
      <xdr:row>9</xdr:row>
      <xdr:rowOff>142875</xdr:rowOff>
    </xdr:to>
    <xdr:sp macro="" textlink="">
      <xdr:nvSpPr>
        <xdr:cNvPr id="172434" name="Line 8">
          <a:extLst>
            <a:ext uri="{FF2B5EF4-FFF2-40B4-BE49-F238E27FC236}">
              <a16:creationId xmlns:a16="http://schemas.microsoft.com/office/drawing/2014/main" id="{00000000-0008-0000-2400-000092A10200}"/>
            </a:ext>
          </a:extLst>
        </xdr:cNvPr>
        <xdr:cNvSpPr>
          <a:spLocks noChangeShapeType="1"/>
        </xdr:cNvSpPr>
      </xdr:nvSpPr>
      <xdr:spPr bwMode="auto">
        <a:xfrm flipV="1">
          <a:off x="3705225"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5</xdr:row>
      <xdr:rowOff>114300</xdr:rowOff>
    </xdr:from>
    <xdr:to>
      <xdr:col>4</xdr:col>
      <xdr:colOff>95250</xdr:colOff>
      <xdr:row>10</xdr:row>
      <xdr:rowOff>19050</xdr:rowOff>
    </xdr:to>
    <xdr:sp macro="" textlink="">
      <xdr:nvSpPr>
        <xdr:cNvPr id="172435" name="Line 9">
          <a:extLst>
            <a:ext uri="{FF2B5EF4-FFF2-40B4-BE49-F238E27FC236}">
              <a16:creationId xmlns:a16="http://schemas.microsoft.com/office/drawing/2014/main" id="{00000000-0008-0000-2400-000093A10200}"/>
            </a:ext>
          </a:extLst>
        </xdr:cNvPr>
        <xdr:cNvSpPr>
          <a:spLocks noChangeShapeType="1"/>
        </xdr:cNvSpPr>
      </xdr:nvSpPr>
      <xdr:spPr bwMode="auto">
        <a:xfrm flipV="1">
          <a:off x="1285875" y="1238250"/>
          <a:ext cx="11239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0</xdr:colOff>
      <xdr:row>5</xdr:row>
      <xdr:rowOff>95250</xdr:rowOff>
    </xdr:from>
    <xdr:to>
      <xdr:col>10</xdr:col>
      <xdr:colOff>95250</xdr:colOff>
      <xdr:row>10</xdr:row>
      <xdr:rowOff>0</xdr:rowOff>
    </xdr:to>
    <xdr:sp macro="" textlink="">
      <xdr:nvSpPr>
        <xdr:cNvPr id="172436" name="Line 10">
          <a:extLst>
            <a:ext uri="{FF2B5EF4-FFF2-40B4-BE49-F238E27FC236}">
              <a16:creationId xmlns:a16="http://schemas.microsoft.com/office/drawing/2014/main" id="{00000000-0008-0000-2400-000094A10200}"/>
            </a:ext>
          </a:extLst>
        </xdr:cNvPr>
        <xdr:cNvSpPr>
          <a:spLocks noChangeShapeType="1"/>
        </xdr:cNvSpPr>
      </xdr:nvSpPr>
      <xdr:spPr bwMode="auto">
        <a:xfrm flipV="1">
          <a:off x="4029075"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9525</xdr:colOff>
      <xdr:row>5</xdr:row>
      <xdr:rowOff>85725</xdr:rowOff>
    </xdr:from>
    <xdr:to>
      <xdr:col>11</xdr:col>
      <xdr:colOff>104775</xdr:colOff>
      <xdr:row>9</xdr:row>
      <xdr:rowOff>152400</xdr:rowOff>
    </xdr:to>
    <xdr:sp macro="" textlink="">
      <xdr:nvSpPr>
        <xdr:cNvPr id="172437" name="Line 11">
          <a:extLst>
            <a:ext uri="{FF2B5EF4-FFF2-40B4-BE49-F238E27FC236}">
              <a16:creationId xmlns:a16="http://schemas.microsoft.com/office/drawing/2014/main" id="{00000000-0008-0000-2400-000095A10200}"/>
            </a:ext>
          </a:extLst>
        </xdr:cNvPr>
        <xdr:cNvSpPr>
          <a:spLocks noChangeShapeType="1"/>
        </xdr:cNvSpPr>
      </xdr:nvSpPr>
      <xdr:spPr bwMode="auto">
        <a:xfrm flipV="1">
          <a:off x="4381500" y="120967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xdr:colOff>
      <xdr:row>5</xdr:row>
      <xdr:rowOff>76200</xdr:rowOff>
    </xdr:from>
    <xdr:to>
      <xdr:col>12</xdr:col>
      <xdr:colOff>104775</xdr:colOff>
      <xdr:row>9</xdr:row>
      <xdr:rowOff>142875</xdr:rowOff>
    </xdr:to>
    <xdr:sp macro="" textlink="">
      <xdr:nvSpPr>
        <xdr:cNvPr id="172438" name="Line 12">
          <a:extLst>
            <a:ext uri="{FF2B5EF4-FFF2-40B4-BE49-F238E27FC236}">
              <a16:creationId xmlns:a16="http://schemas.microsoft.com/office/drawing/2014/main" id="{00000000-0008-0000-2400-000096A10200}"/>
            </a:ext>
          </a:extLst>
        </xdr:cNvPr>
        <xdr:cNvSpPr>
          <a:spLocks noChangeShapeType="1"/>
        </xdr:cNvSpPr>
      </xdr:nvSpPr>
      <xdr:spPr bwMode="auto">
        <a:xfrm flipV="1">
          <a:off x="4724400"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9525</xdr:colOff>
      <xdr:row>5</xdr:row>
      <xdr:rowOff>95250</xdr:rowOff>
    </xdr:from>
    <xdr:to>
      <xdr:col>13</xdr:col>
      <xdr:colOff>104775</xdr:colOff>
      <xdr:row>10</xdr:row>
      <xdr:rowOff>0</xdr:rowOff>
    </xdr:to>
    <xdr:sp macro="" textlink="">
      <xdr:nvSpPr>
        <xdr:cNvPr id="172439" name="Line 13">
          <a:extLst>
            <a:ext uri="{FF2B5EF4-FFF2-40B4-BE49-F238E27FC236}">
              <a16:creationId xmlns:a16="http://schemas.microsoft.com/office/drawing/2014/main" id="{00000000-0008-0000-2400-000097A10200}"/>
            </a:ext>
          </a:extLst>
        </xdr:cNvPr>
        <xdr:cNvSpPr>
          <a:spLocks noChangeShapeType="1"/>
        </xdr:cNvSpPr>
      </xdr:nvSpPr>
      <xdr:spPr bwMode="auto">
        <a:xfrm flipV="1">
          <a:off x="50673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13</xdr:col>
      <xdr:colOff>0</xdr:colOff>
      <xdr:row>5</xdr:row>
      <xdr:rowOff>95250</xdr:rowOff>
    </xdr:from>
    <xdr:to>
      <xdr:col>14</xdr:col>
      <xdr:colOff>95250</xdr:colOff>
      <xdr:row>10</xdr:row>
      <xdr:rowOff>0</xdr:rowOff>
    </xdr:to>
    <xdr:sp macro="" textlink="">
      <xdr:nvSpPr>
        <xdr:cNvPr id="172440" name="Line 14">
          <a:extLst>
            <a:ext uri="{FF2B5EF4-FFF2-40B4-BE49-F238E27FC236}">
              <a16:creationId xmlns:a16="http://schemas.microsoft.com/office/drawing/2014/main" id="{00000000-0008-0000-2400-000098A10200}"/>
            </a:ext>
          </a:extLst>
        </xdr:cNvPr>
        <xdr:cNvSpPr>
          <a:spLocks noChangeShapeType="1"/>
        </xdr:cNvSpPr>
      </xdr:nvSpPr>
      <xdr:spPr bwMode="auto">
        <a:xfrm flipV="1">
          <a:off x="5400675"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14</xdr:col>
      <xdr:colOff>9525</xdr:colOff>
      <xdr:row>5</xdr:row>
      <xdr:rowOff>76200</xdr:rowOff>
    </xdr:from>
    <xdr:to>
      <xdr:col>15</xdr:col>
      <xdr:colOff>104775</xdr:colOff>
      <xdr:row>9</xdr:row>
      <xdr:rowOff>142875</xdr:rowOff>
    </xdr:to>
    <xdr:sp macro="" textlink="">
      <xdr:nvSpPr>
        <xdr:cNvPr id="172441" name="Line 15">
          <a:extLst>
            <a:ext uri="{FF2B5EF4-FFF2-40B4-BE49-F238E27FC236}">
              <a16:creationId xmlns:a16="http://schemas.microsoft.com/office/drawing/2014/main" id="{00000000-0008-0000-2400-000099A10200}"/>
            </a:ext>
          </a:extLst>
        </xdr:cNvPr>
        <xdr:cNvSpPr>
          <a:spLocks noChangeShapeType="1"/>
        </xdr:cNvSpPr>
      </xdr:nvSpPr>
      <xdr:spPr bwMode="auto">
        <a:xfrm flipV="1">
          <a:off x="5753100"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14</xdr:col>
      <xdr:colOff>333375</xdr:colOff>
      <xdr:row>5</xdr:row>
      <xdr:rowOff>104775</xdr:rowOff>
    </xdr:from>
    <xdr:to>
      <xdr:col>16</xdr:col>
      <xdr:colOff>85725</xdr:colOff>
      <xdr:row>10</xdr:row>
      <xdr:rowOff>9525</xdr:rowOff>
    </xdr:to>
    <xdr:sp macro="" textlink="">
      <xdr:nvSpPr>
        <xdr:cNvPr id="172442" name="Line 16">
          <a:extLst>
            <a:ext uri="{FF2B5EF4-FFF2-40B4-BE49-F238E27FC236}">
              <a16:creationId xmlns:a16="http://schemas.microsoft.com/office/drawing/2014/main" id="{00000000-0008-0000-2400-00009AA10200}"/>
            </a:ext>
          </a:extLst>
        </xdr:cNvPr>
        <xdr:cNvSpPr>
          <a:spLocks noChangeShapeType="1"/>
        </xdr:cNvSpPr>
      </xdr:nvSpPr>
      <xdr:spPr bwMode="auto">
        <a:xfrm flipV="1">
          <a:off x="6076950" y="122872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19050</xdr:colOff>
      <xdr:row>5</xdr:row>
      <xdr:rowOff>76200</xdr:rowOff>
    </xdr:from>
    <xdr:to>
      <xdr:col>17</xdr:col>
      <xdr:colOff>114300</xdr:colOff>
      <xdr:row>9</xdr:row>
      <xdr:rowOff>142875</xdr:rowOff>
    </xdr:to>
    <xdr:sp macro="" textlink="">
      <xdr:nvSpPr>
        <xdr:cNvPr id="172443" name="Line 17">
          <a:extLst>
            <a:ext uri="{FF2B5EF4-FFF2-40B4-BE49-F238E27FC236}">
              <a16:creationId xmlns:a16="http://schemas.microsoft.com/office/drawing/2014/main" id="{00000000-0008-0000-2400-00009BA10200}"/>
            </a:ext>
          </a:extLst>
        </xdr:cNvPr>
        <xdr:cNvSpPr>
          <a:spLocks noChangeShapeType="1"/>
        </xdr:cNvSpPr>
      </xdr:nvSpPr>
      <xdr:spPr bwMode="auto">
        <a:xfrm flipV="1">
          <a:off x="6448425"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17</xdr:col>
      <xdr:colOff>9525</xdr:colOff>
      <xdr:row>5</xdr:row>
      <xdr:rowOff>85725</xdr:rowOff>
    </xdr:from>
    <xdr:to>
      <xdr:col>18</xdr:col>
      <xdr:colOff>104775</xdr:colOff>
      <xdr:row>9</xdr:row>
      <xdr:rowOff>152400</xdr:rowOff>
    </xdr:to>
    <xdr:sp macro="" textlink="">
      <xdr:nvSpPr>
        <xdr:cNvPr id="172444" name="Line 18">
          <a:extLst>
            <a:ext uri="{FF2B5EF4-FFF2-40B4-BE49-F238E27FC236}">
              <a16:creationId xmlns:a16="http://schemas.microsoft.com/office/drawing/2014/main" id="{00000000-0008-0000-2400-00009CA10200}"/>
            </a:ext>
          </a:extLst>
        </xdr:cNvPr>
        <xdr:cNvSpPr>
          <a:spLocks noChangeShapeType="1"/>
        </xdr:cNvSpPr>
      </xdr:nvSpPr>
      <xdr:spPr bwMode="auto">
        <a:xfrm flipV="1">
          <a:off x="6781800" y="120967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9525</xdr:colOff>
      <xdr:row>5</xdr:row>
      <xdr:rowOff>85725</xdr:rowOff>
    </xdr:from>
    <xdr:to>
      <xdr:col>19</xdr:col>
      <xdr:colOff>104775</xdr:colOff>
      <xdr:row>9</xdr:row>
      <xdr:rowOff>152400</xdr:rowOff>
    </xdr:to>
    <xdr:sp macro="" textlink="">
      <xdr:nvSpPr>
        <xdr:cNvPr id="172445" name="Line 19">
          <a:extLst>
            <a:ext uri="{FF2B5EF4-FFF2-40B4-BE49-F238E27FC236}">
              <a16:creationId xmlns:a16="http://schemas.microsoft.com/office/drawing/2014/main" id="{00000000-0008-0000-2400-00009DA10200}"/>
            </a:ext>
          </a:extLst>
        </xdr:cNvPr>
        <xdr:cNvSpPr>
          <a:spLocks noChangeShapeType="1"/>
        </xdr:cNvSpPr>
      </xdr:nvSpPr>
      <xdr:spPr bwMode="auto">
        <a:xfrm flipV="1">
          <a:off x="7124700" y="120967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19</xdr:col>
      <xdr:colOff>9525</xdr:colOff>
      <xdr:row>5</xdr:row>
      <xdr:rowOff>95250</xdr:rowOff>
    </xdr:from>
    <xdr:to>
      <xdr:col>20</xdr:col>
      <xdr:colOff>104775</xdr:colOff>
      <xdr:row>10</xdr:row>
      <xdr:rowOff>0</xdr:rowOff>
    </xdr:to>
    <xdr:sp macro="" textlink="">
      <xdr:nvSpPr>
        <xdr:cNvPr id="172446" name="Line 20">
          <a:extLst>
            <a:ext uri="{FF2B5EF4-FFF2-40B4-BE49-F238E27FC236}">
              <a16:creationId xmlns:a16="http://schemas.microsoft.com/office/drawing/2014/main" id="{00000000-0008-0000-2400-00009EA10200}"/>
            </a:ext>
          </a:extLst>
        </xdr:cNvPr>
        <xdr:cNvSpPr>
          <a:spLocks noChangeShapeType="1"/>
        </xdr:cNvSpPr>
      </xdr:nvSpPr>
      <xdr:spPr bwMode="auto">
        <a:xfrm flipV="1">
          <a:off x="74676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20</xdr:col>
      <xdr:colOff>0</xdr:colOff>
      <xdr:row>5</xdr:row>
      <xdr:rowOff>104775</xdr:rowOff>
    </xdr:from>
    <xdr:to>
      <xdr:col>21</xdr:col>
      <xdr:colOff>95250</xdr:colOff>
      <xdr:row>10</xdr:row>
      <xdr:rowOff>9525</xdr:rowOff>
    </xdr:to>
    <xdr:sp macro="" textlink="">
      <xdr:nvSpPr>
        <xdr:cNvPr id="172447" name="Line 21">
          <a:extLst>
            <a:ext uri="{FF2B5EF4-FFF2-40B4-BE49-F238E27FC236}">
              <a16:creationId xmlns:a16="http://schemas.microsoft.com/office/drawing/2014/main" id="{00000000-0008-0000-2400-00009FA10200}"/>
            </a:ext>
          </a:extLst>
        </xdr:cNvPr>
        <xdr:cNvSpPr>
          <a:spLocks noChangeShapeType="1"/>
        </xdr:cNvSpPr>
      </xdr:nvSpPr>
      <xdr:spPr bwMode="auto">
        <a:xfrm flipV="1">
          <a:off x="7800975" y="122872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9525</xdr:colOff>
      <xdr:row>6</xdr:row>
      <xdr:rowOff>9525</xdr:rowOff>
    </xdr:from>
    <xdr:to>
      <xdr:col>22</xdr:col>
      <xdr:colOff>0</xdr:colOff>
      <xdr:row>9</xdr:row>
      <xdr:rowOff>142875</xdr:rowOff>
    </xdr:to>
    <xdr:sp macro="" textlink="">
      <xdr:nvSpPr>
        <xdr:cNvPr id="172448" name="Line 22">
          <a:extLst>
            <a:ext uri="{FF2B5EF4-FFF2-40B4-BE49-F238E27FC236}">
              <a16:creationId xmlns:a16="http://schemas.microsoft.com/office/drawing/2014/main" id="{00000000-0008-0000-2400-0000A0A10200}"/>
            </a:ext>
          </a:extLst>
        </xdr:cNvPr>
        <xdr:cNvSpPr>
          <a:spLocks noChangeShapeType="1"/>
        </xdr:cNvSpPr>
      </xdr:nvSpPr>
      <xdr:spPr bwMode="auto">
        <a:xfrm flipV="1">
          <a:off x="8153400" y="1381125"/>
          <a:ext cx="333375" cy="676275"/>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0</xdr:col>
      <xdr:colOff>66675</xdr:colOff>
      <xdr:row>0</xdr:row>
      <xdr:rowOff>47625</xdr:rowOff>
    </xdr:from>
    <xdr:to>
      <xdr:col>2</xdr:col>
      <xdr:colOff>77072</xdr:colOff>
      <xdr:row>2</xdr:row>
      <xdr:rowOff>104775</xdr:rowOff>
    </xdr:to>
    <xdr:pic>
      <xdr:nvPicPr>
        <xdr:cNvPr id="24" name="Image 23">
          <a:extLst>
            <a:ext uri="{FF2B5EF4-FFF2-40B4-BE49-F238E27FC236}">
              <a16:creationId xmlns:a16="http://schemas.microsoft.com/office/drawing/2014/main" id="{00000000-0008-0000-2400-00001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18</xdr:row>
          <xdr:rowOff>504825</xdr:rowOff>
        </xdr:from>
        <xdr:to>
          <xdr:col>0</xdr:col>
          <xdr:colOff>619125</xdr:colOff>
          <xdr:row>19</xdr:row>
          <xdr:rowOff>314325</xdr:rowOff>
        </xdr:to>
        <xdr:sp macro="" textlink="">
          <xdr:nvSpPr>
            <xdr:cNvPr id="1238017" name="Check Box 1" hidden="1">
              <a:extLst>
                <a:ext uri="{63B3BB69-23CF-44E3-9099-C40C66FF867C}">
                  <a14:compatExt spid="_x0000_s1238017"/>
                </a:ext>
                <a:ext uri="{FF2B5EF4-FFF2-40B4-BE49-F238E27FC236}">
                  <a16:creationId xmlns:a16="http://schemas.microsoft.com/office/drawing/2014/main" id="{00000000-0008-0000-2500-000001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18</xdr:row>
          <xdr:rowOff>19050</xdr:rowOff>
        </xdr:from>
        <xdr:to>
          <xdr:col>0</xdr:col>
          <xdr:colOff>619125</xdr:colOff>
          <xdr:row>18</xdr:row>
          <xdr:rowOff>304800</xdr:rowOff>
        </xdr:to>
        <xdr:sp macro="" textlink="">
          <xdr:nvSpPr>
            <xdr:cNvPr id="1238018" name="Check Box 2" hidden="1">
              <a:extLst>
                <a:ext uri="{63B3BB69-23CF-44E3-9099-C40C66FF867C}">
                  <a14:compatExt spid="_x0000_s1238018"/>
                </a:ext>
                <a:ext uri="{FF2B5EF4-FFF2-40B4-BE49-F238E27FC236}">
                  <a16:creationId xmlns:a16="http://schemas.microsoft.com/office/drawing/2014/main" id="{00000000-0008-0000-2500-000002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22</xdr:row>
          <xdr:rowOff>76200</xdr:rowOff>
        </xdr:from>
        <xdr:to>
          <xdr:col>2</xdr:col>
          <xdr:colOff>142875</xdr:colOff>
          <xdr:row>22</xdr:row>
          <xdr:rowOff>323850</xdr:rowOff>
        </xdr:to>
        <xdr:sp macro="" textlink="">
          <xdr:nvSpPr>
            <xdr:cNvPr id="1238019" name="Check Box 3" hidden="1">
              <a:extLst>
                <a:ext uri="{63B3BB69-23CF-44E3-9099-C40C66FF867C}">
                  <a14:compatExt spid="_x0000_s1238019"/>
                </a:ext>
                <a:ext uri="{FF2B5EF4-FFF2-40B4-BE49-F238E27FC236}">
                  <a16:creationId xmlns:a16="http://schemas.microsoft.com/office/drawing/2014/main" id="{00000000-0008-0000-2500-000003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22</xdr:row>
          <xdr:rowOff>76200</xdr:rowOff>
        </xdr:from>
        <xdr:to>
          <xdr:col>4</xdr:col>
          <xdr:colOff>533400</xdr:colOff>
          <xdr:row>22</xdr:row>
          <xdr:rowOff>314325</xdr:rowOff>
        </xdr:to>
        <xdr:sp macro="" textlink="">
          <xdr:nvSpPr>
            <xdr:cNvPr id="1238020" name="Check Box 4" hidden="1">
              <a:extLst>
                <a:ext uri="{63B3BB69-23CF-44E3-9099-C40C66FF867C}">
                  <a14:compatExt spid="_x0000_s1238020"/>
                </a:ext>
                <a:ext uri="{FF2B5EF4-FFF2-40B4-BE49-F238E27FC236}">
                  <a16:creationId xmlns:a16="http://schemas.microsoft.com/office/drawing/2014/main" id="{00000000-0008-0000-2500-000004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34</xdr:row>
          <xdr:rowOff>142875</xdr:rowOff>
        </xdr:from>
        <xdr:to>
          <xdr:col>0</xdr:col>
          <xdr:colOff>590550</xdr:colOff>
          <xdr:row>34</xdr:row>
          <xdr:rowOff>428625</xdr:rowOff>
        </xdr:to>
        <xdr:sp macro="" textlink="">
          <xdr:nvSpPr>
            <xdr:cNvPr id="1238024" name="Check Box 8" hidden="1">
              <a:extLst>
                <a:ext uri="{63B3BB69-23CF-44E3-9099-C40C66FF867C}">
                  <a14:compatExt spid="_x0000_s1238024"/>
                </a:ext>
                <a:ext uri="{FF2B5EF4-FFF2-40B4-BE49-F238E27FC236}">
                  <a16:creationId xmlns:a16="http://schemas.microsoft.com/office/drawing/2014/main" id="{00000000-0008-0000-2500-000008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xdr:row>
          <xdr:rowOff>142875</xdr:rowOff>
        </xdr:from>
        <xdr:to>
          <xdr:col>0</xdr:col>
          <xdr:colOff>590550</xdr:colOff>
          <xdr:row>35</xdr:row>
          <xdr:rowOff>428625</xdr:rowOff>
        </xdr:to>
        <xdr:sp macro="" textlink="">
          <xdr:nvSpPr>
            <xdr:cNvPr id="1238025" name="Check Box 9" hidden="1">
              <a:extLst>
                <a:ext uri="{63B3BB69-23CF-44E3-9099-C40C66FF867C}">
                  <a14:compatExt spid="_x0000_s1238025"/>
                </a:ext>
                <a:ext uri="{FF2B5EF4-FFF2-40B4-BE49-F238E27FC236}">
                  <a16:creationId xmlns:a16="http://schemas.microsoft.com/office/drawing/2014/main" id="{00000000-0008-0000-2500-000009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435427</xdr:colOff>
      <xdr:row>0</xdr:row>
      <xdr:rowOff>163285</xdr:rowOff>
    </xdr:from>
    <xdr:to>
      <xdr:col>0</xdr:col>
      <xdr:colOff>2199784</xdr:colOff>
      <xdr:row>1</xdr:row>
      <xdr:rowOff>299356</xdr:rowOff>
    </xdr:to>
    <xdr:pic>
      <xdr:nvPicPr>
        <xdr:cNvPr id="11" name="Image 10">
          <a:extLst>
            <a:ext uri="{FF2B5EF4-FFF2-40B4-BE49-F238E27FC236}">
              <a16:creationId xmlns:a16="http://schemas.microsoft.com/office/drawing/2014/main" id="{00000000-0008-0000-2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427" y="163285"/>
          <a:ext cx="1764357" cy="7756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171322</xdr:colOff>
      <xdr:row>14</xdr:row>
      <xdr:rowOff>73268</xdr:rowOff>
    </xdr:from>
    <xdr:to>
      <xdr:col>1</xdr:col>
      <xdr:colOff>263770</xdr:colOff>
      <xdr:row>14</xdr:row>
      <xdr:rowOff>168518</xdr:rowOff>
    </xdr:to>
    <xdr:sp macro="" textlink="">
      <xdr:nvSpPr>
        <xdr:cNvPr id="11" name="Rectangle 10">
          <a:extLst>
            <a:ext uri="{FF2B5EF4-FFF2-40B4-BE49-F238E27FC236}">
              <a16:creationId xmlns:a16="http://schemas.microsoft.com/office/drawing/2014/main" id="{00000000-0008-0000-2600-00000B000000}"/>
            </a:ext>
          </a:extLst>
        </xdr:cNvPr>
        <xdr:cNvSpPr>
          <a:spLocks noChangeArrowheads="1"/>
        </xdr:cNvSpPr>
      </xdr:nvSpPr>
      <xdr:spPr bwMode="auto">
        <a:xfrm>
          <a:off x="288553" y="4198326"/>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171321</xdr:colOff>
      <xdr:row>15</xdr:row>
      <xdr:rowOff>86458</xdr:rowOff>
    </xdr:from>
    <xdr:to>
      <xdr:col>1</xdr:col>
      <xdr:colOff>263769</xdr:colOff>
      <xdr:row>15</xdr:row>
      <xdr:rowOff>181708</xdr:rowOff>
    </xdr:to>
    <xdr:sp macro="" textlink="">
      <xdr:nvSpPr>
        <xdr:cNvPr id="12" name="Rectangle 11">
          <a:extLst>
            <a:ext uri="{FF2B5EF4-FFF2-40B4-BE49-F238E27FC236}">
              <a16:creationId xmlns:a16="http://schemas.microsoft.com/office/drawing/2014/main" id="{00000000-0008-0000-2600-00000C000000}"/>
            </a:ext>
          </a:extLst>
        </xdr:cNvPr>
        <xdr:cNvSpPr>
          <a:spLocks noChangeArrowheads="1"/>
        </xdr:cNvSpPr>
      </xdr:nvSpPr>
      <xdr:spPr bwMode="auto">
        <a:xfrm>
          <a:off x="288552" y="4489939"/>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175848</xdr:colOff>
      <xdr:row>18</xdr:row>
      <xdr:rowOff>85006</xdr:rowOff>
    </xdr:from>
    <xdr:to>
      <xdr:col>1</xdr:col>
      <xdr:colOff>268296</xdr:colOff>
      <xdr:row>18</xdr:row>
      <xdr:rowOff>180256</xdr:rowOff>
    </xdr:to>
    <xdr:sp macro="" textlink="">
      <xdr:nvSpPr>
        <xdr:cNvPr id="13" name="Rectangle 12">
          <a:extLst>
            <a:ext uri="{FF2B5EF4-FFF2-40B4-BE49-F238E27FC236}">
              <a16:creationId xmlns:a16="http://schemas.microsoft.com/office/drawing/2014/main" id="{00000000-0008-0000-2600-00000D000000}"/>
            </a:ext>
          </a:extLst>
        </xdr:cNvPr>
        <xdr:cNvSpPr>
          <a:spLocks noChangeArrowheads="1"/>
        </xdr:cNvSpPr>
      </xdr:nvSpPr>
      <xdr:spPr bwMode="auto">
        <a:xfrm>
          <a:off x="293079" y="5880602"/>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181708</xdr:colOff>
      <xdr:row>19</xdr:row>
      <xdr:rowOff>102576</xdr:rowOff>
    </xdr:from>
    <xdr:to>
      <xdr:col>1</xdr:col>
      <xdr:colOff>274156</xdr:colOff>
      <xdr:row>19</xdr:row>
      <xdr:rowOff>197826</xdr:rowOff>
    </xdr:to>
    <xdr:sp macro="" textlink="">
      <xdr:nvSpPr>
        <xdr:cNvPr id="14" name="Rectangle 13">
          <a:extLst>
            <a:ext uri="{FF2B5EF4-FFF2-40B4-BE49-F238E27FC236}">
              <a16:creationId xmlns:a16="http://schemas.microsoft.com/office/drawing/2014/main" id="{00000000-0008-0000-2600-00000E000000}"/>
            </a:ext>
          </a:extLst>
        </xdr:cNvPr>
        <xdr:cNvSpPr>
          <a:spLocks noChangeArrowheads="1"/>
        </xdr:cNvSpPr>
      </xdr:nvSpPr>
      <xdr:spPr bwMode="auto">
        <a:xfrm>
          <a:off x="298939" y="6176595"/>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19051</xdr:colOff>
      <xdr:row>0</xdr:row>
      <xdr:rowOff>19052</xdr:rowOff>
    </xdr:from>
    <xdr:to>
      <xdr:col>2</xdr:col>
      <xdr:colOff>685800</xdr:colOff>
      <xdr:row>2</xdr:row>
      <xdr:rowOff>10613</xdr:rowOff>
    </xdr:to>
    <xdr:pic>
      <xdr:nvPicPr>
        <xdr:cNvPr id="15" name="Image 14">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1" y="19052"/>
          <a:ext cx="1085849" cy="4773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242178</xdr:colOff>
      <xdr:row>0</xdr:row>
      <xdr:rowOff>25940</xdr:rowOff>
    </xdr:from>
    <xdr:to>
      <xdr:col>3</xdr:col>
      <xdr:colOff>90557</xdr:colOff>
      <xdr:row>1</xdr:row>
      <xdr:rowOff>137640</xdr:rowOff>
    </xdr:to>
    <xdr:pic>
      <xdr:nvPicPr>
        <xdr:cNvPr id="2" name="Image 1">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653" y="25940"/>
          <a:ext cx="715154" cy="31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95251</xdr:colOff>
      <xdr:row>29</xdr:row>
      <xdr:rowOff>28576</xdr:rowOff>
    </xdr:from>
    <xdr:ext cx="430371" cy="379534"/>
    <xdr:pic>
      <xdr:nvPicPr>
        <xdr:cNvPr id="3" name="Image 2" descr="Panneau Danger">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1" y="4181476"/>
          <a:ext cx="430371" cy="379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139211</xdr:colOff>
      <xdr:row>48</xdr:row>
      <xdr:rowOff>35998</xdr:rowOff>
    </xdr:from>
    <xdr:ext cx="400369" cy="391639"/>
    <xdr:pic>
      <xdr:nvPicPr>
        <xdr:cNvPr id="4" name="Image 3" descr="http://ereso.intranet.local/SiteCollectionImages/Icones/Mobilis.png">
          <a:extLst>
            <a:ext uri="{FF2B5EF4-FFF2-40B4-BE49-F238E27FC236}">
              <a16:creationId xmlns:a16="http://schemas.microsoft.com/office/drawing/2014/main" id="{00000000-0008-0000-2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9211" y="9922948"/>
          <a:ext cx="400369" cy="3916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3592</xdr:colOff>
      <xdr:row>46</xdr:row>
      <xdr:rowOff>30901</xdr:rowOff>
    </xdr:from>
    <xdr:ext cx="273321" cy="240195"/>
    <xdr:pic>
      <xdr:nvPicPr>
        <xdr:cNvPr id="5" name="Image 4" descr="Panneau Danger">
          <a:extLst>
            <a:ext uri="{FF2B5EF4-FFF2-40B4-BE49-F238E27FC236}">
              <a16:creationId xmlns:a16="http://schemas.microsoft.com/office/drawing/2014/main" id="{00000000-0008-0000-2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2192" y="9594001"/>
          <a:ext cx="273321" cy="2401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0.xml><?xml version="1.0" encoding="utf-8"?>
<xdr:wsDr xmlns:xdr="http://schemas.openxmlformats.org/drawingml/2006/spreadsheetDrawing" xmlns:a="http://schemas.openxmlformats.org/drawingml/2006/main">
  <xdr:twoCellAnchor editAs="oneCell">
    <xdr:from>
      <xdr:col>0</xdr:col>
      <xdr:colOff>42863</xdr:colOff>
      <xdr:row>0</xdr:row>
      <xdr:rowOff>45244</xdr:rowOff>
    </xdr:from>
    <xdr:to>
      <xdr:col>0</xdr:col>
      <xdr:colOff>996235</xdr:colOff>
      <xdr:row>2</xdr:row>
      <xdr:rowOff>7144</xdr:rowOff>
    </xdr:to>
    <xdr:pic>
      <xdr:nvPicPr>
        <xdr:cNvPr id="5" name="Image 4">
          <a:extLst>
            <a:ext uri="{FF2B5EF4-FFF2-40B4-BE49-F238E27FC236}">
              <a16:creationId xmlns:a16="http://schemas.microsoft.com/office/drawing/2014/main" id="{00000000-0008-0000-2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3" y="4524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66674</xdr:colOff>
      <xdr:row>0</xdr:row>
      <xdr:rowOff>57150</xdr:rowOff>
    </xdr:from>
    <xdr:to>
      <xdr:col>1</xdr:col>
      <xdr:colOff>19921</xdr:colOff>
      <xdr:row>0</xdr:row>
      <xdr:rowOff>476250</xdr:rowOff>
    </xdr:to>
    <xdr:pic>
      <xdr:nvPicPr>
        <xdr:cNvPr id="2" name="Image 1">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66674</xdr:colOff>
      <xdr:row>34</xdr:row>
      <xdr:rowOff>57150</xdr:rowOff>
    </xdr:from>
    <xdr:ext cx="950571" cy="419100"/>
    <xdr:pic>
      <xdr:nvPicPr>
        <xdr:cNvPr id="3" name="Image 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12811125"/>
          <a:ext cx="950571" cy="419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2.xml><?xml version="1.0" encoding="utf-8"?>
<xdr:wsDr xmlns:xdr="http://schemas.openxmlformats.org/drawingml/2006/spreadsheetDrawing" xmlns:a="http://schemas.openxmlformats.org/drawingml/2006/main">
  <xdr:twoCellAnchor>
    <xdr:from>
      <xdr:col>0</xdr:col>
      <xdr:colOff>1038225</xdr:colOff>
      <xdr:row>3</xdr:row>
      <xdr:rowOff>189139</xdr:rowOff>
    </xdr:from>
    <xdr:to>
      <xdr:col>6</xdr:col>
      <xdr:colOff>981075</xdr:colOff>
      <xdr:row>4</xdr:row>
      <xdr:rowOff>231775</xdr:rowOff>
    </xdr:to>
    <xdr:sp macro="" textlink="">
      <xdr:nvSpPr>
        <xdr:cNvPr id="2" name="Text Box 155">
          <a:extLst>
            <a:ext uri="{FF2B5EF4-FFF2-40B4-BE49-F238E27FC236}">
              <a16:creationId xmlns:a16="http://schemas.microsoft.com/office/drawing/2014/main" id="{00000000-0008-0000-2A00-000002000000}"/>
            </a:ext>
          </a:extLst>
        </xdr:cNvPr>
        <xdr:cNvSpPr txBox="1">
          <a:spLocks noChangeArrowheads="1"/>
        </xdr:cNvSpPr>
      </xdr:nvSpPr>
      <xdr:spPr bwMode="auto">
        <a:xfrm>
          <a:off x="1038225" y="770164"/>
          <a:ext cx="7610475" cy="271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t>
          </a:r>
          <a:r>
            <a:rPr lang="fr-FR" sz="1200">
              <a:effectLst/>
              <a:latin typeface="Arial" panose="020B0604020202020204" pitchFamily="34" charset="0"/>
              <a:ea typeface="+mn-ea"/>
              <a:cs typeface="Arial" panose="020B0604020202020204" pitchFamily="34" charset="0"/>
              <a:sym typeface="Wingdings" panose="05000000000000000000" pitchFamily="2" charset="2"/>
            </a:rPr>
            <a:t></a:t>
          </a:r>
          <a:r>
            <a:rPr lang="fr-FR" sz="1000">
              <a:effectLst/>
              <a:latin typeface="Arial" panose="020B0604020202020204" pitchFamily="34" charset="0"/>
              <a:ea typeface="Calibri"/>
              <a:cs typeface="Arial" panose="020B0604020202020204" pitchFamily="34" charset="0"/>
            </a:rPr>
            <a:t> Accident</a:t>
          </a:r>
          <a:r>
            <a:rPr lang="fr-FR" sz="1000" baseline="0">
              <a:effectLst/>
              <a:latin typeface="Arial" panose="020B0604020202020204" pitchFamily="34" charset="0"/>
              <a:ea typeface="Calibri"/>
              <a:cs typeface="Arial" panose="020B0604020202020204" pitchFamily="34" charset="0"/>
            </a:rPr>
            <a:t> de travail </a:t>
          </a:r>
          <a:r>
            <a:rPr lang="fr-FR" sz="1000">
              <a:effectLst/>
              <a:latin typeface="Arial" panose="020B0604020202020204" pitchFamily="34" charset="0"/>
              <a:ea typeface="Calibri"/>
              <a:cs typeface="Arial" panose="020B0604020202020204" pitchFamily="34" charset="0"/>
            </a:rPr>
            <a:t>Bénin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trajet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travail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Sans</a:t>
          </a:r>
          <a:r>
            <a:rPr lang="fr-FR" sz="1000" baseline="0">
              <a:effectLst/>
              <a:latin typeface="Arial" panose="020B0604020202020204" pitchFamily="34" charset="0"/>
              <a:ea typeface="+mn-ea"/>
              <a:cs typeface="Arial" panose="020B0604020202020204" pitchFamily="34" charset="0"/>
              <a:sym typeface="Wingdings" panose="05000000000000000000" pitchFamily="2" charset="2"/>
            </a:rPr>
            <a:t>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Avec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Sinistre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editAs="oneCell">
    <xdr:from>
      <xdr:col>0</xdr:col>
      <xdr:colOff>247650</xdr:colOff>
      <xdr:row>0</xdr:row>
      <xdr:rowOff>38101</xdr:rowOff>
    </xdr:from>
    <xdr:to>
      <xdr:col>0</xdr:col>
      <xdr:colOff>1763102</xdr:colOff>
      <xdr:row>3</xdr:row>
      <xdr:rowOff>104776</xdr:rowOff>
    </xdr:to>
    <xdr:pic>
      <xdr:nvPicPr>
        <xdr:cNvPr id="3" name="Imag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38101"/>
          <a:ext cx="1515452" cy="647700"/>
        </a:xfrm>
        <a:prstGeom prst="rect">
          <a:avLst/>
        </a:prstGeom>
      </xdr:spPr>
    </xdr:pic>
    <xdr:clientData/>
  </xdr:twoCellAnchor>
  <xdr:twoCellAnchor>
    <xdr:from>
      <xdr:col>4</xdr:col>
      <xdr:colOff>1</xdr:colOff>
      <xdr:row>6</xdr:row>
      <xdr:rowOff>38100</xdr:rowOff>
    </xdr:from>
    <xdr:to>
      <xdr:col>5</xdr:col>
      <xdr:colOff>495300</xdr:colOff>
      <xdr:row>7</xdr:row>
      <xdr:rowOff>0</xdr:rowOff>
    </xdr:to>
    <xdr:sp macro="" textlink="">
      <xdr:nvSpPr>
        <xdr:cNvPr id="4" name="Text Box 155">
          <a:extLst>
            <a:ext uri="{FF2B5EF4-FFF2-40B4-BE49-F238E27FC236}">
              <a16:creationId xmlns:a16="http://schemas.microsoft.com/office/drawing/2014/main" id="{00000000-0008-0000-2A00-000004000000}"/>
            </a:ext>
          </a:extLst>
        </xdr:cNvPr>
        <xdr:cNvSpPr txBox="1">
          <a:spLocks noChangeArrowheads="1"/>
        </xdr:cNvSpPr>
      </xdr:nvSpPr>
      <xdr:spPr bwMode="auto">
        <a:xfrm>
          <a:off x="5200651" y="1266825"/>
          <a:ext cx="1933574"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 réaliser par le DA / DF / REX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xdr:from>
      <xdr:col>0</xdr:col>
      <xdr:colOff>410974</xdr:colOff>
      <xdr:row>22</xdr:row>
      <xdr:rowOff>133707</xdr:rowOff>
    </xdr:from>
    <xdr:to>
      <xdr:col>2</xdr:col>
      <xdr:colOff>45356</xdr:colOff>
      <xdr:row>32</xdr:row>
      <xdr:rowOff>190500</xdr:rowOff>
    </xdr:to>
    <xdr:grpSp>
      <xdr:nvGrpSpPr>
        <xdr:cNvPr id="5" name="Groupe 4">
          <a:extLst>
            <a:ext uri="{FF2B5EF4-FFF2-40B4-BE49-F238E27FC236}">
              <a16:creationId xmlns:a16="http://schemas.microsoft.com/office/drawing/2014/main" id="{00000000-0008-0000-2A00-000005000000}"/>
            </a:ext>
          </a:extLst>
        </xdr:cNvPr>
        <xdr:cNvGrpSpPr/>
      </xdr:nvGrpSpPr>
      <xdr:grpSpPr>
        <a:xfrm>
          <a:off x="410974" y="5921976"/>
          <a:ext cx="2872882" cy="2430716"/>
          <a:chOff x="0" y="0"/>
          <a:chExt cx="2637065" cy="2326640"/>
        </a:xfrm>
      </xdr:grpSpPr>
      <xdr:pic>
        <xdr:nvPicPr>
          <xdr:cNvPr id="6" name="Image 5">
            <a:extLst>
              <a:ext uri="{FF2B5EF4-FFF2-40B4-BE49-F238E27FC236}">
                <a16:creationId xmlns:a16="http://schemas.microsoft.com/office/drawing/2014/main" id="{00000000-0008-0000-2A00-000006000000}"/>
              </a:ext>
            </a:extLst>
          </xdr:cNvPr>
          <xdr:cNvPicPr>
            <a:picLocks noChangeAspect="1"/>
          </xdr:cNvPicPr>
        </xdr:nvPicPr>
        <xdr:blipFill>
          <a:blip xmlns:r="http://schemas.openxmlformats.org/officeDocument/2006/relationships" r:embed="rId2" cstate="print">
            <a:lum/>
            <a:extLst>
              <a:ext uri="{28A0092B-C50C-407E-A947-70E740481C1C}">
                <a14:useLocalDpi xmlns:a14="http://schemas.microsoft.com/office/drawing/2010/main" val="0"/>
              </a:ext>
            </a:extLst>
          </a:blip>
          <a:srcRect/>
          <a:stretch>
            <a:fillRect/>
          </a:stretch>
        </xdr:blipFill>
        <xdr:spPr bwMode="auto">
          <a:xfrm>
            <a:off x="89807" y="0"/>
            <a:ext cx="2428875" cy="2326640"/>
          </a:xfrm>
          <a:prstGeom prst="rect">
            <a:avLst/>
          </a:prstGeom>
          <a:noFill/>
          <a:ln w="9525">
            <a:noFill/>
            <a:miter lim="800000"/>
            <a:headEnd/>
            <a:tailEnd/>
          </a:ln>
        </xdr:spPr>
      </xdr:pic>
      <xdr:sp macro="" textlink="">
        <xdr:nvSpPr>
          <xdr:cNvPr id="7" name="Rectangle 6">
            <a:extLst>
              <a:ext uri="{FF2B5EF4-FFF2-40B4-BE49-F238E27FC236}">
                <a16:creationId xmlns:a16="http://schemas.microsoft.com/office/drawing/2014/main" id="{00000000-0008-0000-2A00-000007000000}"/>
              </a:ext>
            </a:extLst>
          </xdr:cNvPr>
          <xdr:cNvSpPr/>
        </xdr:nvSpPr>
        <xdr:spPr>
          <a:xfrm>
            <a:off x="0"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8" name="Rectangle 7">
            <a:extLst>
              <a:ext uri="{FF2B5EF4-FFF2-40B4-BE49-F238E27FC236}">
                <a16:creationId xmlns:a16="http://schemas.microsoft.com/office/drawing/2014/main" id="{00000000-0008-0000-2A00-000008000000}"/>
              </a:ext>
            </a:extLst>
          </xdr:cNvPr>
          <xdr:cNvSpPr/>
        </xdr:nvSpPr>
        <xdr:spPr>
          <a:xfrm>
            <a:off x="2098222"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9" name="Rectangle 8">
            <a:extLst>
              <a:ext uri="{FF2B5EF4-FFF2-40B4-BE49-F238E27FC236}">
                <a16:creationId xmlns:a16="http://schemas.microsoft.com/office/drawing/2014/main" id="{00000000-0008-0000-2A00-000009000000}"/>
              </a:ext>
            </a:extLst>
          </xdr:cNvPr>
          <xdr:cNvSpPr/>
        </xdr:nvSpPr>
        <xdr:spPr>
          <a:xfrm>
            <a:off x="889907" y="1224643"/>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sp macro="" textlink="">
        <xdr:nvSpPr>
          <xdr:cNvPr id="10" name="Rectangle 9">
            <a:extLst>
              <a:ext uri="{FF2B5EF4-FFF2-40B4-BE49-F238E27FC236}">
                <a16:creationId xmlns:a16="http://schemas.microsoft.com/office/drawing/2014/main" id="{00000000-0008-0000-2A00-00000A000000}"/>
              </a:ext>
            </a:extLst>
          </xdr:cNvPr>
          <xdr:cNvSpPr/>
        </xdr:nvSpPr>
        <xdr:spPr>
          <a:xfrm>
            <a:off x="1298122" y="1208314"/>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6</xdr:col>
      <xdr:colOff>819150</xdr:colOff>
      <xdr:row>31</xdr:row>
      <xdr:rowOff>104775</xdr:rowOff>
    </xdr:from>
    <xdr:to>
      <xdr:col>6</xdr:col>
      <xdr:colOff>1038225</xdr:colOff>
      <xdr:row>31</xdr:row>
      <xdr:rowOff>257175</xdr:rowOff>
    </xdr:to>
    <xdr:sp macro="" textlink="">
      <xdr:nvSpPr>
        <xdr:cNvPr id="212030" name="Rectangle 1">
          <a:extLst>
            <a:ext uri="{FF2B5EF4-FFF2-40B4-BE49-F238E27FC236}">
              <a16:creationId xmlns:a16="http://schemas.microsoft.com/office/drawing/2014/main" id="{00000000-0008-0000-2B00-00003E3C0300}"/>
            </a:ext>
          </a:extLst>
        </xdr:cNvPr>
        <xdr:cNvSpPr>
          <a:spLocks noChangeArrowheads="1"/>
        </xdr:cNvSpPr>
      </xdr:nvSpPr>
      <xdr:spPr bwMode="auto">
        <a:xfrm>
          <a:off x="5067300" y="69437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32</xdr:row>
      <xdr:rowOff>104775</xdr:rowOff>
    </xdr:from>
    <xdr:to>
      <xdr:col>6</xdr:col>
      <xdr:colOff>1038225</xdr:colOff>
      <xdr:row>32</xdr:row>
      <xdr:rowOff>257175</xdr:rowOff>
    </xdr:to>
    <xdr:sp macro="" textlink="">
      <xdr:nvSpPr>
        <xdr:cNvPr id="212031" name="Rectangle 2">
          <a:extLst>
            <a:ext uri="{FF2B5EF4-FFF2-40B4-BE49-F238E27FC236}">
              <a16:creationId xmlns:a16="http://schemas.microsoft.com/office/drawing/2014/main" id="{00000000-0008-0000-2B00-00003F3C0300}"/>
            </a:ext>
          </a:extLst>
        </xdr:cNvPr>
        <xdr:cNvSpPr>
          <a:spLocks noChangeArrowheads="1"/>
        </xdr:cNvSpPr>
      </xdr:nvSpPr>
      <xdr:spPr bwMode="auto">
        <a:xfrm>
          <a:off x="5067300" y="72104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33</xdr:row>
      <xdr:rowOff>104775</xdr:rowOff>
    </xdr:from>
    <xdr:to>
      <xdr:col>6</xdr:col>
      <xdr:colOff>1038225</xdr:colOff>
      <xdr:row>33</xdr:row>
      <xdr:rowOff>257175</xdr:rowOff>
    </xdr:to>
    <xdr:sp macro="" textlink="">
      <xdr:nvSpPr>
        <xdr:cNvPr id="212032" name="Rectangle 3">
          <a:extLst>
            <a:ext uri="{FF2B5EF4-FFF2-40B4-BE49-F238E27FC236}">
              <a16:creationId xmlns:a16="http://schemas.microsoft.com/office/drawing/2014/main" id="{00000000-0008-0000-2B00-0000403C0300}"/>
            </a:ext>
          </a:extLst>
        </xdr:cNvPr>
        <xdr:cNvSpPr>
          <a:spLocks noChangeArrowheads="1"/>
        </xdr:cNvSpPr>
      </xdr:nvSpPr>
      <xdr:spPr bwMode="auto">
        <a:xfrm>
          <a:off x="5067300" y="74771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34</xdr:row>
      <xdr:rowOff>104775</xdr:rowOff>
    </xdr:from>
    <xdr:to>
      <xdr:col>6</xdr:col>
      <xdr:colOff>1038225</xdr:colOff>
      <xdr:row>34</xdr:row>
      <xdr:rowOff>257175</xdr:rowOff>
    </xdr:to>
    <xdr:sp macro="" textlink="">
      <xdr:nvSpPr>
        <xdr:cNvPr id="212033" name="Rectangle 4">
          <a:extLst>
            <a:ext uri="{FF2B5EF4-FFF2-40B4-BE49-F238E27FC236}">
              <a16:creationId xmlns:a16="http://schemas.microsoft.com/office/drawing/2014/main" id="{00000000-0008-0000-2B00-0000413C0300}"/>
            </a:ext>
          </a:extLst>
        </xdr:cNvPr>
        <xdr:cNvSpPr>
          <a:spLocks noChangeArrowheads="1"/>
        </xdr:cNvSpPr>
      </xdr:nvSpPr>
      <xdr:spPr bwMode="auto">
        <a:xfrm>
          <a:off x="5067300" y="77438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35</xdr:row>
      <xdr:rowOff>104775</xdr:rowOff>
    </xdr:from>
    <xdr:to>
      <xdr:col>6</xdr:col>
      <xdr:colOff>1038225</xdr:colOff>
      <xdr:row>35</xdr:row>
      <xdr:rowOff>257175</xdr:rowOff>
    </xdr:to>
    <xdr:sp macro="" textlink="">
      <xdr:nvSpPr>
        <xdr:cNvPr id="212034" name="Rectangle 5">
          <a:extLst>
            <a:ext uri="{FF2B5EF4-FFF2-40B4-BE49-F238E27FC236}">
              <a16:creationId xmlns:a16="http://schemas.microsoft.com/office/drawing/2014/main" id="{00000000-0008-0000-2B00-0000423C0300}"/>
            </a:ext>
          </a:extLst>
        </xdr:cNvPr>
        <xdr:cNvSpPr>
          <a:spLocks noChangeArrowheads="1"/>
        </xdr:cNvSpPr>
      </xdr:nvSpPr>
      <xdr:spPr bwMode="auto">
        <a:xfrm>
          <a:off x="5067300" y="80105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36</xdr:row>
      <xdr:rowOff>104775</xdr:rowOff>
    </xdr:from>
    <xdr:to>
      <xdr:col>6</xdr:col>
      <xdr:colOff>1038225</xdr:colOff>
      <xdr:row>36</xdr:row>
      <xdr:rowOff>257175</xdr:rowOff>
    </xdr:to>
    <xdr:sp macro="" textlink="">
      <xdr:nvSpPr>
        <xdr:cNvPr id="212035" name="Rectangle 6">
          <a:extLst>
            <a:ext uri="{FF2B5EF4-FFF2-40B4-BE49-F238E27FC236}">
              <a16:creationId xmlns:a16="http://schemas.microsoft.com/office/drawing/2014/main" id="{00000000-0008-0000-2B00-0000433C0300}"/>
            </a:ext>
          </a:extLst>
        </xdr:cNvPr>
        <xdr:cNvSpPr>
          <a:spLocks noChangeArrowheads="1"/>
        </xdr:cNvSpPr>
      </xdr:nvSpPr>
      <xdr:spPr bwMode="auto">
        <a:xfrm>
          <a:off x="5067300" y="82772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37</xdr:row>
      <xdr:rowOff>114300</xdr:rowOff>
    </xdr:from>
    <xdr:to>
      <xdr:col>6</xdr:col>
      <xdr:colOff>1038225</xdr:colOff>
      <xdr:row>38</xdr:row>
      <xdr:rowOff>0</xdr:rowOff>
    </xdr:to>
    <xdr:sp macro="" textlink="">
      <xdr:nvSpPr>
        <xdr:cNvPr id="212036" name="Rectangle 7">
          <a:extLst>
            <a:ext uri="{FF2B5EF4-FFF2-40B4-BE49-F238E27FC236}">
              <a16:creationId xmlns:a16="http://schemas.microsoft.com/office/drawing/2014/main" id="{00000000-0008-0000-2B00-0000443C0300}"/>
            </a:ext>
          </a:extLst>
        </xdr:cNvPr>
        <xdr:cNvSpPr>
          <a:spLocks noChangeArrowheads="1"/>
        </xdr:cNvSpPr>
      </xdr:nvSpPr>
      <xdr:spPr bwMode="auto">
        <a:xfrm>
          <a:off x="5067300" y="85534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30</xdr:row>
      <xdr:rowOff>114300</xdr:rowOff>
    </xdr:from>
    <xdr:to>
      <xdr:col>7</xdr:col>
      <xdr:colOff>523875</xdr:colOff>
      <xdr:row>31</xdr:row>
      <xdr:rowOff>0</xdr:rowOff>
    </xdr:to>
    <xdr:sp macro="" textlink="">
      <xdr:nvSpPr>
        <xdr:cNvPr id="212037" name="Rectangle 8">
          <a:extLst>
            <a:ext uri="{FF2B5EF4-FFF2-40B4-BE49-F238E27FC236}">
              <a16:creationId xmlns:a16="http://schemas.microsoft.com/office/drawing/2014/main" id="{00000000-0008-0000-2B00-0000453C0300}"/>
            </a:ext>
          </a:extLst>
        </xdr:cNvPr>
        <xdr:cNvSpPr>
          <a:spLocks noChangeArrowheads="1"/>
        </xdr:cNvSpPr>
      </xdr:nvSpPr>
      <xdr:spPr bwMode="auto">
        <a:xfrm>
          <a:off x="5705475" y="66865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31</xdr:row>
      <xdr:rowOff>114300</xdr:rowOff>
    </xdr:from>
    <xdr:to>
      <xdr:col>7</xdr:col>
      <xdr:colOff>523875</xdr:colOff>
      <xdr:row>32</xdr:row>
      <xdr:rowOff>0</xdr:rowOff>
    </xdr:to>
    <xdr:sp macro="" textlink="">
      <xdr:nvSpPr>
        <xdr:cNvPr id="212038" name="Rectangle 9">
          <a:extLst>
            <a:ext uri="{FF2B5EF4-FFF2-40B4-BE49-F238E27FC236}">
              <a16:creationId xmlns:a16="http://schemas.microsoft.com/office/drawing/2014/main" id="{00000000-0008-0000-2B00-0000463C0300}"/>
            </a:ext>
          </a:extLst>
        </xdr:cNvPr>
        <xdr:cNvSpPr>
          <a:spLocks noChangeArrowheads="1"/>
        </xdr:cNvSpPr>
      </xdr:nvSpPr>
      <xdr:spPr bwMode="auto">
        <a:xfrm>
          <a:off x="5705475" y="69532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32</xdr:row>
      <xdr:rowOff>114300</xdr:rowOff>
    </xdr:from>
    <xdr:to>
      <xdr:col>7</xdr:col>
      <xdr:colOff>523875</xdr:colOff>
      <xdr:row>33</xdr:row>
      <xdr:rowOff>0</xdr:rowOff>
    </xdr:to>
    <xdr:sp macro="" textlink="">
      <xdr:nvSpPr>
        <xdr:cNvPr id="212039" name="Rectangle 10">
          <a:extLst>
            <a:ext uri="{FF2B5EF4-FFF2-40B4-BE49-F238E27FC236}">
              <a16:creationId xmlns:a16="http://schemas.microsoft.com/office/drawing/2014/main" id="{00000000-0008-0000-2B00-0000473C0300}"/>
            </a:ext>
          </a:extLst>
        </xdr:cNvPr>
        <xdr:cNvSpPr>
          <a:spLocks noChangeArrowheads="1"/>
        </xdr:cNvSpPr>
      </xdr:nvSpPr>
      <xdr:spPr bwMode="auto">
        <a:xfrm>
          <a:off x="5705475" y="72199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33</xdr:row>
      <xdr:rowOff>114300</xdr:rowOff>
    </xdr:from>
    <xdr:to>
      <xdr:col>7</xdr:col>
      <xdr:colOff>523875</xdr:colOff>
      <xdr:row>34</xdr:row>
      <xdr:rowOff>0</xdr:rowOff>
    </xdr:to>
    <xdr:sp macro="" textlink="">
      <xdr:nvSpPr>
        <xdr:cNvPr id="212040" name="Rectangle 11">
          <a:extLst>
            <a:ext uri="{FF2B5EF4-FFF2-40B4-BE49-F238E27FC236}">
              <a16:creationId xmlns:a16="http://schemas.microsoft.com/office/drawing/2014/main" id="{00000000-0008-0000-2B00-0000483C0300}"/>
            </a:ext>
          </a:extLst>
        </xdr:cNvPr>
        <xdr:cNvSpPr>
          <a:spLocks noChangeArrowheads="1"/>
        </xdr:cNvSpPr>
      </xdr:nvSpPr>
      <xdr:spPr bwMode="auto">
        <a:xfrm>
          <a:off x="5705475" y="74866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34</xdr:row>
      <xdr:rowOff>114300</xdr:rowOff>
    </xdr:from>
    <xdr:to>
      <xdr:col>7</xdr:col>
      <xdr:colOff>523875</xdr:colOff>
      <xdr:row>35</xdr:row>
      <xdr:rowOff>0</xdr:rowOff>
    </xdr:to>
    <xdr:sp macro="" textlink="">
      <xdr:nvSpPr>
        <xdr:cNvPr id="212041" name="Rectangle 12">
          <a:extLst>
            <a:ext uri="{FF2B5EF4-FFF2-40B4-BE49-F238E27FC236}">
              <a16:creationId xmlns:a16="http://schemas.microsoft.com/office/drawing/2014/main" id="{00000000-0008-0000-2B00-0000493C0300}"/>
            </a:ext>
          </a:extLst>
        </xdr:cNvPr>
        <xdr:cNvSpPr>
          <a:spLocks noChangeArrowheads="1"/>
        </xdr:cNvSpPr>
      </xdr:nvSpPr>
      <xdr:spPr bwMode="auto">
        <a:xfrm>
          <a:off x="5705475" y="77533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35</xdr:row>
      <xdr:rowOff>104775</xdr:rowOff>
    </xdr:from>
    <xdr:to>
      <xdr:col>7</xdr:col>
      <xdr:colOff>523875</xdr:colOff>
      <xdr:row>35</xdr:row>
      <xdr:rowOff>257175</xdr:rowOff>
    </xdr:to>
    <xdr:sp macro="" textlink="">
      <xdr:nvSpPr>
        <xdr:cNvPr id="212042" name="Rectangle 13">
          <a:extLst>
            <a:ext uri="{FF2B5EF4-FFF2-40B4-BE49-F238E27FC236}">
              <a16:creationId xmlns:a16="http://schemas.microsoft.com/office/drawing/2014/main" id="{00000000-0008-0000-2B00-00004A3C0300}"/>
            </a:ext>
          </a:extLst>
        </xdr:cNvPr>
        <xdr:cNvSpPr>
          <a:spLocks noChangeArrowheads="1"/>
        </xdr:cNvSpPr>
      </xdr:nvSpPr>
      <xdr:spPr bwMode="auto">
        <a:xfrm>
          <a:off x="5705475" y="80105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36</xdr:row>
      <xdr:rowOff>104775</xdr:rowOff>
    </xdr:from>
    <xdr:to>
      <xdr:col>7</xdr:col>
      <xdr:colOff>523875</xdr:colOff>
      <xdr:row>36</xdr:row>
      <xdr:rowOff>257175</xdr:rowOff>
    </xdr:to>
    <xdr:sp macro="" textlink="">
      <xdr:nvSpPr>
        <xdr:cNvPr id="212043" name="Rectangle 14">
          <a:extLst>
            <a:ext uri="{FF2B5EF4-FFF2-40B4-BE49-F238E27FC236}">
              <a16:creationId xmlns:a16="http://schemas.microsoft.com/office/drawing/2014/main" id="{00000000-0008-0000-2B00-00004B3C0300}"/>
            </a:ext>
          </a:extLst>
        </xdr:cNvPr>
        <xdr:cNvSpPr>
          <a:spLocks noChangeArrowheads="1"/>
        </xdr:cNvSpPr>
      </xdr:nvSpPr>
      <xdr:spPr bwMode="auto">
        <a:xfrm>
          <a:off x="5705475" y="82772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314325</xdr:colOff>
      <xdr:row>37</xdr:row>
      <xdr:rowOff>114300</xdr:rowOff>
    </xdr:from>
    <xdr:to>
      <xdr:col>7</xdr:col>
      <xdr:colOff>533400</xdr:colOff>
      <xdr:row>38</xdr:row>
      <xdr:rowOff>0</xdr:rowOff>
    </xdr:to>
    <xdr:sp macro="" textlink="">
      <xdr:nvSpPr>
        <xdr:cNvPr id="212044" name="Rectangle 15">
          <a:extLst>
            <a:ext uri="{FF2B5EF4-FFF2-40B4-BE49-F238E27FC236}">
              <a16:creationId xmlns:a16="http://schemas.microsoft.com/office/drawing/2014/main" id="{00000000-0008-0000-2B00-00004C3C0300}"/>
            </a:ext>
          </a:extLst>
        </xdr:cNvPr>
        <xdr:cNvSpPr>
          <a:spLocks noChangeArrowheads="1"/>
        </xdr:cNvSpPr>
      </xdr:nvSpPr>
      <xdr:spPr bwMode="auto">
        <a:xfrm>
          <a:off x="5715000" y="85534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809625</xdr:colOff>
      <xdr:row>29</xdr:row>
      <xdr:rowOff>66675</xdr:rowOff>
    </xdr:from>
    <xdr:to>
      <xdr:col>6</xdr:col>
      <xdr:colOff>1028700</xdr:colOff>
      <xdr:row>29</xdr:row>
      <xdr:rowOff>219075</xdr:rowOff>
    </xdr:to>
    <xdr:sp macro="" textlink="">
      <xdr:nvSpPr>
        <xdr:cNvPr id="212045" name="Rectangle 16">
          <a:extLst>
            <a:ext uri="{FF2B5EF4-FFF2-40B4-BE49-F238E27FC236}">
              <a16:creationId xmlns:a16="http://schemas.microsoft.com/office/drawing/2014/main" id="{00000000-0008-0000-2B00-00004D3C0300}"/>
            </a:ext>
          </a:extLst>
        </xdr:cNvPr>
        <xdr:cNvSpPr>
          <a:spLocks noChangeArrowheads="1"/>
        </xdr:cNvSpPr>
      </xdr:nvSpPr>
      <xdr:spPr bwMode="auto">
        <a:xfrm>
          <a:off x="5057775" y="64103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29</xdr:row>
      <xdr:rowOff>47625</xdr:rowOff>
    </xdr:from>
    <xdr:to>
      <xdr:col>7</xdr:col>
      <xdr:colOff>523875</xdr:colOff>
      <xdr:row>29</xdr:row>
      <xdr:rowOff>200025</xdr:rowOff>
    </xdr:to>
    <xdr:sp macro="" textlink="">
      <xdr:nvSpPr>
        <xdr:cNvPr id="212046" name="Rectangle 17">
          <a:extLst>
            <a:ext uri="{FF2B5EF4-FFF2-40B4-BE49-F238E27FC236}">
              <a16:creationId xmlns:a16="http://schemas.microsoft.com/office/drawing/2014/main" id="{00000000-0008-0000-2B00-00004E3C0300}"/>
            </a:ext>
          </a:extLst>
        </xdr:cNvPr>
        <xdr:cNvSpPr>
          <a:spLocks noChangeArrowheads="1"/>
        </xdr:cNvSpPr>
      </xdr:nvSpPr>
      <xdr:spPr bwMode="auto">
        <a:xfrm>
          <a:off x="5705475" y="639127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809625</xdr:colOff>
      <xdr:row>30</xdr:row>
      <xdr:rowOff>66675</xdr:rowOff>
    </xdr:from>
    <xdr:to>
      <xdr:col>6</xdr:col>
      <xdr:colOff>1028700</xdr:colOff>
      <xdr:row>30</xdr:row>
      <xdr:rowOff>219075</xdr:rowOff>
    </xdr:to>
    <xdr:sp macro="" textlink="">
      <xdr:nvSpPr>
        <xdr:cNvPr id="212048" name="Rectangle 19">
          <a:extLst>
            <a:ext uri="{FF2B5EF4-FFF2-40B4-BE49-F238E27FC236}">
              <a16:creationId xmlns:a16="http://schemas.microsoft.com/office/drawing/2014/main" id="{00000000-0008-0000-2B00-0000503C0300}"/>
            </a:ext>
          </a:extLst>
        </xdr:cNvPr>
        <xdr:cNvSpPr>
          <a:spLocks noChangeArrowheads="1"/>
        </xdr:cNvSpPr>
      </xdr:nvSpPr>
      <xdr:spPr bwMode="auto">
        <a:xfrm>
          <a:off x="5057775" y="66389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95250</xdr:colOff>
      <xdr:row>0</xdr:row>
      <xdr:rowOff>66675</xdr:rowOff>
    </xdr:from>
    <xdr:to>
      <xdr:col>1</xdr:col>
      <xdr:colOff>229472</xdr:colOff>
      <xdr:row>0</xdr:row>
      <xdr:rowOff>485775</xdr:rowOff>
    </xdr:to>
    <xdr:pic>
      <xdr:nvPicPr>
        <xdr:cNvPr id="21" name="Image 20">
          <a:extLst>
            <a:ext uri="{FF2B5EF4-FFF2-40B4-BE49-F238E27FC236}">
              <a16:creationId xmlns:a16="http://schemas.microsoft.com/office/drawing/2014/main" id="{00000000-0008-0000-2B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123825</xdr:colOff>
      <xdr:row>0</xdr:row>
      <xdr:rowOff>76200</xdr:rowOff>
    </xdr:from>
    <xdr:to>
      <xdr:col>1</xdr:col>
      <xdr:colOff>496172</xdr:colOff>
      <xdr:row>1</xdr:row>
      <xdr:rowOff>200025</xdr:rowOff>
    </xdr:to>
    <xdr:pic>
      <xdr:nvPicPr>
        <xdr:cNvPr id="3" name="Image 2">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115277</xdr:colOff>
      <xdr:row>0</xdr:row>
      <xdr:rowOff>144585</xdr:rowOff>
    </xdr:from>
    <xdr:to>
      <xdr:col>0</xdr:col>
      <xdr:colOff>827845</xdr:colOff>
      <xdr:row>0</xdr:row>
      <xdr:rowOff>461597</xdr:rowOff>
    </xdr:to>
    <xdr:pic>
      <xdr:nvPicPr>
        <xdr:cNvPr id="2" name="Image 1">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277" y="144585"/>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7</xdr:row>
          <xdr:rowOff>190500</xdr:rowOff>
        </xdr:from>
        <xdr:to>
          <xdr:col>3</xdr:col>
          <xdr:colOff>771525</xdr:colOff>
          <xdr:row>8</xdr:row>
          <xdr:rowOff>0</xdr:rowOff>
        </xdr:to>
        <xdr:sp macro="" textlink="">
          <xdr:nvSpPr>
            <xdr:cNvPr id="1449985" name="Check Box 1" hidden="1">
              <a:extLst>
                <a:ext uri="{63B3BB69-23CF-44E3-9099-C40C66FF867C}">
                  <a14:compatExt spid="_x0000_s1449985"/>
                </a:ext>
                <a:ext uri="{FF2B5EF4-FFF2-40B4-BE49-F238E27FC236}">
                  <a16:creationId xmlns:a16="http://schemas.microsoft.com/office/drawing/2014/main" id="{00000000-0008-0000-2D00-00000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oneCellAnchor>
    <xdr:from>
      <xdr:col>8</xdr:col>
      <xdr:colOff>381000</xdr:colOff>
      <xdr:row>21</xdr:row>
      <xdr:rowOff>207746</xdr:rowOff>
    </xdr:from>
    <xdr:ext cx="712568" cy="317012"/>
    <xdr:pic>
      <xdr:nvPicPr>
        <xdr:cNvPr id="3" name="Image 2">
          <a:extLst>
            <a:ext uri="{FF2B5EF4-FFF2-40B4-BE49-F238E27FC236}">
              <a16:creationId xmlns:a16="http://schemas.microsoft.com/office/drawing/2014/main" id="{00000000-0008-0000-2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96875" y="8246846"/>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4</xdr:col>
          <xdr:colOff>590550</xdr:colOff>
          <xdr:row>11</xdr:row>
          <xdr:rowOff>95250</xdr:rowOff>
        </xdr:from>
        <xdr:to>
          <xdr:col>4</xdr:col>
          <xdr:colOff>1314450</xdr:colOff>
          <xdr:row>11</xdr:row>
          <xdr:rowOff>333375</xdr:rowOff>
        </xdr:to>
        <xdr:sp macro="" textlink="">
          <xdr:nvSpPr>
            <xdr:cNvPr id="1449986" name="Check Box 2" hidden="1">
              <a:extLst>
                <a:ext uri="{63B3BB69-23CF-44E3-9099-C40C66FF867C}">
                  <a14:compatExt spid="_x0000_s1449986"/>
                </a:ext>
                <a:ext uri="{FF2B5EF4-FFF2-40B4-BE49-F238E27FC236}">
                  <a16:creationId xmlns:a16="http://schemas.microsoft.com/office/drawing/2014/main" id="{00000000-0008-0000-2D00-00000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838200</xdr:rowOff>
        </xdr:from>
        <xdr:to>
          <xdr:col>2</xdr:col>
          <xdr:colOff>904875</xdr:colOff>
          <xdr:row>11</xdr:row>
          <xdr:rowOff>238125</xdr:rowOff>
        </xdr:to>
        <xdr:sp macro="" textlink="">
          <xdr:nvSpPr>
            <xdr:cNvPr id="1449987" name="Check Box 3" hidden="1">
              <a:extLst>
                <a:ext uri="{63B3BB69-23CF-44E3-9099-C40C66FF867C}">
                  <a14:compatExt spid="_x0000_s1449987"/>
                </a:ext>
                <a:ext uri="{FF2B5EF4-FFF2-40B4-BE49-F238E27FC236}">
                  <a16:creationId xmlns:a16="http://schemas.microsoft.com/office/drawing/2014/main" id="{00000000-0008-0000-2D00-00000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180975</xdr:rowOff>
        </xdr:from>
        <xdr:to>
          <xdr:col>2</xdr:col>
          <xdr:colOff>1238250</xdr:colOff>
          <xdr:row>11</xdr:row>
          <xdr:rowOff>419100</xdr:rowOff>
        </xdr:to>
        <xdr:sp macro="" textlink="">
          <xdr:nvSpPr>
            <xdr:cNvPr id="1449988" name="Check Box 4" hidden="1">
              <a:extLst>
                <a:ext uri="{63B3BB69-23CF-44E3-9099-C40C66FF867C}">
                  <a14:compatExt spid="_x0000_s1449988"/>
                </a:ext>
                <a:ext uri="{FF2B5EF4-FFF2-40B4-BE49-F238E27FC236}">
                  <a16:creationId xmlns:a16="http://schemas.microsoft.com/office/drawing/2014/main" id="{00000000-0008-0000-2D00-00000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2</xdr:col>
          <xdr:colOff>904875</xdr:colOff>
          <xdr:row>12</xdr:row>
          <xdr:rowOff>247650</xdr:rowOff>
        </xdr:to>
        <xdr:sp macro="" textlink="">
          <xdr:nvSpPr>
            <xdr:cNvPr id="1449989" name="Check Box 5" hidden="1">
              <a:extLst>
                <a:ext uri="{63B3BB69-23CF-44E3-9099-C40C66FF867C}">
                  <a14:compatExt spid="_x0000_s1449989"/>
                </a:ext>
                <a:ext uri="{FF2B5EF4-FFF2-40B4-BE49-F238E27FC236}">
                  <a16:creationId xmlns:a16="http://schemas.microsoft.com/office/drawing/2014/main" id="{00000000-0008-0000-2D00-00000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200025</xdr:rowOff>
        </xdr:from>
        <xdr:to>
          <xdr:col>2</xdr:col>
          <xdr:colOff>1238250</xdr:colOff>
          <xdr:row>13</xdr:row>
          <xdr:rowOff>9525</xdr:rowOff>
        </xdr:to>
        <xdr:sp macro="" textlink="">
          <xdr:nvSpPr>
            <xdr:cNvPr id="1449990" name="Check Box 6" hidden="1">
              <a:extLst>
                <a:ext uri="{63B3BB69-23CF-44E3-9099-C40C66FF867C}">
                  <a14:compatExt spid="_x0000_s1449990"/>
                </a:ext>
                <a:ext uri="{FF2B5EF4-FFF2-40B4-BE49-F238E27FC236}">
                  <a16:creationId xmlns:a16="http://schemas.microsoft.com/office/drawing/2014/main" id="{00000000-0008-0000-2D00-00000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2</xdr:col>
          <xdr:colOff>904875</xdr:colOff>
          <xdr:row>13</xdr:row>
          <xdr:rowOff>238125</xdr:rowOff>
        </xdr:to>
        <xdr:sp macro="" textlink="">
          <xdr:nvSpPr>
            <xdr:cNvPr id="1449991" name="Check Box 7" hidden="1">
              <a:extLst>
                <a:ext uri="{63B3BB69-23CF-44E3-9099-C40C66FF867C}">
                  <a14:compatExt spid="_x0000_s1449991"/>
                </a:ext>
                <a:ext uri="{FF2B5EF4-FFF2-40B4-BE49-F238E27FC236}">
                  <a16:creationId xmlns:a16="http://schemas.microsoft.com/office/drawing/2014/main" id="{00000000-0008-0000-2D00-00000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190500</xdr:rowOff>
        </xdr:from>
        <xdr:to>
          <xdr:col>2</xdr:col>
          <xdr:colOff>1238250</xdr:colOff>
          <xdr:row>14</xdr:row>
          <xdr:rowOff>0</xdr:rowOff>
        </xdr:to>
        <xdr:sp macro="" textlink="">
          <xdr:nvSpPr>
            <xdr:cNvPr id="1449992" name="Check Box 8" hidden="1">
              <a:extLst>
                <a:ext uri="{63B3BB69-23CF-44E3-9099-C40C66FF867C}">
                  <a14:compatExt spid="_x0000_s1449992"/>
                </a:ext>
                <a:ext uri="{FF2B5EF4-FFF2-40B4-BE49-F238E27FC236}">
                  <a16:creationId xmlns:a16="http://schemas.microsoft.com/office/drawing/2014/main" id="{00000000-0008-0000-2D00-00000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0</xdr:rowOff>
        </xdr:from>
        <xdr:to>
          <xdr:col>2</xdr:col>
          <xdr:colOff>904875</xdr:colOff>
          <xdr:row>14</xdr:row>
          <xdr:rowOff>238125</xdr:rowOff>
        </xdr:to>
        <xdr:sp macro="" textlink="">
          <xdr:nvSpPr>
            <xdr:cNvPr id="1449993" name="Check Box 9" hidden="1">
              <a:extLst>
                <a:ext uri="{63B3BB69-23CF-44E3-9099-C40C66FF867C}">
                  <a14:compatExt spid="_x0000_s1449993"/>
                </a:ext>
                <a:ext uri="{FF2B5EF4-FFF2-40B4-BE49-F238E27FC236}">
                  <a16:creationId xmlns:a16="http://schemas.microsoft.com/office/drawing/2014/main" id="{00000000-0008-0000-2D00-00000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190500</xdr:rowOff>
        </xdr:from>
        <xdr:to>
          <xdr:col>2</xdr:col>
          <xdr:colOff>1238250</xdr:colOff>
          <xdr:row>15</xdr:row>
          <xdr:rowOff>0</xdr:rowOff>
        </xdr:to>
        <xdr:sp macro="" textlink="">
          <xdr:nvSpPr>
            <xdr:cNvPr id="1449994" name="Check Box 10" hidden="1">
              <a:extLst>
                <a:ext uri="{63B3BB69-23CF-44E3-9099-C40C66FF867C}">
                  <a14:compatExt spid="_x0000_s1449994"/>
                </a:ext>
                <a:ext uri="{FF2B5EF4-FFF2-40B4-BE49-F238E27FC236}">
                  <a16:creationId xmlns:a16="http://schemas.microsoft.com/office/drawing/2014/main" id="{00000000-0008-0000-2D00-00000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0</xdr:rowOff>
        </xdr:from>
        <xdr:to>
          <xdr:col>2</xdr:col>
          <xdr:colOff>904875</xdr:colOff>
          <xdr:row>15</xdr:row>
          <xdr:rowOff>238125</xdr:rowOff>
        </xdr:to>
        <xdr:sp macro="" textlink="">
          <xdr:nvSpPr>
            <xdr:cNvPr id="1449995" name="Check Box 11" hidden="1">
              <a:extLst>
                <a:ext uri="{63B3BB69-23CF-44E3-9099-C40C66FF867C}">
                  <a14:compatExt spid="_x0000_s1449995"/>
                </a:ext>
                <a:ext uri="{FF2B5EF4-FFF2-40B4-BE49-F238E27FC236}">
                  <a16:creationId xmlns:a16="http://schemas.microsoft.com/office/drawing/2014/main" id="{00000000-0008-0000-2D00-00000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190500</xdr:rowOff>
        </xdr:from>
        <xdr:to>
          <xdr:col>2</xdr:col>
          <xdr:colOff>1238250</xdr:colOff>
          <xdr:row>16</xdr:row>
          <xdr:rowOff>0</xdr:rowOff>
        </xdr:to>
        <xdr:sp macro="" textlink="">
          <xdr:nvSpPr>
            <xdr:cNvPr id="1449996" name="Check Box 12" hidden="1">
              <a:extLst>
                <a:ext uri="{63B3BB69-23CF-44E3-9099-C40C66FF867C}">
                  <a14:compatExt spid="_x0000_s1449996"/>
                </a:ext>
                <a:ext uri="{FF2B5EF4-FFF2-40B4-BE49-F238E27FC236}">
                  <a16:creationId xmlns:a16="http://schemas.microsoft.com/office/drawing/2014/main" id="{00000000-0008-0000-2D00-00000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2</xdr:col>
          <xdr:colOff>904875</xdr:colOff>
          <xdr:row>16</xdr:row>
          <xdr:rowOff>238125</xdr:rowOff>
        </xdr:to>
        <xdr:sp macro="" textlink="">
          <xdr:nvSpPr>
            <xdr:cNvPr id="1449997" name="Check Box 13" hidden="1">
              <a:extLst>
                <a:ext uri="{63B3BB69-23CF-44E3-9099-C40C66FF867C}">
                  <a14:compatExt spid="_x0000_s1449997"/>
                </a:ext>
                <a:ext uri="{FF2B5EF4-FFF2-40B4-BE49-F238E27FC236}">
                  <a16:creationId xmlns:a16="http://schemas.microsoft.com/office/drawing/2014/main" id="{00000000-0008-0000-2D00-00000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190500</xdr:rowOff>
        </xdr:from>
        <xdr:to>
          <xdr:col>2</xdr:col>
          <xdr:colOff>1238250</xdr:colOff>
          <xdr:row>17</xdr:row>
          <xdr:rowOff>0</xdr:rowOff>
        </xdr:to>
        <xdr:sp macro="" textlink="">
          <xdr:nvSpPr>
            <xdr:cNvPr id="1449998" name="Check Box 14" hidden="1">
              <a:extLst>
                <a:ext uri="{63B3BB69-23CF-44E3-9099-C40C66FF867C}">
                  <a14:compatExt spid="_x0000_s1449998"/>
                </a:ext>
                <a:ext uri="{FF2B5EF4-FFF2-40B4-BE49-F238E27FC236}">
                  <a16:creationId xmlns:a16="http://schemas.microsoft.com/office/drawing/2014/main" id="{00000000-0008-0000-2D00-00000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0</xdr:rowOff>
        </xdr:from>
        <xdr:to>
          <xdr:col>2</xdr:col>
          <xdr:colOff>904875</xdr:colOff>
          <xdr:row>17</xdr:row>
          <xdr:rowOff>238125</xdr:rowOff>
        </xdr:to>
        <xdr:sp macro="" textlink="">
          <xdr:nvSpPr>
            <xdr:cNvPr id="1449999" name="Check Box 15" hidden="1">
              <a:extLst>
                <a:ext uri="{63B3BB69-23CF-44E3-9099-C40C66FF867C}">
                  <a14:compatExt spid="_x0000_s1449999"/>
                </a:ext>
                <a:ext uri="{FF2B5EF4-FFF2-40B4-BE49-F238E27FC236}">
                  <a16:creationId xmlns:a16="http://schemas.microsoft.com/office/drawing/2014/main" id="{00000000-0008-0000-2D00-00000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190500</xdr:rowOff>
        </xdr:from>
        <xdr:to>
          <xdr:col>2</xdr:col>
          <xdr:colOff>1238250</xdr:colOff>
          <xdr:row>18</xdr:row>
          <xdr:rowOff>0</xdr:rowOff>
        </xdr:to>
        <xdr:sp macro="" textlink="">
          <xdr:nvSpPr>
            <xdr:cNvPr id="1450000" name="Check Box 16" hidden="1">
              <a:extLst>
                <a:ext uri="{63B3BB69-23CF-44E3-9099-C40C66FF867C}">
                  <a14:compatExt spid="_x0000_s1450000"/>
                </a:ext>
                <a:ext uri="{FF2B5EF4-FFF2-40B4-BE49-F238E27FC236}">
                  <a16:creationId xmlns:a16="http://schemas.microsoft.com/office/drawing/2014/main" id="{00000000-0008-0000-2D00-00001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904875</xdr:colOff>
          <xdr:row>18</xdr:row>
          <xdr:rowOff>238125</xdr:rowOff>
        </xdr:to>
        <xdr:sp macro="" textlink="">
          <xdr:nvSpPr>
            <xdr:cNvPr id="1450001" name="Check Box 17" hidden="1">
              <a:extLst>
                <a:ext uri="{63B3BB69-23CF-44E3-9099-C40C66FF867C}">
                  <a14:compatExt spid="_x0000_s1450001"/>
                </a:ext>
                <a:ext uri="{FF2B5EF4-FFF2-40B4-BE49-F238E27FC236}">
                  <a16:creationId xmlns:a16="http://schemas.microsoft.com/office/drawing/2014/main" id="{00000000-0008-0000-2D00-00001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190500</xdr:rowOff>
        </xdr:from>
        <xdr:to>
          <xdr:col>2</xdr:col>
          <xdr:colOff>1238250</xdr:colOff>
          <xdr:row>19</xdr:row>
          <xdr:rowOff>0</xdr:rowOff>
        </xdr:to>
        <xdr:sp macro="" textlink="">
          <xdr:nvSpPr>
            <xdr:cNvPr id="1450002" name="Check Box 18" hidden="1">
              <a:extLst>
                <a:ext uri="{63B3BB69-23CF-44E3-9099-C40C66FF867C}">
                  <a14:compatExt spid="_x0000_s1450002"/>
                </a:ext>
                <a:ext uri="{FF2B5EF4-FFF2-40B4-BE49-F238E27FC236}">
                  <a16:creationId xmlns:a16="http://schemas.microsoft.com/office/drawing/2014/main" id="{00000000-0008-0000-2D00-00001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2</xdr:col>
          <xdr:colOff>904875</xdr:colOff>
          <xdr:row>19</xdr:row>
          <xdr:rowOff>238125</xdr:rowOff>
        </xdr:to>
        <xdr:sp macro="" textlink="">
          <xdr:nvSpPr>
            <xdr:cNvPr id="1450003" name="Check Box 19" hidden="1">
              <a:extLst>
                <a:ext uri="{63B3BB69-23CF-44E3-9099-C40C66FF867C}">
                  <a14:compatExt spid="_x0000_s1450003"/>
                </a:ext>
                <a:ext uri="{FF2B5EF4-FFF2-40B4-BE49-F238E27FC236}">
                  <a16:creationId xmlns:a16="http://schemas.microsoft.com/office/drawing/2014/main" id="{00000000-0008-0000-2D00-00001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190500</xdr:rowOff>
        </xdr:from>
        <xdr:to>
          <xdr:col>2</xdr:col>
          <xdr:colOff>1238250</xdr:colOff>
          <xdr:row>20</xdr:row>
          <xdr:rowOff>0</xdr:rowOff>
        </xdr:to>
        <xdr:sp macro="" textlink="">
          <xdr:nvSpPr>
            <xdr:cNvPr id="1450004" name="Check Box 20" hidden="1">
              <a:extLst>
                <a:ext uri="{63B3BB69-23CF-44E3-9099-C40C66FF867C}">
                  <a14:compatExt spid="_x0000_s1450004"/>
                </a:ext>
                <a:ext uri="{FF2B5EF4-FFF2-40B4-BE49-F238E27FC236}">
                  <a16:creationId xmlns:a16="http://schemas.microsoft.com/office/drawing/2014/main" id="{00000000-0008-0000-2D00-00001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419100</xdr:rowOff>
        </xdr:from>
        <xdr:to>
          <xdr:col>2</xdr:col>
          <xdr:colOff>904875</xdr:colOff>
          <xdr:row>20</xdr:row>
          <xdr:rowOff>228600</xdr:rowOff>
        </xdr:to>
        <xdr:sp macro="" textlink="">
          <xdr:nvSpPr>
            <xdr:cNvPr id="1450005" name="Check Box 21" hidden="1">
              <a:extLst>
                <a:ext uri="{63B3BB69-23CF-44E3-9099-C40C66FF867C}">
                  <a14:compatExt spid="_x0000_s1450005"/>
                </a:ext>
                <a:ext uri="{FF2B5EF4-FFF2-40B4-BE49-F238E27FC236}">
                  <a16:creationId xmlns:a16="http://schemas.microsoft.com/office/drawing/2014/main" id="{00000000-0008-0000-2D00-00001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180975</xdr:rowOff>
        </xdr:from>
        <xdr:to>
          <xdr:col>2</xdr:col>
          <xdr:colOff>1238250</xdr:colOff>
          <xdr:row>20</xdr:row>
          <xdr:rowOff>419100</xdr:rowOff>
        </xdr:to>
        <xdr:sp macro="" textlink="">
          <xdr:nvSpPr>
            <xdr:cNvPr id="1450006" name="Check Box 22" hidden="1">
              <a:extLst>
                <a:ext uri="{63B3BB69-23CF-44E3-9099-C40C66FF867C}">
                  <a14:compatExt spid="_x0000_s1450006"/>
                </a:ext>
                <a:ext uri="{FF2B5EF4-FFF2-40B4-BE49-F238E27FC236}">
                  <a16:creationId xmlns:a16="http://schemas.microsoft.com/office/drawing/2014/main" id="{00000000-0008-0000-2D00-00001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0</xdr:rowOff>
        </xdr:from>
        <xdr:to>
          <xdr:col>3</xdr:col>
          <xdr:colOff>904875</xdr:colOff>
          <xdr:row>11</xdr:row>
          <xdr:rowOff>238125</xdr:rowOff>
        </xdr:to>
        <xdr:sp macro="" textlink="">
          <xdr:nvSpPr>
            <xdr:cNvPr id="1450007" name="Check Box 23" hidden="1">
              <a:extLst>
                <a:ext uri="{63B3BB69-23CF-44E3-9099-C40C66FF867C}">
                  <a14:compatExt spid="_x0000_s1450007"/>
                </a:ext>
                <a:ext uri="{FF2B5EF4-FFF2-40B4-BE49-F238E27FC236}">
                  <a16:creationId xmlns:a16="http://schemas.microsoft.com/office/drawing/2014/main" id="{00000000-0008-0000-2D00-00001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190500</xdr:rowOff>
        </xdr:from>
        <xdr:to>
          <xdr:col>3</xdr:col>
          <xdr:colOff>1238250</xdr:colOff>
          <xdr:row>12</xdr:row>
          <xdr:rowOff>0</xdr:rowOff>
        </xdr:to>
        <xdr:sp macro="" textlink="">
          <xdr:nvSpPr>
            <xdr:cNvPr id="1450008" name="Check Box 24" hidden="1">
              <a:extLst>
                <a:ext uri="{63B3BB69-23CF-44E3-9099-C40C66FF867C}">
                  <a14:compatExt spid="_x0000_s1450008"/>
                </a:ext>
                <a:ext uri="{FF2B5EF4-FFF2-40B4-BE49-F238E27FC236}">
                  <a16:creationId xmlns:a16="http://schemas.microsoft.com/office/drawing/2014/main" id="{00000000-0008-0000-2D00-00001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0</xdr:rowOff>
        </xdr:from>
        <xdr:to>
          <xdr:col>3</xdr:col>
          <xdr:colOff>904875</xdr:colOff>
          <xdr:row>12</xdr:row>
          <xdr:rowOff>238125</xdr:rowOff>
        </xdr:to>
        <xdr:sp macro="" textlink="">
          <xdr:nvSpPr>
            <xdr:cNvPr id="1450009" name="Check Box 25" hidden="1">
              <a:extLst>
                <a:ext uri="{63B3BB69-23CF-44E3-9099-C40C66FF867C}">
                  <a14:compatExt spid="_x0000_s1450009"/>
                </a:ext>
                <a:ext uri="{FF2B5EF4-FFF2-40B4-BE49-F238E27FC236}">
                  <a16:creationId xmlns:a16="http://schemas.microsoft.com/office/drawing/2014/main" id="{00000000-0008-0000-2D00-00001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190500</xdr:rowOff>
        </xdr:from>
        <xdr:to>
          <xdr:col>3</xdr:col>
          <xdr:colOff>1238250</xdr:colOff>
          <xdr:row>13</xdr:row>
          <xdr:rowOff>0</xdr:rowOff>
        </xdr:to>
        <xdr:sp macro="" textlink="">
          <xdr:nvSpPr>
            <xdr:cNvPr id="1450010" name="Check Box 26" hidden="1">
              <a:extLst>
                <a:ext uri="{63B3BB69-23CF-44E3-9099-C40C66FF867C}">
                  <a14:compatExt spid="_x0000_s1450010"/>
                </a:ext>
                <a:ext uri="{FF2B5EF4-FFF2-40B4-BE49-F238E27FC236}">
                  <a16:creationId xmlns:a16="http://schemas.microsoft.com/office/drawing/2014/main" id="{00000000-0008-0000-2D00-00001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0</xdr:rowOff>
        </xdr:from>
        <xdr:to>
          <xdr:col>3</xdr:col>
          <xdr:colOff>904875</xdr:colOff>
          <xdr:row>13</xdr:row>
          <xdr:rowOff>238125</xdr:rowOff>
        </xdr:to>
        <xdr:sp macro="" textlink="">
          <xdr:nvSpPr>
            <xdr:cNvPr id="1450011" name="Check Box 27" hidden="1">
              <a:extLst>
                <a:ext uri="{63B3BB69-23CF-44E3-9099-C40C66FF867C}">
                  <a14:compatExt spid="_x0000_s1450011"/>
                </a:ext>
                <a:ext uri="{FF2B5EF4-FFF2-40B4-BE49-F238E27FC236}">
                  <a16:creationId xmlns:a16="http://schemas.microsoft.com/office/drawing/2014/main" id="{00000000-0008-0000-2D00-00001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190500</xdr:rowOff>
        </xdr:from>
        <xdr:to>
          <xdr:col>3</xdr:col>
          <xdr:colOff>1238250</xdr:colOff>
          <xdr:row>14</xdr:row>
          <xdr:rowOff>0</xdr:rowOff>
        </xdr:to>
        <xdr:sp macro="" textlink="">
          <xdr:nvSpPr>
            <xdr:cNvPr id="1450012" name="Check Box 28" hidden="1">
              <a:extLst>
                <a:ext uri="{63B3BB69-23CF-44E3-9099-C40C66FF867C}">
                  <a14:compatExt spid="_x0000_s1450012"/>
                </a:ext>
                <a:ext uri="{FF2B5EF4-FFF2-40B4-BE49-F238E27FC236}">
                  <a16:creationId xmlns:a16="http://schemas.microsoft.com/office/drawing/2014/main" id="{00000000-0008-0000-2D00-00001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0</xdr:rowOff>
        </xdr:from>
        <xdr:to>
          <xdr:col>3</xdr:col>
          <xdr:colOff>904875</xdr:colOff>
          <xdr:row>14</xdr:row>
          <xdr:rowOff>238125</xdr:rowOff>
        </xdr:to>
        <xdr:sp macro="" textlink="">
          <xdr:nvSpPr>
            <xdr:cNvPr id="1450013" name="Check Box 29" hidden="1">
              <a:extLst>
                <a:ext uri="{63B3BB69-23CF-44E3-9099-C40C66FF867C}">
                  <a14:compatExt spid="_x0000_s1450013"/>
                </a:ext>
                <a:ext uri="{FF2B5EF4-FFF2-40B4-BE49-F238E27FC236}">
                  <a16:creationId xmlns:a16="http://schemas.microsoft.com/office/drawing/2014/main" id="{00000000-0008-0000-2D00-00001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190500</xdr:rowOff>
        </xdr:from>
        <xdr:to>
          <xdr:col>3</xdr:col>
          <xdr:colOff>1238250</xdr:colOff>
          <xdr:row>15</xdr:row>
          <xdr:rowOff>0</xdr:rowOff>
        </xdr:to>
        <xdr:sp macro="" textlink="">
          <xdr:nvSpPr>
            <xdr:cNvPr id="1450014" name="Check Box 30" hidden="1">
              <a:extLst>
                <a:ext uri="{63B3BB69-23CF-44E3-9099-C40C66FF867C}">
                  <a14:compatExt spid="_x0000_s1450014"/>
                </a:ext>
                <a:ext uri="{FF2B5EF4-FFF2-40B4-BE49-F238E27FC236}">
                  <a16:creationId xmlns:a16="http://schemas.microsoft.com/office/drawing/2014/main" id="{00000000-0008-0000-2D00-00001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0</xdr:rowOff>
        </xdr:from>
        <xdr:to>
          <xdr:col>3</xdr:col>
          <xdr:colOff>904875</xdr:colOff>
          <xdr:row>15</xdr:row>
          <xdr:rowOff>238125</xdr:rowOff>
        </xdr:to>
        <xdr:sp macro="" textlink="">
          <xdr:nvSpPr>
            <xdr:cNvPr id="1450015" name="Check Box 31" hidden="1">
              <a:extLst>
                <a:ext uri="{63B3BB69-23CF-44E3-9099-C40C66FF867C}">
                  <a14:compatExt spid="_x0000_s1450015"/>
                </a:ext>
                <a:ext uri="{FF2B5EF4-FFF2-40B4-BE49-F238E27FC236}">
                  <a16:creationId xmlns:a16="http://schemas.microsoft.com/office/drawing/2014/main" id="{00000000-0008-0000-2D00-00001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190500</xdr:rowOff>
        </xdr:from>
        <xdr:to>
          <xdr:col>3</xdr:col>
          <xdr:colOff>1238250</xdr:colOff>
          <xdr:row>16</xdr:row>
          <xdr:rowOff>0</xdr:rowOff>
        </xdr:to>
        <xdr:sp macro="" textlink="">
          <xdr:nvSpPr>
            <xdr:cNvPr id="1450016" name="Check Box 32" hidden="1">
              <a:extLst>
                <a:ext uri="{63B3BB69-23CF-44E3-9099-C40C66FF867C}">
                  <a14:compatExt spid="_x0000_s1450016"/>
                </a:ext>
                <a:ext uri="{FF2B5EF4-FFF2-40B4-BE49-F238E27FC236}">
                  <a16:creationId xmlns:a16="http://schemas.microsoft.com/office/drawing/2014/main" id="{00000000-0008-0000-2D00-00002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0</xdr:rowOff>
        </xdr:from>
        <xdr:to>
          <xdr:col>3</xdr:col>
          <xdr:colOff>904875</xdr:colOff>
          <xdr:row>16</xdr:row>
          <xdr:rowOff>238125</xdr:rowOff>
        </xdr:to>
        <xdr:sp macro="" textlink="">
          <xdr:nvSpPr>
            <xdr:cNvPr id="1450017" name="Check Box 33" hidden="1">
              <a:extLst>
                <a:ext uri="{63B3BB69-23CF-44E3-9099-C40C66FF867C}">
                  <a14:compatExt spid="_x0000_s1450017"/>
                </a:ext>
                <a:ext uri="{FF2B5EF4-FFF2-40B4-BE49-F238E27FC236}">
                  <a16:creationId xmlns:a16="http://schemas.microsoft.com/office/drawing/2014/main" id="{00000000-0008-0000-2D00-00002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190500</xdr:rowOff>
        </xdr:from>
        <xdr:to>
          <xdr:col>3</xdr:col>
          <xdr:colOff>1238250</xdr:colOff>
          <xdr:row>17</xdr:row>
          <xdr:rowOff>0</xdr:rowOff>
        </xdr:to>
        <xdr:sp macro="" textlink="">
          <xdr:nvSpPr>
            <xdr:cNvPr id="1450018" name="Check Box 34" hidden="1">
              <a:extLst>
                <a:ext uri="{63B3BB69-23CF-44E3-9099-C40C66FF867C}">
                  <a14:compatExt spid="_x0000_s1450018"/>
                </a:ext>
                <a:ext uri="{FF2B5EF4-FFF2-40B4-BE49-F238E27FC236}">
                  <a16:creationId xmlns:a16="http://schemas.microsoft.com/office/drawing/2014/main" id="{00000000-0008-0000-2D00-00002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0</xdr:rowOff>
        </xdr:from>
        <xdr:to>
          <xdr:col>3</xdr:col>
          <xdr:colOff>904875</xdr:colOff>
          <xdr:row>17</xdr:row>
          <xdr:rowOff>238125</xdr:rowOff>
        </xdr:to>
        <xdr:sp macro="" textlink="">
          <xdr:nvSpPr>
            <xdr:cNvPr id="1450019" name="Check Box 35" hidden="1">
              <a:extLst>
                <a:ext uri="{63B3BB69-23CF-44E3-9099-C40C66FF867C}">
                  <a14:compatExt spid="_x0000_s1450019"/>
                </a:ext>
                <a:ext uri="{FF2B5EF4-FFF2-40B4-BE49-F238E27FC236}">
                  <a16:creationId xmlns:a16="http://schemas.microsoft.com/office/drawing/2014/main" id="{00000000-0008-0000-2D00-00002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190500</xdr:rowOff>
        </xdr:from>
        <xdr:to>
          <xdr:col>3</xdr:col>
          <xdr:colOff>1238250</xdr:colOff>
          <xdr:row>18</xdr:row>
          <xdr:rowOff>0</xdr:rowOff>
        </xdr:to>
        <xdr:sp macro="" textlink="">
          <xdr:nvSpPr>
            <xdr:cNvPr id="1450020" name="Check Box 36" hidden="1">
              <a:extLst>
                <a:ext uri="{63B3BB69-23CF-44E3-9099-C40C66FF867C}">
                  <a14:compatExt spid="_x0000_s1450020"/>
                </a:ext>
                <a:ext uri="{FF2B5EF4-FFF2-40B4-BE49-F238E27FC236}">
                  <a16:creationId xmlns:a16="http://schemas.microsoft.com/office/drawing/2014/main" id="{00000000-0008-0000-2D00-00002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0</xdr:rowOff>
        </xdr:from>
        <xdr:to>
          <xdr:col>3</xdr:col>
          <xdr:colOff>904875</xdr:colOff>
          <xdr:row>18</xdr:row>
          <xdr:rowOff>238125</xdr:rowOff>
        </xdr:to>
        <xdr:sp macro="" textlink="">
          <xdr:nvSpPr>
            <xdr:cNvPr id="1450021" name="Check Box 37" hidden="1">
              <a:extLst>
                <a:ext uri="{63B3BB69-23CF-44E3-9099-C40C66FF867C}">
                  <a14:compatExt spid="_x0000_s1450021"/>
                </a:ext>
                <a:ext uri="{FF2B5EF4-FFF2-40B4-BE49-F238E27FC236}">
                  <a16:creationId xmlns:a16="http://schemas.microsoft.com/office/drawing/2014/main" id="{00000000-0008-0000-2D00-00002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190500</xdr:rowOff>
        </xdr:from>
        <xdr:to>
          <xdr:col>3</xdr:col>
          <xdr:colOff>1238250</xdr:colOff>
          <xdr:row>19</xdr:row>
          <xdr:rowOff>0</xdr:rowOff>
        </xdr:to>
        <xdr:sp macro="" textlink="">
          <xdr:nvSpPr>
            <xdr:cNvPr id="1450022" name="Check Box 38" hidden="1">
              <a:extLst>
                <a:ext uri="{63B3BB69-23CF-44E3-9099-C40C66FF867C}">
                  <a14:compatExt spid="_x0000_s1450022"/>
                </a:ext>
                <a:ext uri="{FF2B5EF4-FFF2-40B4-BE49-F238E27FC236}">
                  <a16:creationId xmlns:a16="http://schemas.microsoft.com/office/drawing/2014/main" id="{00000000-0008-0000-2D00-00002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0</xdr:rowOff>
        </xdr:from>
        <xdr:to>
          <xdr:col>3</xdr:col>
          <xdr:colOff>904875</xdr:colOff>
          <xdr:row>19</xdr:row>
          <xdr:rowOff>238125</xdr:rowOff>
        </xdr:to>
        <xdr:sp macro="" textlink="">
          <xdr:nvSpPr>
            <xdr:cNvPr id="1450023" name="Check Box 39" hidden="1">
              <a:extLst>
                <a:ext uri="{63B3BB69-23CF-44E3-9099-C40C66FF867C}">
                  <a14:compatExt spid="_x0000_s1450023"/>
                </a:ext>
                <a:ext uri="{FF2B5EF4-FFF2-40B4-BE49-F238E27FC236}">
                  <a16:creationId xmlns:a16="http://schemas.microsoft.com/office/drawing/2014/main" id="{00000000-0008-0000-2D00-00002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190500</xdr:rowOff>
        </xdr:from>
        <xdr:to>
          <xdr:col>3</xdr:col>
          <xdr:colOff>1238250</xdr:colOff>
          <xdr:row>20</xdr:row>
          <xdr:rowOff>0</xdr:rowOff>
        </xdr:to>
        <xdr:sp macro="" textlink="">
          <xdr:nvSpPr>
            <xdr:cNvPr id="1450024" name="Check Box 40" hidden="1">
              <a:extLst>
                <a:ext uri="{63B3BB69-23CF-44E3-9099-C40C66FF867C}">
                  <a14:compatExt spid="_x0000_s1450024"/>
                </a:ext>
                <a:ext uri="{FF2B5EF4-FFF2-40B4-BE49-F238E27FC236}">
                  <a16:creationId xmlns:a16="http://schemas.microsoft.com/office/drawing/2014/main" id="{00000000-0008-0000-2D00-00002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0</xdr:rowOff>
        </xdr:from>
        <xdr:to>
          <xdr:col>3</xdr:col>
          <xdr:colOff>904875</xdr:colOff>
          <xdr:row>20</xdr:row>
          <xdr:rowOff>238125</xdr:rowOff>
        </xdr:to>
        <xdr:sp macro="" textlink="">
          <xdr:nvSpPr>
            <xdr:cNvPr id="1450025" name="Check Box 41" hidden="1">
              <a:extLst>
                <a:ext uri="{63B3BB69-23CF-44E3-9099-C40C66FF867C}">
                  <a14:compatExt spid="_x0000_s1450025"/>
                </a:ext>
                <a:ext uri="{FF2B5EF4-FFF2-40B4-BE49-F238E27FC236}">
                  <a16:creationId xmlns:a16="http://schemas.microsoft.com/office/drawing/2014/main" id="{00000000-0008-0000-2D00-00002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190500</xdr:rowOff>
        </xdr:from>
        <xdr:to>
          <xdr:col>3</xdr:col>
          <xdr:colOff>1238250</xdr:colOff>
          <xdr:row>21</xdr:row>
          <xdr:rowOff>0</xdr:rowOff>
        </xdr:to>
        <xdr:sp macro="" textlink="">
          <xdr:nvSpPr>
            <xdr:cNvPr id="1450026" name="Check Box 42" hidden="1">
              <a:extLst>
                <a:ext uri="{63B3BB69-23CF-44E3-9099-C40C66FF867C}">
                  <a14:compatExt spid="_x0000_s1450026"/>
                </a:ext>
                <a:ext uri="{FF2B5EF4-FFF2-40B4-BE49-F238E27FC236}">
                  <a16:creationId xmlns:a16="http://schemas.microsoft.com/office/drawing/2014/main" id="{00000000-0008-0000-2D00-00002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0</xdr:rowOff>
        </xdr:from>
        <xdr:to>
          <xdr:col>5</xdr:col>
          <xdr:colOff>904875</xdr:colOff>
          <xdr:row>11</xdr:row>
          <xdr:rowOff>238125</xdr:rowOff>
        </xdr:to>
        <xdr:sp macro="" textlink="">
          <xdr:nvSpPr>
            <xdr:cNvPr id="1450027" name="Check Box 43" hidden="1">
              <a:extLst>
                <a:ext uri="{63B3BB69-23CF-44E3-9099-C40C66FF867C}">
                  <a14:compatExt spid="_x0000_s1450027"/>
                </a:ext>
                <a:ext uri="{FF2B5EF4-FFF2-40B4-BE49-F238E27FC236}">
                  <a16:creationId xmlns:a16="http://schemas.microsoft.com/office/drawing/2014/main" id="{00000000-0008-0000-2D00-00002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190500</xdr:rowOff>
        </xdr:from>
        <xdr:to>
          <xdr:col>6</xdr:col>
          <xdr:colOff>104775</xdr:colOff>
          <xdr:row>12</xdr:row>
          <xdr:rowOff>0</xdr:rowOff>
        </xdr:to>
        <xdr:sp macro="" textlink="">
          <xdr:nvSpPr>
            <xdr:cNvPr id="1450028" name="Check Box 44" hidden="1">
              <a:extLst>
                <a:ext uri="{63B3BB69-23CF-44E3-9099-C40C66FF867C}">
                  <a14:compatExt spid="_x0000_s1450028"/>
                </a:ext>
                <a:ext uri="{FF2B5EF4-FFF2-40B4-BE49-F238E27FC236}">
                  <a16:creationId xmlns:a16="http://schemas.microsoft.com/office/drawing/2014/main" id="{00000000-0008-0000-2D00-00002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0</xdr:rowOff>
        </xdr:from>
        <xdr:to>
          <xdr:col>5</xdr:col>
          <xdr:colOff>904875</xdr:colOff>
          <xdr:row>12</xdr:row>
          <xdr:rowOff>238125</xdr:rowOff>
        </xdr:to>
        <xdr:sp macro="" textlink="">
          <xdr:nvSpPr>
            <xdr:cNvPr id="1450029" name="Check Box 45" hidden="1">
              <a:extLst>
                <a:ext uri="{63B3BB69-23CF-44E3-9099-C40C66FF867C}">
                  <a14:compatExt spid="_x0000_s1450029"/>
                </a:ext>
                <a:ext uri="{FF2B5EF4-FFF2-40B4-BE49-F238E27FC236}">
                  <a16:creationId xmlns:a16="http://schemas.microsoft.com/office/drawing/2014/main" id="{00000000-0008-0000-2D00-00002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190500</xdr:rowOff>
        </xdr:from>
        <xdr:to>
          <xdr:col>6</xdr:col>
          <xdr:colOff>104775</xdr:colOff>
          <xdr:row>13</xdr:row>
          <xdr:rowOff>0</xdr:rowOff>
        </xdr:to>
        <xdr:sp macro="" textlink="">
          <xdr:nvSpPr>
            <xdr:cNvPr id="1450030" name="Check Box 46" hidden="1">
              <a:extLst>
                <a:ext uri="{63B3BB69-23CF-44E3-9099-C40C66FF867C}">
                  <a14:compatExt spid="_x0000_s1450030"/>
                </a:ext>
                <a:ext uri="{FF2B5EF4-FFF2-40B4-BE49-F238E27FC236}">
                  <a16:creationId xmlns:a16="http://schemas.microsoft.com/office/drawing/2014/main" id="{00000000-0008-0000-2D00-00002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0</xdr:rowOff>
        </xdr:from>
        <xdr:to>
          <xdr:col>5</xdr:col>
          <xdr:colOff>904875</xdr:colOff>
          <xdr:row>13</xdr:row>
          <xdr:rowOff>238125</xdr:rowOff>
        </xdr:to>
        <xdr:sp macro="" textlink="">
          <xdr:nvSpPr>
            <xdr:cNvPr id="1450031" name="Check Box 47" hidden="1">
              <a:extLst>
                <a:ext uri="{63B3BB69-23CF-44E3-9099-C40C66FF867C}">
                  <a14:compatExt spid="_x0000_s1450031"/>
                </a:ext>
                <a:ext uri="{FF2B5EF4-FFF2-40B4-BE49-F238E27FC236}">
                  <a16:creationId xmlns:a16="http://schemas.microsoft.com/office/drawing/2014/main" id="{00000000-0008-0000-2D00-00002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190500</xdr:rowOff>
        </xdr:from>
        <xdr:to>
          <xdr:col>6</xdr:col>
          <xdr:colOff>104775</xdr:colOff>
          <xdr:row>14</xdr:row>
          <xdr:rowOff>0</xdr:rowOff>
        </xdr:to>
        <xdr:sp macro="" textlink="">
          <xdr:nvSpPr>
            <xdr:cNvPr id="1450032" name="Check Box 48" hidden="1">
              <a:extLst>
                <a:ext uri="{63B3BB69-23CF-44E3-9099-C40C66FF867C}">
                  <a14:compatExt spid="_x0000_s1450032"/>
                </a:ext>
                <a:ext uri="{FF2B5EF4-FFF2-40B4-BE49-F238E27FC236}">
                  <a16:creationId xmlns:a16="http://schemas.microsoft.com/office/drawing/2014/main" id="{00000000-0008-0000-2D00-00003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0</xdr:rowOff>
        </xdr:from>
        <xdr:to>
          <xdr:col>5</xdr:col>
          <xdr:colOff>904875</xdr:colOff>
          <xdr:row>14</xdr:row>
          <xdr:rowOff>238125</xdr:rowOff>
        </xdr:to>
        <xdr:sp macro="" textlink="">
          <xdr:nvSpPr>
            <xdr:cNvPr id="1450033" name="Check Box 49" hidden="1">
              <a:extLst>
                <a:ext uri="{63B3BB69-23CF-44E3-9099-C40C66FF867C}">
                  <a14:compatExt spid="_x0000_s1450033"/>
                </a:ext>
                <a:ext uri="{FF2B5EF4-FFF2-40B4-BE49-F238E27FC236}">
                  <a16:creationId xmlns:a16="http://schemas.microsoft.com/office/drawing/2014/main" id="{00000000-0008-0000-2D00-00003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190500</xdr:rowOff>
        </xdr:from>
        <xdr:to>
          <xdr:col>6</xdr:col>
          <xdr:colOff>104775</xdr:colOff>
          <xdr:row>15</xdr:row>
          <xdr:rowOff>0</xdr:rowOff>
        </xdr:to>
        <xdr:sp macro="" textlink="">
          <xdr:nvSpPr>
            <xdr:cNvPr id="1450034" name="Check Box 50" hidden="1">
              <a:extLst>
                <a:ext uri="{63B3BB69-23CF-44E3-9099-C40C66FF867C}">
                  <a14:compatExt spid="_x0000_s1450034"/>
                </a:ext>
                <a:ext uri="{FF2B5EF4-FFF2-40B4-BE49-F238E27FC236}">
                  <a16:creationId xmlns:a16="http://schemas.microsoft.com/office/drawing/2014/main" id="{00000000-0008-0000-2D00-00003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5</xdr:col>
          <xdr:colOff>904875</xdr:colOff>
          <xdr:row>15</xdr:row>
          <xdr:rowOff>238125</xdr:rowOff>
        </xdr:to>
        <xdr:sp macro="" textlink="">
          <xdr:nvSpPr>
            <xdr:cNvPr id="1450035" name="Check Box 51" hidden="1">
              <a:extLst>
                <a:ext uri="{63B3BB69-23CF-44E3-9099-C40C66FF867C}">
                  <a14:compatExt spid="_x0000_s1450035"/>
                </a:ext>
                <a:ext uri="{FF2B5EF4-FFF2-40B4-BE49-F238E27FC236}">
                  <a16:creationId xmlns:a16="http://schemas.microsoft.com/office/drawing/2014/main" id="{00000000-0008-0000-2D00-00003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190500</xdr:rowOff>
        </xdr:from>
        <xdr:to>
          <xdr:col>6</xdr:col>
          <xdr:colOff>104775</xdr:colOff>
          <xdr:row>16</xdr:row>
          <xdr:rowOff>0</xdr:rowOff>
        </xdr:to>
        <xdr:sp macro="" textlink="">
          <xdr:nvSpPr>
            <xdr:cNvPr id="1450036" name="Check Box 52" hidden="1">
              <a:extLst>
                <a:ext uri="{63B3BB69-23CF-44E3-9099-C40C66FF867C}">
                  <a14:compatExt spid="_x0000_s1450036"/>
                </a:ext>
                <a:ext uri="{FF2B5EF4-FFF2-40B4-BE49-F238E27FC236}">
                  <a16:creationId xmlns:a16="http://schemas.microsoft.com/office/drawing/2014/main" id="{00000000-0008-0000-2D00-00003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0</xdr:rowOff>
        </xdr:from>
        <xdr:to>
          <xdr:col>5</xdr:col>
          <xdr:colOff>904875</xdr:colOff>
          <xdr:row>16</xdr:row>
          <xdr:rowOff>238125</xdr:rowOff>
        </xdr:to>
        <xdr:sp macro="" textlink="">
          <xdr:nvSpPr>
            <xdr:cNvPr id="1450037" name="Check Box 53" hidden="1">
              <a:extLst>
                <a:ext uri="{63B3BB69-23CF-44E3-9099-C40C66FF867C}">
                  <a14:compatExt spid="_x0000_s1450037"/>
                </a:ext>
                <a:ext uri="{FF2B5EF4-FFF2-40B4-BE49-F238E27FC236}">
                  <a16:creationId xmlns:a16="http://schemas.microsoft.com/office/drawing/2014/main" id="{00000000-0008-0000-2D00-00003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190500</xdr:rowOff>
        </xdr:from>
        <xdr:to>
          <xdr:col>6</xdr:col>
          <xdr:colOff>104775</xdr:colOff>
          <xdr:row>17</xdr:row>
          <xdr:rowOff>0</xdr:rowOff>
        </xdr:to>
        <xdr:sp macro="" textlink="">
          <xdr:nvSpPr>
            <xdr:cNvPr id="1450038" name="Check Box 54" hidden="1">
              <a:extLst>
                <a:ext uri="{63B3BB69-23CF-44E3-9099-C40C66FF867C}">
                  <a14:compatExt spid="_x0000_s1450038"/>
                </a:ext>
                <a:ext uri="{FF2B5EF4-FFF2-40B4-BE49-F238E27FC236}">
                  <a16:creationId xmlns:a16="http://schemas.microsoft.com/office/drawing/2014/main" id="{00000000-0008-0000-2D00-00003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904875</xdr:colOff>
          <xdr:row>17</xdr:row>
          <xdr:rowOff>238125</xdr:rowOff>
        </xdr:to>
        <xdr:sp macro="" textlink="">
          <xdr:nvSpPr>
            <xdr:cNvPr id="1450039" name="Check Box 55" hidden="1">
              <a:extLst>
                <a:ext uri="{63B3BB69-23CF-44E3-9099-C40C66FF867C}">
                  <a14:compatExt spid="_x0000_s1450039"/>
                </a:ext>
                <a:ext uri="{FF2B5EF4-FFF2-40B4-BE49-F238E27FC236}">
                  <a16:creationId xmlns:a16="http://schemas.microsoft.com/office/drawing/2014/main" id="{00000000-0008-0000-2D00-00003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190500</xdr:rowOff>
        </xdr:from>
        <xdr:to>
          <xdr:col>6</xdr:col>
          <xdr:colOff>104775</xdr:colOff>
          <xdr:row>18</xdr:row>
          <xdr:rowOff>0</xdr:rowOff>
        </xdr:to>
        <xdr:sp macro="" textlink="">
          <xdr:nvSpPr>
            <xdr:cNvPr id="1450040" name="Check Box 56" hidden="1">
              <a:extLst>
                <a:ext uri="{63B3BB69-23CF-44E3-9099-C40C66FF867C}">
                  <a14:compatExt spid="_x0000_s1450040"/>
                </a:ext>
                <a:ext uri="{FF2B5EF4-FFF2-40B4-BE49-F238E27FC236}">
                  <a16:creationId xmlns:a16="http://schemas.microsoft.com/office/drawing/2014/main" id="{00000000-0008-0000-2D00-00003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5</xdr:col>
          <xdr:colOff>904875</xdr:colOff>
          <xdr:row>18</xdr:row>
          <xdr:rowOff>238125</xdr:rowOff>
        </xdr:to>
        <xdr:sp macro="" textlink="">
          <xdr:nvSpPr>
            <xdr:cNvPr id="1450041" name="Check Box 57" hidden="1">
              <a:extLst>
                <a:ext uri="{63B3BB69-23CF-44E3-9099-C40C66FF867C}">
                  <a14:compatExt spid="_x0000_s1450041"/>
                </a:ext>
                <a:ext uri="{FF2B5EF4-FFF2-40B4-BE49-F238E27FC236}">
                  <a16:creationId xmlns:a16="http://schemas.microsoft.com/office/drawing/2014/main" id="{00000000-0008-0000-2D00-00003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190500</xdr:rowOff>
        </xdr:from>
        <xdr:to>
          <xdr:col>6</xdr:col>
          <xdr:colOff>104775</xdr:colOff>
          <xdr:row>19</xdr:row>
          <xdr:rowOff>0</xdr:rowOff>
        </xdr:to>
        <xdr:sp macro="" textlink="">
          <xdr:nvSpPr>
            <xdr:cNvPr id="1450042" name="Check Box 58" hidden="1">
              <a:extLst>
                <a:ext uri="{63B3BB69-23CF-44E3-9099-C40C66FF867C}">
                  <a14:compatExt spid="_x0000_s1450042"/>
                </a:ext>
                <a:ext uri="{FF2B5EF4-FFF2-40B4-BE49-F238E27FC236}">
                  <a16:creationId xmlns:a16="http://schemas.microsoft.com/office/drawing/2014/main" id="{00000000-0008-0000-2D00-00003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5</xdr:col>
          <xdr:colOff>904875</xdr:colOff>
          <xdr:row>19</xdr:row>
          <xdr:rowOff>238125</xdr:rowOff>
        </xdr:to>
        <xdr:sp macro="" textlink="">
          <xdr:nvSpPr>
            <xdr:cNvPr id="1450043" name="Check Box 59" hidden="1">
              <a:extLst>
                <a:ext uri="{63B3BB69-23CF-44E3-9099-C40C66FF867C}">
                  <a14:compatExt spid="_x0000_s1450043"/>
                </a:ext>
                <a:ext uri="{FF2B5EF4-FFF2-40B4-BE49-F238E27FC236}">
                  <a16:creationId xmlns:a16="http://schemas.microsoft.com/office/drawing/2014/main" id="{00000000-0008-0000-2D00-00003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190500</xdr:rowOff>
        </xdr:from>
        <xdr:to>
          <xdr:col>6</xdr:col>
          <xdr:colOff>104775</xdr:colOff>
          <xdr:row>20</xdr:row>
          <xdr:rowOff>0</xdr:rowOff>
        </xdr:to>
        <xdr:sp macro="" textlink="">
          <xdr:nvSpPr>
            <xdr:cNvPr id="1450044" name="Check Box 60" hidden="1">
              <a:extLst>
                <a:ext uri="{63B3BB69-23CF-44E3-9099-C40C66FF867C}">
                  <a14:compatExt spid="_x0000_s1450044"/>
                </a:ext>
                <a:ext uri="{FF2B5EF4-FFF2-40B4-BE49-F238E27FC236}">
                  <a16:creationId xmlns:a16="http://schemas.microsoft.com/office/drawing/2014/main" id="{00000000-0008-0000-2D00-00003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5</xdr:col>
          <xdr:colOff>904875</xdr:colOff>
          <xdr:row>20</xdr:row>
          <xdr:rowOff>238125</xdr:rowOff>
        </xdr:to>
        <xdr:sp macro="" textlink="">
          <xdr:nvSpPr>
            <xdr:cNvPr id="1450045" name="Check Box 61" hidden="1">
              <a:extLst>
                <a:ext uri="{63B3BB69-23CF-44E3-9099-C40C66FF867C}">
                  <a14:compatExt spid="_x0000_s1450045"/>
                </a:ext>
                <a:ext uri="{FF2B5EF4-FFF2-40B4-BE49-F238E27FC236}">
                  <a16:creationId xmlns:a16="http://schemas.microsoft.com/office/drawing/2014/main" id="{00000000-0008-0000-2D00-00003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190500</xdr:rowOff>
        </xdr:from>
        <xdr:to>
          <xdr:col>6</xdr:col>
          <xdr:colOff>104775</xdr:colOff>
          <xdr:row>21</xdr:row>
          <xdr:rowOff>0</xdr:rowOff>
        </xdr:to>
        <xdr:sp macro="" textlink="">
          <xdr:nvSpPr>
            <xdr:cNvPr id="1450046" name="Check Box 62" hidden="1">
              <a:extLst>
                <a:ext uri="{63B3BB69-23CF-44E3-9099-C40C66FF867C}">
                  <a14:compatExt spid="_x0000_s1450046"/>
                </a:ext>
                <a:ext uri="{FF2B5EF4-FFF2-40B4-BE49-F238E27FC236}">
                  <a16:creationId xmlns:a16="http://schemas.microsoft.com/office/drawing/2014/main" id="{00000000-0008-0000-2D00-00003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12</xdr:row>
          <xdr:rowOff>95250</xdr:rowOff>
        </xdr:from>
        <xdr:to>
          <xdr:col>4</xdr:col>
          <xdr:colOff>1314450</xdr:colOff>
          <xdr:row>12</xdr:row>
          <xdr:rowOff>333375</xdr:rowOff>
        </xdr:to>
        <xdr:sp macro="" textlink="">
          <xdr:nvSpPr>
            <xdr:cNvPr id="1450047" name="Check Box 63" hidden="1">
              <a:extLst>
                <a:ext uri="{63B3BB69-23CF-44E3-9099-C40C66FF867C}">
                  <a14:compatExt spid="_x0000_s1450047"/>
                </a:ext>
                <a:ext uri="{FF2B5EF4-FFF2-40B4-BE49-F238E27FC236}">
                  <a16:creationId xmlns:a16="http://schemas.microsoft.com/office/drawing/2014/main" id="{00000000-0008-0000-2D00-00003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13</xdr:row>
          <xdr:rowOff>95250</xdr:rowOff>
        </xdr:from>
        <xdr:to>
          <xdr:col>4</xdr:col>
          <xdr:colOff>1314450</xdr:colOff>
          <xdr:row>13</xdr:row>
          <xdr:rowOff>333375</xdr:rowOff>
        </xdr:to>
        <xdr:sp macro="" textlink="">
          <xdr:nvSpPr>
            <xdr:cNvPr id="1450048" name="Check Box 64" hidden="1">
              <a:extLst>
                <a:ext uri="{63B3BB69-23CF-44E3-9099-C40C66FF867C}">
                  <a14:compatExt spid="_x0000_s1450048"/>
                </a:ext>
                <a:ext uri="{FF2B5EF4-FFF2-40B4-BE49-F238E27FC236}">
                  <a16:creationId xmlns:a16="http://schemas.microsoft.com/office/drawing/2014/main" id="{00000000-0008-0000-2D00-00004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95250</xdr:rowOff>
        </xdr:from>
        <xdr:to>
          <xdr:col>4</xdr:col>
          <xdr:colOff>1314450</xdr:colOff>
          <xdr:row>14</xdr:row>
          <xdr:rowOff>333375</xdr:rowOff>
        </xdr:to>
        <xdr:sp macro="" textlink="">
          <xdr:nvSpPr>
            <xdr:cNvPr id="1450049" name="Check Box 65" hidden="1">
              <a:extLst>
                <a:ext uri="{63B3BB69-23CF-44E3-9099-C40C66FF867C}">
                  <a14:compatExt spid="_x0000_s1450049"/>
                </a:ext>
                <a:ext uri="{FF2B5EF4-FFF2-40B4-BE49-F238E27FC236}">
                  <a16:creationId xmlns:a16="http://schemas.microsoft.com/office/drawing/2014/main" id="{00000000-0008-0000-2D00-00004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15</xdr:row>
          <xdr:rowOff>95250</xdr:rowOff>
        </xdr:from>
        <xdr:to>
          <xdr:col>4</xdr:col>
          <xdr:colOff>1314450</xdr:colOff>
          <xdr:row>15</xdr:row>
          <xdr:rowOff>333375</xdr:rowOff>
        </xdr:to>
        <xdr:sp macro="" textlink="">
          <xdr:nvSpPr>
            <xdr:cNvPr id="1450050" name="Check Box 66" hidden="1">
              <a:extLst>
                <a:ext uri="{63B3BB69-23CF-44E3-9099-C40C66FF867C}">
                  <a14:compatExt spid="_x0000_s1450050"/>
                </a:ext>
                <a:ext uri="{FF2B5EF4-FFF2-40B4-BE49-F238E27FC236}">
                  <a16:creationId xmlns:a16="http://schemas.microsoft.com/office/drawing/2014/main" id="{00000000-0008-0000-2D00-00004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16</xdr:row>
          <xdr:rowOff>85725</xdr:rowOff>
        </xdr:from>
        <xdr:to>
          <xdr:col>4</xdr:col>
          <xdr:colOff>1314450</xdr:colOff>
          <xdr:row>16</xdr:row>
          <xdr:rowOff>323850</xdr:rowOff>
        </xdr:to>
        <xdr:sp macro="" textlink="">
          <xdr:nvSpPr>
            <xdr:cNvPr id="1450051" name="Check Box 67" hidden="1">
              <a:extLst>
                <a:ext uri="{63B3BB69-23CF-44E3-9099-C40C66FF867C}">
                  <a14:compatExt spid="_x0000_s1450051"/>
                </a:ext>
                <a:ext uri="{FF2B5EF4-FFF2-40B4-BE49-F238E27FC236}">
                  <a16:creationId xmlns:a16="http://schemas.microsoft.com/office/drawing/2014/main" id="{00000000-0008-0000-2D00-00004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17</xdr:row>
          <xdr:rowOff>85725</xdr:rowOff>
        </xdr:from>
        <xdr:to>
          <xdr:col>4</xdr:col>
          <xdr:colOff>1314450</xdr:colOff>
          <xdr:row>17</xdr:row>
          <xdr:rowOff>323850</xdr:rowOff>
        </xdr:to>
        <xdr:sp macro="" textlink="">
          <xdr:nvSpPr>
            <xdr:cNvPr id="1450052" name="Check Box 68" hidden="1">
              <a:extLst>
                <a:ext uri="{63B3BB69-23CF-44E3-9099-C40C66FF867C}">
                  <a14:compatExt spid="_x0000_s1450052"/>
                </a:ext>
                <a:ext uri="{FF2B5EF4-FFF2-40B4-BE49-F238E27FC236}">
                  <a16:creationId xmlns:a16="http://schemas.microsoft.com/office/drawing/2014/main" id="{00000000-0008-0000-2D00-00004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18</xdr:row>
          <xdr:rowOff>85725</xdr:rowOff>
        </xdr:from>
        <xdr:to>
          <xdr:col>4</xdr:col>
          <xdr:colOff>1314450</xdr:colOff>
          <xdr:row>18</xdr:row>
          <xdr:rowOff>323850</xdr:rowOff>
        </xdr:to>
        <xdr:sp macro="" textlink="">
          <xdr:nvSpPr>
            <xdr:cNvPr id="1450053" name="Check Box 69" hidden="1">
              <a:extLst>
                <a:ext uri="{63B3BB69-23CF-44E3-9099-C40C66FF867C}">
                  <a14:compatExt spid="_x0000_s1450053"/>
                </a:ext>
                <a:ext uri="{FF2B5EF4-FFF2-40B4-BE49-F238E27FC236}">
                  <a16:creationId xmlns:a16="http://schemas.microsoft.com/office/drawing/2014/main" id="{00000000-0008-0000-2D00-00004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19</xdr:row>
          <xdr:rowOff>85725</xdr:rowOff>
        </xdr:from>
        <xdr:to>
          <xdr:col>4</xdr:col>
          <xdr:colOff>1314450</xdr:colOff>
          <xdr:row>19</xdr:row>
          <xdr:rowOff>323850</xdr:rowOff>
        </xdr:to>
        <xdr:sp macro="" textlink="">
          <xdr:nvSpPr>
            <xdr:cNvPr id="1450054" name="Check Box 70" hidden="1">
              <a:extLst>
                <a:ext uri="{63B3BB69-23CF-44E3-9099-C40C66FF867C}">
                  <a14:compatExt spid="_x0000_s1450054"/>
                </a:ext>
                <a:ext uri="{FF2B5EF4-FFF2-40B4-BE49-F238E27FC236}">
                  <a16:creationId xmlns:a16="http://schemas.microsoft.com/office/drawing/2014/main" id="{00000000-0008-0000-2D00-00004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20</xdr:row>
          <xdr:rowOff>85725</xdr:rowOff>
        </xdr:from>
        <xdr:to>
          <xdr:col>4</xdr:col>
          <xdr:colOff>1314450</xdr:colOff>
          <xdr:row>20</xdr:row>
          <xdr:rowOff>323850</xdr:rowOff>
        </xdr:to>
        <xdr:sp macro="" textlink="">
          <xdr:nvSpPr>
            <xdr:cNvPr id="1450055" name="Check Box 71" hidden="1">
              <a:extLst>
                <a:ext uri="{63B3BB69-23CF-44E3-9099-C40C66FF867C}">
                  <a14:compatExt spid="_x0000_s1450055"/>
                </a:ext>
                <a:ext uri="{FF2B5EF4-FFF2-40B4-BE49-F238E27FC236}">
                  <a16:creationId xmlns:a16="http://schemas.microsoft.com/office/drawing/2014/main" id="{00000000-0008-0000-2D00-00004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7</xdr:row>
          <xdr:rowOff>190500</xdr:rowOff>
        </xdr:from>
        <xdr:to>
          <xdr:col>4</xdr:col>
          <xdr:colOff>0</xdr:colOff>
          <xdr:row>8</xdr:row>
          <xdr:rowOff>0</xdr:rowOff>
        </xdr:to>
        <xdr:sp macro="" textlink="">
          <xdr:nvSpPr>
            <xdr:cNvPr id="1450056" name="Check Box 72" hidden="1">
              <a:extLst>
                <a:ext uri="{63B3BB69-23CF-44E3-9099-C40C66FF867C}">
                  <a14:compatExt spid="_x0000_s1450056"/>
                </a:ext>
                <a:ext uri="{FF2B5EF4-FFF2-40B4-BE49-F238E27FC236}">
                  <a16:creationId xmlns:a16="http://schemas.microsoft.com/office/drawing/2014/main" id="{00000000-0008-0000-2D00-00004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190500</xdr:rowOff>
        </xdr:from>
        <xdr:to>
          <xdr:col>2</xdr:col>
          <xdr:colOff>771525</xdr:colOff>
          <xdr:row>8</xdr:row>
          <xdr:rowOff>0</xdr:rowOff>
        </xdr:to>
        <xdr:sp macro="" textlink="">
          <xdr:nvSpPr>
            <xdr:cNvPr id="1450057" name="Check Box 73" hidden="1">
              <a:extLst>
                <a:ext uri="{63B3BB69-23CF-44E3-9099-C40C66FF867C}">
                  <a14:compatExt spid="_x0000_s1450057"/>
                </a:ext>
                <a:ext uri="{FF2B5EF4-FFF2-40B4-BE49-F238E27FC236}">
                  <a16:creationId xmlns:a16="http://schemas.microsoft.com/office/drawing/2014/main" id="{00000000-0008-0000-2D00-00004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7</xdr:row>
          <xdr:rowOff>190500</xdr:rowOff>
        </xdr:from>
        <xdr:to>
          <xdr:col>3</xdr:col>
          <xdr:colOff>0</xdr:colOff>
          <xdr:row>8</xdr:row>
          <xdr:rowOff>0</xdr:rowOff>
        </xdr:to>
        <xdr:sp macro="" textlink="">
          <xdr:nvSpPr>
            <xdr:cNvPr id="1450058" name="Check Box 74" hidden="1">
              <a:extLst>
                <a:ext uri="{63B3BB69-23CF-44E3-9099-C40C66FF867C}">
                  <a14:compatExt spid="_x0000_s1450058"/>
                </a:ext>
                <a:ext uri="{FF2B5EF4-FFF2-40B4-BE49-F238E27FC236}">
                  <a16:creationId xmlns:a16="http://schemas.microsoft.com/office/drawing/2014/main" id="{00000000-0008-0000-2D00-00004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1</xdr:col>
          <xdr:colOff>781050</xdr:colOff>
          <xdr:row>8</xdr:row>
          <xdr:rowOff>0</xdr:rowOff>
        </xdr:to>
        <xdr:sp macro="" textlink="">
          <xdr:nvSpPr>
            <xdr:cNvPr id="1450059" name="Check Box 75" hidden="1">
              <a:extLst>
                <a:ext uri="{63B3BB69-23CF-44E3-9099-C40C66FF867C}">
                  <a14:compatExt spid="_x0000_s1450059"/>
                </a:ext>
                <a:ext uri="{FF2B5EF4-FFF2-40B4-BE49-F238E27FC236}">
                  <a16:creationId xmlns:a16="http://schemas.microsoft.com/office/drawing/2014/main" id="{00000000-0008-0000-2D00-00004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190500</xdr:rowOff>
        </xdr:from>
        <xdr:to>
          <xdr:col>1</xdr:col>
          <xdr:colOff>771525</xdr:colOff>
          <xdr:row>9</xdr:row>
          <xdr:rowOff>0</xdr:rowOff>
        </xdr:to>
        <xdr:sp macro="" textlink="">
          <xdr:nvSpPr>
            <xdr:cNvPr id="1450060" name="Check Box 76" hidden="1">
              <a:extLst>
                <a:ext uri="{63B3BB69-23CF-44E3-9099-C40C66FF867C}">
                  <a14:compatExt spid="_x0000_s1450060"/>
                </a:ext>
                <a:ext uri="{FF2B5EF4-FFF2-40B4-BE49-F238E27FC236}">
                  <a16:creationId xmlns:a16="http://schemas.microsoft.com/office/drawing/2014/main" id="{00000000-0008-0000-2D00-00004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1685925</xdr:colOff>
          <xdr:row>8</xdr:row>
          <xdr:rowOff>200025</xdr:rowOff>
        </xdr:from>
        <xdr:to>
          <xdr:col>2</xdr:col>
          <xdr:colOff>771525</xdr:colOff>
          <xdr:row>9</xdr:row>
          <xdr:rowOff>9525</xdr:rowOff>
        </xdr:to>
        <xdr:sp macro="" textlink="">
          <xdr:nvSpPr>
            <xdr:cNvPr id="1450061" name="Check Box 77" hidden="1">
              <a:extLst>
                <a:ext uri="{63B3BB69-23CF-44E3-9099-C40C66FF867C}">
                  <a14:compatExt spid="_x0000_s1450061"/>
                </a:ext>
                <a:ext uri="{FF2B5EF4-FFF2-40B4-BE49-F238E27FC236}">
                  <a16:creationId xmlns:a16="http://schemas.microsoft.com/office/drawing/2014/main" id="{00000000-0008-0000-2D00-00004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8</xdr:row>
          <xdr:rowOff>200025</xdr:rowOff>
        </xdr:from>
        <xdr:to>
          <xdr:col>2</xdr:col>
          <xdr:colOff>1590675</xdr:colOff>
          <xdr:row>9</xdr:row>
          <xdr:rowOff>9525</xdr:rowOff>
        </xdr:to>
        <xdr:sp macro="" textlink="">
          <xdr:nvSpPr>
            <xdr:cNvPr id="1450062" name="Check Box 78" hidden="1">
              <a:extLst>
                <a:ext uri="{63B3BB69-23CF-44E3-9099-C40C66FF867C}">
                  <a14:compatExt spid="_x0000_s1450062"/>
                </a:ext>
                <a:ext uri="{FF2B5EF4-FFF2-40B4-BE49-F238E27FC236}">
                  <a16:creationId xmlns:a16="http://schemas.microsoft.com/office/drawing/2014/main" id="{00000000-0008-0000-2D00-00004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209550</xdr:rowOff>
        </xdr:from>
        <xdr:to>
          <xdr:col>3</xdr:col>
          <xdr:colOff>771525</xdr:colOff>
          <xdr:row>9</xdr:row>
          <xdr:rowOff>19050</xdr:rowOff>
        </xdr:to>
        <xdr:sp macro="" textlink="">
          <xdr:nvSpPr>
            <xdr:cNvPr id="1450063" name="Check Box 79" hidden="1">
              <a:extLst>
                <a:ext uri="{63B3BB69-23CF-44E3-9099-C40C66FF867C}">
                  <a14:compatExt spid="_x0000_s1450063"/>
                </a:ext>
                <a:ext uri="{FF2B5EF4-FFF2-40B4-BE49-F238E27FC236}">
                  <a16:creationId xmlns:a16="http://schemas.microsoft.com/office/drawing/2014/main" id="{00000000-0008-0000-2D00-00004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8</xdr:row>
          <xdr:rowOff>209550</xdr:rowOff>
        </xdr:from>
        <xdr:to>
          <xdr:col>4</xdr:col>
          <xdr:colOff>0</xdr:colOff>
          <xdr:row>9</xdr:row>
          <xdr:rowOff>19050</xdr:rowOff>
        </xdr:to>
        <xdr:sp macro="" textlink="">
          <xdr:nvSpPr>
            <xdr:cNvPr id="1450064" name="Check Box 80" hidden="1">
              <a:extLst>
                <a:ext uri="{63B3BB69-23CF-44E3-9099-C40C66FF867C}">
                  <a14:compatExt spid="_x0000_s1450064"/>
                </a:ext>
                <a:ext uri="{FF2B5EF4-FFF2-40B4-BE49-F238E27FC236}">
                  <a16:creationId xmlns:a16="http://schemas.microsoft.com/office/drawing/2014/main" id="{00000000-0008-0000-2D00-00005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200025</xdr:rowOff>
        </xdr:from>
        <xdr:to>
          <xdr:col>4</xdr:col>
          <xdr:colOff>781050</xdr:colOff>
          <xdr:row>9</xdr:row>
          <xdr:rowOff>9525</xdr:rowOff>
        </xdr:to>
        <xdr:sp macro="" textlink="">
          <xdr:nvSpPr>
            <xdr:cNvPr id="1450065" name="Check Box 81" hidden="1">
              <a:extLst>
                <a:ext uri="{63B3BB69-23CF-44E3-9099-C40C66FF867C}">
                  <a14:compatExt spid="_x0000_s1450065"/>
                </a:ext>
                <a:ext uri="{FF2B5EF4-FFF2-40B4-BE49-F238E27FC236}">
                  <a16:creationId xmlns:a16="http://schemas.microsoft.com/office/drawing/2014/main" id="{00000000-0008-0000-2D00-00005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8</xdr:row>
          <xdr:rowOff>200025</xdr:rowOff>
        </xdr:from>
        <xdr:to>
          <xdr:col>5</xdr:col>
          <xdr:colOff>0</xdr:colOff>
          <xdr:row>9</xdr:row>
          <xdr:rowOff>9525</xdr:rowOff>
        </xdr:to>
        <xdr:sp macro="" textlink="">
          <xdr:nvSpPr>
            <xdr:cNvPr id="1450066" name="Check Box 82" hidden="1">
              <a:extLst>
                <a:ext uri="{63B3BB69-23CF-44E3-9099-C40C66FF867C}">
                  <a14:compatExt spid="_x0000_s1450066"/>
                </a:ext>
                <a:ext uri="{FF2B5EF4-FFF2-40B4-BE49-F238E27FC236}">
                  <a16:creationId xmlns:a16="http://schemas.microsoft.com/office/drawing/2014/main" id="{00000000-0008-0000-2D00-00005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190500</xdr:rowOff>
        </xdr:from>
        <xdr:to>
          <xdr:col>5</xdr:col>
          <xdr:colOff>781050</xdr:colOff>
          <xdr:row>8</xdr:row>
          <xdr:rowOff>0</xdr:rowOff>
        </xdr:to>
        <xdr:sp macro="" textlink="">
          <xdr:nvSpPr>
            <xdr:cNvPr id="1450067" name="Check Box 83" hidden="1">
              <a:extLst>
                <a:ext uri="{63B3BB69-23CF-44E3-9099-C40C66FF867C}">
                  <a14:compatExt spid="_x0000_s1450067"/>
                </a:ext>
                <a:ext uri="{FF2B5EF4-FFF2-40B4-BE49-F238E27FC236}">
                  <a16:creationId xmlns:a16="http://schemas.microsoft.com/office/drawing/2014/main" id="{00000000-0008-0000-2D00-00005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4</xdr:col>
          <xdr:colOff>771525</xdr:colOff>
          <xdr:row>8</xdr:row>
          <xdr:rowOff>0</xdr:rowOff>
        </xdr:to>
        <xdr:sp macro="" textlink="">
          <xdr:nvSpPr>
            <xdr:cNvPr id="1450068" name="Check Box 84" hidden="1">
              <a:extLst>
                <a:ext uri="{63B3BB69-23CF-44E3-9099-C40C66FF867C}">
                  <a14:compatExt spid="_x0000_s1450068"/>
                </a:ext>
                <a:ext uri="{FF2B5EF4-FFF2-40B4-BE49-F238E27FC236}">
                  <a16:creationId xmlns:a16="http://schemas.microsoft.com/office/drawing/2014/main" id="{00000000-0008-0000-2D00-00005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7</xdr:row>
          <xdr:rowOff>190500</xdr:rowOff>
        </xdr:from>
        <xdr:to>
          <xdr:col>5</xdr:col>
          <xdr:colOff>0</xdr:colOff>
          <xdr:row>8</xdr:row>
          <xdr:rowOff>0</xdr:rowOff>
        </xdr:to>
        <xdr:sp macro="" textlink="">
          <xdr:nvSpPr>
            <xdr:cNvPr id="1450069" name="Check Box 85" hidden="1">
              <a:extLst>
                <a:ext uri="{63B3BB69-23CF-44E3-9099-C40C66FF867C}">
                  <a14:compatExt spid="_x0000_s1450069"/>
                </a:ext>
                <a:ext uri="{FF2B5EF4-FFF2-40B4-BE49-F238E27FC236}">
                  <a16:creationId xmlns:a16="http://schemas.microsoft.com/office/drawing/2014/main" id="{00000000-0008-0000-2D00-00005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190500</xdr:rowOff>
        </xdr:from>
        <xdr:to>
          <xdr:col>7</xdr:col>
          <xdr:colOff>771525</xdr:colOff>
          <xdr:row>8</xdr:row>
          <xdr:rowOff>0</xdr:rowOff>
        </xdr:to>
        <xdr:sp macro="" textlink="">
          <xdr:nvSpPr>
            <xdr:cNvPr id="1450070" name="Check Box 86" hidden="1">
              <a:extLst>
                <a:ext uri="{63B3BB69-23CF-44E3-9099-C40C66FF867C}">
                  <a14:compatExt spid="_x0000_s1450070"/>
                </a:ext>
                <a:ext uri="{FF2B5EF4-FFF2-40B4-BE49-F238E27FC236}">
                  <a16:creationId xmlns:a16="http://schemas.microsoft.com/office/drawing/2014/main" id="{00000000-0008-0000-2D00-00005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1</xdr:col>
      <xdr:colOff>118555</xdr:colOff>
      <xdr:row>1</xdr:row>
      <xdr:rowOff>83930</xdr:rowOff>
    </xdr:from>
    <xdr:to>
      <xdr:col>1</xdr:col>
      <xdr:colOff>1167847</xdr:colOff>
      <xdr:row>1</xdr:row>
      <xdr:rowOff>554849</xdr:rowOff>
    </xdr:to>
    <xdr:pic>
      <xdr:nvPicPr>
        <xdr:cNvPr id="2" name="Image 1">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3330" y="169655"/>
          <a:ext cx="1049292" cy="470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466725</xdr:colOff>
      <xdr:row>2</xdr:row>
      <xdr:rowOff>171449</xdr:rowOff>
    </xdr:from>
    <xdr:to>
      <xdr:col>6</xdr:col>
      <xdr:colOff>85726</xdr:colOff>
      <xdr:row>24</xdr:row>
      <xdr:rowOff>85725</xdr:rowOff>
    </xdr:to>
    <xdr:pic>
      <xdr:nvPicPr>
        <xdr:cNvPr id="5" name="Image 4">
          <a:extLst>
            <a:ext uri="{FF2B5EF4-FFF2-40B4-BE49-F238E27FC236}">
              <a16:creationId xmlns:a16="http://schemas.microsoft.com/office/drawing/2014/main" id="{00000000-0008-0000-2E00-000005000000}"/>
            </a:ext>
          </a:extLst>
        </xdr:cNvPr>
        <xdr:cNvPicPr>
          <a:picLocks noChangeAspect="1"/>
        </xdr:cNvPicPr>
      </xdr:nvPicPr>
      <xdr:blipFill rotWithShape="1">
        <a:blip xmlns:r="http://schemas.openxmlformats.org/officeDocument/2006/relationships" r:embed="rId2"/>
        <a:srcRect l="6263" t="6235" r="6356" b="6386"/>
        <a:stretch/>
      </xdr:blipFill>
      <xdr:spPr>
        <a:xfrm>
          <a:off x="1924050" y="866774"/>
          <a:ext cx="2790826" cy="247650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57150</xdr:colOff>
      <xdr:row>0</xdr:row>
      <xdr:rowOff>85725</xdr:rowOff>
    </xdr:from>
    <xdr:to>
      <xdr:col>0</xdr:col>
      <xdr:colOff>1010522</xdr:colOff>
      <xdr:row>2</xdr:row>
      <xdr:rowOff>47625</xdr:rowOff>
    </xdr:to>
    <xdr:pic>
      <xdr:nvPicPr>
        <xdr:cNvPr id="7" name="Image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1</xdr:col>
      <xdr:colOff>715247</xdr:colOff>
      <xdr:row>0</xdr:row>
      <xdr:rowOff>504825</xdr:rowOff>
    </xdr:to>
    <xdr:pic>
      <xdr:nvPicPr>
        <xdr:cNvPr id="3" name="Image 2">
          <a:extLst>
            <a:ext uri="{FF2B5EF4-FFF2-40B4-BE49-F238E27FC236}">
              <a16:creationId xmlns:a16="http://schemas.microsoft.com/office/drawing/2014/main" id="{00000000-0008-0000-3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6</xdr:col>
      <xdr:colOff>323850</xdr:colOff>
      <xdr:row>55</xdr:row>
      <xdr:rowOff>142874</xdr:rowOff>
    </xdr:from>
    <xdr:to>
      <xdr:col>7</xdr:col>
      <xdr:colOff>136525</xdr:colOff>
      <xdr:row>56</xdr:row>
      <xdr:rowOff>285749</xdr:rowOff>
    </xdr:to>
    <xdr:grpSp>
      <xdr:nvGrpSpPr>
        <xdr:cNvPr id="2" name="Groupe 1">
          <a:extLst>
            <a:ext uri="{FF2B5EF4-FFF2-40B4-BE49-F238E27FC236}">
              <a16:creationId xmlns:a16="http://schemas.microsoft.com/office/drawing/2014/main" id="{00000000-0008-0000-3100-000002000000}"/>
            </a:ext>
          </a:extLst>
        </xdr:cNvPr>
        <xdr:cNvGrpSpPr/>
      </xdr:nvGrpSpPr>
      <xdr:grpSpPr>
        <a:xfrm>
          <a:off x="6067425" y="18630899"/>
          <a:ext cx="422275" cy="542925"/>
          <a:chOff x="241021" y="-18223"/>
          <a:chExt cx="594879" cy="519320"/>
        </a:xfrm>
      </xdr:grpSpPr>
      <xdr:sp macro="" textlink="">
        <xdr:nvSpPr>
          <xdr:cNvPr id="3" name="Zone de texte 2">
            <a:extLst>
              <a:ext uri="{FF2B5EF4-FFF2-40B4-BE49-F238E27FC236}">
                <a16:creationId xmlns:a16="http://schemas.microsoft.com/office/drawing/2014/main" id="{00000000-0008-0000-3100-000003000000}"/>
              </a:ext>
            </a:extLst>
          </xdr:cNvPr>
          <xdr:cNvSpPr txBox="1">
            <a:spLocks noChangeArrowheads="1"/>
          </xdr:cNvSpPr>
        </xdr:nvSpPr>
        <xdr:spPr bwMode="auto">
          <a:xfrm>
            <a:off x="241021" y="91108"/>
            <a:ext cx="594879" cy="290332"/>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fr-FR" sz="1100">
                <a:effectLst/>
                <a:latin typeface="Calibri"/>
                <a:ea typeface="Calibri"/>
                <a:cs typeface="Times New Roman"/>
              </a:rPr>
              <a:t>ou</a:t>
            </a:r>
            <a:endParaRPr lang="fr-FR" sz="1600">
              <a:effectLst/>
              <a:latin typeface="Calibri"/>
              <a:ea typeface="Calibri"/>
              <a:cs typeface="Times New Roman"/>
            </a:endParaRPr>
          </a:p>
        </xdr:txBody>
      </xdr:sp>
      <xdr:sp macro="" textlink="">
        <xdr:nvSpPr>
          <xdr:cNvPr id="4" name="Accolade ouvrante 3">
            <a:extLst>
              <a:ext uri="{FF2B5EF4-FFF2-40B4-BE49-F238E27FC236}">
                <a16:creationId xmlns:a16="http://schemas.microsoft.com/office/drawing/2014/main" id="{00000000-0008-0000-3100-000004000000}"/>
              </a:ext>
            </a:extLst>
          </xdr:cNvPr>
          <xdr:cNvSpPr/>
        </xdr:nvSpPr>
        <xdr:spPr>
          <a:xfrm>
            <a:off x="254442" y="-18223"/>
            <a:ext cx="134180" cy="519320"/>
          </a:xfrm>
          <a:prstGeom prst="leftBrace">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fr-FR"/>
          </a:p>
        </xdr:txBody>
      </xdr:sp>
    </xdr:grpSp>
    <xdr:clientData/>
  </xdr:twoCellAnchor>
  <xdr:twoCellAnchor>
    <xdr:from>
      <xdr:col>2</xdr:col>
      <xdr:colOff>695326</xdr:colOff>
      <xdr:row>55</xdr:row>
      <xdr:rowOff>142875</xdr:rowOff>
    </xdr:from>
    <xdr:to>
      <xdr:col>3</xdr:col>
      <xdr:colOff>76200</xdr:colOff>
      <xdr:row>56</xdr:row>
      <xdr:rowOff>238124</xdr:rowOff>
    </xdr:to>
    <xdr:grpSp>
      <xdr:nvGrpSpPr>
        <xdr:cNvPr id="5" name="Groupe 4">
          <a:extLst>
            <a:ext uri="{FF2B5EF4-FFF2-40B4-BE49-F238E27FC236}">
              <a16:creationId xmlns:a16="http://schemas.microsoft.com/office/drawing/2014/main" id="{00000000-0008-0000-3100-000005000000}"/>
            </a:ext>
          </a:extLst>
        </xdr:cNvPr>
        <xdr:cNvGrpSpPr/>
      </xdr:nvGrpSpPr>
      <xdr:grpSpPr>
        <a:xfrm>
          <a:off x="2543176" y="18630900"/>
          <a:ext cx="400049" cy="495299"/>
          <a:chOff x="254442" y="0"/>
          <a:chExt cx="552836" cy="437322"/>
        </a:xfrm>
      </xdr:grpSpPr>
      <xdr:sp macro="" textlink="">
        <xdr:nvSpPr>
          <xdr:cNvPr id="6" name="Zone de texte 2">
            <a:extLst>
              <a:ext uri="{FF2B5EF4-FFF2-40B4-BE49-F238E27FC236}">
                <a16:creationId xmlns:a16="http://schemas.microsoft.com/office/drawing/2014/main" id="{00000000-0008-0000-3100-000006000000}"/>
              </a:ext>
            </a:extLst>
          </xdr:cNvPr>
          <xdr:cNvSpPr txBox="1">
            <a:spLocks noChangeArrowheads="1"/>
          </xdr:cNvSpPr>
        </xdr:nvSpPr>
        <xdr:spPr bwMode="auto">
          <a:xfrm>
            <a:off x="262383" y="95415"/>
            <a:ext cx="544895" cy="22225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fr-FR" sz="1100">
                <a:effectLst/>
                <a:latin typeface="Calibri"/>
                <a:ea typeface="Calibri"/>
                <a:cs typeface="Times New Roman"/>
              </a:rPr>
              <a:t>ou</a:t>
            </a:r>
            <a:endParaRPr lang="fr-FR" sz="1600">
              <a:effectLst/>
              <a:latin typeface="Calibri"/>
              <a:ea typeface="Calibri"/>
              <a:cs typeface="Times New Roman"/>
            </a:endParaRPr>
          </a:p>
        </xdr:txBody>
      </xdr:sp>
      <xdr:sp macro="" textlink="">
        <xdr:nvSpPr>
          <xdr:cNvPr id="7" name="Accolade ouvrante 6">
            <a:extLst>
              <a:ext uri="{FF2B5EF4-FFF2-40B4-BE49-F238E27FC236}">
                <a16:creationId xmlns:a16="http://schemas.microsoft.com/office/drawing/2014/main" id="{00000000-0008-0000-3100-000007000000}"/>
              </a:ext>
            </a:extLst>
          </xdr:cNvPr>
          <xdr:cNvSpPr/>
        </xdr:nvSpPr>
        <xdr:spPr>
          <a:xfrm>
            <a:off x="254442" y="0"/>
            <a:ext cx="103367" cy="437322"/>
          </a:xfrm>
          <a:prstGeom prst="leftBrace">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fr-FR"/>
          </a:p>
        </xdr:txBody>
      </xdr:sp>
    </xdr:grpSp>
    <xdr:clientData/>
  </xdr:twoCellAnchor>
  <xdr:twoCellAnchor editAs="oneCell">
    <xdr:from>
      <xdr:col>0</xdr:col>
      <xdr:colOff>47626</xdr:colOff>
      <xdr:row>0</xdr:row>
      <xdr:rowOff>52650</xdr:rowOff>
    </xdr:from>
    <xdr:to>
      <xdr:col>1</xdr:col>
      <xdr:colOff>180976</xdr:colOff>
      <xdr:row>0</xdr:row>
      <xdr:rowOff>465761</xdr:rowOff>
    </xdr:to>
    <xdr:pic>
      <xdr:nvPicPr>
        <xdr:cNvPr id="8" name="Image 7">
          <a:extLst>
            <a:ext uri="{FF2B5EF4-FFF2-40B4-BE49-F238E27FC236}">
              <a16:creationId xmlns:a16="http://schemas.microsoft.com/office/drawing/2014/main" id="{00000000-0008-0000-3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6" y="52650"/>
          <a:ext cx="971550" cy="413111"/>
        </a:xfrm>
        <a:prstGeom prst="rect">
          <a:avLst/>
        </a:prstGeom>
      </xdr:spPr>
    </xdr:pic>
    <xdr:clientData/>
  </xdr:twoCellAnchor>
  <xdr:twoCellAnchor editAs="oneCell">
    <xdr:from>
      <xdr:col>0</xdr:col>
      <xdr:colOff>66675</xdr:colOff>
      <xdr:row>41</xdr:row>
      <xdr:rowOff>76200</xdr:rowOff>
    </xdr:from>
    <xdr:to>
      <xdr:col>1</xdr:col>
      <xdr:colOff>200025</xdr:colOff>
      <xdr:row>41</xdr:row>
      <xdr:rowOff>489311</xdr:rowOff>
    </xdr:to>
    <xdr:pic>
      <xdr:nvPicPr>
        <xdr:cNvPr id="9" name="Image 8">
          <a:extLst>
            <a:ext uri="{FF2B5EF4-FFF2-40B4-BE49-F238E27FC236}">
              <a16:creationId xmlns:a16="http://schemas.microsoft.com/office/drawing/2014/main" id="{00000000-0008-0000-3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12896850"/>
          <a:ext cx="971550" cy="4131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so26fichier\sobeca\siege\Partages\Dossier%20Chantier\Liste%20contr&#244;les%20&#224;%20r&#233;aliser%2003%2004%2020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eso.intranet.local/Partages/Dossier%20Chantier/MASTER%20dossier%20chantier%20V20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eso.intranet.local/EtudesTravaux/Dossiers%20chantiers/Dossier%20chantier%20-%20Electricit&#23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ereso.intranet.local/Partages/Dossier%20Chantier/2018/20180227/Diver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herault/AppData/Local/Microsoft/Windows/Temporary%20Internet%20Files/Content.Outlook/80839TFG/Dossier%20chantier%20-%20All&#233;g&#233;_vPO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2.Ch"/>
    </sheetNames>
    <sheetDataSet>
      <sheetData sheetId="0">
        <row r="37">
          <cell r="C37" t="str">
            <v>Contrôle de la flèche</v>
          </cell>
          <cell r="G37" t="str">
            <v>RC</v>
          </cell>
          <cell r="H37" t="str">
            <v>Bordure et voirie</v>
          </cell>
          <cell r="J37" t="str">
            <v>Balai électrique</v>
          </cell>
          <cell r="M37" t="str">
            <v>Carnet de relevé de pente</v>
          </cell>
        </row>
        <row r="38">
          <cell r="C38" t="str">
            <v>Contrôle de régularité du profil (profil en long)</v>
          </cell>
          <cell r="G38" t="str">
            <v>APAVE</v>
          </cell>
          <cell r="H38" t="str">
            <v>Fourreaux acier pour tuyau gaz</v>
          </cell>
          <cell r="J38" t="str">
            <v>Balle en mousse</v>
          </cell>
          <cell r="M38" t="str">
            <v>Carnet de soudure</v>
          </cell>
        </row>
        <row r="39">
          <cell r="C39" t="str">
            <v>Contrôle de stabilité des murs (soutènement)</v>
          </cell>
          <cell r="G39" t="str">
            <v>Client</v>
          </cell>
          <cell r="H39" t="str">
            <v>Parking et voirie</v>
          </cell>
          <cell r="J39" t="str">
            <v>Détecteur de fréquences</v>
          </cell>
          <cell r="M39" t="str">
            <v>Certificat du laboratoire annexe</v>
          </cell>
        </row>
        <row r="40">
          <cell r="C40" t="str">
            <v>Contrôle d'écoulement des murs (soutènement)</v>
          </cell>
          <cell r="G40" t="str">
            <v>Electricien</v>
          </cell>
          <cell r="H40" t="str">
            <v>Tout  type de canalisation</v>
          </cell>
          <cell r="J40" t="str">
            <v>Dynamomètre</v>
          </cell>
          <cell r="M40" t="str">
            <v>Fiche de déroulage</v>
          </cell>
        </row>
        <row r="41">
          <cell r="C41" t="str">
            <v>Contrôle pente altimétrie</v>
          </cell>
          <cell r="G41" t="str">
            <v>Laboratoire annexe</v>
          </cell>
          <cell r="H41" t="str">
            <v>Tout câble en triphasé</v>
          </cell>
          <cell r="J41" t="str">
            <v>Dynaplaque</v>
          </cell>
          <cell r="M41" t="str">
            <v xml:space="preserve">Fiche de mandrinage FT </v>
          </cell>
        </row>
        <row r="42">
          <cell r="C42" t="str">
            <v>Contrôle soudure</v>
          </cell>
          <cell r="G42" t="str">
            <v>Maçon</v>
          </cell>
          <cell r="H42" t="str">
            <v>Tout déroulage réalisé au treuil</v>
          </cell>
          <cell r="J42" t="str">
            <v>Events</v>
          </cell>
          <cell r="M42" t="str">
            <v xml:space="preserve">Fiche de mandrinage FT ou relevé d'alvéole </v>
          </cell>
        </row>
        <row r="43">
          <cell r="C43" t="str">
            <v>Contrôles HTB</v>
          </cell>
          <cell r="G43" t="str">
            <v>Organisme de contrôle</v>
          </cell>
          <cell r="H43" t="str">
            <v>Tout mur en éléments préfabriqués</v>
          </cell>
          <cell r="J43" t="str">
            <v>Mandrin ou gabarit</v>
          </cell>
          <cell r="M43" t="str">
            <v>Fiche technique de prise de terre</v>
          </cell>
        </row>
        <row r="44">
          <cell r="C44" t="str">
            <v xml:space="preserve">Effort de tirage </v>
          </cell>
          <cell r="G44" t="str">
            <v>RC ou Electricien</v>
          </cell>
          <cell r="H44" t="str">
            <v>Tout tuyau FT</v>
          </cell>
          <cell r="J44" t="str">
            <v>Mètre ruban</v>
          </cell>
          <cell r="M44" t="str">
            <v>Formulaire de profil</v>
          </cell>
        </row>
        <row r="45">
          <cell r="C45" t="str">
            <v>Epaisseur du lit de sable</v>
          </cell>
          <cell r="G45" t="str">
            <v>RC ou maçon</v>
          </cell>
          <cell r="H45" t="str">
            <v xml:space="preserve">Tout tuyau gaz acier </v>
          </cell>
          <cell r="J45" t="str">
            <v>Mousse synthétique</v>
          </cell>
          <cell r="M45" t="str">
            <v>Plan de contrôle réseau aérien</v>
          </cell>
        </row>
        <row r="46">
          <cell r="C46" t="str">
            <v>Epaisseur du radier béton</v>
          </cell>
          <cell r="G46" t="str">
            <v>RC ou releveur</v>
          </cell>
          <cell r="H46" t="str">
            <v xml:space="preserve">Tout tuyau gaz acier </v>
          </cell>
          <cell r="J46" t="str">
            <v>Niveau optique</v>
          </cell>
          <cell r="M46" t="str">
            <v>Plan minute</v>
          </cell>
        </row>
        <row r="47">
          <cell r="C47" t="str">
            <v>Essai de compactage</v>
          </cell>
          <cell r="G47" t="str">
            <v>RC ou Soudeur</v>
          </cell>
          <cell r="H47" t="str">
            <v>Tout type de tuyau</v>
          </cell>
          <cell r="J47" t="str">
            <v>Nivelette</v>
          </cell>
          <cell r="M47" t="str">
            <v>Plan minute (profil)</v>
          </cell>
        </row>
        <row r="48">
          <cell r="C48" t="str">
            <v>Essai de conduite GAZ</v>
          </cell>
          <cell r="G48" t="str">
            <v>Releveur</v>
          </cell>
          <cell r="H48" t="str">
            <v>Tout type de tuyau d'assainissement</v>
          </cell>
          <cell r="J48" t="str">
            <v xml:space="preserve">Pénétromètre panda ou PG 1000 </v>
          </cell>
          <cell r="M48" t="str">
            <v>Procès verbal d'essai d'étanchéité de conduite GAZ</v>
          </cell>
        </row>
        <row r="49">
          <cell r="C49" t="str">
            <v>Essai de mandrinage</v>
          </cell>
          <cell r="G49" t="str">
            <v>Soudeur</v>
          </cell>
          <cell r="H49" t="str">
            <v>Toute mise à la terre</v>
          </cell>
          <cell r="J49" t="str">
            <v>Pompe à essai</v>
          </cell>
          <cell r="M49" t="str">
            <v>Relevé Graphique</v>
          </cell>
        </row>
        <row r="50">
          <cell r="C50" t="str">
            <v>Essai de portance</v>
          </cell>
          <cell r="H50" t="str">
            <v>Tuyau gaz acier</v>
          </cell>
          <cell r="J50" t="str">
            <v>Règle au mercure ou DPI</v>
          </cell>
          <cell r="M50" t="str">
            <v>Relevé Graphique ou plan minute</v>
          </cell>
        </row>
        <row r="51">
          <cell r="C51" t="str">
            <v>Essai d'étanchéité à l'air</v>
          </cell>
          <cell r="J51" t="str">
            <v>Règle au mercure ou DPI</v>
          </cell>
          <cell r="M51" t="str">
            <v>Vie de chantier</v>
          </cell>
        </row>
        <row r="52">
          <cell r="C52" t="str">
            <v>Essai d'étanchéité à l'eau</v>
          </cell>
          <cell r="J52" t="str">
            <v>Rotorphase</v>
          </cell>
        </row>
        <row r="53">
          <cell r="C53" t="str">
            <v>Mesure de la protection cathodique</v>
          </cell>
          <cell r="J53" t="str">
            <v>Sarbacane ou drainage</v>
          </cell>
        </row>
        <row r="54">
          <cell r="C54" t="str">
            <v>Mise en place d'évents</v>
          </cell>
          <cell r="J54" t="str">
            <v>Telluromètre ou ohmmètre</v>
          </cell>
        </row>
        <row r="55">
          <cell r="C55" t="str">
            <v>Nettoyage d'un tuyau GAZ</v>
          </cell>
          <cell r="J55" t="str">
            <v>Visuel</v>
          </cell>
        </row>
        <row r="56">
          <cell r="C56" t="str">
            <v>Profondeur de tranchée</v>
          </cell>
        </row>
        <row r="57">
          <cell r="C57" t="str">
            <v>Rebouchage entre le fourreau et la canalisation</v>
          </cell>
        </row>
        <row r="58">
          <cell r="C58" t="str">
            <v>Relevé d'alvéoles de PVC France télécoms ou autre</v>
          </cell>
        </row>
        <row r="59">
          <cell r="C59" t="str">
            <v>Relevé de profil</v>
          </cell>
        </row>
        <row r="60">
          <cell r="C60" t="str">
            <v>Relevé des prises de terre</v>
          </cell>
        </row>
        <row r="61">
          <cell r="C61" t="str">
            <v>Respect des coupes types</v>
          </cell>
        </row>
        <row r="62">
          <cell r="C62" t="str">
            <v>Rotation de phase</v>
          </cell>
        </row>
        <row r="63">
          <cell r="C63" t="str">
            <v>Test d'isolement  d'un câble électrique</v>
          </cell>
        </row>
        <row r="64">
          <cell r="C64" t="str">
            <v>Test d'isolement d'une canalisation acier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1.Af"/>
      <sheetName val="2.Af"/>
      <sheetName val="3.Af"/>
      <sheetName val="4.Af"/>
      <sheetName val="Page de Garde"/>
      <sheetName val="Petites Interv."/>
      <sheetName val="Croisement réseaux"/>
      <sheetName val="Déroulage"/>
      <sheetName val="Fiche prépa"/>
      <sheetName val="Fiche prépa Indus Tertiaire"/>
      <sheetName val="Coexistence"/>
      <sheetName val="Compactage"/>
      <sheetName val="1.Ch"/>
      <sheetName val="I1.MAT"/>
      <sheetName val="I1.HTB"/>
      <sheetName val="I1.Indus Tertiaire"/>
      <sheetName val="13.1.Ch"/>
      <sheetName val="1.1.Ch"/>
      <sheetName val="1.2.Ch"/>
      <sheetName val="1.2.1.Ch"/>
      <sheetName val="1.3.Ch"/>
      <sheetName val="1.4.Ch"/>
      <sheetName val="1.5.Ch"/>
      <sheetName val="1.6.Ch"/>
      <sheetName val="1.7.Ch"/>
      <sheetName val="1.8.Ch"/>
      <sheetName val="2.Ch"/>
      <sheetName val="I2.HTB"/>
      <sheetName val="I2.Indus Tertiaire"/>
      <sheetName val="I2.MAT"/>
      <sheetName val="12.1.Ch"/>
      <sheetName val="12.2.Ch"/>
      <sheetName val="12.3.Ch"/>
      <sheetName val="3.Ch"/>
      <sheetName val="I3.HTB"/>
      <sheetName val="I3.Indus Tertiaire"/>
      <sheetName val="14.2.Ch"/>
      <sheetName val="4.Ch"/>
      <sheetName val="I4.HTB"/>
      <sheetName val="I4.Indus Tertiaire"/>
      <sheetName val="14.3.Ch"/>
      <sheetName val="5.Ch"/>
      <sheetName val="I5.HTB"/>
      <sheetName val="5.1.Ch"/>
      <sheetName val="5.1.A.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2.E.Ch"/>
      <sheetName val="5.23.Ch"/>
      <sheetName val="5.24.Ch"/>
      <sheetName val="5.25.Ch"/>
      <sheetName val="5.44.Ch"/>
      <sheetName val="5.45.Ch"/>
      <sheetName val="5.46.Ch"/>
      <sheetName val="5.47.Ch"/>
      <sheetName val="5.48.Ch"/>
      <sheetName val="5.49.Ch"/>
      <sheetName val="5.57.Ch"/>
      <sheetName val="5.58.Ch"/>
      <sheetName val="5.59.Ch"/>
      <sheetName val="5.60.Ch"/>
      <sheetName val="5.66.Ch"/>
      <sheetName val="5.67.Ch"/>
      <sheetName val="6.Ch"/>
      <sheetName val="I6.HTB"/>
      <sheetName val="6.4.Ch"/>
      <sheetName val="6.5.Ch"/>
      <sheetName val="6.6.Ch"/>
      <sheetName val="6.7.Ch"/>
      <sheetName val="6.8.Ch"/>
      <sheetName val="6.9.Ch"/>
      <sheetName val="6.15.Ch"/>
      <sheetName val="7.Ch"/>
      <sheetName val="I7.HTB"/>
      <sheetName val="7.3.Ch"/>
      <sheetName val="I8.HTB"/>
      <sheetName val="8.5.Ch"/>
      <sheetName val="8.6.Ch"/>
      <sheetName val="8.7.Ch"/>
      <sheetName val="8.8.Ch"/>
      <sheetName val="8.9.Ch"/>
      <sheetName val="8.10.Ch"/>
      <sheetName val="8.11.Ch"/>
      <sheetName val="8.12.Ch"/>
      <sheetName val="8.13.Ch"/>
      <sheetName val="8.14.Ch"/>
      <sheetName val="8.15.Ch"/>
      <sheetName val="8.16.Ch"/>
      <sheetName val="8.17.Ch"/>
      <sheetName val="8.18.Ch"/>
      <sheetName val="8.19.Ch"/>
      <sheetName val="8.20.A.Ch"/>
      <sheetName val="8.20.B.Ch"/>
      <sheetName val="8.21.Ch"/>
      <sheetName val="I9.HTB"/>
      <sheetName val="I10.HTB"/>
      <sheetName val="10.3.Ch"/>
      <sheetName val="10.6.Ch"/>
      <sheetName val="10.9.Ch"/>
      <sheetName val="10.10.Ch"/>
      <sheetName val="10.12.Ch"/>
      <sheetName val="10.13.Ch"/>
      <sheetName val="10.14.Ch"/>
      <sheetName val="11.2.Ch"/>
      <sheetName val="13.4.Ch"/>
      <sheetName val="13.5.Ch"/>
      <sheetName val="13.6.Ch"/>
    </sheetNames>
    <sheetDataSet>
      <sheetData sheetId="0"/>
      <sheetData sheetId="1"/>
      <sheetData sheetId="2"/>
      <sheetData sheetId="3"/>
      <sheetData sheetId="4"/>
      <sheetData sheetId="5"/>
      <sheetData sheetId="6"/>
      <sheetData sheetId="7">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MISE A JOUR"/>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4.Ch"/>
      <sheetName val="5.15.Ch"/>
      <sheetName val="5.16.Ch"/>
      <sheetName val="5.17.Ch"/>
      <sheetName val="5.18.Ch"/>
      <sheetName val="5.18.B.Ch"/>
      <sheetName val="5.23.Ch"/>
      <sheetName val="5.58.Ch"/>
      <sheetName val="5.59.Ch"/>
      <sheetName val="5.67.Ch"/>
      <sheetName val="6.Ch"/>
      <sheetName val="6.4.Ch"/>
      <sheetName val="6.5.Ch"/>
      <sheetName val="6.9.Ch"/>
      <sheetName val="6.10.Ch"/>
      <sheetName val="6.15.Ch"/>
      <sheetName val="7.Ch"/>
      <sheetName val="7.3.Ch"/>
      <sheetName val="10.15.Ch"/>
      <sheetName val="13.6.Ch"/>
    </sheetNames>
    <sheetDataSet>
      <sheetData sheetId="0"/>
      <sheetData sheetId="1"/>
      <sheetData sheetId="2"/>
      <sheetData sheetId="3"/>
      <sheetData sheetId="4">
        <row r="62">
          <cell r="B62" t="str">
            <v>AIX EN PROVENCE</v>
          </cell>
        </row>
        <row r="63">
          <cell r="B63" t="str">
            <v>ANSE</v>
          </cell>
        </row>
        <row r="64">
          <cell r="B64" t="str">
            <v>ANSE MECANIQUE</v>
          </cell>
        </row>
        <row r="65">
          <cell r="B65" t="str">
            <v>BABOLAT ELECTRICITE</v>
          </cell>
        </row>
        <row r="66">
          <cell r="B66" t="str">
            <v>BBF RESEAUX</v>
          </cell>
        </row>
        <row r="67">
          <cell r="B67" t="str">
            <v>BEAUNE</v>
          </cell>
        </row>
        <row r="68">
          <cell r="B68" t="str">
            <v>BEAUVAIS</v>
          </cell>
        </row>
        <row r="69">
          <cell r="B69" t="str">
            <v>BERGERAC</v>
          </cell>
        </row>
        <row r="70">
          <cell r="B70" t="str">
            <v>BESANCON</v>
          </cell>
        </row>
        <row r="71">
          <cell r="B71" t="str">
            <v>BEZIERS</v>
          </cell>
        </row>
        <row r="72">
          <cell r="B72" t="str">
            <v>BORDEAUX</v>
          </cell>
        </row>
        <row r="73">
          <cell r="B73" t="str">
            <v>BORDEAUX MECANIQUE</v>
          </cell>
        </row>
        <row r="74">
          <cell r="B74" t="str">
            <v>CAVAILLON</v>
          </cell>
        </row>
        <row r="75">
          <cell r="B75" t="str">
            <v>CERGY</v>
          </cell>
        </row>
        <row r="76">
          <cell r="B76" t="str">
            <v>CERGY MECANIQUE</v>
          </cell>
        </row>
        <row r="77">
          <cell r="B77" t="str">
            <v>CHANTONNAY</v>
          </cell>
        </row>
        <row r="78">
          <cell r="B78" t="str">
            <v>CHATEAUROUX</v>
          </cell>
        </row>
        <row r="79">
          <cell r="B79" t="str">
            <v>CLERMONT-FERRAND</v>
          </cell>
        </row>
        <row r="80">
          <cell r="B80" t="str">
            <v>CORBAS</v>
          </cell>
        </row>
        <row r="81">
          <cell r="B81" t="str">
            <v>CRETEIL</v>
          </cell>
        </row>
        <row r="82">
          <cell r="B82" t="str">
            <v>ENSISHEIM</v>
          </cell>
        </row>
        <row r="83">
          <cell r="B83" t="str">
            <v>EREC TECHNOLOGIES</v>
          </cell>
        </row>
        <row r="84">
          <cell r="B84" t="str">
            <v>GOUSSAINVILLE</v>
          </cell>
        </row>
        <row r="85">
          <cell r="B85" t="str">
            <v>GRAMARI</v>
          </cell>
        </row>
        <row r="86">
          <cell r="B86" t="str">
            <v>GUEUGNON</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SCEB</v>
          </cell>
        </row>
        <row r="102">
          <cell r="B102" t="str">
            <v>SCIONZIER</v>
          </cell>
        </row>
        <row r="103">
          <cell r="B103" t="str">
            <v>SELLES SUR CHER</v>
          </cell>
        </row>
        <row r="104">
          <cell r="B104" t="str">
            <v>SERANGE</v>
          </cell>
        </row>
        <row r="105">
          <cell r="B105" t="str">
            <v>SERVICE MATERIEL</v>
          </cell>
        </row>
        <row r="106">
          <cell r="B106" t="str">
            <v>SOBECAMAT IDF</v>
          </cell>
        </row>
        <row r="107">
          <cell r="B107" t="str">
            <v>SOBECAMAT MECANIQUE IDF</v>
          </cell>
        </row>
        <row r="108">
          <cell r="B108" t="str">
            <v>SOBECAMAT RHONE ALPES</v>
          </cell>
        </row>
        <row r="109">
          <cell r="B109" t="str">
            <v>SOMELEC CHARTRES</v>
          </cell>
        </row>
        <row r="110">
          <cell r="B110" t="str">
            <v>SOMELEC LA ROCHELLE</v>
          </cell>
        </row>
        <row r="111">
          <cell r="B111" t="str">
            <v>SOMELEC MONTARGIS</v>
          </cell>
        </row>
        <row r="112">
          <cell r="B112" t="str">
            <v>TOULON</v>
          </cell>
        </row>
        <row r="113">
          <cell r="B113" t="str">
            <v>TOULOUSE</v>
          </cell>
        </row>
        <row r="114">
          <cell r="B114" t="str">
            <v>TULLINS</v>
          </cell>
        </row>
        <row r="115">
          <cell r="B115" t="str">
            <v>VAL DE CHER</v>
          </cell>
        </row>
        <row r="116">
          <cell r="B116" t="str">
            <v>VIOLA SARTROUVILLE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3.Ch"/>
      <sheetName val="5.24.Ch"/>
      <sheetName val="5.25.Ch"/>
      <sheetName val="5.58.Ch"/>
      <sheetName val="5.59.Ch"/>
      <sheetName val="5.67.Ch"/>
      <sheetName val="6.Ch"/>
      <sheetName val="6.4.Ch"/>
      <sheetName val="6.5.Ch"/>
      <sheetName val="6.7.Ch"/>
      <sheetName val="6.8.Ch"/>
      <sheetName val="6.9.Ch"/>
      <sheetName val="6.15.Ch"/>
      <sheetName val="7.Ch"/>
      <sheetName val="7.3.Ch"/>
      <sheetName val="13.6.Ch"/>
    </sheetNames>
    <sheetDataSet>
      <sheetData sheetId="0"/>
      <sheetData sheetId="1"/>
      <sheetData sheetId="2"/>
      <sheetData sheetId="3">
        <row r="6">
          <cell r="K6"/>
        </row>
        <row r="8">
          <cell r="B8"/>
        </row>
        <row r="9">
          <cell r="B9"/>
        </row>
        <row r="13">
          <cell r="D13"/>
        </row>
        <row r="14">
          <cell r="D14"/>
          <cell r="K14"/>
        </row>
        <row r="16">
          <cell r="B16"/>
        </row>
        <row r="17">
          <cell r="J17"/>
        </row>
        <row r="19">
          <cell r="D19"/>
        </row>
        <row r="24">
          <cell r="A24"/>
        </row>
        <row r="28">
          <cell r="C28"/>
          <cell r="L28"/>
        </row>
        <row r="29">
          <cell r="C29"/>
        </row>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etites Interv."/>
      <sheetName val="Croisement réseaux"/>
      <sheetName val="Déroulage"/>
      <sheetName val="Compactage"/>
      <sheetName val="1.2.Ch"/>
      <sheetName val="5.6.Ch"/>
      <sheetName val="6.4.Ch"/>
      <sheetName val="6.5.Ch"/>
      <sheetName val="6.9.Ch"/>
      <sheetName val="6.15.C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2.xml"/><Relationship Id="rId1" Type="http://schemas.openxmlformats.org/officeDocument/2006/relationships/printerSettings" Target="../printerSettings/printerSettings23.bin"/><Relationship Id="rId4" Type="http://schemas.openxmlformats.org/officeDocument/2006/relationships/comments" Target="../comments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3.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5.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6.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9.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5.vml"/><Relationship Id="rId7" Type="http://schemas.openxmlformats.org/officeDocument/2006/relationships/ctrlProp" Target="../ctrlProps/ctrlProp29.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6" Type="http://schemas.openxmlformats.org/officeDocument/2006/relationships/ctrlProp" Target="../ctrlProps/ctrlProp54.xml"/><Relationship Id="rId21" Type="http://schemas.openxmlformats.org/officeDocument/2006/relationships/ctrlProp" Target="../ctrlProps/ctrlProp49.xml"/><Relationship Id="rId42" Type="http://schemas.openxmlformats.org/officeDocument/2006/relationships/ctrlProp" Target="../ctrlProps/ctrlProp70.xml"/><Relationship Id="rId47" Type="http://schemas.openxmlformats.org/officeDocument/2006/relationships/ctrlProp" Target="../ctrlProps/ctrlProp75.xml"/><Relationship Id="rId63" Type="http://schemas.openxmlformats.org/officeDocument/2006/relationships/ctrlProp" Target="../ctrlProps/ctrlProp91.xml"/><Relationship Id="rId68" Type="http://schemas.openxmlformats.org/officeDocument/2006/relationships/ctrlProp" Target="../ctrlProps/ctrlProp96.xml"/><Relationship Id="rId84" Type="http://schemas.openxmlformats.org/officeDocument/2006/relationships/ctrlProp" Target="../ctrlProps/ctrlProp112.xml"/><Relationship Id="rId89" Type="http://schemas.openxmlformats.org/officeDocument/2006/relationships/ctrlProp" Target="../ctrlProps/ctrlProp117.xml"/><Relationship Id="rId16" Type="http://schemas.openxmlformats.org/officeDocument/2006/relationships/ctrlProp" Target="../ctrlProps/ctrlProp44.xml"/><Relationship Id="rId11" Type="http://schemas.openxmlformats.org/officeDocument/2006/relationships/ctrlProp" Target="../ctrlProps/ctrlProp39.xml"/><Relationship Id="rId32" Type="http://schemas.openxmlformats.org/officeDocument/2006/relationships/ctrlProp" Target="../ctrlProps/ctrlProp60.xml"/><Relationship Id="rId37" Type="http://schemas.openxmlformats.org/officeDocument/2006/relationships/ctrlProp" Target="../ctrlProps/ctrlProp65.xml"/><Relationship Id="rId53" Type="http://schemas.openxmlformats.org/officeDocument/2006/relationships/ctrlProp" Target="../ctrlProps/ctrlProp81.xml"/><Relationship Id="rId58" Type="http://schemas.openxmlformats.org/officeDocument/2006/relationships/ctrlProp" Target="../ctrlProps/ctrlProp86.xml"/><Relationship Id="rId74" Type="http://schemas.openxmlformats.org/officeDocument/2006/relationships/ctrlProp" Target="../ctrlProps/ctrlProp102.xml"/><Relationship Id="rId79" Type="http://schemas.openxmlformats.org/officeDocument/2006/relationships/ctrlProp" Target="../ctrlProps/ctrlProp107.xml"/><Relationship Id="rId5" Type="http://schemas.openxmlformats.org/officeDocument/2006/relationships/ctrlProp" Target="../ctrlProps/ctrlProp33.xml"/><Relationship Id="rId14" Type="http://schemas.openxmlformats.org/officeDocument/2006/relationships/ctrlProp" Target="../ctrlProps/ctrlProp42.xml"/><Relationship Id="rId22" Type="http://schemas.openxmlformats.org/officeDocument/2006/relationships/ctrlProp" Target="../ctrlProps/ctrlProp50.xml"/><Relationship Id="rId27" Type="http://schemas.openxmlformats.org/officeDocument/2006/relationships/ctrlProp" Target="../ctrlProps/ctrlProp55.xml"/><Relationship Id="rId30" Type="http://schemas.openxmlformats.org/officeDocument/2006/relationships/ctrlProp" Target="../ctrlProps/ctrlProp58.xml"/><Relationship Id="rId35" Type="http://schemas.openxmlformats.org/officeDocument/2006/relationships/ctrlProp" Target="../ctrlProps/ctrlProp63.xml"/><Relationship Id="rId43" Type="http://schemas.openxmlformats.org/officeDocument/2006/relationships/ctrlProp" Target="../ctrlProps/ctrlProp71.xml"/><Relationship Id="rId48" Type="http://schemas.openxmlformats.org/officeDocument/2006/relationships/ctrlProp" Target="../ctrlProps/ctrlProp76.xml"/><Relationship Id="rId56" Type="http://schemas.openxmlformats.org/officeDocument/2006/relationships/ctrlProp" Target="../ctrlProps/ctrlProp84.xml"/><Relationship Id="rId64" Type="http://schemas.openxmlformats.org/officeDocument/2006/relationships/ctrlProp" Target="../ctrlProps/ctrlProp92.xml"/><Relationship Id="rId69" Type="http://schemas.openxmlformats.org/officeDocument/2006/relationships/ctrlProp" Target="../ctrlProps/ctrlProp97.xml"/><Relationship Id="rId77" Type="http://schemas.openxmlformats.org/officeDocument/2006/relationships/ctrlProp" Target="../ctrlProps/ctrlProp105.xml"/><Relationship Id="rId8" Type="http://schemas.openxmlformats.org/officeDocument/2006/relationships/ctrlProp" Target="../ctrlProps/ctrlProp36.xml"/><Relationship Id="rId51" Type="http://schemas.openxmlformats.org/officeDocument/2006/relationships/ctrlProp" Target="../ctrlProps/ctrlProp79.xml"/><Relationship Id="rId72" Type="http://schemas.openxmlformats.org/officeDocument/2006/relationships/ctrlProp" Target="../ctrlProps/ctrlProp100.xml"/><Relationship Id="rId80" Type="http://schemas.openxmlformats.org/officeDocument/2006/relationships/ctrlProp" Target="../ctrlProps/ctrlProp108.xml"/><Relationship Id="rId85" Type="http://schemas.openxmlformats.org/officeDocument/2006/relationships/ctrlProp" Target="../ctrlProps/ctrlProp113.xml"/><Relationship Id="rId3" Type="http://schemas.openxmlformats.org/officeDocument/2006/relationships/vmlDrawing" Target="../drawings/vmlDrawing6.vml"/><Relationship Id="rId12" Type="http://schemas.openxmlformats.org/officeDocument/2006/relationships/ctrlProp" Target="../ctrlProps/ctrlProp40.xml"/><Relationship Id="rId17" Type="http://schemas.openxmlformats.org/officeDocument/2006/relationships/ctrlProp" Target="../ctrlProps/ctrlProp45.xml"/><Relationship Id="rId25" Type="http://schemas.openxmlformats.org/officeDocument/2006/relationships/ctrlProp" Target="../ctrlProps/ctrlProp53.xml"/><Relationship Id="rId33" Type="http://schemas.openxmlformats.org/officeDocument/2006/relationships/ctrlProp" Target="../ctrlProps/ctrlProp61.xml"/><Relationship Id="rId38" Type="http://schemas.openxmlformats.org/officeDocument/2006/relationships/ctrlProp" Target="../ctrlProps/ctrlProp66.xml"/><Relationship Id="rId46" Type="http://schemas.openxmlformats.org/officeDocument/2006/relationships/ctrlProp" Target="../ctrlProps/ctrlProp74.xml"/><Relationship Id="rId59" Type="http://schemas.openxmlformats.org/officeDocument/2006/relationships/ctrlProp" Target="../ctrlProps/ctrlProp87.xml"/><Relationship Id="rId67" Type="http://schemas.openxmlformats.org/officeDocument/2006/relationships/ctrlProp" Target="../ctrlProps/ctrlProp95.xml"/><Relationship Id="rId20" Type="http://schemas.openxmlformats.org/officeDocument/2006/relationships/ctrlProp" Target="../ctrlProps/ctrlProp48.xml"/><Relationship Id="rId41" Type="http://schemas.openxmlformats.org/officeDocument/2006/relationships/ctrlProp" Target="../ctrlProps/ctrlProp69.xml"/><Relationship Id="rId54" Type="http://schemas.openxmlformats.org/officeDocument/2006/relationships/ctrlProp" Target="../ctrlProps/ctrlProp82.xml"/><Relationship Id="rId62" Type="http://schemas.openxmlformats.org/officeDocument/2006/relationships/ctrlProp" Target="../ctrlProps/ctrlProp90.xml"/><Relationship Id="rId70" Type="http://schemas.openxmlformats.org/officeDocument/2006/relationships/ctrlProp" Target="../ctrlProps/ctrlProp98.xml"/><Relationship Id="rId75" Type="http://schemas.openxmlformats.org/officeDocument/2006/relationships/ctrlProp" Target="../ctrlProps/ctrlProp103.xml"/><Relationship Id="rId83" Type="http://schemas.openxmlformats.org/officeDocument/2006/relationships/ctrlProp" Target="../ctrlProps/ctrlProp111.xml"/><Relationship Id="rId88" Type="http://schemas.openxmlformats.org/officeDocument/2006/relationships/ctrlProp" Target="../ctrlProps/ctrlProp116.xml"/><Relationship Id="rId1" Type="http://schemas.openxmlformats.org/officeDocument/2006/relationships/printerSettings" Target="../printerSettings/printerSettings46.bin"/><Relationship Id="rId6" Type="http://schemas.openxmlformats.org/officeDocument/2006/relationships/ctrlProp" Target="../ctrlProps/ctrlProp34.xml"/><Relationship Id="rId15" Type="http://schemas.openxmlformats.org/officeDocument/2006/relationships/ctrlProp" Target="../ctrlProps/ctrlProp43.xml"/><Relationship Id="rId23" Type="http://schemas.openxmlformats.org/officeDocument/2006/relationships/ctrlProp" Target="../ctrlProps/ctrlProp51.xml"/><Relationship Id="rId28" Type="http://schemas.openxmlformats.org/officeDocument/2006/relationships/ctrlProp" Target="../ctrlProps/ctrlProp56.xml"/><Relationship Id="rId36" Type="http://schemas.openxmlformats.org/officeDocument/2006/relationships/ctrlProp" Target="../ctrlProps/ctrlProp64.xml"/><Relationship Id="rId49" Type="http://schemas.openxmlformats.org/officeDocument/2006/relationships/ctrlProp" Target="../ctrlProps/ctrlProp77.xml"/><Relationship Id="rId57" Type="http://schemas.openxmlformats.org/officeDocument/2006/relationships/ctrlProp" Target="../ctrlProps/ctrlProp85.xml"/><Relationship Id="rId10" Type="http://schemas.openxmlformats.org/officeDocument/2006/relationships/ctrlProp" Target="../ctrlProps/ctrlProp38.xml"/><Relationship Id="rId31" Type="http://schemas.openxmlformats.org/officeDocument/2006/relationships/ctrlProp" Target="../ctrlProps/ctrlProp59.xml"/><Relationship Id="rId44" Type="http://schemas.openxmlformats.org/officeDocument/2006/relationships/ctrlProp" Target="../ctrlProps/ctrlProp72.xml"/><Relationship Id="rId52" Type="http://schemas.openxmlformats.org/officeDocument/2006/relationships/ctrlProp" Target="../ctrlProps/ctrlProp80.xml"/><Relationship Id="rId60" Type="http://schemas.openxmlformats.org/officeDocument/2006/relationships/ctrlProp" Target="../ctrlProps/ctrlProp88.xml"/><Relationship Id="rId65" Type="http://schemas.openxmlformats.org/officeDocument/2006/relationships/ctrlProp" Target="../ctrlProps/ctrlProp93.xml"/><Relationship Id="rId73" Type="http://schemas.openxmlformats.org/officeDocument/2006/relationships/ctrlProp" Target="../ctrlProps/ctrlProp101.xml"/><Relationship Id="rId78" Type="http://schemas.openxmlformats.org/officeDocument/2006/relationships/ctrlProp" Target="../ctrlProps/ctrlProp106.xml"/><Relationship Id="rId81" Type="http://schemas.openxmlformats.org/officeDocument/2006/relationships/ctrlProp" Target="../ctrlProps/ctrlProp109.xml"/><Relationship Id="rId86" Type="http://schemas.openxmlformats.org/officeDocument/2006/relationships/ctrlProp" Target="../ctrlProps/ctrlProp114.xml"/><Relationship Id="rId4" Type="http://schemas.openxmlformats.org/officeDocument/2006/relationships/ctrlProp" Target="../ctrlProps/ctrlProp32.xml"/><Relationship Id="rId9" Type="http://schemas.openxmlformats.org/officeDocument/2006/relationships/ctrlProp" Target="../ctrlProps/ctrlProp37.xml"/><Relationship Id="rId13" Type="http://schemas.openxmlformats.org/officeDocument/2006/relationships/ctrlProp" Target="../ctrlProps/ctrlProp41.xml"/><Relationship Id="rId18" Type="http://schemas.openxmlformats.org/officeDocument/2006/relationships/ctrlProp" Target="../ctrlProps/ctrlProp46.xml"/><Relationship Id="rId39" Type="http://schemas.openxmlformats.org/officeDocument/2006/relationships/ctrlProp" Target="../ctrlProps/ctrlProp67.xml"/><Relationship Id="rId34" Type="http://schemas.openxmlformats.org/officeDocument/2006/relationships/ctrlProp" Target="../ctrlProps/ctrlProp62.xml"/><Relationship Id="rId50" Type="http://schemas.openxmlformats.org/officeDocument/2006/relationships/ctrlProp" Target="../ctrlProps/ctrlProp78.xml"/><Relationship Id="rId55" Type="http://schemas.openxmlformats.org/officeDocument/2006/relationships/ctrlProp" Target="../ctrlProps/ctrlProp83.xml"/><Relationship Id="rId76" Type="http://schemas.openxmlformats.org/officeDocument/2006/relationships/ctrlProp" Target="../ctrlProps/ctrlProp104.xml"/><Relationship Id="rId7" Type="http://schemas.openxmlformats.org/officeDocument/2006/relationships/ctrlProp" Target="../ctrlProps/ctrlProp35.xml"/><Relationship Id="rId71" Type="http://schemas.openxmlformats.org/officeDocument/2006/relationships/ctrlProp" Target="../ctrlProps/ctrlProp99.xml"/><Relationship Id="rId2" Type="http://schemas.openxmlformats.org/officeDocument/2006/relationships/drawing" Target="../drawings/drawing45.xml"/><Relationship Id="rId29" Type="http://schemas.openxmlformats.org/officeDocument/2006/relationships/ctrlProp" Target="../ctrlProps/ctrlProp57.xml"/><Relationship Id="rId24" Type="http://schemas.openxmlformats.org/officeDocument/2006/relationships/ctrlProp" Target="../ctrlProps/ctrlProp52.xml"/><Relationship Id="rId40" Type="http://schemas.openxmlformats.org/officeDocument/2006/relationships/ctrlProp" Target="../ctrlProps/ctrlProp68.xml"/><Relationship Id="rId45" Type="http://schemas.openxmlformats.org/officeDocument/2006/relationships/ctrlProp" Target="../ctrlProps/ctrlProp73.xml"/><Relationship Id="rId66" Type="http://schemas.openxmlformats.org/officeDocument/2006/relationships/ctrlProp" Target="../ctrlProps/ctrlProp94.xml"/><Relationship Id="rId87" Type="http://schemas.openxmlformats.org/officeDocument/2006/relationships/ctrlProp" Target="../ctrlProps/ctrlProp115.xml"/><Relationship Id="rId61" Type="http://schemas.openxmlformats.org/officeDocument/2006/relationships/ctrlProp" Target="../ctrlProps/ctrlProp89.xml"/><Relationship Id="rId82" Type="http://schemas.openxmlformats.org/officeDocument/2006/relationships/ctrlProp" Target="../ctrlProps/ctrlProp110.xml"/><Relationship Id="rId19" Type="http://schemas.openxmlformats.org/officeDocument/2006/relationships/ctrlProp" Target="../ctrlProps/ctrlProp4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65"/>
  <sheetViews>
    <sheetView workbookViewId="0">
      <selection activeCell="L46" sqref="L46"/>
    </sheetView>
  </sheetViews>
  <sheetFormatPr baseColWidth="10" defaultColWidth="11.42578125" defaultRowHeight="17.25" customHeight="1"/>
  <cols>
    <col min="1" max="1" width="53.85546875" style="609" bestFit="1" customWidth="1"/>
    <col min="2" max="16384" width="11.42578125" style="608"/>
  </cols>
  <sheetData>
    <row r="1" spans="1:1" ht="17.25" customHeight="1">
      <c r="A1" s="609" t="s">
        <v>1036</v>
      </c>
    </row>
    <row r="2" spans="1:1" ht="17.25" customHeight="1">
      <c r="A2" s="609" t="s">
        <v>928</v>
      </c>
    </row>
    <row r="3" spans="1:1" ht="17.25" customHeight="1">
      <c r="A3" s="609" t="s">
        <v>929</v>
      </c>
    </row>
    <row r="4" spans="1:1" ht="17.25" customHeight="1">
      <c r="A4" s="609" t="s">
        <v>930</v>
      </c>
    </row>
    <row r="5" spans="1:1" ht="17.25" customHeight="1">
      <c r="A5" s="609" t="s">
        <v>931</v>
      </c>
    </row>
    <row r="6" spans="1:1" ht="17.25" customHeight="1">
      <c r="A6" s="609" t="s">
        <v>932</v>
      </c>
    </row>
    <row r="7" spans="1:1" ht="17.25" customHeight="1">
      <c r="A7" s="609" t="s">
        <v>933</v>
      </c>
    </row>
    <row r="8" spans="1:1" ht="17.25" customHeight="1">
      <c r="A8" s="609" t="s">
        <v>934</v>
      </c>
    </row>
    <row r="9" spans="1:1" ht="17.25" customHeight="1">
      <c r="A9" s="609" t="s">
        <v>935</v>
      </c>
    </row>
    <row r="10" spans="1:1" ht="17.25" customHeight="1">
      <c r="A10" s="609" t="s">
        <v>936</v>
      </c>
    </row>
    <row r="11" spans="1:1" ht="17.25" customHeight="1">
      <c r="A11" s="609" t="s">
        <v>937</v>
      </c>
    </row>
    <row r="12" spans="1:1" ht="17.25" customHeight="1">
      <c r="A12" s="609" t="s">
        <v>938</v>
      </c>
    </row>
    <row r="13" spans="1:1" ht="17.25" customHeight="1">
      <c r="A13" s="609" t="s">
        <v>939</v>
      </c>
    </row>
    <row r="14" spans="1:1" ht="17.25" customHeight="1">
      <c r="A14" s="609" t="s">
        <v>940</v>
      </c>
    </row>
    <row r="15" spans="1:1" ht="17.25" customHeight="1">
      <c r="A15" s="609" t="s">
        <v>941</v>
      </c>
    </row>
    <row r="16" spans="1:1" ht="17.25" customHeight="1">
      <c r="A16" s="609" t="s">
        <v>942</v>
      </c>
    </row>
    <row r="17" spans="1:1" ht="17.25" customHeight="1">
      <c r="A17" s="609" t="s">
        <v>943</v>
      </c>
    </row>
    <row r="18" spans="1:1" ht="17.25" customHeight="1">
      <c r="A18" s="609" t="s">
        <v>944</v>
      </c>
    </row>
    <row r="19" spans="1:1" ht="17.25" customHeight="1">
      <c r="A19" s="609" t="s">
        <v>945</v>
      </c>
    </row>
    <row r="20" spans="1:1" ht="17.25" customHeight="1">
      <c r="A20" s="609" t="s">
        <v>946</v>
      </c>
    </row>
    <row r="21" spans="1:1" ht="17.25" customHeight="1">
      <c r="A21" s="609" t="s">
        <v>947</v>
      </c>
    </row>
    <row r="22" spans="1:1" ht="17.25" customHeight="1">
      <c r="A22" s="609" t="s">
        <v>948</v>
      </c>
    </row>
    <row r="23" spans="1:1" ht="17.25" customHeight="1">
      <c r="A23" s="609" t="s">
        <v>949</v>
      </c>
    </row>
    <row r="24" spans="1:1" ht="17.25" customHeight="1">
      <c r="A24" s="609" t="s">
        <v>950</v>
      </c>
    </row>
    <row r="25" spans="1:1" ht="17.25" customHeight="1">
      <c r="A25" s="609" t="s">
        <v>951</v>
      </c>
    </row>
    <row r="26" spans="1:1" ht="17.25" customHeight="1">
      <c r="A26" s="609" t="s">
        <v>952</v>
      </c>
    </row>
    <row r="27" spans="1:1" ht="17.25" customHeight="1">
      <c r="A27" s="609" t="s">
        <v>953</v>
      </c>
    </row>
    <row r="28" spans="1:1" ht="17.25" customHeight="1">
      <c r="A28" s="609" t="s">
        <v>954</v>
      </c>
    </row>
    <row r="29" spans="1:1" ht="17.25" customHeight="1">
      <c r="A29" s="609" t="s">
        <v>1037</v>
      </c>
    </row>
    <row r="30" spans="1:1" ht="17.25" customHeight="1">
      <c r="A30" s="609" t="s">
        <v>955</v>
      </c>
    </row>
    <row r="31" spans="1:1" ht="17.25" customHeight="1">
      <c r="A31" s="609" t="s">
        <v>956</v>
      </c>
    </row>
    <row r="32" spans="1:1" ht="17.25" customHeight="1">
      <c r="A32" s="609" t="s">
        <v>957</v>
      </c>
    </row>
    <row r="33" spans="1:1" ht="17.25" customHeight="1">
      <c r="A33" s="609" t="s">
        <v>958</v>
      </c>
    </row>
    <row r="34" spans="1:1" ht="17.25" customHeight="1">
      <c r="A34" s="609" t="s">
        <v>959</v>
      </c>
    </row>
    <row r="35" spans="1:1" ht="17.25" customHeight="1">
      <c r="A35" s="609" t="s">
        <v>960</v>
      </c>
    </row>
    <row r="36" spans="1:1" ht="17.25" customHeight="1">
      <c r="A36" s="609" t="s">
        <v>961</v>
      </c>
    </row>
    <row r="37" spans="1:1" ht="17.25" customHeight="1">
      <c r="A37" s="609" t="s">
        <v>962</v>
      </c>
    </row>
    <row r="38" spans="1:1" ht="17.25" customHeight="1">
      <c r="A38" s="609" t="s">
        <v>963</v>
      </c>
    </row>
    <row r="39" spans="1:1" ht="17.25" customHeight="1">
      <c r="A39" s="609" t="s">
        <v>964</v>
      </c>
    </row>
    <row r="40" spans="1:1" ht="17.25" customHeight="1">
      <c r="A40" s="609" t="s">
        <v>965</v>
      </c>
    </row>
    <row r="41" spans="1:1" ht="17.25" customHeight="1">
      <c r="A41" s="609" t="s">
        <v>966</v>
      </c>
    </row>
    <row r="42" spans="1:1" ht="17.25" customHeight="1">
      <c r="A42" s="609" t="s">
        <v>967</v>
      </c>
    </row>
    <row r="43" spans="1:1" ht="17.25" customHeight="1">
      <c r="A43" s="609" t="s">
        <v>968</v>
      </c>
    </row>
    <row r="44" spans="1:1" ht="17.25" customHeight="1">
      <c r="A44" s="609" t="s">
        <v>969</v>
      </c>
    </row>
    <row r="45" spans="1:1" ht="17.25" customHeight="1">
      <c r="A45" s="609" t="s">
        <v>970</v>
      </c>
    </row>
    <row r="46" spans="1:1" ht="17.25" customHeight="1">
      <c r="A46" s="609" t="s">
        <v>971</v>
      </c>
    </row>
    <row r="47" spans="1:1" ht="17.25" customHeight="1">
      <c r="A47" s="609" t="s">
        <v>972</v>
      </c>
    </row>
    <row r="48" spans="1:1" ht="17.25" customHeight="1">
      <c r="A48" s="609" t="s">
        <v>973</v>
      </c>
    </row>
    <row r="49" spans="1:1" ht="17.25" customHeight="1">
      <c r="A49" s="609" t="s">
        <v>974</v>
      </c>
    </row>
    <row r="50" spans="1:1" ht="17.25" customHeight="1">
      <c r="A50" s="609" t="s">
        <v>975</v>
      </c>
    </row>
    <row r="51" spans="1:1" ht="17.25" customHeight="1">
      <c r="A51" s="609" t="s">
        <v>976</v>
      </c>
    </row>
    <row r="52" spans="1:1" ht="17.25" customHeight="1">
      <c r="A52" s="609" t="s">
        <v>977</v>
      </c>
    </row>
    <row r="53" spans="1:1" ht="17.25" customHeight="1">
      <c r="A53" s="609" t="s">
        <v>978</v>
      </c>
    </row>
    <row r="54" spans="1:1" ht="17.25" customHeight="1">
      <c r="A54" s="609" t="s">
        <v>979</v>
      </c>
    </row>
    <row r="55" spans="1:1" ht="17.25" customHeight="1">
      <c r="A55" s="609" t="s">
        <v>980</v>
      </c>
    </row>
    <row r="56" spans="1:1" ht="17.25" customHeight="1">
      <c r="A56" s="609" t="s">
        <v>981</v>
      </c>
    </row>
    <row r="57" spans="1:1" ht="17.25" customHeight="1">
      <c r="A57" s="609" t="s">
        <v>982</v>
      </c>
    </row>
    <row r="58" spans="1:1" ht="17.25" customHeight="1">
      <c r="A58" s="609" t="s">
        <v>983</v>
      </c>
    </row>
    <row r="59" spans="1:1" ht="17.25" customHeight="1">
      <c r="A59" s="609" t="s">
        <v>984</v>
      </c>
    </row>
    <row r="60" spans="1:1" ht="17.25" customHeight="1">
      <c r="A60" s="609" t="s">
        <v>985</v>
      </c>
    </row>
    <row r="61" spans="1:1" ht="17.25" customHeight="1">
      <c r="A61" s="609" t="s">
        <v>986</v>
      </c>
    </row>
    <row r="62" spans="1:1" ht="17.25" customHeight="1">
      <c r="A62" s="609" t="s">
        <v>987</v>
      </c>
    </row>
    <row r="63" spans="1:1" ht="17.25" customHeight="1">
      <c r="A63" s="609" t="s">
        <v>988</v>
      </c>
    </row>
    <row r="64" spans="1:1" ht="17.25" customHeight="1">
      <c r="A64" s="609" t="s">
        <v>989</v>
      </c>
    </row>
    <row r="65" spans="1:1" ht="17.25" customHeight="1">
      <c r="A65" s="609" t="s">
        <v>990</v>
      </c>
    </row>
  </sheetData>
  <autoFilter ref="A1:A65" xr:uid="{00000000-0009-0000-0000-000000000000}"/>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J82"/>
  <sheetViews>
    <sheetView showGridLines="0" view="pageBreakPreview" zoomScaleNormal="100" workbookViewId="0">
      <selection activeCell="E18" sqref="E18"/>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1571" t="s">
        <v>704</v>
      </c>
      <c r="B1" s="1572"/>
      <c r="C1" s="1572"/>
      <c r="D1" s="1572"/>
      <c r="E1" s="1572"/>
      <c r="F1" s="1572"/>
      <c r="G1" s="1572"/>
      <c r="H1" s="1572"/>
      <c r="I1" s="1572"/>
      <c r="J1" s="1572"/>
    </row>
    <row r="2" spans="1:10" s="3" customFormat="1" ht="15" customHeight="1">
      <c r="A2" s="1576"/>
      <c r="B2" s="1577"/>
      <c r="C2" s="1577"/>
      <c r="D2" s="1577"/>
      <c r="E2" s="1577"/>
      <c r="F2" s="1577"/>
      <c r="G2" s="1577"/>
      <c r="H2" s="1577"/>
      <c r="I2" s="1577"/>
      <c r="J2" s="1577"/>
    </row>
    <row r="3" spans="1:10" s="3" customFormat="1" ht="15" customHeight="1">
      <c r="A3" s="2"/>
    </row>
    <row r="4" spans="1:10" s="3" customFormat="1" ht="15" customHeight="1">
      <c r="A4" s="4" t="s">
        <v>705</v>
      </c>
    </row>
    <row r="5" spans="1:10" s="3" customFormat="1" ht="15" customHeight="1">
      <c r="A5" s="2"/>
    </row>
    <row r="6" spans="1:10" ht="15" customHeight="1">
      <c r="A6" s="1579" t="s">
        <v>1461</v>
      </c>
      <c r="B6" s="1580"/>
      <c r="C6" s="1580"/>
      <c r="D6" s="1580"/>
      <c r="E6" s="1580"/>
      <c r="F6" s="1580"/>
      <c r="G6" s="1580"/>
      <c r="H6" s="1580"/>
      <c r="I6" s="1580"/>
      <c r="J6" s="1580"/>
    </row>
    <row r="7" spans="1:10" ht="15" customHeight="1">
      <c r="A7" s="1579" t="s">
        <v>595</v>
      </c>
      <c r="B7" s="1580"/>
      <c r="C7" s="1580"/>
      <c r="D7" s="1580"/>
      <c r="E7" s="1580"/>
      <c r="F7" s="1580"/>
      <c r="G7" s="1580"/>
      <c r="H7" s="1580"/>
      <c r="I7" s="1580"/>
      <c r="J7" s="1580"/>
    </row>
    <row r="8" spans="1:10" ht="15" customHeight="1">
      <c r="A8" s="5"/>
    </row>
    <row r="9" spans="1:10" s="8" customFormat="1" ht="15" customHeight="1">
      <c r="A9" s="7" t="s">
        <v>706</v>
      </c>
    </row>
    <row r="10" spans="1:10" s="9" customFormat="1" ht="15" customHeight="1">
      <c r="A10" s="5" t="s">
        <v>707</v>
      </c>
    </row>
    <row r="11" spans="1:10" s="5" customFormat="1" ht="15" customHeight="1">
      <c r="A11" s="5" t="s">
        <v>708</v>
      </c>
    </row>
    <row r="12" spans="1:10" s="5" customFormat="1" ht="15" customHeight="1"/>
    <row r="13" spans="1:10" s="8" customFormat="1" ht="15" customHeight="1">
      <c r="A13" s="7" t="s">
        <v>1462</v>
      </c>
    </row>
    <row r="14" spans="1:10" s="9" customFormat="1" ht="15" customHeight="1">
      <c r="A14" s="5" t="s">
        <v>1463</v>
      </c>
    </row>
    <row r="15" spans="1:10" ht="15" customHeight="1">
      <c r="A15" s="5"/>
    </row>
    <row r="16" spans="1:10" s="8" customFormat="1" ht="15" customHeight="1">
      <c r="A16" s="7" t="s">
        <v>709</v>
      </c>
    </row>
    <row r="17" spans="1:10" s="9" customFormat="1" ht="15" customHeight="1">
      <c r="A17" s="5" t="s">
        <v>1493</v>
      </c>
    </row>
    <row r="18" spans="1:10" ht="15" customHeight="1">
      <c r="A18" s="10"/>
    </row>
    <row r="19" spans="1:10" s="12" customFormat="1" ht="15" customHeight="1">
      <c r="A19" s="1573" t="s">
        <v>710</v>
      </c>
      <c r="B19" s="1573"/>
      <c r="C19" s="1573"/>
      <c r="D19" s="1573"/>
      <c r="E19" s="1573"/>
      <c r="F19" s="1573"/>
      <c r="G19" s="1573"/>
      <c r="H19" s="1573"/>
      <c r="I19" s="1573"/>
      <c r="J19" s="1573"/>
    </row>
    <row r="20" spans="1:10" s="13" customFormat="1" ht="15" customHeight="1">
      <c r="A20" s="12" t="s">
        <v>1494</v>
      </c>
    </row>
    <row r="21" spans="1:10" s="12" customFormat="1" ht="15" customHeight="1">
      <c r="A21" s="1574" t="s">
        <v>1495</v>
      </c>
      <c r="B21" s="1575"/>
      <c r="C21" s="1575"/>
      <c r="D21" s="1575"/>
      <c r="E21" s="1575"/>
      <c r="F21" s="1575"/>
      <c r="G21" s="1575"/>
      <c r="H21" s="1575"/>
      <c r="I21" s="1575"/>
      <c r="J21" s="1575"/>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t="s">
        <v>711</v>
      </c>
    </row>
    <row r="25" spans="1:10" s="16" customFormat="1" ht="15" customHeight="1">
      <c r="A25" s="15"/>
    </row>
    <row r="26" spans="1:10" s="18" customFormat="1" ht="30.75" customHeight="1">
      <c r="A26" s="1578" t="s">
        <v>1496</v>
      </c>
      <c r="B26" s="1578"/>
      <c r="C26" s="1578"/>
      <c r="D26" s="1578"/>
      <c r="E26" s="1578"/>
      <c r="F26" s="1578"/>
      <c r="G26" s="1578"/>
      <c r="H26" s="1578"/>
      <c r="I26" s="1578"/>
      <c r="J26" s="1578"/>
    </row>
    <row r="27" spans="1:10" s="17" customFormat="1" ht="15">
      <c r="A27" s="1578" t="s">
        <v>1497</v>
      </c>
      <c r="B27" s="1578"/>
      <c r="C27" s="1578"/>
      <c r="D27" s="1578"/>
      <c r="E27" s="1578"/>
      <c r="F27" s="1578"/>
      <c r="G27" s="1578"/>
      <c r="H27" s="1578"/>
      <c r="I27" s="1578"/>
      <c r="J27" s="1578"/>
    </row>
    <row r="28" spans="1:10" s="17" customFormat="1" ht="15">
      <c r="A28" s="1578" t="s">
        <v>1498</v>
      </c>
      <c r="B28" s="1578"/>
      <c r="C28" s="1578"/>
      <c r="D28" s="1578"/>
      <c r="E28" s="1578"/>
      <c r="F28" s="1578"/>
      <c r="G28" s="1578"/>
      <c r="H28" s="1578"/>
      <c r="I28" s="1578"/>
      <c r="J28" s="1578"/>
    </row>
    <row r="29" spans="1:10" s="17" customFormat="1" ht="31.5" customHeight="1">
      <c r="A29" s="1578" t="s">
        <v>1499</v>
      </c>
      <c r="B29" s="1578"/>
      <c r="C29" s="1578"/>
      <c r="D29" s="1578"/>
      <c r="E29" s="1578"/>
      <c r="F29" s="1578"/>
      <c r="G29" s="1578"/>
      <c r="H29" s="1578"/>
      <c r="I29" s="1578"/>
      <c r="J29" s="1578"/>
    </row>
    <row r="30" spans="1:10" s="17" customFormat="1" ht="31.5" customHeight="1">
      <c r="A30" s="1578" t="s">
        <v>1500</v>
      </c>
      <c r="B30" s="1578"/>
      <c r="C30" s="1578"/>
      <c r="D30" s="1578"/>
      <c r="E30" s="1578"/>
      <c r="F30" s="1578"/>
      <c r="G30" s="1578"/>
      <c r="H30" s="1578"/>
      <c r="I30" s="1578"/>
      <c r="J30" s="1578"/>
    </row>
    <row r="31" spans="1:10" s="17" customFormat="1" ht="15" customHeight="1">
      <c r="A31" s="1578" t="s">
        <v>1501</v>
      </c>
      <c r="B31" s="1578"/>
      <c r="C31" s="1578"/>
      <c r="D31" s="1578"/>
      <c r="E31" s="1578"/>
      <c r="F31" s="1578"/>
      <c r="G31" s="1578"/>
      <c r="H31" s="1578"/>
      <c r="I31" s="1578"/>
      <c r="J31" s="1578"/>
    </row>
    <row r="32" spans="1:10" s="19" customFormat="1" ht="46.5" customHeight="1">
      <c r="A32" s="1578" t="s">
        <v>1464</v>
      </c>
      <c r="B32" s="1578"/>
      <c r="C32" s="1578"/>
      <c r="D32" s="1578"/>
      <c r="E32" s="1578"/>
      <c r="F32" s="1578"/>
      <c r="G32" s="1578"/>
      <c r="H32" s="1578"/>
      <c r="I32" s="1578"/>
      <c r="J32" s="1578"/>
    </row>
    <row r="33" spans="1:10" s="5" customFormat="1" ht="15" customHeight="1">
      <c r="A33" s="1578" t="s">
        <v>593</v>
      </c>
      <c r="B33" s="1578"/>
      <c r="C33" s="1578"/>
      <c r="D33" s="1578"/>
      <c r="E33" s="1578"/>
      <c r="F33" s="1578"/>
      <c r="G33" s="1578"/>
      <c r="H33" s="1578"/>
      <c r="I33" s="1578"/>
      <c r="J33" s="1578"/>
    </row>
    <row r="34" spans="1:10" s="5" customFormat="1" ht="15" customHeight="1">
      <c r="A34" s="1578" t="s">
        <v>594</v>
      </c>
      <c r="B34" s="1578"/>
      <c r="C34" s="1578"/>
      <c r="D34" s="1578"/>
      <c r="E34" s="1578"/>
      <c r="F34" s="1578"/>
      <c r="G34" s="1578"/>
      <c r="H34" s="1578"/>
      <c r="I34" s="1578"/>
      <c r="J34" s="1578"/>
    </row>
    <row r="35" spans="1:10" s="5" customFormat="1" ht="15" customHeight="1">
      <c r="A35" s="12"/>
      <c r="B35" s="12"/>
      <c r="C35" s="12"/>
      <c r="D35" s="12"/>
      <c r="E35" s="12"/>
      <c r="F35" s="12"/>
      <c r="G35" s="12"/>
      <c r="H35" s="12"/>
      <c r="I35" s="12"/>
      <c r="J35" s="12"/>
    </row>
    <row r="36" spans="1:10" ht="15" customHeight="1">
      <c r="A36" s="14" t="s">
        <v>283</v>
      </c>
    </row>
    <row r="37" spans="1:10" ht="15" customHeight="1">
      <c r="A37" s="12"/>
    </row>
    <row r="38" spans="1:10" ht="15" customHeight="1">
      <c r="A38" s="12"/>
    </row>
    <row r="39" spans="1:10" s="5" customFormat="1" ht="15" customHeight="1">
      <c r="A39" s="1573" t="s">
        <v>284</v>
      </c>
      <c r="B39" s="1573"/>
      <c r="C39" s="1573"/>
      <c r="D39" s="1573"/>
      <c r="E39" s="1573"/>
      <c r="F39" s="1573"/>
      <c r="G39" s="1573"/>
      <c r="H39" s="1573"/>
      <c r="I39" s="1573"/>
      <c r="J39" s="1573"/>
    </row>
    <row r="40" spans="1:10" ht="15" customHeight="1">
      <c r="A40" s="11"/>
    </row>
    <row r="41" spans="1:10" ht="15" customHeight="1">
      <c r="A41" s="11" t="s">
        <v>1502</v>
      </c>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16">
    <mergeCell ref="A1:J1"/>
    <mergeCell ref="A39:J39"/>
    <mergeCell ref="A19:J19"/>
    <mergeCell ref="A21:J21"/>
    <mergeCell ref="A2:J2"/>
    <mergeCell ref="A33:J33"/>
    <mergeCell ref="A32:J32"/>
    <mergeCell ref="A6:J6"/>
    <mergeCell ref="A26:J26"/>
    <mergeCell ref="A29:J29"/>
    <mergeCell ref="A34:J34"/>
    <mergeCell ref="A7:J7"/>
    <mergeCell ref="A31:J31"/>
    <mergeCell ref="A27:J27"/>
    <mergeCell ref="A28:J28"/>
    <mergeCell ref="A30:J30"/>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6">
    <pageSetUpPr fitToPage="1"/>
  </sheetPr>
  <dimension ref="A1:J82"/>
  <sheetViews>
    <sheetView showGridLines="0" view="pageBreakPreview" zoomScaleNormal="100" workbookViewId="0">
      <selection activeCell="H10" sqref="H10:J10"/>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1571" t="s">
        <v>1596</v>
      </c>
      <c r="B1" s="1572"/>
      <c r="C1" s="1572"/>
      <c r="D1" s="1572"/>
      <c r="E1" s="1572"/>
      <c r="F1" s="1572"/>
      <c r="G1" s="1572"/>
      <c r="H1" s="1572"/>
      <c r="I1" s="1572"/>
      <c r="J1" s="1572"/>
    </row>
    <row r="2" spans="1:10" s="3" customFormat="1" ht="15" customHeight="1">
      <c r="A2" s="1576"/>
      <c r="B2" s="1577"/>
      <c r="C2" s="1577"/>
      <c r="D2" s="1577"/>
      <c r="E2" s="1577"/>
      <c r="F2" s="1577"/>
      <c r="G2" s="1577"/>
      <c r="H2" s="1577"/>
      <c r="I2" s="1577"/>
      <c r="J2" s="1577"/>
    </row>
    <row r="3" spans="1:10" s="3" customFormat="1" ht="15" customHeight="1">
      <c r="A3" s="2"/>
    </row>
    <row r="4" spans="1:10" s="3" customFormat="1" ht="15" customHeight="1">
      <c r="A4" s="4"/>
    </row>
    <row r="5" spans="1:10" s="3" customFormat="1" ht="15" customHeight="1">
      <c r="A5" s="2"/>
    </row>
    <row r="6" spans="1:10" s="1398" customFormat="1" ht="15" customHeight="1">
      <c r="A6" s="1583" t="s">
        <v>648</v>
      </c>
      <c r="B6" s="1583"/>
      <c r="C6" s="1583"/>
      <c r="D6" s="1583" t="s">
        <v>731</v>
      </c>
      <c r="E6" s="1583"/>
      <c r="F6" s="1583" t="s">
        <v>1597</v>
      </c>
      <c r="G6" s="1583"/>
      <c r="H6" s="1583" t="s">
        <v>1598</v>
      </c>
      <c r="I6" s="1583"/>
      <c r="J6" s="1583"/>
    </row>
    <row r="7" spans="1:10" s="283" customFormat="1" ht="15" customHeight="1">
      <c r="A7" s="1582">
        <v>44545</v>
      </c>
      <c r="B7" s="1582"/>
      <c r="C7" s="1582"/>
      <c r="D7" s="1581" t="s">
        <v>1599</v>
      </c>
      <c r="E7" s="1581"/>
      <c r="F7" s="1581" t="s">
        <v>1601</v>
      </c>
      <c r="G7" s="1581"/>
      <c r="H7" s="1581" t="s">
        <v>1600</v>
      </c>
      <c r="I7" s="1581"/>
      <c r="J7" s="1581"/>
    </row>
    <row r="8" spans="1:10" s="283" customFormat="1" ht="15" customHeight="1">
      <c r="A8" s="1582">
        <v>44545</v>
      </c>
      <c r="B8" s="1581"/>
      <c r="C8" s="1581"/>
      <c r="D8" s="1581" t="s">
        <v>1599</v>
      </c>
      <c r="E8" s="1581"/>
      <c r="F8" s="1581" t="s">
        <v>1602</v>
      </c>
      <c r="G8" s="1581"/>
      <c r="H8" s="1581" t="s">
        <v>1603</v>
      </c>
      <c r="I8" s="1581"/>
      <c r="J8" s="1581"/>
    </row>
    <row r="9" spans="1:10" s="8" customFormat="1" ht="42.75" customHeight="1">
      <c r="A9" s="1582">
        <v>44728</v>
      </c>
      <c r="B9" s="1581"/>
      <c r="C9" s="1581"/>
      <c r="D9" s="1581" t="s">
        <v>1722</v>
      </c>
      <c r="E9" s="1581"/>
      <c r="F9" s="1584" t="s">
        <v>1727</v>
      </c>
      <c r="G9" s="1581"/>
      <c r="H9" s="1581" t="s">
        <v>1726</v>
      </c>
      <c r="I9" s="1581"/>
      <c r="J9" s="1581"/>
    </row>
    <row r="10" spans="1:10" s="283" customFormat="1" ht="15" customHeight="1">
      <c r="A10" s="1581"/>
      <c r="B10" s="1581"/>
      <c r="C10" s="1581"/>
      <c r="D10" s="1581"/>
      <c r="E10" s="1581"/>
      <c r="F10" s="1581"/>
      <c r="G10" s="1581"/>
      <c r="H10" s="1581"/>
      <c r="I10" s="1581"/>
      <c r="J10" s="1581"/>
    </row>
    <row r="11" spans="1:10" s="283" customFormat="1" ht="15" customHeight="1">
      <c r="A11" s="1581"/>
      <c r="B11" s="1581"/>
      <c r="C11" s="1581"/>
      <c r="D11" s="1581"/>
      <c r="E11" s="1581"/>
      <c r="F11" s="1581"/>
      <c r="G11" s="1581"/>
      <c r="H11" s="1581"/>
      <c r="I11" s="1581"/>
      <c r="J11" s="1581"/>
    </row>
    <row r="12" spans="1:10" s="283" customFormat="1" ht="15" customHeight="1">
      <c r="A12" s="1581"/>
      <c r="B12" s="1581"/>
      <c r="C12" s="1581"/>
      <c r="D12" s="1581"/>
      <c r="E12" s="1581"/>
      <c r="F12" s="1581"/>
      <c r="G12" s="1581"/>
      <c r="H12" s="1581"/>
      <c r="I12" s="1581"/>
      <c r="J12" s="1581"/>
    </row>
    <row r="13" spans="1:10" s="8" customFormat="1" ht="15" customHeight="1">
      <c r="A13" s="1581"/>
      <c r="B13" s="1581"/>
      <c r="C13" s="1581"/>
      <c r="D13" s="1581"/>
      <c r="E13" s="1581"/>
      <c r="F13" s="1581"/>
      <c r="G13" s="1581"/>
      <c r="H13" s="1581"/>
      <c r="I13" s="1581"/>
      <c r="J13" s="1581"/>
    </row>
    <row r="14" spans="1:10" s="283" customFormat="1" ht="15" customHeight="1">
      <c r="A14" s="1581"/>
      <c r="B14" s="1581"/>
      <c r="C14" s="1581"/>
      <c r="D14" s="1581"/>
      <c r="E14" s="1581"/>
      <c r="F14" s="1581"/>
      <c r="G14" s="1581"/>
      <c r="H14" s="1581"/>
      <c r="I14" s="1581"/>
      <c r="J14" s="1581"/>
    </row>
    <row r="15" spans="1:10" s="283" customFormat="1" ht="15" customHeight="1">
      <c r="A15" s="1581"/>
      <c r="B15" s="1581"/>
      <c r="C15" s="1581"/>
      <c r="D15" s="1581"/>
      <c r="E15" s="1581"/>
      <c r="F15" s="1581"/>
      <c r="G15" s="1581"/>
      <c r="H15" s="1581"/>
      <c r="I15" s="1581"/>
      <c r="J15" s="1581"/>
    </row>
    <row r="16" spans="1:10" s="8" customFormat="1" ht="15" customHeight="1">
      <c r="A16" s="1581"/>
      <c r="B16" s="1581"/>
      <c r="C16" s="1581"/>
      <c r="D16" s="1581"/>
      <c r="E16" s="1581"/>
      <c r="F16" s="1581"/>
      <c r="G16" s="1581"/>
      <c r="H16" s="1581"/>
      <c r="I16" s="1581"/>
      <c r="J16" s="1581"/>
    </row>
    <row r="17" spans="1:10" s="283" customFormat="1" ht="15" customHeight="1">
      <c r="A17" s="1581"/>
      <c r="B17" s="1581"/>
      <c r="C17" s="1581"/>
      <c r="D17" s="1581"/>
      <c r="E17" s="1581"/>
      <c r="F17" s="1581"/>
      <c r="G17" s="1581"/>
      <c r="H17" s="1581"/>
      <c r="I17" s="1581"/>
      <c r="J17" s="1581"/>
    </row>
    <row r="18" spans="1:10" s="283" customFormat="1" ht="15" customHeight="1">
      <c r="A18" s="1581"/>
      <c r="B18" s="1581"/>
      <c r="C18" s="1581"/>
      <c r="D18" s="1581"/>
      <c r="E18" s="1581"/>
      <c r="F18" s="1581"/>
      <c r="G18" s="1581"/>
      <c r="H18" s="1581"/>
      <c r="I18" s="1581"/>
      <c r="J18" s="1581"/>
    </row>
    <row r="19" spans="1:10" s="487" customFormat="1" ht="15" customHeight="1">
      <c r="A19" s="1581"/>
      <c r="B19" s="1581"/>
      <c r="C19" s="1581"/>
      <c r="D19" s="1581"/>
      <c r="E19" s="1581"/>
      <c r="F19" s="1581"/>
      <c r="G19" s="1581"/>
      <c r="H19" s="1581"/>
      <c r="I19" s="1581"/>
      <c r="J19" s="1581"/>
    </row>
    <row r="20" spans="1:10" s="13" customFormat="1" ht="15" customHeight="1">
      <c r="A20" s="12"/>
    </row>
    <row r="21" spans="1:10" s="12" customFormat="1" ht="15" customHeight="1">
      <c r="A21" s="5"/>
      <c r="B21" s="29"/>
      <c r="C21" s="29"/>
      <c r="D21" s="29"/>
      <c r="E21" s="29"/>
      <c r="F21" s="29"/>
      <c r="G21" s="29"/>
      <c r="H21" s="29"/>
      <c r="I21" s="29"/>
      <c r="J21" s="29"/>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row>
    <row r="25" spans="1:10" s="16" customFormat="1" ht="15" customHeight="1">
      <c r="A25" s="15"/>
    </row>
    <row r="26" spans="1:10" s="18" customFormat="1" ht="30.75" customHeight="1">
      <c r="A26" s="19"/>
      <c r="B26" s="19"/>
      <c r="C26" s="19"/>
      <c r="D26" s="19"/>
      <c r="E26" s="19"/>
      <c r="F26" s="19"/>
      <c r="G26" s="19"/>
      <c r="H26" s="19"/>
      <c r="I26" s="19"/>
      <c r="J26" s="19"/>
    </row>
    <row r="27" spans="1:10" s="17" customFormat="1" ht="15">
      <c r="A27" s="19"/>
      <c r="B27" s="19"/>
      <c r="C27" s="19"/>
      <c r="D27" s="19"/>
      <c r="E27" s="19"/>
      <c r="F27" s="19"/>
      <c r="G27" s="19"/>
      <c r="H27" s="19"/>
      <c r="I27" s="19"/>
      <c r="J27" s="19"/>
    </row>
    <row r="28" spans="1:10" s="17" customFormat="1" ht="15">
      <c r="A28" s="19"/>
      <c r="B28" s="19"/>
      <c r="C28" s="19"/>
      <c r="D28" s="19"/>
      <c r="E28" s="19"/>
      <c r="F28" s="19"/>
      <c r="G28" s="19"/>
      <c r="H28" s="19"/>
      <c r="I28" s="19"/>
      <c r="J28" s="19"/>
    </row>
    <row r="29" spans="1:10" s="17" customFormat="1" ht="31.5" customHeight="1">
      <c r="A29" s="19"/>
      <c r="B29" s="19"/>
      <c r="C29" s="19"/>
      <c r="D29" s="19"/>
      <c r="E29" s="19"/>
      <c r="F29" s="19"/>
      <c r="G29" s="19"/>
      <c r="H29" s="19"/>
      <c r="I29" s="19"/>
      <c r="J29" s="19"/>
    </row>
    <row r="30" spans="1:10" s="17" customFormat="1" ht="31.5" customHeight="1">
      <c r="A30" s="19"/>
      <c r="B30" s="19"/>
      <c r="C30" s="19"/>
      <c r="D30" s="19"/>
      <c r="E30" s="19"/>
      <c r="F30" s="19"/>
      <c r="G30" s="19"/>
      <c r="H30" s="19"/>
      <c r="I30" s="19"/>
      <c r="J30" s="19"/>
    </row>
    <row r="31" spans="1:10" s="17" customFormat="1" ht="15" customHeight="1">
      <c r="A31" s="19"/>
      <c r="B31" s="19"/>
      <c r="C31" s="19"/>
      <c r="D31" s="19"/>
      <c r="E31" s="19"/>
      <c r="F31" s="19"/>
      <c r="G31" s="19"/>
      <c r="H31" s="19"/>
      <c r="I31" s="19"/>
      <c r="J31" s="19"/>
    </row>
    <row r="32" spans="1:10" s="19" customFormat="1" ht="46.5" customHeight="1"/>
    <row r="33" spans="1:10" s="5" customFormat="1" ht="15" customHeight="1">
      <c r="A33" s="19"/>
      <c r="B33" s="19"/>
      <c r="C33" s="19"/>
      <c r="D33" s="19"/>
      <c r="E33" s="19"/>
      <c r="F33" s="19"/>
      <c r="G33" s="19"/>
      <c r="H33" s="19"/>
      <c r="I33" s="19"/>
      <c r="J33" s="19"/>
    </row>
    <row r="34" spans="1:10" s="5" customFormat="1" ht="15" customHeight="1">
      <c r="A34" s="19"/>
      <c r="B34" s="19"/>
      <c r="C34" s="19"/>
      <c r="D34" s="19"/>
      <c r="E34" s="19"/>
      <c r="F34" s="19"/>
      <c r="G34" s="19"/>
      <c r="H34" s="19"/>
      <c r="I34" s="19"/>
      <c r="J34" s="19"/>
    </row>
    <row r="35" spans="1:10" s="5" customFormat="1" ht="15" customHeight="1">
      <c r="A35" s="12"/>
      <c r="B35" s="12"/>
      <c r="C35" s="12"/>
      <c r="D35" s="12"/>
      <c r="E35" s="12"/>
      <c r="F35" s="12"/>
      <c r="G35" s="12"/>
      <c r="H35" s="12"/>
      <c r="I35" s="12"/>
      <c r="J35" s="12"/>
    </row>
    <row r="36" spans="1:10" ht="15" customHeight="1">
      <c r="A36" s="14"/>
    </row>
    <row r="37" spans="1:10" ht="15" customHeight="1">
      <c r="A37" s="12"/>
    </row>
    <row r="38" spans="1:10" ht="15" customHeight="1">
      <c r="A38" s="12"/>
    </row>
    <row r="39" spans="1:10" s="5" customFormat="1" ht="15" customHeight="1">
      <c r="A39" s="1573"/>
      <c r="B39" s="1573"/>
      <c r="C39" s="1573"/>
      <c r="D39" s="1573"/>
      <c r="E39" s="1573"/>
      <c r="F39" s="1573"/>
      <c r="G39" s="1573"/>
      <c r="H39" s="1573"/>
      <c r="I39" s="1573"/>
      <c r="J39" s="1573"/>
    </row>
    <row r="40" spans="1:10" ht="15" customHeight="1">
      <c r="A40" s="11"/>
    </row>
    <row r="41" spans="1:10" ht="15" customHeight="1">
      <c r="A41" s="11"/>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59">
    <mergeCell ref="A18:C18"/>
    <mergeCell ref="D18:E18"/>
    <mergeCell ref="F18:G18"/>
    <mergeCell ref="H18:J18"/>
    <mergeCell ref="A19:C19"/>
    <mergeCell ref="D19:E19"/>
    <mergeCell ref="F19:G19"/>
    <mergeCell ref="H19:J19"/>
    <mergeCell ref="A16:C16"/>
    <mergeCell ref="D16:E16"/>
    <mergeCell ref="F16:G16"/>
    <mergeCell ref="H16:J16"/>
    <mergeCell ref="A17:C17"/>
    <mergeCell ref="D17:E17"/>
    <mergeCell ref="F17:G17"/>
    <mergeCell ref="H17:J17"/>
    <mergeCell ref="A14:C14"/>
    <mergeCell ref="D14:E14"/>
    <mergeCell ref="F14:G14"/>
    <mergeCell ref="H14:J14"/>
    <mergeCell ref="A15:C15"/>
    <mergeCell ref="D15:E15"/>
    <mergeCell ref="F15:G15"/>
    <mergeCell ref="H15:J15"/>
    <mergeCell ref="A12:C12"/>
    <mergeCell ref="D12:E12"/>
    <mergeCell ref="F12:G12"/>
    <mergeCell ref="H12:J12"/>
    <mergeCell ref="A13:C13"/>
    <mergeCell ref="D13:E13"/>
    <mergeCell ref="F13:G13"/>
    <mergeCell ref="H13:J13"/>
    <mergeCell ref="H10:J10"/>
    <mergeCell ref="A11:C11"/>
    <mergeCell ref="D11:E11"/>
    <mergeCell ref="F11:G11"/>
    <mergeCell ref="H11:J11"/>
    <mergeCell ref="A39:J39"/>
    <mergeCell ref="A6:C6"/>
    <mergeCell ref="D6:E6"/>
    <mergeCell ref="H6:J6"/>
    <mergeCell ref="F6:G6"/>
    <mergeCell ref="A7:C7"/>
    <mergeCell ref="D7:E7"/>
    <mergeCell ref="F8:G8"/>
    <mergeCell ref="H8:J8"/>
    <mergeCell ref="A9:C9"/>
    <mergeCell ref="D9:E9"/>
    <mergeCell ref="F9:G9"/>
    <mergeCell ref="H9:J9"/>
    <mergeCell ref="A10:C10"/>
    <mergeCell ref="D10:E10"/>
    <mergeCell ref="F10:G10"/>
    <mergeCell ref="A1:J1"/>
    <mergeCell ref="A2:J2"/>
    <mergeCell ref="F7:G7"/>
    <mergeCell ref="H7:J7"/>
    <mergeCell ref="A8:C8"/>
    <mergeCell ref="D8:E8"/>
  </mergeCells>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indexed="14"/>
    <outlinePr summaryBelow="0"/>
  </sheetPr>
  <dimension ref="A1:WVO80"/>
  <sheetViews>
    <sheetView showGridLines="0" tabSelected="1" view="pageBreakPreview" zoomScale="145" zoomScaleNormal="120" zoomScaleSheetLayoutView="145" workbookViewId="0">
      <pane ySplit="4" topLeftCell="A39" activePane="bottomLeft" state="frozen"/>
      <selection pane="bottomLeft" activeCell="D9" sqref="D9"/>
    </sheetView>
  </sheetViews>
  <sheetFormatPr baseColWidth="10" defaultColWidth="0" defaultRowHeight="0" customHeight="1" zeroHeight="1"/>
  <cols>
    <col min="1" max="1" width="7.7109375" style="945" customWidth="1"/>
    <col min="2" max="2" width="17.7109375" style="945" customWidth="1"/>
    <col min="3" max="3" width="3.28515625" style="1001" hidden="1" customWidth="1"/>
    <col min="4" max="4" width="4.85546875" style="1001" customWidth="1"/>
    <col min="5" max="5" width="50.7109375" style="945" customWidth="1"/>
    <col min="6" max="6" width="1.7109375" style="945" customWidth="1"/>
    <col min="7" max="7" width="0.85546875" style="945" customWidth="1"/>
    <col min="8" max="8" width="5.7109375" style="945" customWidth="1"/>
    <col min="9" max="9" width="36.140625" style="945" customWidth="1"/>
    <col min="10" max="257" width="3.28515625" style="945" hidden="1" customWidth="1"/>
    <col min="258" max="258" width="7.7109375" style="945" hidden="1" customWidth="1"/>
    <col min="259" max="259" width="15.7109375" style="945" hidden="1" customWidth="1"/>
    <col min="260" max="260" width="3.28515625" style="945" hidden="1" customWidth="1"/>
    <col min="261" max="261" width="4.85546875" style="945" hidden="1" customWidth="1"/>
    <col min="262" max="262" width="50.7109375" style="945" hidden="1" customWidth="1"/>
    <col min="263" max="263" width="1.7109375" style="945" hidden="1" customWidth="1"/>
    <col min="264" max="270" width="3.28515625" style="945" hidden="1" customWidth="1"/>
    <col min="271" max="513" width="3.28515625" style="945" hidden="1"/>
    <col min="514" max="514" width="7.7109375" style="945" hidden="1" customWidth="1"/>
    <col min="515" max="515" width="15.7109375" style="945" hidden="1" customWidth="1"/>
    <col min="516" max="516" width="3.28515625" style="945" hidden="1" customWidth="1"/>
    <col min="517" max="517" width="4.85546875" style="945" hidden="1" customWidth="1"/>
    <col min="518" max="518" width="50.7109375" style="945" hidden="1" customWidth="1"/>
    <col min="519" max="519" width="1.7109375" style="945" hidden="1" customWidth="1"/>
    <col min="520" max="526" width="3.28515625" style="945" hidden="1" customWidth="1"/>
    <col min="527" max="769" width="3.28515625" style="945" hidden="1"/>
    <col min="770" max="770" width="7.7109375" style="945" hidden="1" customWidth="1"/>
    <col min="771" max="771" width="15.7109375" style="945" hidden="1" customWidth="1"/>
    <col min="772" max="772" width="3.28515625" style="945" hidden="1" customWidth="1"/>
    <col min="773" max="773" width="4.85546875" style="945" hidden="1" customWidth="1"/>
    <col min="774" max="774" width="50.7109375" style="945" hidden="1" customWidth="1"/>
    <col min="775" max="775" width="1.7109375" style="945" hidden="1" customWidth="1"/>
    <col min="776" max="782" width="3.28515625" style="945" hidden="1" customWidth="1"/>
    <col min="783" max="1025" width="3.28515625" style="945" hidden="1"/>
    <col min="1026" max="1026" width="7.7109375" style="945" hidden="1" customWidth="1"/>
    <col min="1027" max="1027" width="15.7109375" style="945" hidden="1" customWidth="1"/>
    <col min="1028" max="1028" width="3.28515625" style="945" hidden="1" customWidth="1"/>
    <col min="1029" max="1029" width="4.85546875" style="945" hidden="1" customWidth="1"/>
    <col min="1030" max="1030" width="50.7109375" style="945" hidden="1" customWidth="1"/>
    <col min="1031" max="1031" width="1.7109375" style="945" hidden="1" customWidth="1"/>
    <col min="1032" max="1038" width="3.28515625" style="945" hidden="1" customWidth="1"/>
    <col min="1039" max="1281" width="3.28515625" style="945" hidden="1"/>
    <col min="1282" max="1282" width="7.7109375" style="945" hidden="1" customWidth="1"/>
    <col min="1283" max="1283" width="15.7109375" style="945" hidden="1" customWidth="1"/>
    <col min="1284" max="1284" width="3.28515625" style="945" hidden="1" customWidth="1"/>
    <col min="1285" max="1285" width="4.85546875" style="945" hidden="1" customWidth="1"/>
    <col min="1286" max="1286" width="50.7109375" style="945" hidden="1" customWidth="1"/>
    <col min="1287" max="1287" width="1.7109375" style="945" hidden="1" customWidth="1"/>
    <col min="1288" max="1294" width="3.28515625" style="945" hidden="1" customWidth="1"/>
    <col min="1295" max="1537" width="3.28515625" style="945" hidden="1"/>
    <col min="1538" max="1538" width="7.7109375" style="945" hidden="1" customWidth="1"/>
    <col min="1539" max="1539" width="15.7109375" style="945" hidden="1" customWidth="1"/>
    <col min="1540" max="1540" width="3.28515625" style="945" hidden="1" customWidth="1"/>
    <col min="1541" max="1541" width="4.85546875" style="945" hidden="1" customWidth="1"/>
    <col min="1542" max="1542" width="50.7109375" style="945" hidden="1" customWidth="1"/>
    <col min="1543" max="1543" width="1.7109375" style="945" hidden="1" customWidth="1"/>
    <col min="1544" max="1550" width="3.28515625" style="945" hidden="1" customWidth="1"/>
    <col min="1551" max="1793" width="3.28515625" style="945" hidden="1"/>
    <col min="1794" max="1794" width="7.7109375" style="945" hidden="1" customWidth="1"/>
    <col min="1795" max="1795" width="15.7109375" style="945" hidden="1" customWidth="1"/>
    <col min="1796" max="1796" width="3.28515625" style="945" hidden="1" customWidth="1"/>
    <col min="1797" max="1797" width="4.85546875" style="945" hidden="1" customWidth="1"/>
    <col min="1798" max="1798" width="50.7109375" style="945" hidden="1" customWidth="1"/>
    <col min="1799" max="1799" width="1.7109375" style="945" hidden="1" customWidth="1"/>
    <col min="1800" max="1806" width="3.28515625" style="945" hidden="1" customWidth="1"/>
    <col min="1807" max="2049" width="3.28515625" style="945" hidden="1"/>
    <col min="2050" max="2050" width="7.7109375" style="945" hidden="1" customWidth="1"/>
    <col min="2051" max="2051" width="15.7109375" style="945" hidden="1" customWidth="1"/>
    <col min="2052" max="2052" width="3.28515625" style="945" hidden="1" customWidth="1"/>
    <col min="2053" max="2053" width="4.85546875" style="945" hidden="1" customWidth="1"/>
    <col min="2054" max="2054" width="50.7109375" style="945" hidden="1" customWidth="1"/>
    <col min="2055" max="2055" width="1.7109375" style="945" hidden="1" customWidth="1"/>
    <col min="2056" max="2062" width="3.28515625" style="945" hidden="1" customWidth="1"/>
    <col min="2063" max="2305" width="3.28515625" style="945" hidden="1"/>
    <col min="2306" max="2306" width="7.7109375" style="945" hidden="1" customWidth="1"/>
    <col min="2307" max="2307" width="15.7109375" style="945" hidden="1" customWidth="1"/>
    <col min="2308" max="2308" width="3.28515625" style="945" hidden="1" customWidth="1"/>
    <col min="2309" max="2309" width="4.85546875" style="945" hidden="1" customWidth="1"/>
    <col min="2310" max="2310" width="50.7109375" style="945" hidden="1" customWidth="1"/>
    <col min="2311" max="2311" width="1.7109375" style="945" hidden="1" customWidth="1"/>
    <col min="2312" max="2318" width="3.28515625" style="945" hidden="1" customWidth="1"/>
    <col min="2319" max="2561" width="3.28515625" style="945" hidden="1"/>
    <col min="2562" max="2562" width="7.7109375" style="945" hidden="1" customWidth="1"/>
    <col min="2563" max="2563" width="15.7109375" style="945" hidden="1" customWidth="1"/>
    <col min="2564" max="2564" width="3.28515625" style="945" hidden="1" customWidth="1"/>
    <col min="2565" max="2565" width="4.85546875" style="945" hidden="1" customWidth="1"/>
    <col min="2566" max="2566" width="50.7109375" style="945" hidden="1" customWidth="1"/>
    <col min="2567" max="2567" width="1.7109375" style="945" hidden="1" customWidth="1"/>
    <col min="2568" max="2574" width="3.28515625" style="945" hidden="1" customWidth="1"/>
    <col min="2575" max="2817" width="3.28515625" style="945" hidden="1"/>
    <col min="2818" max="2818" width="7.7109375" style="945" hidden="1" customWidth="1"/>
    <col min="2819" max="2819" width="15.7109375" style="945" hidden="1" customWidth="1"/>
    <col min="2820" max="2820" width="3.28515625" style="945" hidden="1" customWidth="1"/>
    <col min="2821" max="2821" width="4.85546875" style="945" hidden="1" customWidth="1"/>
    <col min="2822" max="2822" width="50.7109375" style="945" hidden="1" customWidth="1"/>
    <col min="2823" max="2823" width="1.7109375" style="945" hidden="1" customWidth="1"/>
    <col min="2824" max="2830" width="3.28515625" style="945" hidden="1" customWidth="1"/>
    <col min="2831" max="3073" width="3.28515625" style="945" hidden="1"/>
    <col min="3074" max="3074" width="7.7109375" style="945" hidden="1" customWidth="1"/>
    <col min="3075" max="3075" width="15.7109375" style="945" hidden="1" customWidth="1"/>
    <col min="3076" max="3076" width="3.28515625" style="945" hidden="1" customWidth="1"/>
    <col min="3077" max="3077" width="4.85546875" style="945" hidden="1" customWidth="1"/>
    <col min="3078" max="3078" width="50.7109375" style="945" hidden="1" customWidth="1"/>
    <col min="3079" max="3079" width="1.7109375" style="945" hidden="1" customWidth="1"/>
    <col min="3080" max="3086" width="3.28515625" style="945" hidden="1" customWidth="1"/>
    <col min="3087" max="3329" width="3.28515625" style="945" hidden="1"/>
    <col min="3330" max="3330" width="7.7109375" style="945" hidden="1" customWidth="1"/>
    <col min="3331" max="3331" width="15.7109375" style="945" hidden="1" customWidth="1"/>
    <col min="3332" max="3332" width="3.28515625" style="945" hidden="1" customWidth="1"/>
    <col min="3333" max="3333" width="4.85546875" style="945" hidden="1" customWidth="1"/>
    <col min="3334" max="3334" width="50.7109375" style="945" hidden="1" customWidth="1"/>
    <col min="3335" max="3335" width="1.7109375" style="945" hidden="1" customWidth="1"/>
    <col min="3336" max="3342" width="3.28515625" style="945" hidden="1" customWidth="1"/>
    <col min="3343" max="3585" width="3.28515625" style="945" hidden="1"/>
    <col min="3586" max="3586" width="7.7109375" style="945" hidden="1" customWidth="1"/>
    <col min="3587" max="3587" width="15.7109375" style="945" hidden="1" customWidth="1"/>
    <col min="3588" max="3588" width="3.28515625" style="945" hidden="1" customWidth="1"/>
    <col min="3589" max="3589" width="4.85546875" style="945" hidden="1" customWidth="1"/>
    <col min="3590" max="3590" width="50.7109375" style="945" hidden="1" customWidth="1"/>
    <col min="3591" max="3591" width="1.7109375" style="945" hidden="1" customWidth="1"/>
    <col min="3592" max="3598" width="3.28515625" style="945" hidden="1" customWidth="1"/>
    <col min="3599" max="3841" width="3.28515625" style="945" hidden="1"/>
    <col min="3842" max="3842" width="7.7109375" style="945" hidden="1" customWidth="1"/>
    <col min="3843" max="3843" width="15.7109375" style="945" hidden="1" customWidth="1"/>
    <col min="3844" max="3844" width="3.28515625" style="945" hidden="1" customWidth="1"/>
    <col min="3845" max="3845" width="4.85546875" style="945" hidden="1" customWidth="1"/>
    <col min="3846" max="3846" width="50.7109375" style="945" hidden="1" customWidth="1"/>
    <col min="3847" max="3847" width="1.7109375" style="945" hidden="1" customWidth="1"/>
    <col min="3848" max="3854" width="3.28515625" style="945" hidden="1" customWidth="1"/>
    <col min="3855" max="4097" width="3.28515625" style="945" hidden="1"/>
    <col min="4098" max="4098" width="7.7109375" style="945" hidden="1" customWidth="1"/>
    <col min="4099" max="4099" width="15.7109375" style="945" hidden="1" customWidth="1"/>
    <col min="4100" max="4100" width="3.28515625" style="945" hidden="1" customWidth="1"/>
    <col min="4101" max="4101" width="4.85546875" style="945" hidden="1" customWidth="1"/>
    <col min="4102" max="4102" width="50.7109375" style="945" hidden="1" customWidth="1"/>
    <col min="4103" max="4103" width="1.7109375" style="945" hidden="1" customWidth="1"/>
    <col min="4104" max="4110" width="3.28515625" style="945" hidden="1" customWidth="1"/>
    <col min="4111" max="4353" width="3.28515625" style="945" hidden="1"/>
    <col min="4354" max="4354" width="7.7109375" style="945" hidden="1" customWidth="1"/>
    <col min="4355" max="4355" width="15.7109375" style="945" hidden="1" customWidth="1"/>
    <col min="4356" max="4356" width="3.28515625" style="945" hidden="1" customWidth="1"/>
    <col min="4357" max="4357" width="4.85546875" style="945" hidden="1" customWidth="1"/>
    <col min="4358" max="4358" width="50.7109375" style="945" hidden="1" customWidth="1"/>
    <col min="4359" max="4359" width="1.7109375" style="945" hidden="1" customWidth="1"/>
    <col min="4360" max="4366" width="3.28515625" style="945" hidden="1" customWidth="1"/>
    <col min="4367" max="4609" width="3.28515625" style="945" hidden="1"/>
    <col min="4610" max="4610" width="7.7109375" style="945" hidden="1" customWidth="1"/>
    <col min="4611" max="4611" width="15.7109375" style="945" hidden="1" customWidth="1"/>
    <col min="4612" max="4612" width="3.28515625" style="945" hidden="1" customWidth="1"/>
    <col min="4613" max="4613" width="4.85546875" style="945" hidden="1" customWidth="1"/>
    <col min="4614" max="4614" width="50.7109375" style="945" hidden="1" customWidth="1"/>
    <col min="4615" max="4615" width="1.7109375" style="945" hidden="1" customWidth="1"/>
    <col min="4616" max="4622" width="3.28515625" style="945" hidden="1" customWidth="1"/>
    <col min="4623" max="4865" width="3.28515625" style="945" hidden="1"/>
    <col min="4866" max="4866" width="7.7109375" style="945" hidden="1" customWidth="1"/>
    <col min="4867" max="4867" width="15.7109375" style="945" hidden="1" customWidth="1"/>
    <col min="4868" max="4868" width="3.28515625" style="945" hidden="1" customWidth="1"/>
    <col min="4869" max="4869" width="4.85546875" style="945" hidden="1" customWidth="1"/>
    <col min="4870" max="4870" width="50.7109375" style="945" hidden="1" customWidth="1"/>
    <col min="4871" max="4871" width="1.7109375" style="945" hidden="1" customWidth="1"/>
    <col min="4872" max="4878" width="3.28515625" style="945" hidden="1" customWidth="1"/>
    <col min="4879" max="5121" width="3.28515625" style="945" hidden="1"/>
    <col min="5122" max="5122" width="7.7109375" style="945" hidden="1" customWidth="1"/>
    <col min="5123" max="5123" width="15.7109375" style="945" hidden="1" customWidth="1"/>
    <col min="5124" max="5124" width="3.28515625" style="945" hidden="1" customWidth="1"/>
    <col min="5125" max="5125" width="4.85546875" style="945" hidden="1" customWidth="1"/>
    <col min="5126" max="5126" width="50.7109375" style="945" hidden="1" customWidth="1"/>
    <col min="5127" max="5127" width="1.7109375" style="945" hidden="1" customWidth="1"/>
    <col min="5128" max="5134" width="3.28515625" style="945" hidden="1" customWidth="1"/>
    <col min="5135" max="5377" width="3.28515625" style="945" hidden="1"/>
    <col min="5378" max="5378" width="7.7109375" style="945" hidden="1" customWidth="1"/>
    <col min="5379" max="5379" width="15.7109375" style="945" hidden="1" customWidth="1"/>
    <col min="5380" max="5380" width="3.28515625" style="945" hidden="1" customWidth="1"/>
    <col min="5381" max="5381" width="4.85546875" style="945" hidden="1" customWidth="1"/>
    <col min="5382" max="5382" width="50.7109375" style="945" hidden="1" customWidth="1"/>
    <col min="5383" max="5383" width="1.7109375" style="945" hidden="1" customWidth="1"/>
    <col min="5384" max="5390" width="3.28515625" style="945" hidden="1" customWidth="1"/>
    <col min="5391" max="5633" width="3.28515625" style="945" hidden="1"/>
    <col min="5634" max="5634" width="7.7109375" style="945" hidden="1" customWidth="1"/>
    <col min="5635" max="5635" width="15.7109375" style="945" hidden="1" customWidth="1"/>
    <col min="5636" max="5636" width="3.28515625" style="945" hidden="1" customWidth="1"/>
    <col min="5637" max="5637" width="4.85546875" style="945" hidden="1" customWidth="1"/>
    <col min="5638" max="5638" width="50.7109375" style="945" hidden="1" customWidth="1"/>
    <col min="5639" max="5639" width="1.7109375" style="945" hidden="1" customWidth="1"/>
    <col min="5640" max="5646" width="3.28515625" style="945" hidden="1" customWidth="1"/>
    <col min="5647" max="5889" width="3.28515625" style="945" hidden="1"/>
    <col min="5890" max="5890" width="7.7109375" style="945" hidden="1" customWidth="1"/>
    <col min="5891" max="5891" width="15.7109375" style="945" hidden="1" customWidth="1"/>
    <col min="5892" max="5892" width="3.28515625" style="945" hidden="1" customWidth="1"/>
    <col min="5893" max="5893" width="4.85546875" style="945" hidden="1" customWidth="1"/>
    <col min="5894" max="5894" width="50.7109375" style="945" hidden="1" customWidth="1"/>
    <col min="5895" max="5895" width="1.7109375" style="945" hidden="1" customWidth="1"/>
    <col min="5896" max="5902" width="3.28515625" style="945" hidden="1" customWidth="1"/>
    <col min="5903" max="6145" width="3.28515625" style="945" hidden="1"/>
    <col min="6146" max="6146" width="7.7109375" style="945" hidden="1" customWidth="1"/>
    <col min="6147" max="6147" width="15.7109375" style="945" hidden="1" customWidth="1"/>
    <col min="6148" max="6148" width="3.28515625" style="945" hidden="1" customWidth="1"/>
    <col min="6149" max="6149" width="4.85546875" style="945" hidden="1" customWidth="1"/>
    <col min="6150" max="6150" width="50.7109375" style="945" hidden="1" customWidth="1"/>
    <col min="6151" max="6151" width="1.7109375" style="945" hidden="1" customWidth="1"/>
    <col min="6152" max="6158" width="3.28515625" style="945" hidden="1" customWidth="1"/>
    <col min="6159" max="6401" width="3.28515625" style="945" hidden="1"/>
    <col min="6402" max="6402" width="7.7109375" style="945" hidden="1" customWidth="1"/>
    <col min="6403" max="6403" width="15.7109375" style="945" hidden="1" customWidth="1"/>
    <col min="6404" max="6404" width="3.28515625" style="945" hidden="1" customWidth="1"/>
    <col min="6405" max="6405" width="4.85546875" style="945" hidden="1" customWidth="1"/>
    <col min="6406" max="6406" width="50.7109375" style="945" hidden="1" customWidth="1"/>
    <col min="6407" max="6407" width="1.7109375" style="945" hidden="1" customWidth="1"/>
    <col min="6408" max="6414" width="3.28515625" style="945" hidden="1" customWidth="1"/>
    <col min="6415" max="6657" width="3.28515625" style="945" hidden="1"/>
    <col min="6658" max="6658" width="7.7109375" style="945" hidden="1" customWidth="1"/>
    <col min="6659" max="6659" width="15.7109375" style="945" hidden="1" customWidth="1"/>
    <col min="6660" max="6660" width="3.28515625" style="945" hidden="1" customWidth="1"/>
    <col min="6661" max="6661" width="4.85546875" style="945" hidden="1" customWidth="1"/>
    <col min="6662" max="6662" width="50.7109375" style="945" hidden="1" customWidth="1"/>
    <col min="6663" max="6663" width="1.7109375" style="945" hidden="1" customWidth="1"/>
    <col min="6664" max="6670" width="3.28515625" style="945" hidden="1" customWidth="1"/>
    <col min="6671" max="6913" width="3.28515625" style="945" hidden="1"/>
    <col min="6914" max="6914" width="7.7109375" style="945" hidden="1" customWidth="1"/>
    <col min="6915" max="6915" width="15.7109375" style="945" hidden="1" customWidth="1"/>
    <col min="6916" max="6916" width="3.28515625" style="945" hidden="1" customWidth="1"/>
    <col min="6917" max="6917" width="4.85546875" style="945" hidden="1" customWidth="1"/>
    <col min="6918" max="6918" width="50.7109375" style="945" hidden="1" customWidth="1"/>
    <col min="6919" max="6919" width="1.7109375" style="945" hidden="1" customWidth="1"/>
    <col min="6920" max="6926" width="3.28515625" style="945" hidden="1" customWidth="1"/>
    <col min="6927" max="7169" width="3.28515625" style="945" hidden="1"/>
    <col min="7170" max="7170" width="7.7109375" style="945" hidden="1" customWidth="1"/>
    <col min="7171" max="7171" width="15.7109375" style="945" hidden="1" customWidth="1"/>
    <col min="7172" max="7172" width="3.28515625" style="945" hidden="1" customWidth="1"/>
    <col min="7173" max="7173" width="4.85546875" style="945" hidden="1" customWidth="1"/>
    <col min="7174" max="7174" width="50.7109375" style="945" hidden="1" customWidth="1"/>
    <col min="7175" max="7175" width="1.7109375" style="945" hidden="1" customWidth="1"/>
    <col min="7176" max="7182" width="3.28515625" style="945" hidden="1" customWidth="1"/>
    <col min="7183" max="7425" width="3.28515625" style="945" hidden="1"/>
    <col min="7426" max="7426" width="7.7109375" style="945" hidden="1" customWidth="1"/>
    <col min="7427" max="7427" width="15.7109375" style="945" hidden="1" customWidth="1"/>
    <col min="7428" max="7428" width="3.28515625" style="945" hidden="1" customWidth="1"/>
    <col min="7429" max="7429" width="4.85546875" style="945" hidden="1" customWidth="1"/>
    <col min="7430" max="7430" width="50.7109375" style="945" hidden="1" customWidth="1"/>
    <col min="7431" max="7431" width="1.7109375" style="945" hidden="1" customWidth="1"/>
    <col min="7432" max="7438" width="3.28515625" style="945" hidden="1" customWidth="1"/>
    <col min="7439" max="7681" width="3.28515625" style="945" hidden="1"/>
    <col min="7682" max="7682" width="7.7109375" style="945" hidden="1" customWidth="1"/>
    <col min="7683" max="7683" width="15.7109375" style="945" hidden="1" customWidth="1"/>
    <col min="7684" max="7684" width="3.28515625" style="945" hidden="1" customWidth="1"/>
    <col min="7685" max="7685" width="4.85546875" style="945" hidden="1" customWidth="1"/>
    <col min="7686" max="7686" width="50.7109375" style="945" hidden="1" customWidth="1"/>
    <col min="7687" max="7687" width="1.7109375" style="945" hidden="1" customWidth="1"/>
    <col min="7688" max="7694" width="3.28515625" style="945" hidden="1" customWidth="1"/>
    <col min="7695" max="7937" width="3.28515625" style="945" hidden="1"/>
    <col min="7938" max="7938" width="7.7109375" style="945" hidden="1" customWidth="1"/>
    <col min="7939" max="7939" width="15.7109375" style="945" hidden="1" customWidth="1"/>
    <col min="7940" max="7940" width="3.28515625" style="945" hidden="1" customWidth="1"/>
    <col min="7941" max="7941" width="4.85546875" style="945" hidden="1" customWidth="1"/>
    <col min="7942" max="7942" width="50.7109375" style="945" hidden="1" customWidth="1"/>
    <col min="7943" max="7943" width="1.7109375" style="945" hidden="1" customWidth="1"/>
    <col min="7944" max="7950" width="3.28515625" style="945" hidden="1" customWidth="1"/>
    <col min="7951" max="8193" width="3.28515625" style="945" hidden="1"/>
    <col min="8194" max="8194" width="7.7109375" style="945" hidden="1" customWidth="1"/>
    <col min="8195" max="8195" width="15.7109375" style="945" hidden="1" customWidth="1"/>
    <col min="8196" max="8196" width="3.28515625" style="945" hidden="1" customWidth="1"/>
    <col min="8197" max="8197" width="4.85546875" style="945" hidden="1" customWidth="1"/>
    <col min="8198" max="8198" width="50.7109375" style="945" hidden="1" customWidth="1"/>
    <col min="8199" max="8199" width="1.7109375" style="945" hidden="1" customWidth="1"/>
    <col min="8200" max="8206" width="3.28515625" style="945" hidden="1" customWidth="1"/>
    <col min="8207" max="8449" width="3.28515625" style="945" hidden="1"/>
    <col min="8450" max="8450" width="7.7109375" style="945" hidden="1" customWidth="1"/>
    <col min="8451" max="8451" width="15.7109375" style="945" hidden="1" customWidth="1"/>
    <col min="8452" max="8452" width="3.28515625" style="945" hidden="1" customWidth="1"/>
    <col min="8453" max="8453" width="4.85546875" style="945" hidden="1" customWidth="1"/>
    <col min="8454" max="8454" width="50.7109375" style="945" hidden="1" customWidth="1"/>
    <col min="8455" max="8455" width="1.7109375" style="945" hidden="1" customWidth="1"/>
    <col min="8456" max="8462" width="3.28515625" style="945" hidden="1" customWidth="1"/>
    <col min="8463" max="8705" width="3.28515625" style="945" hidden="1"/>
    <col min="8706" max="8706" width="7.7109375" style="945" hidden="1" customWidth="1"/>
    <col min="8707" max="8707" width="15.7109375" style="945" hidden="1" customWidth="1"/>
    <col min="8708" max="8708" width="3.28515625" style="945" hidden="1" customWidth="1"/>
    <col min="8709" max="8709" width="4.85546875" style="945" hidden="1" customWidth="1"/>
    <col min="8710" max="8710" width="50.7109375" style="945" hidden="1" customWidth="1"/>
    <col min="8711" max="8711" width="1.7109375" style="945" hidden="1" customWidth="1"/>
    <col min="8712" max="8718" width="3.28515625" style="945" hidden="1" customWidth="1"/>
    <col min="8719" max="8961" width="3.28515625" style="945" hidden="1"/>
    <col min="8962" max="8962" width="7.7109375" style="945" hidden="1" customWidth="1"/>
    <col min="8963" max="8963" width="15.7109375" style="945" hidden="1" customWidth="1"/>
    <col min="8964" max="8964" width="3.28515625" style="945" hidden="1" customWidth="1"/>
    <col min="8965" max="8965" width="4.85546875" style="945" hidden="1" customWidth="1"/>
    <col min="8966" max="8966" width="50.7109375" style="945" hidden="1" customWidth="1"/>
    <col min="8967" max="8967" width="1.7109375" style="945" hidden="1" customWidth="1"/>
    <col min="8968" max="8974" width="3.28515625" style="945" hidden="1" customWidth="1"/>
    <col min="8975" max="9217" width="3.28515625" style="945" hidden="1"/>
    <col min="9218" max="9218" width="7.7109375" style="945" hidden="1" customWidth="1"/>
    <col min="9219" max="9219" width="15.7109375" style="945" hidden="1" customWidth="1"/>
    <col min="9220" max="9220" width="3.28515625" style="945" hidden="1" customWidth="1"/>
    <col min="9221" max="9221" width="4.85546875" style="945" hidden="1" customWidth="1"/>
    <col min="9222" max="9222" width="50.7109375" style="945" hidden="1" customWidth="1"/>
    <col min="9223" max="9223" width="1.7109375" style="945" hidden="1" customWidth="1"/>
    <col min="9224" max="9230" width="3.28515625" style="945" hidden="1" customWidth="1"/>
    <col min="9231" max="9473" width="3.28515625" style="945" hidden="1"/>
    <col min="9474" max="9474" width="7.7109375" style="945" hidden="1" customWidth="1"/>
    <col min="9475" max="9475" width="15.7109375" style="945" hidden="1" customWidth="1"/>
    <col min="9476" max="9476" width="3.28515625" style="945" hidden="1" customWidth="1"/>
    <col min="9477" max="9477" width="4.85546875" style="945" hidden="1" customWidth="1"/>
    <col min="9478" max="9478" width="50.7109375" style="945" hidden="1" customWidth="1"/>
    <col min="9479" max="9479" width="1.7109375" style="945" hidden="1" customWidth="1"/>
    <col min="9480" max="9486" width="3.28515625" style="945" hidden="1" customWidth="1"/>
    <col min="9487" max="9729" width="3.28515625" style="945" hidden="1"/>
    <col min="9730" max="9730" width="7.7109375" style="945" hidden="1" customWidth="1"/>
    <col min="9731" max="9731" width="15.7109375" style="945" hidden="1" customWidth="1"/>
    <col min="9732" max="9732" width="3.28515625" style="945" hidden="1" customWidth="1"/>
    <col min="9733" max="9733" width="4.85546875" style="945" hidden="1" customWidth="1"/>
    <col min="9734" max="9734" width="50.7109375" style="945" hidden="1" customWidth="1"/>
    <col min="9735" max="9735" width="1.7109375" style="945" hidden="1" customWidth="1"/>
    <col min="9736" max="9742" width="3.28515625" style="945" hidden="1" customWidth="1"/>
    <col min="9743" max="9985" width="3.28515625" style="945" hidden="1"/>
    <col min="9986" max="9986" width="7.7109375" style="945" hidden="1" customWidth="1"/>
    <col min="9987" max="9987" width="15.7109375" style="945" hidden="1" customWidth="1"/>
    <col min="9988" max="9988" width="3.28515625" style="945" hidden="1" customWidth="1"/>
    <col min="9989" max="9989" width="4.85546875" style="945" hidden="1" customWidth="1"/>
    <col min="9990" max="9990" width="50.7109375" style="945" hidden="1" customWidth="1"/>
    <col min="9991" max="9991" width="1.7109375" style="945" hidden="1" customWidth="1"/>
    <col min="9992" max="9998" width="3.28515625" style="945" hidden="1" customWidth="1"/>
    <col min="9999" max="10241" width="3.28515625" style="945" hidden="1"/>
    <col min="10242" max="10242" width="7.7109375" style="945" hidden="1" customWidth="1"/>
    <col min="10243" max="10243" width="15.7109375" style="945" hidden="1" customWidth="1"/>
    <col min="10244" max="10244" width="3.28515625" style="945" hidden="1" customWidth="1"/>
    <col min="10245" max="10245" width="4.85546875" style="945" hidden="1" customWidth="1"/>
    <col min="10246" max="10246" width="50.7109375" style="945" hidden="1" customWidth="1"/>
    <col min="10247" max="10247" width="1.7109375" style="945" hidden="1" customWidth="1"/>
    <col min="10248" max="10254" width="3.28515625" style="945" hidden="1" customWidth="1"/>
    <col min="10255" max="10497" width="3.28515625" style="945" hidden="1"/>
    <col min="10498" max="10498" width="7.7109375" style="945" hidden="1" customWidth="1"/>
    <col min="10499" max="10499" width="15.7109375" style="945" hidden="1" customWidth="1"/>
    <col min="10500" max="10500" width="3.28515625" style="945" hidden="1" customWidth="1"/>
    <col min="10501" max="10501" width="4.85546875" style="945" hidden="1" customWidth="1"/>
    <col min="10502" max="10502" width="50.7109375" style="945" hidden="1" customWidth="1"/>
    <col min="10503" max="10503" width="1.7109375" style="945" hidden="1" customWidth="1"/>
    <col min="10504" max="10510" width="3.28515625" style="945" hidden="1" customWidth="1"/>
    <col min="10511" max="10753" width="3.28515625" style="945" hidden="1"/>
    <col min="10754" max="10754" width="7.7109375" style="945" hidden="1" customWidth="1"/>
    <col min="10755" max="10755" width="15.7109375" style="945" hidden="1" customWidth="1"/>
    <col min="10756" max="10756" width="3.28515625" style="945" hidden="1" customWidth="1"/>
    <col min="10757" max="10757" width="4.85546875" style="945" hidden="1" customWidth="1"/>
    <col min="10758" max="10758" width="50.7109375" style="945" hidden="1" customWidth="1"/>
    <col min="10759" max="10759" width="1.7109375" style="945" hidden="1" customWidth="1"/>
    <col min="10760" max="10766" width="3.28515625" style="945" hidden="1" customWidth="1"/>
    <col min="10767" max="11009" width="3.28515625" style="945" hidden="1"/>
    <col min="11010" max="11010" width="7.7109375" style="945" hidden="1" customWidth="1"/>
    <col min="11011" max="11011" width="15.7109375" style="945" hidden="1" customWidth="1"/>
    <col min="11012" max="11012" width="3.28515625" style="945" hidden="1" customWidth="1"/>
    <col min="11013" max="11013" width="4.85546875" style="945" hidden="1" customWidth="1"/>
    <col min="11014" max="11014" width="50.7109375" style="945" hidden="1" customWidth="1"/>
    <col min="11015" max="11015" width="1.7109375" style="945" hidden="1" customWidth="1"/>
    <col min="11016" max="11022" width="3.28515625" style="945" hidden="1" customWidth="1"/>
    <col min="11023" max="11265" width="3.28515625" style="945" hidden="1"/>
    <col min="11266" max="11266" width="7.7109375" style="945" hidden="1" customWidth="1"/>
    <col min="11267" max="11267" width="15.7109375" style="945" hidden="1" customWidth="1"/>
    <col min="11268" max="11268" width="3.28515625" style="945" hidden="1" customWidth="1"/>
    <col min="11269" max="11269" width="4.85546875" style="945" hidden="1" customWidth="1"/>
    <col min="11270" max="11270" width="50.7109375" style="945" hidden="1" customWidth="1"/>
    <col min="11271" max="11271" width="1.7109375" style="945" hidden="1" customWidth="1"/>
    <col min="11272" max="11278" width="3.28515625" style="945" hidden="1" customWidth="1"/>
    <col min="11279" max="11521" width="3.28515625" style="945" hidden="1"/>
    <col min="11522" max="11522" width="7.7109375" style="945" hidden="1" customWidth="1"/>
    <col min="11523" max="11523" width="15.7109375" style="945" hidden="1" customWidth="1"/>
    <col min="11524" max="11524" width="3.28515625" style="945" hidden="1" customWidth="1"/>
    <col min="11525" max="11525" width="4.85546875" style="945" hidden="1" customWidth="1"/>
    <col min="11526" max="11526" width="50.7109375" style="945" hidden="1" customWidth="1"/>
    <col min="11527" max="11527" width="1.7109375" style="945" hidden="1" customWidth="1"/>
    <col min="11528" max="11534" width="3.28515625" style="945" hidden="1" customWidth="1"/>
    <col min="11535" max="11777" width="3.28515625" style="945" hidden="1"/>
    <col min="11778" max="11778" width="7.7109375" style="945" hidden="1" customWidth="1"/>
    <col min="11779" max="11779" width="15.7109375" style="945" hidden="1" customWidth="1"/>
    <col min="11780" max="11780" width="3.28515625" style="945" hidden="1" customWidth="1"/>
    <col min="11781" max="11781" width="4.85546875" style="945" hidden="1" customWidth="1"/>
    <col min="11782" max="11782" width="50.7109375" style="945" hidden="1" customWidth="1"/>
    <col min="11783" max="11783" width="1.7109375" style="945" hidden="1" customWidth="1"/>
    <col min="11784" max="11790" width="3.28515625" style="945" hidden="1" customWidth="1"/>
    <col min="11791" max="12033" width="3.28515625" style="945" hidden="1"/>
    <col min="12034" max="12034" width="7.7109375" style="945" hidden="1" customWidth="1"/>
    <col min="12035" max="12035" width="15.7109375" style="945" hidden="1" customWidth="1"/>
    <col min="12036" max="12036" width="3.28515625" style="945" hidden="1" customWidth="1"/>
    <col min="12037" max="12037" width="4.85546875" style="945" hidden="1" customWidth="1"/>
    <col min="12038" max="12038" width="50.7109375" style="945" hidden="1" customWidth="1"/>
    <col min="12039" max="12039" width="1.7109375" style="945" hidden="1" customWidth="1"/>
    <col min="12040" max="12046" width="3.28515625" style="945" hidden="1" customWidth="1"/>
    <col min="12047" max="12289" width="3.28515625" style="945" hidden="1"/>
    <col min="12290" max="12290" width="7.7109375" style="945" hidden="1" customWidth="1"/>
    <col min="12291" max="12291" width="15.7109375" style="945" hidden="1" customWidth="1"/>
    <col min="12292" max="12292" width="3.28515625" style="945" hidden="1" customWidth="1"/>
    <col min="12293" max="12293" width="4.85546875" style="945" hidden="1" customWidth="1"/>
    <col min="12294" max="12294" width="50.7109375" style="945" hidden="1" customWidth="1"/>
    <col min="12295" max="12295" width="1.7109375" style="945" hidden="1" customWidth="1"/>
    <col min="12296" max="12302" width="3.28515625" style="945" hidden="1" customWidth="1"/>
    <col min="12303" max="12545" width="3.28515625" style="945" hidden="1"/>
    <col min="12546" max="12546" width="7.7109375" style="945" hidden="1" customWidth="1"/>
    <col min="12547" max="12547" width="15.7109375" style="945" hidden="1" customWidth="1"/>
    <col min="12548" max="12548" width="3.28515625" style="945" hidden="1" customWidth="1"/>
    <col min="12549" max="12549" width="4.85546875" style="945" hidden="1" customWidth="1"/>
    <col min="12550" max="12550" width="50.7109375" style="945" hidden="1" customWidth="1"/>
    <col min="12551" max="12551" width="1.7109375" style="945" hidden="1" customWidth="1"/>
    <col min="12552" max="12558" width="3.28515625" style="945" hidden="1" customWidth="1"/>
    <col min="12559" max="12801" width="3.28515625" style="945" hidden="1"/>
    <col min="12802" max="12802" width="7.7109375" style="945" hidden="1" customWidth="1"/>
    <col min="12803" max="12803" width="15.7109375" style="945" hidden="1" customWidth="1"/>
    <col min="12804" max="12804" width="3.28515625" style="945" hidden="1" customWidth="1"/>
    <col min="12805" max="12805" width="4.85546875" style="945" hidden="1" customWidth="1"/>
    <col min="12806" max="12806" width="50.7109375" style="945" hidden="1" customWidth="1"/>
    <col min="12807" max="12807" width="1.7109375" style="945" hidden="1" customWidth="1"/>
    <col min="12808" max="12814" width="3.28515625" style="945" hidden="1" customWidth="1"/>
    <col min="12815" max="13057" width="3.28515625" style="945" hidden="1"/>
    <col min="13058" max="13058" width="7.7109375" style="945" hidden="1" customWidth="1"/>
    <col min="13059" max="13059" width="15.7109375" style="945" hidden="1" customWidth="1"/>
    <col min="13060" max="13060" width="3.28515625" style="945" hidden="1" customWidth="1"/>
    <col min="13061" max="13061" width="4.85546875" style="945" hidden="1" customWidth="1"/>
    <col min="13062" max="13062" width="50.7109375" style="945" hidden="1" customWidth="1"/>
    <col min="13063" max="13063" width="1.7109375" style="945" hidden="1" customWidth="1"/>
    <col min="13064" max="13070" width="3.28515625" style="945" hidden="1" customWidth="1"/>
    <col min="13071" max="13313" width="3.28515625" style="945" hidden="1"/>
    <col min="13314" max="13314" width="7.7109375" style="945" hidden="1" customWidth="1"/>
    <col min="13315" max="13315" width="15.7109375" style="945" hidden="1" customWidth="1"/>
    <col min="13316" max="13316" width="3.28515625" style="945" hidden="1" customWidth="1"/>
    <col min="13317" max="13317" width="4.85546875" style="945" hidden="1" customWidth="1"/>
    <col min="13318" max="13318" width="50.7109375" style="945" hidden="1" customWidth="1"/>
    <col min="13319" max="13319" width="1.7109375" style="945" hidden="1" customWidth="1"/>
    <col min="13320" max="13326" width="3.28515625" style="945" hidden="1" customWidth="1"/>
    <col min="13327" max="13569" width="3.28515625" style="945" hidden="1"/>
    <col min="13570" max="13570" width="7.7109375" style="945" hidden="1" customWidth="1"/>
    <col min="13571" max="13571" width="15.7109375" style="945" hidden="1" customWidth="1"/>
    <col min="13572" max="13572" width="3.28515625" style="945" hidden="1" customWidth="1"/>
    <col min="13573" max="13573" width="4.85546875" style="945" hidden="1" customWidth="1"/>
    <col min="13574" max="13574" width="50.7109375" style="945" hidden="1" customWidth="1"/>
    <col min="13575" max="13575" width="1.7109375" style="945" hidden="1" customWidth="1"/>
    <col min="13576" max="13582" width="3.28515625" style="945" hidden="1" customWidth="1"/>
    <col min="13583" max="13825" width="3.28515625" style="945" hidden="1"/>
    <col min="13826" max="13826" width="7.7109375" style="945" hidden="1" customWidth="1"/>
    <col min="13827" max="13827" width="15.7109375" style="945" hidden="1" customWidth="1"/>
    <col min="13828" max="13828" width="3.28515625" style="945" hidden="1" customWidth="1"/>
    <col min="13829" max="13829" width="4.85546875" style="945" hidden="1" customWidth="1"/>
    <col min="13830" max="13830" width="50.7109375" style="945" hidden="1" customWidth="1"/>
    <col min="13831" max="13831" width="1.7109375" style="945" hidden="1" customWidth="1"/>
    <col min="13832" max="13838" width="3.28515625" style="945" hidden="1" customWidth="1"/>
    <col min="13839" max="14081" width="3.28515625" style="945" hidden="1"/>
    <col min="14082" max="14082" width="7.7109375" style="945" hidden="1" customWidth="1"/>
    <col min="14083" max="14083" width="15.7109375" style="945" hidden="1" customWidth="1"/>
    <col min="14084" max="14084" width="3.28515625" style="945" hidden="1" customWidth="1"/>
    <col min="14085" max="14085" width="4.85546875" style="945" hidden="1" customWidth="1"/>
    <col min="14086" max="14086" width="50.7109375" style="945" hidden="1" customWidth="1"/>
    <col min="14087" max="14087" width="1.7109375" style="945" hidden="1" customWidth="1"/>
    <col min="14088" max="14094" width="3.28515625" style="945" hidden="1" customWidth="1"/>
    <col min="14095" max="14337" width="3.28515625" style="945" hidden="1"/>
    <col min="14338" max="14338" width="7.7109375" style="945" hidden="1" customWidth="1"/>
    <col min="14339" max="14339" width="15.7109375" style="945" hidden="1" customWidth="1"/>
    <col min="14340" max="14340" width="3.28515625" style="945" hidden="1" customWidth="1"/>
    <col min="14341" max="14341" width="4.85546875" style="945" hidden="1" customWidth="1"/>
    <col min="14342" max="14342" width="50.7109375" style="945" hidden="1" customWidth="1"/>
    <col min="14343" max="14343" width="1.7109375" style="945" hidden="1" customWidth="1"/>
    <col min="14344" max="14350" width="3.28515625" style="945" hidden="1" customWidth="1"/>
    <col min="14351" max="14593" width="3.28515625" style="945" hidden="1"/>
    <col min="14594" max="14594" width="7.7109375" style="945" hidden="1" customWidth="1"/>
    <col min="14595" max="14595" width="15.7109375" style="945" hidden="1" customWidth="1"/>
    <col min="14596" max="14596" width="3.28515625" style="945" hidden="1" customWidth="1"/>
    <col min="14597" max="14597" width="4.85546875" style="945" hidden="1" customWidth="1"/>
    <col min="14598" max="14598" width="50.7109375" style="945" hidden="1" customWidth="1"/>
    <col min="14599" max="14599" width="1.7109375" style="945" hidden="1" customWidth="1"/>
    <col min="14600" max="14606" width="3.28515625" style="945" hidden="1" customWidth="1"/>
    <col min="14607" max="14849" width="3.28515625" style="945" hidden="1"/>
    <col min="14850" max="14850" width="7.7109375" style="945" hidden="1" customWidth="1"/>
    <col min="14851" max="14851" width="15.7109375" style="945" hidden="1" customWidth="1"/>
    <col min="14852" max="14852" width="3.28515625" style="945" hidden="1" customWidth="1"/>
    <col min="14853" max="14853" width="4.85546875" style="945" hidden="1" customWidth="1"/>
    <col min="14854" max="14854" width="50.7109375" style="945" hidden="1" customWidth="1"/>
    <col min="14855" max="14855" width="1.7109375" style="945" hidden="1" customWidth="1"/>
    <col min="14856" max="14862" width="3.28515625" style="945" hidden="1" customWidth="1"/>
    <col min="14863" max="15105" width="3.28515625" style="945" hidden="1"/>
    <col min="15106" max="15106" width="7.7109375" style="945" hidden="1" customWidth="1"/>
    <col min="15107" max="15107" width="15.7109375" style="945" hidden="1" customWidth="1"/>
    <col min="15108" max="15108" width="3.28515625" style="945" hidden="1" customWidth="1"/>
    <col min="15109" max="15109" width="4.85546875" style="945" hidden="1" customWidth="1"/>
    <col min="15110" max="15110" width="50.7109375" style="945" hidden="1" customWidth="1"/>
    <col min="15111" max="15111" width="1.7109375" style="945" hidden="1" customWidth="1"/>
    <col min="15112" max="15118" width="3.28515625" style="945" hidden="1" customWidth="1"/>
    <col min="15119" max="15361" width="3.28515625" style="945" hidden="1"/>
    <col min="15362" max="15362" width="7.7109375" style="945" hidden="1" customWidth="1"/>
    <col min="15363" max="15363" width="15.7109375" style="945" hidden="1" customWidth="1"/>
    <col min="15364" max="15364" width="3.28515625" style="945" hidden="1" customWidth="1"/>
    <col min="15365" max="15365" width="4.85546875" style="945" hidden="1" customWidth="1"/>
    <col min="15366" max="15366" width="50.7109375" style="945" hidden="1" customWidth="1"/>
    <col min="15367" max="15367" width="1.7109375" style="945" hidden="1" customWidth="1"/>
    <col min="15368" max="15374" width="3.28515625" style="945" hidden="1" customWidth="1"/>
    <col min="15375" max="15617" width="3.28515625" style="945" hidden="1"/>
    <col min="15618" max="15618" width="7.7109375" style="945" hidden="1" customWidth="1"/>
    <col min="15619" max="15619" width="15.7109375" style="945" hidden="1" customWidth="1"/>
    <col min="15620" max="15620" width="3.28515625" style="945" hidden="1" customWidth="1"/>
    <col min="15621" max="15621" width="4.85546875" style="945" hidden="1" customWidth="1"/>
    <col min="15622" max="15622" width="50.7109375" style="945" hidden="1" customWidth="1"/>
    <col min="15623" max="15623" width="1.7109375" style="945" hidden="1" customWidth="1"/>
    <col min="15624" max="15630" width="3.28515625" style="945" hidden="1" customWidth="1"/>
    <col min="15631" max="15873" width="3.28515625" style="945" hidden="1"/>
    <col min="15874" max="15874" width="7.7109375" style="945" hidden="1" customWidth="1"/>
    <col min="15875" max="15875" width="15.7109375" style="945" hidden="1" customWidth="1"/>
    <col min="15876" max="15876" width="3.28515625" style="945" hidden="1" customWidth="1"/>
    <col min="15877" max="15877" width="4.85546875" style="945" hidden="1" customWidth="1"/>
    <col min="15878" max="15878" width="50.7109375" style="945" hidden="1" customWidth="1"/>
    <col min="15879" max="15879" width="1.7109375" style="945" hidden="1" customWidth="1"/>
    <col min="15880" max="15886" width="3.28515625" style="945" hidden="1" customWidth="1"/>
    <col min="15887" max="16129" width="3.28515625" style="945" hidden="1"/>
    <col min="16130" max="16130" width="7.7109375" style="945" hidden="1" customWidth="1"/>
    <col min="16131" max="16131" width="15.7109375" style="945" hidden="1" customWidth="1"/>
    <col min="16132" max="16132" width="3.28515625" style="945" hidden="1" customWidth="1"/>
    <col min="16133" max="16133" width="4.85546875" style="945" hidden="1" customWidth="1"/>
    <col min="16134" max="16134" width="50.7109375" style="945" hidden="1" customWidth="1"/>
    <col min="16135" max="16135" width="1.7109375" style="945" hidden="1" customWidth="1"/>
    <col min="16136" max="16142" width="3.28515625" style="945" hidden="1" customWidth="1"/>
    <col min="16143" max="16384" width="3.28515625" style="945" hidden="1"/>
  </cols>
  <sheetData>
    <row r="1" spans="1:13" s="1066" customFormat="1" ht="9.9499999999999993" customHeight="1">
      <c r="A1" s="1065"/>
      <c r="B1" s="1585" t="s">
        <v>1272</v>
      </c>
      <c r="C1" s="1586"/>
      <c r="D1" s="1586"/>
      <c r="E1" s="1586"/>
      <c r="H1" s="1067"/>
    </row>
    <row r="2" spans="1:13" ht="33" customHeight="1">
      <c r="A2" s="1068"/>
      <c r="B2" s="1587"/>
      <c r="C2" s="1588"/>
      <c r="D2" s="1588"/>
      <c r="E2" s="1589"/>
      <c r="F2" s="1069"/>
      <c r="G2" s="1069"/>
      <c r="H2" s="1070"/>
      <c r="I2" s="1104"/>
    </row>
    <row r="3" spans="1:13" s="1072" customFormat="1" ht="9.9499999999999993" customHeight="1" thickBot="1">
      <c r="A3" s="1066"/>
      <c r="B3" s="1066" t="s">
        <v>1273</v>
      </c>
      <c r="C3" s="1071" t="s">
        <v>1274</v>
      </c>
      <c r="D3" s="1071" t="s">
        <v>1275</v>
      </c>
      <c r="E3" s="1066" t="s">
        <v>285</v>
      </c>
      <c r="F3" s="1066"/>
      <c r="G3" s="1066"/>
      <c r="H3" s="1112" t="s">
        <v>1276</v>
      </c>
    </row>
    <row r="4" spans="1:13" ht="20.100000000000001" customHeight="1" thickBot="1">
      <c r="A4" s="1073"/>
      <c r="B4" s="1074" t="s">
        <v>1756</v>
      </c>
      <c r="C4" s="1075"/>
      <c r="D4" s="1076"/>
      <c r="E4" s="1077" t="s">
        <v>1757</v>
      </c>
      <c r="F4" s="1078"/>
      <c r="G4" s="1078"/>
      <c r="H4" s="1114"/>
      <c r="I4" s="1105"/>
    </row>
    <row r="5" spans="1:13" ht="20.100000000000001" customHeight="1">
      <c r="A5" s="1570" t="s">
        <v>803</v>
      </c>
      <c r="B5" s="1080" t="s">
        <v>1758</v>
      </c>
      <c r="C5" s="1081"/>
      <c r="D5" s="1076"/>
      <c r="E5" s="1082" t="s">
        <v>1758</v>
      </c>
      <c r="F5" s="1083"/>
      <c r="G5" s="1078"/>
      <c r="H5" s="1079"/>
      <c r="I5" s="1103"/>
    </row>
    <row r="6" spans="1:13" ht="22.5" customHeight="1">
      <c r="A6" s="1090"/>
      <c r="B6" s="1085" t="s">
        <v>1759</v>
      </c>
      <c r="C6" s="1086"/>
      <c r="D6" s="1087"/>
      <c r="E6" s="1088" t="s">
        <v>1760</v>
      </c>
      <c r="F6" s="1083"/>
      <c r="G6" s="1078"/>
      <c r="H6" s="1111"/>
    </row>
    <row r="7" spans="1:13" ht="22.5" customHeight="1">
      <c r="A7" s="1090"/>
      <c r="B7" s="1085" t="s">
        <v>781</v>
      </c>
      <c r="C7" s="1086"/>
      <c r="D7" s="1089"/>
      <c r="E7" s="1088" t="s">
        <v>781</v>
      </c>
      <c r="F7" s="1083"/>
      <c r="G7" s="1078"/>
      <c r="H7" s="1079"/>
      <c r="I7" s="1103"/>
    </row>
    <row r="8" spans="1:13" ht="22.5" customHeight="1">
      <c r="A8" s="1084" t="s">
        <v>803</v>
      </c>
      <c r="B8" s="1085" t="s">
        <v>1761</v>
      </c>
      <c r="C8" s="1086"/>
      <c r="D8" s="1089"/>
      <c r="E8" s="1088" t="s">
        <v>1762</v>
      </c>
      <c r="F8" s="1083"/>
      <c r="G8" s="1078"/>
      <c r="H8" s="1111"/>
      <c r="I8" s="1105"/>
    </row>
    <row r="9" spans="1:13" ht="22.5" customHeight="1">
      <c r="A9" s="1090"/>
      <c r="B9" s="1085" t="s">
        <v>1763</v>
      </c>
      <c r="C9" s="1086"/>
      <c r="D9" s="1089"/>
      <c r="E9" s="1088" t="s">
        <v>1764</v>
      </c>
      <c r="F9" s="1083"/>
      <c r="G9" s="1078"/>
    </row>
    <row r="10" spans="1:13" ht="22.5" hidden="1" customHeight="1">
      <c r="A10" s="1084">
        <f>H4</f>
        <v>0</v>
      </c>
      <c r="B10" s="1085" t="s">
        <v>1765</v>
      </c>
      <c r="C10" s="1086"/>
      <c r="D10" s="1089"/>
      <c r="E10" s="1088" t="s">
        <v>1766</v>
      </c>
      <c r="F10" s="1078"/>
      <c r="G10" s="1078"/>
    </row>
    <row r="11" spans="1:13" ht="22.5" customHeight="1">
      <c r="A11" s="1090"/>
      <c r="B11" s="1085" t="s">
        <v>1767</v>
      </c>
      <c r="C11" s="1086"/>
      <c r="D11" s="1089"/>
      <c r="E11" s="1088" t="s">
        <v>1768</v>
      </c>
      <c r="F11" s="1083"/>
      <c r="G11" s="1078"/>
    </row>
    <row r="12" spans="1:13" ht="22.5" customHeight="1">
      <c r="A12" s="1090"/>
      <c r="B12" s="1085" t="s">
        <v>1769</v>
      </c>
      <c r="C12" s="1086"/>
      <c r="D12" s="1089"/>
      <c r="E12" s="1088" t="s">
        <v>1770</v>
      </c>
      <c r="F12" s="1083"/>
      <c r="G12" s="1078"/>
      <c r="H12" s="1079"/>
      <c r="I12" s="1103"/>
    </row>
    <row r="13" spans="1:13" ht="22.5" hidden="1" customHeight="1">
      <c r="A13" s="1084">
        <f>H4</f>
        <v>0</v>
      </c>
      <c r="B13" s="1085" t="s">
        <v>1771</v>
      </c>
      <c r="C13" s="1086"/>
      <c r="D13" s="1089"/>
      <c r="E13" s="1088" t="s">
        <v>1772</v>
      </c>
      <c r="F13" s="1083"/>
      <c r="G13" s="1078"/>
      <c r="H13" s="1079"/>
    </row>
    <row r="14" spans="1:13" ht="22.5" hidden="1" customHeight="1">
      <c r="A14" s="1084">
        <f>H4</f>
        <v>0</v>
      </c>
      <c r="B14" s="1085" t="s">
        <v>1773</v>
      </c>
      <c r="C14" s="1086"/>
      <c r="D14" s="1089"/>
      <c r="E14" s="1088" t="s">
        <v>1774</v>
      </c>
      <c r="F14" s="1083"/>
      <c r="G14" s="1078"/>
      <c r="H14" s="1079"/>
    </row>
    <row r="15" spans="1:13" ht="22.5" hidden="1" customHeight="1">
      <c r="A15" s="1084">
        <f>H4</f>
        <v>0</v>
      </c>
      <c r="B15" s="1085" t="s">
        <v>1775</v>
      </c>
      <c r="C15" s="1086"/>
      <c r="D15" s="1089"/>
      <c r="E15" s="1088" t="s">
        <v>1776</v>
      </c>
      <c r="F15" s="1083"/>
      <c r="G15" s="1078"/>
      <c r="H15" s="1079"/>
    </row>
    <row r="16" spans="1:13" ht="22.5" hidden="1" customHeight="1">
      <c r="A16" s="1084">
        <f>H4</f>
        <v>0</v>
      </c>
      <c r="B16" s="1085" t="s">
        <v>1777</v>
      </c>
      <c r="C16" s="1086"/>
      <c r="D16" s="1091"/>
      <c r="E16" s="1088" t="s">
        <v>1778</v>
      </c>
      <c r="F16" s="1083"/>
      <c r="G16" s="1078"/>
      <c r="H16" s="1079"/>
      <c r="I16" s="982"/>
      <c r="J16" s="982"/>
      <c r="M16" s="1092"/>
    </row>
    <row r="17" spans="1:12" ht="22.5" customHeight="1">
      <c r="A17" s="1084" t="s">
        <v>803</v>
      </c>
      <c r="B17" s="1085" t="s">
        <v>1779</v>
      </c>
      <c r="C17" s="1086"/>
      <c r="D17" s="1089"/>
      <c r="E17" s="1088" t="s">
        <v>1780</v>
      </c>
      <c r="F17" s="1078"/>
      <c r="G17" s="1078"/>
      <c r="H17" s="1079"/>
      <c r="I17" s="982"/>
    </row>
    <row r="18" spans="1:12" ht="22.5" customHeight="1">
      <c r="A18" s="1084" t="s">
        <v>803</v>
      </c>
      <c r="B18" s="1085" t="s">
        <v>1781</v>
      </c>
      <c r="C18" s="1086"/>
      <c r="D18" s="1089"/>
      <c r="E18" s="1088" t="s">
        <v>286</v>
      </c>
      <c r="F18" s="1078"/>
      <c r="G18" s="1078"/>
      <c r="H18" s="1079"/>
    </row>
    <row r="19" spans="1:12" ht="22.5" customHeight="1">
      <c r="A19" s="1090"/>
      <c r="B19" s="1085" t="s">
        <v>1782</v>
      </c>
      <c r="C19" s="1086"/>
      <c r="D19" s="1089"/>
      <c r="E19" s="1088" t="s">
        <v>1783</v>
      </c>
      <c r="F19" s="1078"/>
      <c r="G19" s="1078"/>
      <c r="H19" s="1079"/>
    </row>
    <row r="20" spans="1:12" ht="22.5" customHeight="1">
      <c r="A20" s="1090"/>
      <c r="B20" s="1085" t="s">
        <v>1784</v>
      </c>
      <c r="C20" s="1086"/>
      <c r="D20" s="1089"/>
      <c r="E20" s="1088" t="s">
        <v>287</v>
      </c>
      <c r="F20" s="1078"/>
      <c r="G20" s="1078"/>
      <c r="H20" s="1079"/>
      <c r="I20" s="982"/>
      <c r="K20" s="1093"/>
    </row>
    <row r="21" spans="1:12" ht="22.5" customHeight="1">
      <c r="A21" s="1090"/>
      <c r="B21" s="1085" t="s">
        <v>1785</v>
      </c>
      <c r="C21" s="1094"/>
      <c r="D21" s="1089"/>
      <c r="E21" s="1088" t="s">
        <v>1786</v>
      </c>
      <c r="F21" s="1078"/>
      <c r="G21" s="1078"/>
      <c r="H21" s="1079"/>
    </row>
    <row r="22" spans="1:12" ht="22.5" customHeight="1">
      <c r="A22" s="1090"/>
      <c r="B22" s="1085" t="s">
        <v>1787</v>
      </c>
      <c r="C22" s="1086"/>
      <c r="D22" s="1089"/>
      <c r="E22" s="1088" t="s">
        <v>1788</v>
      </c>
      <c r="F22" s="1078"/>
      <c r="G22" s="1078"/>
      <c r="H22" s="1079"/>
      <c r="I22" s="982"/>
    </row>
    <row r="23" spans="1:12" ht="22.5" customHeight="1">
      <c r="A23" s="1090"/>
      <c r="B23" s="1085" t="s">
        <v>1789</v>
      </c>
      <c r="C23" s="1086"/>
      <c r="D23" s="1089"/>
      <c r="E23" s="1088" t="s">
        <v>1790</v>
      </c>
      <c r="F23" s="1078"/>
      <c r="G23" s="1078"/>
      <c r="H23" s="1079"/>
      <c r="I23" s="982"/>
    </row>
    <row r="24" spans="1:12" ht="22.5" customHeight="1">
      <c r="A24" s="1090"/>
      <c r="B24" s="1085" t="s">
        <v>1791</v>
      </c>
      <c r="C24" s="1086"/>
      <c r="D24" s="1091"/>
      <c r="E24" s="1088" t="s">
        <v>1792</v>
      </c>
      <c r="F24" s="1078"/>
      <c r="G24" s="1078"/>
      <c r="H24" s="1079"/>
      <c r="I24" s="982"/>
    </row>
    <row r="25" spans="1:12" ht="22.5" customHeight="1">
      <c r="A25" s="1090"/>
      <c r="B25" s="1095" t="s">
        <v>1793</v>
      </c>
      <c r="C25" s="1086"/>
      <c r="D25" s="1089"/>
      <c r="E25" s="1088" t="s">
        <v>769</v>
      </c>
      <c r="F25" s="1083"/>
      <c r="G25" s="1078"/>
      <c r="H25" s="1079"/>
      <c r="I25" s="946"/>
    </row>
    <row r="26" spans="1:12" ht="22.5" customHeight="1">
      <c r="A26" s="1090"/>
      <c r="B26" s="1085" t="s">
        <v>1794</v>
      </c>
      <c r="C26" s="1086"/>
      <c r="D26" s="1091"/>
      <c r="E26" s="1088" t="s">
        <v>1795</v>
      </c>
      <c r="F26" s="1078"/>
      <c r="G26" s="1078"/>
      <c r="H26" s="1079"/>
      <c r="I26" s="982"/>
      <c r="L26" s="1093"/>
    </row>
    <row r="27" spans="1:12" ht="22.5" customHeight="1">
      <c r="A27" s="1090"/>
      <c r="B27" s="1085" t="s">
        <v>1796</v>
      </c>
      <c r="C27" s="1086"/>
      <c r="D27" s="1091"/>
      <c r="E27" s="1088" t="s">
        <v>770</v>
      </c>
      <c r="F27" s="1078"/>
      <c r="G27" s="1078"/>
      <c r="H27" s="1079"/>
      <c r="I27" s="982"/>
      <c r="L27" s="1093"/>
    </row>
    <row r="28" spans="1:12" ht="22.5" customHeight="1">
      <c r="A28" s="1090"/>
      <c r="B28" s="1085" t="s">
        <v>1797</v>
      </c>
      <c r="C28" s="1086"/>
      <c r="D28" s="1091"/>
      <c r="E28" s="1088" t="s">
        <v>1798</v>
      </c>
      <c r="F28" s="1078"/>
      <c r="G28" s="1078"/>
      <c r="H28" s="1079"/>
      <c r="I28" s="982"/>
      <c r="L28" s="1093"/>
    </row>
    <row r="29" spans="1:12" ht="22.5" customHeight="1">
      <c r="A29" s="1090"/>
      <c r="B29" s="1085" t="s">
        <v>1799</v>
      </c>
      <c r="C29" s="1086"/>
      <c r="D29" s="1089"/>
      <c r="E29" s="1088" t="s">
        <v>1800</v>
      </c>
      <c r="F29" s="1078"/>
      <c r="G29" s="1078"/>
      <c r="H29" s="1079"/>
      <c r="I29" s="982"/>
      <c r="L29" s="1093"/>
    </row>
    <row r="30" spans="1:12" ht="22.5" customHeight="1">
      <c r="A30" s="1090"/>
      <c r="B30" s="1085" t="s">
        <v>1801</v>
      </c>
      <c r="C30" s="1086"/>
      <c r="D30" s="1089"/>
      <c r="E30" s="1088" t="s">
        <v>1802</v>
      </c>
      <c r="F30" s="1078"/>
      <c r="G30" s="1078"/>
      <c r="H30" s="1079"/>
      <c r="I30" s="982"/>
      <c r="L30" s="1093"/>
    </row>
    <row r="31" spans="1:12" ht="22.5" customHeight="1">
      <c r="A31" s="1090"/>
      <c r="B31" s="1085" t="s">
        <v>1803</v>
      </c>
      <c r="C31" s="1086"/>
      <c r="D31" s="1089"/>
      <c r="E31" s="1088" t="s">
        <v>1804</v>
      </c>
      <c r="F31" s="1078"/>
      <c r="G31" s="1078"/>
      <c r="H31" s="1079"/>
      <c r="I31" s="982"/>
      <c r="L31" s="1093"/>
    </row>
    <row r="32" spans="1:12" ht="22.5" customHeight="1">
      <c r="A32" s="1090"/>
      <c r="B32" s="1085" t="s">
        <v>1805</v>
      </c>
      <c r="C32" s="1086"/>
      <c r="D32" s="1089"/>
      <c r="E32" s="1088" t="s">
        <v>1806</v>
      </c>
      <c r="F32" s="1078"/>
      <c r="G32" s="1078"/>
      <c r="H32" s="1079"/>
      <c r="I32" s="982"/>
      <c r="L32" s="1093"/>
    </row>
    <row r="33" spans="1:12" ht="22.5" customHeight="1">
      <c r="A33" s="1090"/>
      <c r="B33" s="1085" t="s">
        <v>1807</v>
      </c>
      <c r="C33" s="1086"/>
      <c r="D33" s="1089"/>
      <c r="E33" s="1088" t="s">
        <v>1808</v>
      </c>
      <c r="F33" s="1078"/>
      <c r="G33" s="1078"/>
      <c r="H33" s="1079"/>
      <c r="I33" s="982"/>
      <c r="L33" s="1093"/>
    </row>
    <row r="34" spans="1:12" ht="22.5" customHeight="1">
      <c r="A34" s="1090"/>
      <c r="B34" s="1085" t="s">
        <v>1809</v>
      </c>
      <c r="C34" s="1086"/>
      <c r="D34" s="1089"/>
      <c r="E34" s="1088" t="s">
        <v>1810</v>
      </c>
      <c r="F34" s="1078"/>
      <c r="G34" s="1078"/>
      <c r="H34" s="1079"/>
      <c r="I34" s="982"/>
      <c r="L34" s="1093"/>
    </row>
    <row r="35" spans="1:12" ht="22.5" customHeight="1">
      <c r="A35" s="1090"/>
      <c r="B35" s="1085" t="s">
        <v>1811</v>
      </c>
      <c r="C35" s="1086"/>
      <c r="D35" s="1089"/>
      <c r="E35" s="1088" t="s">
        <v>1812</v>
      </c>
      <c r="F35" s="1078"/>
      <c r="G35" s="1078"/>
      <c r="H35" s="1079"/>
      <c r="I35" s="982"/>
      <c r="L35" s="1093"/>
    </row>
    <row r="36" spans="1:12" ht="22.5" customHeight="1">
      <c r="A36" s="1090"/>
      <c r="B36" s="1085" t="s">
        <v>1813</v>
      </c>
      <c r="C36" s="1086"/>
      <c r="D36" s="1089"/>
      <c r="E36" s="1088" t="s">
        <v>1814</v>
      </c>
      <c r="F36" s="1078"/>
      <c r="G36" s="1078"/>
      <c r="H36" s="1079"/>
      <c r="I36" s="982"/>
      <c r="L36" s="1093"/>
    </row>
    <row r="37" spans="1:12" ht="22.5" customHeight="1">
      <c r="A37" s="1090"/>
      <c r="B37" s="1085" t="s">
        <v>1815</v>
      </c>
      <c r="C37" s="1086"/>
      <c r="D37" s="1091"/>
      <c r="E37" s="1088" t="s">
        <v>1816</v>
      </c>
      <c r="F37" s="1078"/>
      <c r="G37" s="1078"/>
      <c r="H37" s="1079"/>
    </row>
    <row r="38" spans="1:12" ht="22.5" customHeight="1">
      <c r="A38" s="1090"/>
      <c r="B38" s="1085" t="s">
        <v>1817</v>
      </c>
      <c r="C38" s="1086"/>
      <c r="D38" s="1091"/>
      <c r="E38" s="1088" t="s">
        <v>1818</v>
      </c>
      <c r="F38" s="1083"/>
      <c r="G38" s="1078"/>
      <c r="H38" s="1079"/>
      <c r="I38" s="982"/>
    </row>
    <row r="39" spans="1:12" ht="22.5" customHeight="1">
      <c r="A39" s="1090"/>
      <c r="B39" s="1085" t="s">
        <v>1819</v>
      </c>
      <c r="C39" s="1086"/>
      <c r="D39" s="1091"/>
      <c r="E39" s="1088" t="s">
        <v>1820</v>
      </c>
      <c r="F39" s="1083"/>
      <c r="G39" s="1078"/>
      <c r="H39" s="1079"/>
    </row>
    <row r="40" spans="1:12" ht="22.5" customHeight="1">
      <c r="A40" s="1090"/>
      <c r="B40" s="1085" t="s">
        <v>1821</v>
      </c>
      <c r="C40" s="1086"/>
      <c r="D40" s="1091"/>
      <c r="E40" s="1088" t="s">
        <v>1822</v>
      </c>
      <c r="F40" s="1078"/>
      <c r="G40" s="1078"/>
      <c r="H40" s="1079"/>
      <c r="I40" s="982"/>
      <c r="L40" s="1093"/>
    </row>
    <row r="41" spans="1:12" ht="22.5" hidden="1" customHeight="1">
      <c r="A41" s="1084">
        <f>H4</f>
        <v>0</v>
      </c>
      <c r="B41" s="1085" t="s">
        <v>1823</v>
      </c>
      <c r="C41" s="1086"/>
      <c r="D41" s="1091"/>
      <c r="E41" s="1088" t="s">
        <v>1824</v>
      </c>
      <c r="F41" s="1078"/>
      <c r="G41" s="1078"/>
      <c r="H41" s="1079"/>
      <c r="I41" s="982"/>
      <c r="L41" s="1093"/>
    </row>
    <row r="42" spans="1:12" ht="22.5" customHeight="1">
      <c r="A42" s="1090"/>
      <c r="B42" s="1085" t="s">
        <v>1825</v>
      </c>
      <c r="C42" s="1086"/>
      <c r="D42" s="1091"/>
      <c r="E42" s="1088" t="s">
        <v>1826</v>
      </c>
      <c r="F42" s="1083"/>
      <c r="G42" s="1078"/>
      <c r="H42" s="1079"/>
      <c r="I42" s="982"/>
    </row>
    <row r="43" spans="1:12" ht="22.5" customHeight="1">
      <c r="A43" s="1084" t="s">
        <v>803</v>
      </c>
      <c r="B43" s="1085" t="s">
        <v>1827</v>
      </c>
      <c r="C43" s="1086"/>
      <c r="D43" s="1091"/>
      <c r="E43" s="1088" t="s">
        <v>1828</v>
      </c>
      <c r="F43" s="1083"/>
      <c r="G43" s="1078"/>
      <c r="H43" s="1079"/>
      <c r="I43" s="982"/>
    </row>
    <row r="44" spans="1:12" ht="22.5" customHeight="1">
      <c r="A44" s="1090"/>
      <c r="B44" s="1085" t="s">
        <v>1829</v>
      </c>
      <c r="C44" s="1086"/>
      <c r="D44" s="1091"/>
      <c r="E44" s="1088" t="s">
        <v>1830</v>
      </c>
      <c r="F44" s="1083"/>
      <c r="G44" s="1078"/>
      <c r="H44" s="1079"/>
      <c r="I44" s="982"/>
    </row>
    <row r="45" spans="1:12" ht="22.5" customHeight="1">
      <c r="A45" s="1090"/>
      <c r="B45" s="1085" t="s">
        <v>1831</v>
      </c>
      <c r="C45" s="1086"/>
      <c r="D45" s="1091"/>
      <c r="E45" s="1088" t="s">
        <v>1832</v>
      </c>
      <c r="F45" s="1083"/>
      <c r="G45" s="1078"/>
      <c r="H45" s="1079"/>
      <c r="I45" s="982"/>
    </row>
    <row r="46" spans="1:12" ht="22.5" customHeight="1">
      <c r="A46" s="1084" t="s">
        <v>803</v>
      </c>
      <c r="B46" s="1085" t="s">
        <v>1833</v>
      </c>
      <c r="C46" s="1086"/>
      <c r="D46" s="1091"/>
      <c r="E46" s="1088" t="s">
        <v>1834</v>
      </c>
      <c r="F46" s="1083"/>
      <c r="G46" s="1078"/>
      <c r="H46" s="1079"/>
      <c r="I46" s="982"/>
    </row>
    <row r="47" spans="1:12" ht="22.5" customHeight="1">
      <c r="A47" s="1084" t="s">
        <v>803</v>
      </c>
      <c r="B47" s="1085" t="s">
        <v>1835</v>
      </c>
      <c r="C47" s="1086"/>
      <c r="D47" s="1091"/>
      <c r="E47" s="1088" t="s">
        <v>1836</v>
      </c>
      <c r="F47" s="1083"/>
      <c r="G47" s="1078"/>
      <c r="H47" s="1079"/>
      <c r="I47" s="982"/>
    </row>
    <row r="48" spans="1:12" ht="22.5" hidden="1" customHeight="1">
      <c r="A48" s="1084">
        <f>H4</f>
        <v>0</v>
      </c>
      <c r="B48" s="1085" t="s">
        <v>1837</v>
      </c>
      <c r="C48" s="1086"/>
      <c r="D48" s="1091"/>
      <c r="E48" s="1088" t="s">
        <v>1838</v>
      </c>
      <c r="F48" s="1083"/>
      <c r="G48" s="1078"/>
      <c r="H48" s="1079"/>
      <c r="I48" s="982"/>
    </row>
    <row r="49" spans="1:9" ht="22.5" customHeight="1">
      <c r="A49" s="1090"/>
      <c r="B49" s="1085" t="s">
        <v>1839</v>
      </c>
      <c r="C49" s="1086"/>
      <c r="D49" s="1089"/>
      <c r="E49" s="1096" t="s">
        <v>1840</v>
      </c>
      <c r="F49" s="1078"/>
      <c r="G49" s="1078"/>
      <c r="H49" s="1079"/>
      <c r="I49" s="982"/>
    </row>
    <row r="50" spans="1:9" ht="22.5" customHeight="1">
      <c r="A50" s="1090"/>
      <c r="B50" s="1085" t="s">
        <v>1841</v>
      </c>
      <c r="C50" s="1086"/>
      <c r="D50" s="1089"/>
      <c r="E50" s="1096" t="s">
        <v>1842</v>
      </c>
      <c r="F50" s="1078"/>
      <c r="G50" s="1078"/>
      <c r="H50" s="1079"/>
      <c r="I50" s="982"/>
    </row>
    <row r="51" spans="1:9" ht="22.5" customHeight="1">
      <c r="A51" s="1090"/>
      <c r="B51" s="1085"/>
      <c r="C51" s="1086"/>
      <c r="D51" s="1089"/>
      <c r="E51" s="1096"/>
      <c r="F51" s="1078"/>
      <c r="G51" s="1078"/>
      <c r="H51" s="1079"/>
      <c r="I51" s="982"/>
    </row>
    <row r="52" spans="1:9" ht="22.5" customHeight="1">
      <c r="A52" s="1090"/>
      <c r="B52" s="1085"/>
      <c r="C52" s="1086"/>
      <c r="D52" s="1089"/>
      <c r="E52" s="1096"/>
      <c r="F52" s="1078"/>
      <c r="G52" s="1078"/>
      <c r="H52" s="1079"/>
      <c r="I52" s="982"/>
    </row>
    <row r="53" spans="1:9" ht="22.5" customHeight="1">
      <c r="A53" s="1090"/>
      <c r="B53" s="1085"/>
      <c r="C53" s="1086"/>
      <c r="D53" s="1089"/>
      <c r="E53" s="1096"/>
      <c r="F53" s="1078"/>
      <c r="G53" s="1078"/>
      <c r="H53" s="1079"/>
      <c r="I53" s="982"/>
    </row>
    <row r="54" spans="1:9" ht="22.5" customHeight="1">
      <c r="A54" s="1090"/>
      <c r="B54" s="1085"/>
      <c r="C54" s="1086"/>
      <c r="D54" s="1089"/>
      <c r="E54" s="1096"/>
      <c r="F54" s="1078"/>
      <c r="G54" s="1078"/>
      <c r="H54" s="1079"/>
      <c r="I54" s="982"/>
    </row>
    <row r="55" spans="1:9" ht="22.5" customHeight="1">
      <c r="A55" s="1084"/>
      <c r="B55" s="1085"/>
      <c r="C55" s="1086"/>
      <c r="D55" s="1089"/>
      <c r="E55" s="1096"/>
      <c r="F55" s="1078"/>
      <c r="G55" s="1078"/>
      <c r="H55" s="1079"/>
      <c r="I55" s="982"/>
    </row>
    <row r="56" spans="1:9" ht="22.5" customHeight="1">
      <c r="A56" s="1090"/>
      <c r="B56" s="1085"/>
      <c r="C56" s="1086"/>
      <c r="D56" s="1089"/>
      <c r="E56" s="1096"/>
      <c r="F56" s="1078"/>
      <c r="G56" s="1078"/>
      <c r="H56" s="1079"/>
      <c r="I56" s="982"/>
    </row>
    <row r="57" spans="1:9" ht="22.5" customHeight="1">
      <c r="A57" s="1090"/>
      <c r="B57" s="1085"/>
      <c r="C57" s="1086"/>
      <c r="D57" s="1089"/>
      <c r="E57" s="1096"/>
      <c r="F57" s="1078"/>
      <c r="G57" s="1078"/>
      <c r="H57" s="1079"/>
      <c r="I57" s="982"/>
    </row>
    <row r="58" spans="1:9" ht="22.5" customHeight="1">
      <c r="A58" s="1084"/>
      <c r="B58" s="1085"/>
      <c r="C58" s="1086"/>
      <c r="D58" s="1089"/>
      <c r="E58" s="1096"/>
      <c r="F58" s="1078"/>
      <c r="G58" s="1078"/>
      <c r="H58" s="1079"/>
      <c r="I58" s="982"/>
    </row>
    <row r="59" spans="1:9" ht="22.5" customHeight="1">
      <c r="A59" s="1090"/>
      <c r="B59" s="1085"/>
      <c r="C59" s="1086"/>
      <c r="D59" s="1089"/>
      <c r="E59" s="1096"/>
      <c r="F59" s="1078"/>
      <c r="G59" s="1078"/>
      <c r="H59" s="1079"/>
      <c r="I59" s="982"/>
    </row>
    <row r="60" spans="1:9" ht="22.5" customHeight="1">
      <c r="A60" s="1090"/>
      <c r="B60" s="1085"/>
      <c r="C60" s="1086"/>
      <c r="D60" s="1089"/>
      <c r="E60" s="1096"/>
      <c r="F60" s="1078"/>
      <c r="G60" s="1078"/>
      <c r="H60" s="1079"/>
      <c r="I60" s="982"/>
    </row>
    <row r="61" spans="1:9" ht="22.5" customHeight="1">
      <c r="A61" s="1090"/>
      <c r="B61" s="1085"/>
      <c r="C61" s="1086"/>
      <c r="D61" s="1089"/>
      <c r="E61" s="1096"/>
      <c r="F61" s="1078"/>
      <c r="G61" s="1078"/>
      <c r="H61" s="1079"/>
      <c r="I61" s="982"/>
    </row>
    <row r="62" spans="1:9" ht="22.5" customHeight="1">
      <c r="A62" s="1084"/>
      <c r="B62" s="1085"/>
      <c r="C62" s="1086"/>
      <c r="D62" s="1089"/>
      <c r="E62" s="1096"/>
      <c r="F62" s="1078"/>
      <c r="G62" s="1078"/>
      <c r="H62" s="1079"/>
      <c r="I62" s="982"/>
    </row>
    <row r="63" spans="1:9" ht="22.5" customHeight="1">
      <c r="A63" s="1090"/>
      <c r="B63" s="1085"/>
      <c r="C63" s="1086"/>
      <c r="D63" s="1089"/>
      <c r="E63" s="1096"/>
      <c r="F63" s="1078"/>
      <c r="G63" s="1078"/>
      <c r="H63" s="1079"/>
      <c r="I63" s="982"/>
    </row>
    <row r="64" spans="1:9" ht="22.5" customHeight="1">
      <c r="A64" s="1090"/>
      <c r="B64" s="1085"/>
      <c r="C64" s="1086"/>
      <c r="D64" s="1089"/>
      <c r="E64" s="1096"/>
      <c r="F64" s="1078"/>
      <c r="G64" s="1078"/>
      <c r="H64" s="1079"/>
      <c r="I64" s="982"/>
    </row>
    <row r="65" spans="1:9" ht="22.5" customHeight="1">
      <c r="A65" s="1090"/>
      <c r="B65" s="1085"/>
      <c r="C65" s="1086"/>
      <c r="D65" s="1089"/>
      <c r="E65" s="1096"/>
      <c r="F65" s="1078"/>
      <c r="G65" s="1078"/>
      <c r="H65" s="1079"/>
      <c r="I65" s="982"/>
    </row>
    <row r="66" spans="1:9" ht="22.5" customHeight="1">
      <c r="A66" s="1084"/>
      <c r="B66" s="1085"/>
      <c r="C66" s="1086"/>
      <c r="D66" s="1089"/>
      <c r="E66" s="1096"/>
      <c r="F66" s="1078"/>
      <c r="G66" s="1078"/>
      <c r="H66" s="1079"/>
      <c r="I66" s="982"/>
    </row>
    <row r="67" spans="1:9" ht="22.5" customHeight="1">
      <c r="A67" s="1084"/>
      <c r="B67" s="1085"/>
      <c r="C67" s="1086"/>
      <c r="D67" s="1089"/>
      <c r="E67" s="1096"/>
      <c r="F67" s="1078"/>
      <c r="G67" s="1078"/>
      <c r="H67" s="1079"/>
      <c r="I67" s="982"/>
    </row>
    <row r="68" spans="1:9" ht="22.5" customHeight="1">
      <c r="A68" s="1090"/>
      <c r="B68" s="1085"/>
      <c r="C68" s="1086"/>
      <c r="D68" s="1089"/>
      <c r="E68" s="1096"/>
      <c r="F68" s="1078"/>
      <c r="G68" s="1078"/>
      <c r="H68" s="1079"/>
      <c r="I68" s="982"/>
    </row>
    <row r="69" spans="1:9" ht="22.5" customHeight="1">
      <c r="A69" s="1090"/>
      <c r="B69" s="1085"/>
      <c r="C69" s="1086"/>
      <c r="D69" s="1089"/>
      <c r="E69" s="1096"/>
      <c r="F69" s="1078"/>
      <c r="G69" s="1078"/>
      <c r="H69" s="1079"/>
      <c r="I69" s="982"/>
    </row>
    <row r="70" spans="1:9" ht="22.5" customHeight="1">
      <c r="A70" s="1084"/>
      <c r="B70" s="1085"/>
      <c r="C70" s="1086"/>
      <c r="D70" s="1089"/>
      <c r="E70" s="1096"/>
      <c r="F70" s="1078"/>
      <c r="G70" s="1078"/>
      <c r="H70" s="1079"/>
      <c r="I70" s="982"/>
    </row>
    <row r="71" spans="1:9" ht="22.5" customHeight="1">
      <c r="A71" s="1090"/>
      <c r="B71" s="1085"/>
      <c r="C71" s="1086"/>
      <c r="D71" s="1089"/>
      <c r="E71" s="1096"/>
      <c r="F71" s="1078"/>
      <c r="G71" s="1078"/>
      <c r="H71" s="1079"/>
      <c r="I71" s="982"/>
    </row>
    <row r="72" spans="1:9" ht="22.5" customHeight="1">
      <c r="A72" s="1090"/>
      <c r="B72" s="1085"/>
      <c r="C72" s="1086"/>
      <c r="D72" s="1089"/>
      <c r="E72" s="1096"/>
      <c r="F72" s="1078"/>
      <c r="G72" s="1078"/>
      <c r="H72" s="1079"/>
      <c r="I72" s="982"/>
    </row>
    <row r="73" spans="1:9" ht="22.5" customHeight="1">
      <c r="A73" s="1090"/>
      <c r="B73" s="1085"/>
      <c r="C73" s="1086"/>
      <c r="D73" s="1089"/>
      <c r="E73" s="1096"/>
      <c r="F73" s="1078"/>
      <c r="G73" s="1078"/>
      <c r="H73" s="1079"/>
      <c r="I73" s="982"/>
    </row>
    <row r="74" spans="1:9" ht="22.5" customHeight="1">
      <c r="A74" s="1084"/>
      <c r="B74" s="1085"/>
      <c r="C74" s="1086"/>
      <c r="D74" s="1089"/>
      <c r="E74" s="1096"/>
      <c r="F74" s="1078"/>
      <c r="G74" s="1078"/>
      <c r="H74" s="1079"/>
      <c r="I74" s="982"/>
    </row>
    <row r="75" spans="1:9" ht="22.5" customHeight="1">
      <c r="A75" s="1084"/>
      <c r="B75" s="1085"/>
      <c r="C75" s="1086"/>
      <c r="D75" s="1089"/>
      <c r="E75" s="1096"/>
      <c r="F75" s="1078"/>
      <c r="G75" s="1078"/>
      <c r="H75" s="1079"/>
      <c r="I75" s="982"/>
    </row>
    <row r="76" spans="1:9" ht="22.5" customHeight="1">
      <c r="A76" s="1084"/>
      <c r="B76" s="1085"/>
      <c r="C76" s="1086"/>
      <c r="D76" s="1089"/>
      <c r="E76" s="1096"/>
      <c r="F76" s="1078"/>
      <c r="G76" s="1078"/>
      <c r="H76" s="1079"/>
      <c r="I76" s="982"/>
    </row>
    <row r="77" spans="1:9" ht="22.5" customHeight="1">
      <c r="A77" s="1090"/>
      <c r="B77" s="1085"/>
      <c r="C77" s="1086"/>
      <c r="D77" s="1089"/>
      <c r="E77" s="1088"/>
      <c r="F77" s="1083"/>
      <c r="G77" s="1078"/>
      <c r="H77" s="1079"/>
      <c r="I77" s="982"/>
    </row>
    <row r="78" spans="1:9" ht="9.9499999999999993" customHeight="1">
      <c r="A78" s="1097"/>
      <c r="B78" s="1097"/>
      <c r="C78" s="1098"/>
      <c r="D78" s="1098"/>
      <c r="E78" s="1097"/>
      <c r="F78" s="1097"/>
      <c r="G78" s="1097"/>
      <c r="H78" s="1070"/>
    </row>
    <row r="79" spans="1:9" ht="20.100000000000001" hidden="1" customHeight="1"/>
    <row r="80" spans="1:9" ht="20.100000000000001" hidden="1" customHeight="1"/>
  </sheetData>
  <sheetProtection algorithmName="SHA-512" hashValue="w16bBGf4WbdW44l4WjHAZ2GKpdQOPp9AhbgrI2CmufzstmkJZrevvJvtnGKu/tyC4JyvAhd5c6orXrBDG5TV3w==" saltValue="+IxZ4RosO53cULOUrN5QNg==" spinCount="100000" sheet="1" objects="1" scenarios="1"/>
  <mergeCells count="2">
    <mergeCell ref="B1:E1"/>
    <mergeCell ref="B2:E2"/>
  </mergeCells>
  <dataValidations count="2">
    <dataValidation type="list" allowBlank="1" showDropDown="1" showInputMessage="1" showErrorMessage="1" errorTitle="Saisie verrouillée" error="Vous ne pouvez saisir que des &quot;X&quot; dans cette case." sqref="H8 H6" xr:uid="{00000000-0002-0000-0300-000000000000}">
      <formula1>$I$2</formula1>
    </dataValidation>
    <dataValidation type="list" allowBlank="1" showDropDown="1" showInputMessage="1" showErrorMessage="1" errorTitle="Saisie verrouillée" error="Vous ne pouvez saisir que des &quot;X&quot; dans cette case." sqref="H4" xr:uid="{00000000-0002-0000-0300-000001000000}">
      <formula1>"X,x"</formula1>
    </dataValidation>
  </dataValidations>
  <printOptions horizontalCentered="1" verticalCentered="1"/>
  <pageMargins left="0" right="0" top="0" bottom="0.39370078740157483" header="0" footer="0"/>
  <pageSetup paperSize="9" scale="119" fitToHeight="0" orientation="portrait" blackAndWhite="1" r:id="rId1"/>
  <headerFooter alignWithMargins="0">
    <oddFooter>&amp;L&amp;8Edité le &amp;D&amp;C&amp;P/&amp;N&amp;R&amp;8Impression</oddFooter>
  </headerFooter>
  <drawing r:id="rId2"/>
  <legacyDrawing r:id="rId3"/>
  <controls>
    <mc:AlternateContent xmlns:mc="http://schemas.openxmlformats.org/markup-compatibility/2006">
      <mc:Choice Requires="x14">
        <control shapeId="869377" r:id="rId4" name="cmd_onglet">
          <controlPr autoLine="0" autoPict="0" r:id="rId5">
            <anchor moveWithCells="1">
              <from>
                <xdr:col>0</xdr:col>
                <xdr:colOff>95250</xdr:colOff>
                <xdr:row>1</xdr:row>
                <xdr:rowOff>57150</xdr:rowOff>
              </from>
              <to>
                <xdr:col>1</xdr:col>
                <xdr:colOff>609600</xdr:colOff>
                <xdr:row>1</xdr:row>
                <xdr:rowOff>333375</xdr:rowOff>
              </to>
            </anchor>
          </controlPr>
        </control>
      </mc:Choice>
      <mc:Fallback>
        <control shapeId="869377" r:id="rId4" name="cmd_onglet"/>
      </mc:Fallback>
    </mc:AlternateContent>
    <mc:AlternateContent xmlns:mc="http://schemas.openxmlformats.org/markup-compatibility/2006">
      <mc:Choice Requires="x14">
        <control shapeId="869378" r:id="rId6" name="cmd_imprimer">
          <controlPr autoLine="0" autoPict="0" r:id="rId7">
            <anchor moveWithCells="1">
              <from>
                <xdr:col>4</xdr:col>
                <xdr:colOff>2238375</xdr:colOff>
                <xdr:row>1</xdr:row>
                <xdr:rowOff>57150</xdr:rowOff>
              </from>
              <to>
                <xdr:col>4</xdr:col>
                <xdr:colOff>3152775</xdr:colOff>
                <xdr:row>1</xdr:row>
                <xdr:rowOff>323850</xdr:rowOff>
              </to>
            </anchor>
          </controlPr>
        </control>
      </mc:Choice>
      <mc:Fallback>
        <control shapeId="869378" r:id="rId6" name="cmd_imprim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pageSetUpPr fitToPage="1"/>
  </sheetPr>
  <dimension ref="A1:O116"/>
  <sheetViews>
    <sheetView showGridLines="0" view="pageBreakPreview" zoomScaleNormal="100" zoomScaleSheetLayoutView="100" workbookViewId="0">
      <selection activeCell="K14" sqref="K14:M14"/>
    </sheetView>
  </sheetViews>
  <sheetFormatPr baseColWidth="10" defaultColWidth="11.42578125" defaultRowHeight="12.75"/>
  <cols>
    <col min="1" max="1" width="19.7109375" style="949" customWidth="1"/>
    <col min="2" max="2" width="10.5703125" style="949" customWidth="1"/>
    <col min="3" max="3" width="13.7109375" style="949" bestFit="1" customWidth="1"/>
    <col min="4" max="4" width="15.28515625" style="949" bestFit="1" customWidth="1"/>
    <col min="5" max="5" width="7.5703125" style="949" customWidth="1"/>
    <col min="6" max="6" width="9.5703125" style="949" customWidth="1"/>
    <col min="7" max="7" width="10.85546875" style="949" customWidth="1"/>
    <col min="8" max="8" width="6.28515625" style="949" customWidth="1"/>
    <col min="9" max="9" width="5.7109375" style="949" customWidth="1"/>
    <col min="10" max="10" width="14.42578125" style="949" customWidth="1"/>
    <col min="11" max="11" width="11.28515625" style="949" customWidth="1"/>
    <col min="12" max="12" width="18.28515625" style="949" bestFit="1" customWidth="1"/>
    <col min="13" max="13" width="7.5703125" style="949" customWidth="1"/>
    <col min="14" max="14" width="13.85546875" style="949" customWidth="1"/>
    <col min="15" max="15" width="4.85546875" style="949" customWidth="1"/>
    <col min="16" max="19" width="11.42578125" style="949"/>
    <col min="20" max="20" width="34.42578125" style="949" customWidth="1"/>
    <col min="21" max="16384" width="11.42578125" style="949"/>
  </cols>
  <sheetData>
    <row r="1" spans="1:15" ht="18">
      <c r="A1" s="1115"/>
      <c r="I1" s="952"/>
      <c r="J1" s="1115"/>
      <c r="L1" s="1619" t="s">
        <v>1460</v>
      </c>
      <c r="M1" s="1619"/>
      <c r="N1" s="1619"/>
    </row>
    <row r="2" spans="1:15" ht="18" customHeight="1">
      <c r="A2" s="1115"/>
      <c r="B2" s="1115"/>
      <c r="F2" s="1116"/>
      <c r="G2" s="1116"/>
      <c r="J2" s="1115"/>
      <c r="L2" s="1619"/>
      <c r="M2" s="1619"/>
      <c r="N2" s="1619"/>
      <c r="O2" s="1117"/>
    </row>
    <row r="3" spans="1:15" ht="18" customHeight="1">
      <c r="F3" s="1115"/>
      <c r="G3" s="1115"/>
      <c r="J3" s="1115"/>
      <c r="L3" s="1619"/>
      <c r="M3" s="1619"/>
      <c r="N3" s="1619"/>
      <c r="O3" s="1117"/>
    </row>
    <row r="4" spans="1:15" ht="18" customHeight="1">
      <c r="A4" s="963"/>
      <c r="I4" s="952"/>
      <c r="J4" s="1115"/>
      <c r="L4" s="1619"/>
      <c r="M4" s="1619"/>
      <c r="N4" s="1619"/>
      <c r="O4" s="1117"/>
    </row>
    <row r="5" spans="1:15" ht="13.5" customHeight="1">
      <c r="A5" s="963"/>
      <c r="B5" s="1118"/>
      <c r="C5" s="1118"/>
      <c r="D5" s="1119"/>
      <c r="E5" s="1119"/>
      <c r="F5" s="1119"/>
      <c r="J5" s="1115"/>
    </row>
    <row r="6" spans="1:15" s="958" customFormat="1" ht="23.25">
      <c r="A6" s="1120"/>
      <c r="B6" s="1121"/>
      <c r="C6" s="1121"/>
      <c r="D6" s="1122"/>
      <c r="E6" s="1122"/>
      <c r="F6" s="1122"/>
      <c r="I6" s="1116" t="s">
        <v>782</v>
      </c>
      <c r="K6" s="1277"/>
      <c r="L6" s="1278"/>
    </row>
    <row r="7" spans="1:15" s="958" customFormat="1" ht="39.950000000000003" customHeight="1" thickBot="1">
      <c r="A7" s="1120"/>
      <c r="B7" s="1121"/>
      <c r="C7" s="1121"/>
      <c r="D7" s="1122"/>
      <c r="E7" s="1122"/>
      <c r="F7" s="1122"/>
      <c r="I7" s="1620" t="s">
        <v>1077</v>
      </c>
      <c r="J7" s="1620"/>
      <c r="K7" s="1620"/>
      <c r="L7" s="1620"/>
      <c r="M7" s="1620"/>
      <c r="N7" s="1620"/>
    </row>
    <row r="8" spans="1:15" s="958" customFormat="1" ht="21" customHeight="1">
      <c r="A8" s="1124" t="s">
        <v>783</v>
      </c>
      <c r="B8" s="1276"/>
      <c r="C8" s="1278"/>
      <c r="I8" s="1125" t="s">
        <v>1345</v>
      </c>
      <c r="J8" s="1126"/>
      <c r="K8" s="1127"/>
      <c r="L8" s="1128"/>
      <c r="M8" s="1128"/>
      <c r="N8" s="1129"/>
      <c r="O8" s="1117"/>
    </row>
    <row r="9" spans="1:15" s="958" customFormat="1" ht="21" customHeight="1">
      <c r="A9" s="1124" t="s">
        <v>784</v>
      </c>
      <c r="B9" s="1621"/>
      <c r="C9" s="1621"/>
      <c r="D9" s="1621"/>
      <c r="E9" s="1621"/>
      <c r="F9" s="1621"/>
      <c r="G9" s="1621"/>
      <c r="I9" s="1130" t="s">
        <v>1078</v>
      </c>
      <c r="L9" s="1131" t="s">
        <v>1346</v>
      </c>
      <c r="N9" s="1132"/>
    </row>
    <row r="10" spans="1:15" s="958" customFormat="1" ht="21" customHeight="1">
      <c r="A10" s="1124" t="s">
        <v>785</v>
      </c>
      <c r="C10" s="1133"/>
      <c r="I10" s="1134"/>
      <c r="N10" s="1132"/>
    </row>
    <row r="11" spans="1:15" s="958" customFormat="1" ht="21" customHeight="1">
      <c r="A11" s="1124" t="s">
        <v>786</v>
      </c>
      <c r="C11" s="1133"/>
      <c r="I11" s="1134"/>
      <c r="N11" s="1132"/>
    </row>
    <row r="12" spans="1:15" s="958" customFormat="1" ht="18.75" customHeight="1" thickBot="1">
      <c r="D12" s="957"/>
      <c r="I12" s="1135"/>
      <c r="J12" s="1136"/>
      <c r="K12" s="1136"/>
      <c r="L12" s="1136"/>
      <c r="M12" s="1136"/>
      <c r="N12" s="1137"/>
    </row>
    <row r="13" spans="1:15" s="958" customFormat="1" ht="18.75" customHeight="1">
      <c r="A13" s="1148" t="s">
        <v>1339</v>
      </c>
      <c r="B13" s="1124"/>
      <c r="D13" s="1280"/>
      <c r="I13" s="1138"/>
      <c r="J13" s="1138"/>
      <c r="K13" s="1139"/>
    </row>
    <row r="14" spans="1:15" s="958" customFormat="1" ht="22.5" customHeight="1">
      <c r="A14" s="1148" t="s">
        <v>1341</v>
      </c>
      <c r="B14" s="1124"/>
      <c r="D14" s="1280"/>
      <c r="J14" s="1144" t="s">
        <v>1338</v>
      </c>
      <c r="K14" s="1621"/>
      <c r="L14" s="1621"/>
      <c r="M14" s="1621"/>
    </row>
    <row r="15" spans="1:15" s="958" customFormat="1" ht="9" customHeight="1">
      <c r="A15" s="1148"/>
      <c r="B15" s="1124"/>
      <c r="D15" s="1183"/>
      <c r="J15" s="1144"/>
      <c r="K15" s="1184"/>
      <c r="L15" s="1185"/>
    </row>
    <row r="16" spans="1:15" s="958" customFormat="1" ht="24.95" customHeight="1">
      <c r="A16" s="1124" t="s">
        <v>787</v>
      </c>
      <c r="B16" s="1281"/>
      <c r="C16" s="1141"/>
      <c r="D16" s="1142"/>
      <c r="E16" s="1143"/>
      <c r="F16" s="1143"/>
    </row>
    <row r="17" spans="1:15" s="958" customFormat="1" ht="24.95" customHeight="1">
      <c r="A17" s="1124" t="s">
        <v>1079</v>
      </c>
      <c r="B17" s="1282"/>
      <c r="C17" s="1141"/>
      <c r="D17" s="1142"/>
      <c r="E17" s="1143"/>
      <c r="F17" s="1143"/>
      <c r="I17" s="1144" t="s">
        <v>788</v>
      </c>
      <c r="J17" s="1279"/>
      <c r="K17" s="1143"/>
      <c r="L17" s="1143"/>
      <c r="M17" s="1143"/>
    </row>
    <row r="18" spans="1:15" s="958" customFormat="1" ht="24.95" customHeight="1">
      <c r="B18" s="1145"/>
      <c r="C18" s="1146"/>
      <c r="D18" s="1147"/>
      <c r="E18" s="1146"/>
      <c r="F18" s="1146"/>
    </row>
    <row r="19" spans="1:15" s="958" customFormat="1" ht="32.25" customHeight="1">
      <c r="A19" s="1148" t="s">
        <v>789</v>
      </c>
      <c r="B19" s="1149"/>
      <c r="D19" s="1622"/>
      <c r="E19" s="1622"/>
      <c r="F19" s="1622"/>
      <c r="G19" s="1622"/>
      <c r="H19" s="1622"/>
      <c r="I19" s="1622"/>
      <c r="J19" s="1622"/>
      <c r="K19" s="1622"/>
      <c r="L19" s="1622"/>
      <c r="M19" s="1622"/>
      <c r="N19" s="1622"/>
    </row>
    <row r="20" spans="1:15" s="958" customFormat="1" ht="24.95" customHeight="1">
      <c r="A20" s="1150"/>
      <c r="B20" s="1150"/>
      <c r="C20" s="1150"/>
      <c r="D20" s="1151"/>
      <c r="E20" s="1152"/>
      <c r="F20" s="1152"/>
      <c r="G20" s="1152"/>
      <c r="H20" s="1152"/>
      <c r="I20" s="1152"/>
      <c r="J20" s="1152"/>
      <c r="K20" s="1152"/>
      <c r="L20" s="1152"/>
      <c r="M20" s="1152"/>
      <c r="N20" s="1152"/>
    </row>
    <row r="21" spans="1:15" s="958" customFormat="1" ht="24.95" customHeight="1">
      <c r="A21" s="1152"/>
      <c r="B21" s="1152"/>
      <c r="C21" s="1152"/>
      <c r="D21" s="1152"/>
      <c r="E21" s="1152"/>
      <c r="F21" s="1152"/>
      <c r="G21" s="1152"/>
      <c r="H21" s="1152"/>
      <c r="I21" s="1152"/>
      <c r="J21" s="1152"/>
      <c r="K21" s="1152"/>
      <c r="L21" s="1152"/>
      <c r="M21" s="1152"/>
      <c r="N21" s="1152"/>
    </row>
    <row r="22" spans="1:15" s="958" customFormat="1" ht="14.25" customHeight="1">
      <c r="D22" s="1140"/>
    </row>
    <row r="23" spans="1:15" s="958" customFormat="1" ht="17.100000000000001" customHeight="1">
      <c r="A23" s="1124" t="s">
        <v>1465</v>
      </c>
      <c r="H23" s="1124" t="s">
        <v>1466</v>
      </c>
      <c r="I23" s="1124"/>
      <c r="J23" s="1124"/>
      <c r="K23" s="1124"/>
      <c r="L23" s="1124"/>
      <c r="M23" s="1124"/>
    </row>
    <row r="24" spans="1:15" s="958" customFormat="1" ht="24.95" customHeight="1">
      <c r="A24" s="1281"/>
      <c r="B24" s="1141"/>
      <c r="C24" s="1143"/>
      <c r="D24" s="1142"/>
      <c r="H24" s="1623"/>
      <c r="I24" s="1623"/>
      <c r="J24" s="1623"/>
      <c r="K24" s="1143"/>
      <c r="L24" s="1141"/>
      <c r="M24" s="1141"/>
    </row>
    <row r="25" spans="1:15" s="958" customFormat="1" ht="24.95" customHeight="1">
      <c r="A25" s="1153"/>
      <c r="B25" s="1154"/>
      <c r="C25" s="1154"/>
      <c r="D25" s="1155"/>
      <c r="H25" s="1618"/>
      <c r="I25" s="1618"/>
      <c r="J25" s="1618"/>
      <c r="K25" s="1618"/>
      <c r="L25" s="1618"/>
      <c r="M25" s="1618"/>
    </row>
    <row r="26" spans="1:15" s="958" customFormat="1" ht="24.95" customHeight="1">
      <c r="A26" s="1153"/>
      <c r="B26" s="1154"/>
      <c r="C26" s="1154"/>
      <c r="D26" s="1155"/>
      <c r="H26" s="1156"/>
      <c r="I26" s="1154"/>
      <c r="J26" s="1154"/>
      <c r="K26" s="1154"/>
      <c r="L26" s="1154"/>
      <c r="M26" s="1154"/>
      <c r="N26" s="1157"/>
    </row>
    <row r="27" spans="1:15" s="958" customFormat="1"/>
    <row r="28" spans="1:15" s="958" customFormat="1" ht="24.95" customHeight="1">
      <c r="B28" s="1144" t="s">
        <v>1340</v>
      </c>
      <c r="C28" s="1281"/>
      <c r="D28" s="1283"/>
      <c r="E28" s="1283"/>
      <c r="K28" s="1144" t="s">
        <v>1080</v>
      </c>
      <c r="L28" s="1281"/>
      <c r="M28" s="1283"/>
    </row>
    <row r="29" spans="1:15" s="958" customFormat="1" ht="24.95" customHeight="1">
      <c r="A29" s="1158"/>
      <c r="B29" s="1159" t="s">
        <v>790</v>
      </c>
      <c r="C29" s="1284"/>
      <c r="D29" s="1284"/>
      <c r="E29" s="1284"/>
      <c r="K29" s="1159" t="s">
        <v>790</v>
      </c>
      <c r="L29" s="1616"/>
      <c r="M29" s="1616"/>
    </row>
    <row r="30" spans="1:15" s="958" customFormat="1" ht="15" customHeight="1">
      <c r="A30" s="1140"/>
    </row>
    <row r="31" spans="1:15" s="1140" customFormat="1" ht="34.5" customHeight="1">
      <c r="A31" s="1617" t="s">
        <v>791</v>
      </c>
      <c r="B31" s="1611"/>
      <c r="C31" s="1611"/>
      <c r="D31" s="1611" t="s">
        <v>792</v>
      </c>
      <c r="E31" s="1611"/>
      <c r="F31" s="1611"/>
      <c r="G31" s="1611"/>
      <c r="H31" s="1611" t="s">
        <v>793</v>
      </c>
      <c r="I31" s="1611"/>
      <c r="J31" s="1611"/>
      <c r="K31" s="1611"/>
      <c r="L31" s="1611" t="s">
        <v>794</v>
      </c>
      <c r="M31" s="1611"/>
      <c r="N31" s="1611"/>
    </row>
    <row r="32" spans="1:15" s="958" customFormat="1" ht="27.95" customHeight="1">
      <c r="A32" s="1612"/>
      <c r="B32" s="1612"/>
      <c r="C32" s="1612"/>
      <c r="D32" s="1612"/>
      <c r="E32" s="1612"/>
      <c r="F32" s="1612"/>
      <c r="G32" s="1612"/>
      <c r="H32" s="1612"/>
      <c r="I32" s="1612"/>
      <c r="J32" s="1612"/>
      <c r="K32" s="1612"/>
      <c r="L32" s="1613"/>
      <c r="M32" s="1613"/>
      <c r="N32" s="1613"/>
      <c r="O32" s="1140"/>
    </row>
    <row r="33" spans="1:15" s="958" customFormat="1" ht="27.95" customHeight="1">
      <c r="A33" s="1614"/>
      <c r="B33" s="1614"/>
      <c r="C33" s="1614"/>
      <c r="D33" s="1614"/>
      <c r="E33" s="1614"/>
      <c r="F33" s="1614"/>
      <c r="G33" s="1614"/>
      <c r="H33" s="1614"/>
      <c r="I33" s="1614"/>
      <c r="J33" s="1614"/>
      <c r="K33" s="1614"/>
      <c r="L33" s="1615"/>
      <c r="M33" s="1615"/>
      <c r="N33" s="1615"/>
      <c r="O33" s="1140"/>
    </row>
    <row r="34" spans="1:15" s="958" customFormat="1" ht="27.95" customHeight="1">
      <c r="A34" s="1607"/>
      <c r="B34" s="1607"/>
      <c r="C34" s="1607"/>
      <c r="D34" s="1607"/>
      <c r="E34" s="1607"/>
      <c r="F34" s="1607"/>
      <c r="G34" s="1607"/>
      <c r="H34" s="1607"/>
      <c r="I34" s="1607"/>
      <c r="J34" s="1607"/>
      <c r="K34" s="1607"/>
      <c r="L34" s="1608"/>
      <c r="M34" s="1608"/>
      <c r="N34" s="1608"/>
    </row>
    <row r="35" spans="1:15" s="958" customFormat="1" ht="30" customHeight="1">
      <c r="A35" s="1611" t="s">
        <v>795</v>
      </c>
      <c r="B35" s="1611"/>
      <c r="C35" s="1611"/>
      <c r="D35" s="1611" t="s">
        <v>796</v>
      </c>
      <c r="E35" s="1611"/>
      <c r="F35" s="1611"/>
      <c r="G35" s="1611"/>
      <c r="H35" s="1611" t="s">
        <v>797</v>
      </c>
      <c r="I35" s="1611"/>
      <c r="J35" s="1611"/>
      <c r="K35" s="1611"/>
      <c r="L35" s="1611" t="s">
        <v>794</v>
      </c>
      <c r="M35" s="1611"/>
      <c r="N35" s="1611"/>
    </row>
    <row r="36" spans="1:15" s="958" customFormat="1" ht="27.95" customHeight="1">
      <c r="A36" s="1607"/>
      <c r="B36" s="1607"/>
      <c r="C36" s="1607"/>
      <c r="D36" s="1607"/>
      <c r="E36" s="1607"/>
      <c r="F36" s="1607"/>
      <c r="G36" s="1607"/>
      <c r="H36" s="1607"/>
      <c r="I36" s="1607"/>
      <c r="J36" s="1607"/>
      <c r="K36" s="1607"/>
      <c r="L36" s="1608"/>
      <c r="M36" s="1608"/>
      <c r="N36" s="1608"/>
    </row>
    <row r="37" spans="1:15" s="958" customFormat="1" ht="27.95" customHeight="1">
      <c r="A37" s="1607"/>
      <c r="B37" s="1607"/>
      <c r="C37" s="1607"/>
      <c r="D37" s="1607"/>
      <c r="E37" s="1607"/>
      <c r="F37" s="1607"/>
      <c r="G37" s="1607"/>
      <c r="H37" s="1607"/>
      <c r="I37" s="1607"/>
      <c r="J37" s="1607"/>
      <c r="K37" s="1607"/>
      <c r="L37" s="1608"/>
      <c r="M37" s="1608"/>
      <c r="N37" s="1608"/>
    </row>
    <row r="38" spans="1:15" s="958" customFormat="1" ht="27.95" customHeight="1">
      <c r="A38" s="1609"/>
      <c r="B38" s="1609"/>
      <c r="C38" s="1609"/>
      <c r="D38" s="1609"/>
      <c r="E38" s="1609"/>
      <c r="F38" s="1609"/>
      <c r="G38" s="1609"/>
      <c r="H38" s="1609"/>
      <c r="I38" s="1609"/>
      <c r="J38" s="1609"/>
      <c r="K38" s="1609"/>
      <c r="L38" s="1610"/>
      <c r="M38" s="1610"/>
      <c r="N38" s="1610"/>
    </row>
    <row r="39" spans="1:15" s="958" customFormat="1" ht="9.75" customHeight="1">
      <c r="A39" s="1160"/>
      <c r="B39" s="1161"/>
      <c r="J39" s="1158"/>
    </row>
    <row r="40" spans="1:15" s="958" customFormat="1" ht="27.95" customHeight="1">
      <c r="A40" s="1275" t="s">
        <v>1458</v>
      </c>
      <c r="B40" s="1195"/>
      <c r="C40" s="1157"/>
      <c r="D40" s="1157"/>
      <c r="E40" s="1157"/>
      <c r="F40" s="1157"/>
      <c r="G40" s="1157"/>
      <c r="H40" s="1157"/>
      <c r="I40" s="1157"/>
      <c r="J40" s="1196"/>
      <c r="K40" s="1157"/>
      <c r="L40" s="1157"/>
      <c r="M40" s="1157"/>
      <c r="N40" s="1157"/>
    </row>
    <row r="41" spans="1:15" s="958" customFormat="1" ht="27.75" customHeight="1">
      <c r="A41" s="1189" t="s">
        <v>1342</v>
      </c>
      <c r="B41" s="1164"/>
      <c r="C41" s="1165"/>
      <c r="D41" s="1165"/>
      <c r="E41" s="1165"/>
      <c r="F41" s="1165"/>
      <c r="G41" s="1165"/>
      <c r="H41" s="1165"/>
      <c r="I41" s="1165"/>
      <c r="J41" s="1166"/>
      <c r="K41" s="1165"/>
      <c r="L41" s="1165"/>
      <c r="M41" s="1165"/>
      <c r="N41" s="1165"/>
    </row>
    <row r="42" spans="1:15" s="958" customFormat="1" ht="27.95" customHeight="1">
      <c r="A42" s="1189" t="s">
        <v>1343</v>
      </c>
      <c r="B42" s="1168"/>
      <c r="C42" s="1169"/>
      <c r="D42" s="1169"/>
      <c r="E42" s="1169"/>
      <c r="F42" s="1169"/>
      <c r="G42" s="1169"/>
      <c r="H42" s="1169"/>
      <c r="I42" s="1169"/>
      <c r="J42" s="1170"/>
      <c r="K42" s="1169"/>
      <c r="L42" s="1169"/>
      <c r="M42" s="1169"/>
      <c r="N42" s="1169"/>
    </row>
    <row r="43" spans="1:15" s="958" customFormat="1" ht="27.95" customHeight="1">
      <c r="A43" s="1189" t="s">
        <v>1344</v>
      </c>
      <c r="B43" s="1168"/>
      <c r="C43" s="1169"/>
      <c r="D43" s="1169"/>
      <c r="E43" s="1169"/>
      <c r="F43" s="1169"/>
      <c r="G43" s="1169"/>
      <c r="H43" s="1169"/>
      <c r="I43" s="1169"/>
      <c r="J43" s="1170"/>
      <c r="K43" s="1169"/>
      <c r="L43" s="1169"/>
      <c r="M43" s="1169"/>
      <c r="N43" s="1169"/>
    </row>
    <row r="44" spans="1:15" s="958" customFormat="1" ht="29.25" customHeight="1">
      <c r="A44" s="1194" t="s">
        <v>1459</v>
      </c>
      <c r="B44" s="1161"/>
      <c r="J44" s="1158"/>
    </row>
    <row r="45" spans="1:15" s="958" customFormat="1" ht="15">
      <c r="A45" s="1162" t="s">
        <v>1283</v>
      </c>
      <c r="B45" s="1161"/>
      <c r="J45" s="1158"/>
    </row>
    <row r="46" spans="1:15" s="958" customFormat="1" ht="15.75" customHeight="1">
      <c r="A46" s="1163"/>
      <c r="B46" s="1164"/>
      <c r="C46" s="1165"/>
      <c r="D46" s="1165"/>
      <c r="E46" s="1165"/>
      <c r="F46" s="1165"/>
      <c r="G46" s="1165"/>
      <c r="H46" s="1165"/>
      <c r="I46" s="1165"/>
      <c r="J46" s="1166"/>
      <c r="K46" s="1165"/>
      <c r="L46" s="1165"/>
      <c r="M46" s="1165"/>
      <c r="N46" s="1165"/>
    </row>
    <row r="47" spans="1:15" s="958" customFormat="1" ht="15.75" customHeight="1">
      <c r="A47" s="1163"/>
      <c r="B47" s="1164"/>
      <c r="C47" s="1165"/>
      <c r="D47" s="1165"/>
      <c r="E47" s="1165"/>
      <c r="F47" s="1165"/>
      <c r="G47" s="1165"/>
      <c r="H47" s="1165"/>
      <c r="I47" s="1165"/>
      <c r="J47" s="1166"/>
      <c r="K47" s="1165"/>
      <c r="L47" s="1165"/>
      <c r="M47" s="1165"/>
      <c r="N47" s="1165"/>
    </row>
    <row r="48" spans="1:15" s="958" customFormat="1" ht="15.75" customHeight="1">
      <c r="A48" s="1163"/>
      <c r="B48" s="1164"/>
      <c r="C48" s="1165"/>
      <c r="D48" s="1165"/>
      <c r="E48" s="1165"/>
      <c r="F48" s="1165"/>
      <c r="G48" s="1165"/>
      <c r="H48" s="1165"/>
      <c r="I48" s="1165"/>
      <c r="J48" s="1166"/>
      <c r="K48" s="1165"/>
      <c r="L48" s="1165"/>
      <c r="M48" s="1165"/>
      <c r="N48" s="1165"/>
    </row>
    <row r="49" spans="1:14" s="958" customFormat="1" ht="27.95" customHeight="1">
      <c r="A49" s="1167"/>
      <c r="B49" s="1168"/>
      <c r="C49" s="1169"/>
      <c r="D49" s="1169"/>
      <c r="E49" s="1169"/>
      <c r="F49" s="1169"/>
      <c r="G49" s="1169"/>
      <c r="H49" s="1169"/>
      <c r="I49" s="1169"/>
      <c r="J49" s="1170"/>
      <c r="K49" s="1169"/>
      <c r="L49" s="1169"/>
      <c r="M49" s="1169"/>
      <c r="N49" s="1169"/>
    </row>
    <row r="50" spans="1:14" s="1140" customFormat="1" ht="17.100000000000001" customHeight="1">
      <c r="A50" s="1171" t="s">
        <v>1081</v>
      </c>
      <c r="B50" s="1172"/>
      <c r="C50" s="1172"/>
      <c r="D50" s="1602" t="s">
        <v>1082</v>
      </c>
      <c r="E50" s="1603"/>
      <c r="F50" s="1604" t="s">
        <v>1503</v>
      </c>
      <c r="G50" s="1605"/>
      <c r="H50" s="1606" t="s">
        <v>1083</v>
      </c>
      <c r="I50" s="1606"/>
      <c r="J50" s="1606"/>
      <c r="K50" s="1606"/>
      <c r="L50" s="1606"/>
      <c r="M50" s="1606"/>
      <c r="N50" s="1606"/>
    </row>
    <row r="51" spans="1:14" s="958" customFormat="1" ht="27.95" customHeight="1">
      <c r="A51" s="1597" t="s">
        <v>319</v>
      </c>
      <c r="B51" s="1597"/>
      <c r="C51" s="1597"/>
      <c r="D51" s="1598"/>
      <c r="E51" s="1599"/>
      <c r="F51" s="1600"/>
      <c r="G51" s="1601"/>
      <c r="H51" s="1173" t="s">
        <v>1084</v>
      </c>
      <c r="I51" s="1152"/>
      <c r="J51" s="1152"/>
      <c r="K51" s="1600"/>
      <c r="L51" s="1599"/>
      <c r="M51" s="1599"/>
      <c r="N51" s="1601"/>
    </row>
    <row r="52" spans="1:14" s="958" customFormat="1" ht="27.95" customHeight="1">
      <c r="A52" s="1597" t="s">
        <v>1085</v>
      </c>
      <c r="B52" s="1597"/>
      <c r="C52" s="1597"/>
      <c r="D52" s="1598"/>
      <c r="E52" s="1599"/>
      <c r="F52" s="1600"/>
      <c r="G52" s="1601"/>
      <c r="H52" s="1173" t="s">
        <v>1086</v>
      </c>
      <c r="I52" s="1152"/>
      <c r="J52" s="1152"/>
      <c r="K52" s="1600"/>
      <c r="L52" s="1599"/>
      <c r="M52" s="1599"/>
      <c r="N52" s="1601"/>
    </row>
    <row r="53" spans="1:14" s="958" customFormat="1" ht="27.95" customHeight="1">
      <c r="A53" s="1597" t="s">
        <v>327</v>
      </c>
      <c r="B53" s="1597"/>
      <c r="C53" s="1597"/>
      <c r="D53" s="1598"/>
      <c r="E53" s="1599"/>
      <c r="F53" s="1600"/>
      <c r="G53" s="1601"/>
      <c r="H53" s="1173" t="s">
        <v>1087</v>
      </c>
      <c r="I53" s="1152"/>
      <c r="J53" s="1152"/>
      <c r="K53" s="1600"/>
      <c r="L53" s="1599"/>
      <c r="M53" s="1599"/>
      <c r="N53" s="1601"/>
    </row>
    <row r="54" spans="1:14" s="958" customFormat="1" ht="27.95" customHeight="1">
      <c r="A54" s="1597" t="s">
        <v>1284</v>
      </c>
      <c r="B54" s="1597"/>
      <c r="C54" s="1597"/>
      <c r="D54" s="1598"/>
      <c r="E54" s="1599"/>
      <c r="F54" s="1599"/>
      <c r="G54" s="1601"/>
      <c r="H54" s="1173" t="s">
        <v>1088</v>
      </c>
      <c r="I54" s="1152"/>
      <c r="J54" s="1152"/>
      <c r="K54" s="1152"/>
      <c r="L54" s="1600"/>
      <c r="M54" s="1599"/>
      <c r="N54" s="1601"/>
    </row>
    <row r="55" spans="1:14" s="958" customFormat="1" ht="27.95" customHeight="1">
      <c r="A55" s="1591"/>
      <c r="B55" s="1591"/>
      <c r="C55" s="1591"/>
      <c r="D55" s="1592"/>
      <c r="E55" s="1593"/>
      <c r="F55" s="1593"/>
      <c r="G55" s="1594"/>
      <c r="H55" s="1174"/>
      <c r="I55" s="1175"/>
      <c r="J55" s="1175"/>
      <c r="K55" s="1175"/>
      <c r="L55" s="1595"/>
      <c r="M55" s="1596"/>
      <c r="N55" s="1596"/>
    </row>
    <row r="56" spans="1:14" ht="24.95" customHeight="1">
      <c r="A56" s="1176"/>
      <c r="B56" s="959"/>
      <c r="C56" s="959"/>
      <c r="D56" s="959"/>
      <c r="E56" s="959"/>
      <c r="F56" s="959"/>
      <c r="G56" s="959"/>
      <c r="H56" s="959"/>
      <c r="I56" s="959"/>
      <c r="J56" s="959"/>
      <c r="K56" s="959"/>
      <c r="L56" s="959"/>
      <c r="M56" s="959"/>
      <c r="N56" s="959"/>
    </row>
    <row r="57" spans="1:14" ht="100.5" customHeight="1">
      <c r="A57" s="959"/>
      <c r="B57" s="959"/>
      <c r="C57" s="959"/>
      <c r="D57" s="959"/>
      <c r="E57" s="959"/>
      <c r="F57" s="959"/>
      <c r="G57" s="959"/>
      <c r="H57" s="959"/>
      <c r="I57" s="959"/>
      <c r="J57" s="959"/>
      <c r="K57" s="959"/>
      <c r="L57" s="959"/>
      <c r="M57" s="959"/>
      <c r="N57" s="959"/>
    </row>
    <row r="58" spans="1:14" ht="132.75" customHeight="1">
      <c r="A58" s="959"/>
      <c r="B58" s="959"/>
      <c r="C58" s="959"/>
      <c r="D58" s="959"/>
      <c r="E58" s="959"/>
      <c r="F58" s="959"/>
      <c r="G58" s="959"/>
      <c r="H58" s="959"/>
      <c r="I58" s="959"/>
      <c r="J58" s="959"/>
      <c r="K58" s="959"/>
      <c r="L58" s="959"/>
      <c r="M58" s="959"/>
      <c r="N58" s="959"/>
    </row>
    <row r="59" spans="1:14" ht="136.5" customHeight="1">
      <c r="A59" s="1177"/>
      <c r="B59" s="1177"/>
      <c r="L59" s="1115"/>
      <c r="N59" s="1115"/>
    </row>
    <row r="60" spans="1:14" ht="141" customHeight="1"/>
    <row r="61" spans="1:14" ht="15.75" thickBot="1">
      <c r="B61" s="1590" t="s">
        <v>1285</v>
      </c>
      <c r="C61" s="1590"/>
      <c r="D61" s="1590"/>
    </row>
    <row r="62" spans="1:14" ht="44.25" customHeight="1">
      <c r="B62" s="958" t="s">
        <v>1286</v>
      </c>
      <c r="D62" s="1186"/>
    </row>
    <row r="63" spans="1:14" ht="44.25" customHeight="1">
      <c r="B63" s="958" t="s">
        <v>1287</v>
      </c>
      <c r="D63" s="1186"/>
    </row>
    <row r="64" spans="1:14" ht="44.25" customHeight="1">
      <c r="B64" s="958" t="s">
        <v>1288</v>
      </c>
      <c r="D64" s="1186"/>
    </row>
    <row r="65" spans="2:15" ht="44.25" customHeight="1">
      <c r="B65" s="958" t="s">
        <v>1289</v>
      </c>
      <c r="D65" s="1186"/>
    </row>
    <row r="66" spans="2:15" ht="44.25" customHeight="1">
      <c r="B66" s="958" t="s">
        <v>1290</v>
      </c>
      <c r="D66" s="1186"/>
    </row>
    <row r="67" spans="2:15" ht="44.25" customHeight="1">
      <c r="B67" s="958" t="s">
        <v>1291</v>
      </c>
      <c r="D67" s="1186"/>
    </row>
    <row r="68" spans="2:15" ht="44.25" customHeight="1">
      <c r="B68" s="958" t="s">
        <v>1292</v>
      </c>
      <c r="D68" s="1186"/>
    </row>
    <row r="69" spans="2:15" ht="44.25" customHeight="1">
      <c r="B69" s="958" t="s">
        <v>1293</v>
      </c>
      <c r="C69" s="1178"/>
      <c r="D69" s="1186"/>
      <c r="J69" s="1178"/>
      <c r="L69" s="1178"/>
      <c r="N69" s="1178"/>
    </row>
    <row r="70" spans="2:15" ht="44.25" customHeight="1">
      <c r="B70" s="958" t="s">
        <v>1294</v>
      </c>
      <c r="D70" s="1186"/>
    </row>
    <row r="71" spans="2:15" ht="44.25" customHeight="1">
      <c r="B71" s="958" t="s">
        <v>1295</v>
      </c>
      <c r="D71" s="1186"/>
      <c r="J71" s="1178"/>
      <c r="L71" s="1178"/>
      <c r="N71" s="1178"/>
    </row>
    <row r="72" spans="2:15" ht="44.25" customHeight="1">
      <c r="B72" s="958" t="s">
        <v>1296</v>
      </c>
      <c r="D72" s="1186"/>
    </row>
    <row r="73" spans="2:15" ht="44.25" customHeight="1">
      <c r="B73" s="958" t="s">
        <v>1297</v>
      </c>
      <c r="C73" s="1119"/>
      <c r="D73" s="1187"/>
      <c r="E73" s="1119"/>
      <c r="F73" s="1119"/>
      <c r="G73" s="1119"/>
      <c r="H73" s="1119"/>
      <c r="J73" s="1179"/>
      <c r="L73" s="1115"/>
      <c r="N73" s="1115"/>
    </row>
    <row r="74" spans="2:15" ht="44.25" customHeight="1">
      <c r="B74" s="958" t="s">
        <v>1298</v>
      </c>
      <c r="C74" s="1119"/>
      <c r="D74" s="1187"/>
      <c r="E74" s="1119"/>
      <c r="F74" s="1119"/>
      <c r="G74" s="1119"/>
      <c r="H74" s="1119"/>
    </row>
    <row r="75" spans="2:15" ht="44.25" customHeight="1">
      <c r="B75" s="958" t="s">
        <v>1299</v>
      </c>
      <c r="C75" s="1119"/>
      <c r="D75" s="1187"/>
      <c r="E75" s="1119"/>
      <c r="F75" s="1119"/>
      <c r="G75" s="1119"/>
      <c r="H75" s="1119"/>
      <c r="J75" s="1180"/>
      <c r="K75" s="1180"/>
      <c r="L75" s="1180"/>
      <c r="M75" s="1180"/>
      <c r="N75" s="1180"/>
      <c r="O75" s="1180"/>
    </row>
    <row r="76" spans="2:15" ht="44.25" customHeight="1">
      <c r="B76" s="958" t="s">
        <v>1300</v>
      </c>
      <c r="D76" s="1186"/>
    </row>
    <row r="77" spans="2:15" ht="44.25" customHeight="1">
      <c r="B77" s="958" t="s">
        <v>1551</v>
      </c>
      <c r="C77" s="1117"/>
      <c r="D77" s="1188"/>
      <c r="E77" s="1117"/>
      <c r="F77" s="1117"/>
      <c r="G77" s="1117"/>
      <c r="H77" s="1117"/>
      <c r="J77" s="1161"/>
      <c r="K77" s="1161"/>
      <c r="L77" s="1161"/>
      <c r="M77" s="1161"/>
      <c r="N77" s="1161"/>
      <c r="O77" s="1161"/>
    </row>
    <row r="78" spans="2:15" ht="44.25" customHeight="1">
      <c r="B78" s="958" t="s">
        <v>1568</v>
      </c>
      <c r="C78" s="1117"/>
      <c r="D78" s="1188"/>
      <c r="E78" s="1117"/>
      <c r="F78" s="1117"/>
      <c r="G78" s="1117"/>
      <c r="H78" s="1117"/>
      <c r="J78" s="1161"/>
      <c r="K78" s="1161"/>
      <c r="L78" s="1161"/>
      <c r="M78" s="1161"/>
      <c r="N78" s="1161"/>
      <c r="O78" s="1161"/>
    </row>
    <row r="79" spans="2:15" ht="44.25" customHeight="1">
      <c r="B79" s="958" t="s">
        <v>1301</v>
      </c>
      <c r="D79" s="1186"/>
    </row>
    <row r="80" spans="2:15" ht="44.25" customHeight="1">
      <c r="B80" s="958" t="s">
        <v>1302</v>
      </c>
      <c r="C80" s="1117"/>
      <c r="D80" s="1188"/>
      <c r="E80" s="1117"/>
      <c r="F80" s="1117"/>
      <c r="G80" s="1117"/>
      <c r="H80" s="1117"/>
      <c r="N80" s="1181"/>
    </row>
    <row r="81" spans="2:14" ht="44.25" customHeight="1">
      <c r="B81" s="958" t="s">
        <v>1303</v>
      </c>
      <c r="D81" s="1186"/>
    </row>
    <row r="82" spans="2:14" ht="44.25" customHeight="1">
      <c r="B82" s="958" t="s">
        <v>1304</v>
      </c>
      <c r="C82" s="1117"/>
      <c r="D82" s="1188"/>
      <c r="E82" s="1117"/>
      <c r="F82" s="1117"/>
      <c r="G82" s="1117"/>
      <c r="H82" s="1117"/>
      <c r="N82" s="1181"/>
    </row>
    <row r="83" spans="2:14" ht="44.25" customHeight="1">
      <c r="B83" s="958" t="s">
        <v>1305</v>
      </c>
      <c r="C83" s="1117"/>
      <c r="D83" s="1188"/>
      <c r="E83" s="1117"/>
      <c r="F83" s="1117"/>
      <c r="G83" s="1117"/>
      <c r="H83" s="1117"/>
      <c r="I83" s="1182"/>
    </row>
    <row r="84" spans="2:14" ht="44.25" customHeight="1">
      <c r="B84" s="958" t="s">
        <v>1306</v>
      </c>
      <c r="D84" s="1186"/>
    </row>
    <row r="85" spans="2:14" ht="44.25" customHeight="1">
      <c r="B85" s="958" t="s">
        <v>1307</v>
      </c>
      <c r="D85" s="1186"/>
      <c r="N85" s="1181"/>
    </row>
    <row r="86" spans="2:14" ht="44.25" customHeight="1">
      <c r="B86" s="958" t="s">
        <v>1567</v>
      </c>
      <c r="D86" s="1186"/>
      <c r="I86" s="1182"/>
    </row>
    <row r="87" spans="2:14" ht="44.25" customHeight="1">
      <c r="B87" s="958" t="s">
        <v>1308</v>
      </c>
      <c r="D87" s="1186"/>
      <c r="I87" s="1182"/>
    </row>
    <row r="88" spans="2:14" ht="44.25" customHeight="1">
      <c r="B88" s="958" t="s">
        <v>1309</v>
      </c>
      <c r="D88" s="1186"/>
      <c r="I88" s="1182"/>
      <c r="N88" s="1181"/>
    </row>
    <row r="89" spans="2:14" ht="44.25" customHeight="1">
      <c r="B89" s="958" t="s">
        <v>1310</v>
      </c>
      <c r="D89" s="1186"/>
      <c r="I89" s="1182"/>
    </row>
    <row r="90" spans="2:14" ht="44.25" customHeight="1">
      <c r="B90" s="958" t="s">
        <v>1311</v>
      </c>
      <c r="D90" s="1186"/>
    </row>
    <row r="91" spans="2:14" ht="44.25" customHeight="1">
      <c r="B91" s="958" t="s">
        <v>1312</v>
      </c>
      <c r="D91" s="1186"/>
    </row>
    <row r="92" spans="2:14" ht="44.25" customHeight="1">
      <c r="B92" s="958" t="s">
        <v>1313</v>
      </c>
      <c r="D92" s="1186"/>
    </row>
    <row r="93" spans="2:14" ht="44.25" customHeight="1">
      <c r="B93" s="958" t="s">
        <v>1314</v>
      </c>
      <c r="D93" s="1186"/>
    </row>
    <row r="94" spans="2:14" ht="44.25" customHeight="1">
      <c r="B94" s="958" t="s">
        <v>1315</v>
      </c>
      <c r="D94" s="1186"/>
    </row>
    <row r="95" spans="2:14" ht="44.25" customHeight="1">
      <c r="B95" s="958" t="s">
        <v>1316</v>
      </c>
      <c r="D95" s="1186"/>
    </row>
    <row r="96" spans="2:14" ht="44.25" customHeight="1">
      <c r="B96" s="958" t="s">
        <v>1317</v>
      </c>
      <c r="D96" s="1186"/>
    </row>
    <row r="97" spans="2:4" ht="44.25" customHeight="1">
      <c r="B97" s="958" t="s">
        <v>1318</v>
      </c>
      <c r="D97" s="1186"/>
    </row>
    <row r="98" spans="2:4" ht="44.25" customHeight="1">
      <c r="B98" s="958" t="s">
        <v>1319</v>
      </c>
      <c r="D98" s="1186"/>
    </row>
    <row r="99" spans="2:4" ht="44.25" customHeight="1">
      <c r="B99" s="958" t="s">
        <v>1320</v>
      </c>
      <c r="D99" s="1186"/>
    </row>
    <row r="100" spans="2:4" ht="44.25" customHeight="1">
      <c r="B100" s="958" t="s">
        <v>1321</v>
      </c>
      <c r="D100" s="1186"/>
    </row>
    <row r="101" spans="2:4" ht="44.25" customHeight="1">
      <c r="B101" s="958" t="s">
        <v>1322</v>
      </c>
      <c r="D101" s="1186"/>
    </row>
    <row r="102" spans="2:4" ht="44.25" customHeight="1">
      <c r="B102" s="958" t="s">
        <v>1323</v>
      </c>
      <c r="D102" s="1186"/>
    </row>
    <row r="103" spans="2:4" ht="44.25" customHeight="1">
      <c r="B103" s="958" t="s">
        <v>1324</v>
      </c>
      <c r="D103" s="1186"/>
    </row>
    <row r="104" spans="2:4" ht="44.25" customHeight="1">
      <c r="B104" s="958" t="s">
        <v>1325</v>
      </c>
      <c r="D104" s="1186"/>
    </row>
    <row r="105" spans="2:4" ht="44.25" customHeight="1">
      <c r="B105" s="958" t="s">
        <v>1326</v>
      </c>
      <c r="D105" s="1186"/>
    </row>
    <row r="106" spans="2:4" ht="44.25" customHeight="1">
      <c r="B106" s="958" t="s">
        <v>1327</v>
      </c>
      <c r="D106" s="1186"/>
    </row>
    <row r="107" spans="2:4" ht="44.25" customHeight="1">
      <c r="B107" s="958" t="s">
        <v>1328</v>
      </c>
      <c r="D107" s="1186"/>
    </row>
    <row r="108" spans="2:4" ht="44.25" customHeight="1">
      <c r="B108" s="958" t="s">
        <v>1329</v>
      </c>
      <c r="D108" s="1186"/>
    </row>
    <row r="109" spans="2:4" ht="44.25" customHeight="1">
      <c r="B109" s="958" t="s">
        <v>1330</v>
      </c>
      <c r="D109" s="1186"/>
    </row>
    <row r="110" spans="2:4" ht="44.25" customHeight="1">
      <c r="B110" s="958" t="s">
        <v>1331</v>
      </c>
      <c r="D110" s="1186"/>
    </row>
    <row r="111" spans="2:4" ht="44.25" customHeight="1">
      <c r="B111" s="958" t="s">
        <v>1332</v>
      </c>
      <c r="D111" s="1186"/>
    </row>
    <row r="112" spans="2:4" ht="44.25" customHeight="1">
      <c r="B112" s="958" t="s">
        <v>1333</v>
      </c>
      <c r="D112" s="1186"/>
    </row>
    <row r="113" spans="2:4" ht="44.25" customHeight="1">
      <c r="B113" s="958" t="s">
        <v>1334</v>
      </c>
      <c r="D113" s="1186"/>
    </row>
    <row r="114" spans="2:4" ht="44.25" customHeight="1">
      <c r="B114" s="958" t="s">
        <v>1335</v>
      </c>
      <c r="D114" s="1186"/>
    </row>
    <row r="115" spans="2:4">
      <c r="B115" s="958" t="s">
        <v>1336</v>
      </c>
    </row>
    <row r="116" spans="2:4">
      <c r="B116" s="958" t="s">
        <v>1337</v>
      </c>
    </row>
  </sheetData>
  <autoFilter ref="B61:D114" xr:uid="{00000000-0009-0000-0000-000008000000}">
    <filterColumn colId="0" showButton="0"/>
    <filterColumn colId="1" showButton="0"/>
  </autoFilter>
  <mergeCells count="64">
    <mergeCell ref="H25:J25"/>
    <mergeCell ref="K25:M25"/>
    <mergeCell ref="L1:N4"/>
    <mergeCell ref="I7:N7"/>
    <mergeCell ref="B9:G9"/>
    <mergeCell ref="D19:N19"/>
    <mergeCell ref="H24:J24"/>
    <mergeCell ref="K14:M14"/>
    <mergeCell ref="L29:M29"/>
    <mergeCell ref="A31:C31"/>
    <mergeCell ref="D31:G31"/>
    <mergeCell ref="H31:K31"/>
    <mergeCell ref="L31:N31"/>
    <mergeCell ref="A32:C32"/>
    <mergeCell ref="D32:G32"/>
    <mergeCell ref="H32:K32"/>
    <mergeCell ref="L32:N32"/>
    <mergeCell ref="A33:C33"/>
    <mergeCell ref="D33:G33"/>
    <mergeCell ref="H33:K33"/>
    <mergeCell ref="L33:N33"/>
    <mergeCell ref="A34:C34"/>
    <mergeCell ref="D34:G34"/>
    <mergeCell ref="H34:K34"/>
    <mergeCell ref="L34:N34"/>
    <mergeCell ref="A35:C35"/>
    <mergeCell ref="D35:G35"/>
    <mergeCell ref="H35:K35"/>
    <mergeCell ref="L35:N35"/>
    <mergeCell ref="D50:E50"/>
    <mergeCell ref="F50:G50"/>
    <mergeCell ref="H50:N50"/>
    <mergeCell ref="A36:C36"/>
    <mergeCell ref="D36:G36"/>
    <mergeCell ref="H36:K36"/>
    <mergeCell ref="L36:N36"/>
    <mergeCell ref="A37:C37"/>
    <mergeCell ref="D37:G37"/>
    <mergeCell ref="H37:K37"/>
    <mergeCell ref="L37:N37"/>
    <mergeCell ref="A38:C38"/>
    <mergeCell ref="D38:G38"/>
    <mergeCell ref="H38:K38"/>
    <mergeCell ref="L38:N38"/>
    <mergeCell ref="A51:C51"/>
    <mergeCell ref="D51:E51"/>
    <mergeCell ref="F51:G51"/>
    <mergeCell ref="K51:N51"/>
    <mergeCell ref="A52:C52"/>
    <mergeCell ref="D52:E52"/>
    <mergeCell ref="F52:G52"/>
    <mergeCell ref="K52:N52"/>
    <mergeCell ref="B61:D61"/>
    <mergeCell ref="A55:C55"/>
    <mergeCell ref="D55:G55"/>
    <mergeCell ref="L55:N55"/>
    <mergeCell ref="A53:C53"/>
    <mergeCell ref="D53:E53"/>
    <mergeCell ref="F53:G53"/>
    <mergeCell ref="K53:N53"/>
    <mergeCell ref="A54:C54"/>
    <mergeCell ref="D54:E54"/>
    <mergeCell ref="F54:G54"/>
    <mergeCell ref="L54:N54"/>
  </mergeCells>
  <dataValidations count="1">
    <dataValidation type="list" allowBlank="1" showInputMessage="1" showErrorMessage="1" sqref="K14:M14" xr:uid="{00000000-0002-0000-0800-000000000000}">
      <formula1>$B$62:$B$116</formula1>
    </dataValidation>
  </dataValidations>
  <printOptions horizontalCentered="1" verticalCentered="1"/>
  <pageMargins left="0" right="0" top="0.39370078740157483" bottom="0.39370078740157483" header="0" footer="0"/>
  <pageSetup paperSize="9" scale="62" orientation="portrait" blackAndWhite="1" verticalDpi="4294967292" r:id="rId1"/>
  <headerFooter>
    <oddFooter>&amp;LEdité le &amp;D&amp;C&amp;P/&amp;N&amp;RPage de garde</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9">
    <pageSetUpPr fitToPage="1"/>
  </sheetPr>
  <dimension ref="A1:K59"/>
  <sheetViews>
    <sheetView view="pageBreakPreview" topLeftCell="A15" zoomScaleNormal="100" zoomScaleSheetLayoutView="75" workbookViewId="0">
      <selection activeCell="A36" sqref="A36:G36"/>
    </sheetView>
  </sheetViews>
  <sheetFormatPr baseColWidth="10" defaultRowHeight="12.75"/>
  <cols>
    <col min="1" max="5" width="11.42578125" style="945"/>
    <col min="6" max="6" width="9.42578125" style="945" customWidth="1"/>
    <col min="7" max="7" width="19.42578125" style="945" customWidth="1"/>
    <col min="8" max="8" width="22.140625" style="980" customWidth="1"/>
    <col min="9" max="9" width="11.42578125" style="945" hidden="1" customWidth="1"/>
    <col min="10" max="261" width="11.42578125" style="945"/>
    <col min="262" max="262" width="9.42578125" style="945" customWidth="1"/>
    <col min="263" max="263" width="19.42578125" style="945" customWidth="1"/>
    <col min="264" max="264" width="22.140625" style="945" customWidth="1"/>
    <col min="265" max="265" width="0" style="945" hidden="1" customWidth="1"/>
    <col min="266" max="517" width="11.42578125" style="945"/>
    <col min="518" max="518" width="9.42578125" style="945" customWidth="1"/>
    <col min="519" max="519" width="19.42578125" style="945" customWidth="1"/>
    <col min="520" max="520" width="22.140625" style="945" customWidth="1"/>
    <col min="521" max="521" width="0" style="945" hidden="1" customWidth="1"/>
    <col min="522" max="773" width="11.42578125" style="945"/>
    <col min="774" max="774" width="9.42578125" style="945" customWidth="1"/>
    <col min="775" max="775" width="19.42578125" style="945" customWidth="1"/>
    <col min="776" max="776" width="22.140625" style="945" customWidth="1"/>
    <col min="777" max="777" width="0" style="945" hidden="1" customWidth="1"/>
    <col min="778" max="1029" width="11.42578125" style="945"/>
    <col min="1030" max="1030" width="9.42578125" style="945" customWidth="1"/>
    <col min="1031" max="1031" width="19.42578125" style="945" customWidth="1"/>
    <col min="1032" max="1032" width="22.140625" style="945" customWidth="1"/>
    <col min="1033" max="1033" width="0" style="945" hidden="1" customWidth="1"/>
    <col min="1034" max="1285" width="11.42578125" style="945"/>
    <col min="1286" max="1286" width="9.42578125" style="945" customWidth="1"/>
    <col min="1287" max="1287" width="19.42578125" style="945" customWidth="1"/>
    <col min="1288" max="1288" width="22.140625" style="945" customWidth="1"/>
    <col min="1289" max="1289" width="0" style="945" hidden="1" customWidth="1"/>
    <col min="1290" max="1541" width="11.42578125" style="945"/>
    <col min="1542" max="1542" width="9.42578125" style="945" customWidth="1"/>
    <col min="1543" max="1543" width="19.42578125" style="945" customWidth="1"/>
    <col min="1544" max="1544" width="22.140625" style="945" customWidth="1"/>
    <col min="1545" max="1545" width="0" style="945" hidden="1" customWidth="1"/>
    <col min="1546" max="1797" width="11.42578125" style="945"/>
    <col min="1798" max="1798" width="9.42578125" style="945" customWidth="1"/>
    <col min="1799" max="1799" width="19.42578125" style="945" customWidth="1"/>
    <col min="1800" max="1800" width="22.140625" style="945" customWidth="1"/>
    <col min="1801" max="1801" width="0" style="945" hidden="1" customWidth="1"/>
    <col min="1802" max="2053" width="11.42578125" style="945"/>
    <col min="2054" max="2054" width="9.42578125" style="945" customWidth="1"/>
    <col min="2055" max="2055" width="19.42578125" style="945" customWidth="1"/>
    <col min="2056" max="2056" width="22.140625" style="945" customWidth="1"/>
    <col min="2057" max="2057" width="0" style="945" hidden="1" customWidth="1"/>
    <col min="2058" max="2309" width="11.42578125" style="945"/>
    <col min="2310" max="2310" width="9.42578125" style="945" customWidth="1"/>
    <col min="2311" max="2311" width="19.42578125" style="945" customWidth="1"/>
    <col min="2312" max="2312" width="22.140625" style="945" customWidth="1"/>
    <col min="2313" max="2313" width="0" style="945" hidden="1" customWidth="1"/>
    <col min="2314" max="2565" width="11.42578125" style="945"/>
    <col min="2566" max="2566" width="9.42578125" style="945" customWidth="1"/>
    <col min="2567" max="2567" width="19.42578125" style="945" customWidth="1"/>
    <col min="2568" max="2568" width="22.140625" style="945" customWidth="1"/>
    <col min="2569" max="2569" width="0" style="945" hidden="1" customWidth="1"/>
    <col min="2570" max="2821" width="11.42578125" style="945"/>
    <col min="2822" max="2822" width="9.42578125" style="945" customWidth="1"/>
    <col min="2823" max="2823" width="19.42578125" style="945" customWidth="1"/>
    <col min="2824" max="2824" width="22.140625" style="945" customWidth="1"/>
    <col min="2825" max="2825" width="0" style="945" hidden="1" customWidth="1"/>
    <col min="2826" max="3077" width="11.42578125" style="945"/>
    <col min="3078" max="3078" width="9.42578125" style="945" customWidth="1"/>
    <col min="3079" max="3079" width="19.42578125" style="945" customWidth="1"/>
    <col min="3080" max="3080" width="22.140625" style="945" customWidth="1"/>
    <col min="3081" max="3081" width="0" style="945" hidden="1" customWidth="1"/>
    <col min="3082" max="3333" width="11.42578125" style="945"/>
    <col min="3334" max="3334" width="9.42578125" style="945" customWidth="1"/>
    <col min="3335" max="3335" width="19.42578125" style="945" customWidth="1"/>
    <col min="3336" max="3336" width="22.140625" style="945" customWidth="1"/>
    <col min="3337" max="3337" width="0" style="945" hidden="1" customWidth="1"/>
    <col min="3338" max="3589" width="11.42578125" style="945"/>
    <col min="3590" max="3590" width="9.42578125" style="945" customWidth="1"/>
    <col min="3591" max="3591" width="19.42578125" style="945" customWidth="1"/>
    <col min="3592" max="3592" width="22.140625" style="945" customWidth="1"/>
    <col min="3593" max="3593" width="0" style="945" hidden="1" customWidth="1"/>
    <col min="3594" max="3845" width="11.42578125" style="945"/>
    <col min="3846" max="3846" width="9.42578125" style="945" customWidth="1"/>
    <col min="3847" max="3847" width="19.42578125" style="945" customWidth="1"/>
    <col min="3848" max="3848" width="22.140625" style="945" customWidth="1"/>
    <col min="3849" max="3849" width="0" style="945" hidden="1" customWidth="1"/>
    <col min="3850" max="4101" width="11.42578125" style="945"/>
    <col min="4102" max="4102" width="9.42578125" style="945" customWidth="1"/>
    <col min="4103" max="4103" width="19.42578125" style="945" customWidth="1"/>
    <col min="4104" max="4104" width="22.140625" style="945" customWidth="1"/>
    <col min="4105" max="4105" width="0" style="945" hidden="1" customWidth="1"/>
    <col min="4106" max="4357" width="11.42578125" style="945"/>
    <col min="4358" max="4358" width="9.42578125" style="945" customWidth="1"/>
    <col min="4359" max="4359" width="19.42578125" style="945" customWidth="1"/>
    <col min="4360" max="4360" width="22.140625" style="945" customWidth="1"/>
    <col min="4361" max="4361" width="0" style="945" hidden="1" customWidth="1"/>
    <col min="4362" max="4613" width="11.42578125" style="945"/>
    <col min="4614" max="4614" width="9.42578125" style="945" customWidth="1"/>
    <col min="4615" max="4615" width="19.42578125" style="945" customWidth="1"/>
    <col min="4616" max="4616" width="22.140625" style="945" customWidth="1"/>
    <col min="4617" max="4617" width="0" style="945" hidden="1" customWidth="1"/>
    <col min="4618" max="4869" width="11.42578125" style="945"/>
    <col min="4870" max="4870" width="9.42578125" style="945" customWidth="1"/>
    <col min="4871" max="4871" width="19.42578125" style="945" customWidth="1"/>
    <col min="4872" max="4872" width="22.140625" style="945" customWidth="1"/>
    <col min="4873" max="4873" width="0" style="945" hidden="1" customWidth="1"/>
    <col min="4874" max="5125" width="11.42578125" style="945"/>
    <col min="5126" max="5126" width="9.42578125" style="945" customWidth="1"/>
    <col min="5127" max="5127" width="19.42578125" style="945" customWidth="1"/>
    <col min="5128" max="5128" width="22.140625" style="945" customWidth="1"/>
    <col min="5129" max="5129" width="0" style="945" hidden="1" customWidth="1"/>
    <col min="5130" max="5381" width="11.42578125" style="945"/>
    <col min="5382" max="5382" width="9.42578125" style="945" customWidth="1"/>
    <col min="5383" max="5383" width="19.42578125" style="945" customWidth="1"/>
    <col min="5384" max="5384" width="22.140625" style="945" customWidth="1"/>
    <col min="5385" max="5385" width="0" style="945" hidden="1" customWidth="1"/>
    <col min="5386" max="5637" width="11.42578125" style="945"/>
    <col min="5638" max="5638" width="9.42578125" style="945" customWidth="1"/>
    <col min="5639" max="5639" width="19.42578125" style="945" customWidth="1"/>
    <col min="5640" max="5640" width="22.140625" style="945" customWidth="1"/>
    <col min="5641" max="5641" width="0" style="945" hidden="1" customWidth="1"/>
    <col min="5642" max="5893" width="11.42578125" style="945"/>
    <col min="5894" max="5894" width="9.42578125" style="945" customWidth="1"/>
    <col min="5895" max="5895" width="19.42578125" style="945" customWidth="1"/>
    <col min="5896" max="5896" width="22.140625" style="945" customWidth="1"/>
    <col min="5897" max="5897" width="0" style="945" hidden="1" customWidth="1"/>
    <col min="5898" max="6149" width="11.42578125" style="945"/>
    <col min="6150" max="6150" width="9.42578125" style="945" customWidth="1"/>
    <col min="6151" max="6151" width="19.42578125" style="945" customWidth="1"/>
    <col min="6152" max="6152" width="22.140625" style="945" customWidth="1"/>
    <col min="6153" max="6153" width="0" style="945" hidden="1" customWidth="1"/>
    <col min="6154" max="6405" width="11.42578125" style="945"/>
    <col min="6406" max="6406" width="9.42578125" style="945" customWidth="1"/>
    <col min="6407" max="6407" width="19.42578125" style="945" customWidth="1"/>
    <col min="6408" max="6408" width="22.140625" style="945" customWidth="1"/>
    <col min="6409" max="6409" width="0" style="945" hidden="1" customWidth="1"/>
    <col min="6410" max="6661" width="11.42578125" style="945"/>
    <col min="6662" max="6662" width="9.42578125" style="945" customWidth="1"/>
    <col min="6663" max="6663" width="19.42578125" style="945" customWidth="1"/>
    <col min="6664" max="6664" width="22.140625" style="945" customWidth="1"/>
    <col min="6665" max="6665" width="0" style="945" hidden="1" customWidth="1"/>
    <col min="6666" max="6917" width="11.42578125" style="945"/>
    <col min="6918" max="6918" width="9.42578125" style="945" customWidth="1"/>
    <col min="6919" max="6919" width="19.42578125" style="945" customWidth="1"/>
    <col min="6920" max="6920" width="22.140625" style="945" customWidth="1"/>
    <col min="6921" max="6921" width="0" style="945" hidden="1" customWidth="1"/>
    <col min="6922" max="7173" width="11.42578125" style="945"/>
    <col min="7174" max="7174" width="9.42578125" style="945" customWidth="1"/>
    <col min="7175" max="7175" width="19.42578125" style="945" customWidth="1"/>
    <col min="7176" max="7176" width="22.140625" style="945" customWidth="1"/>
    <col min="7177" max="7177" width="0" style="945" hidden="1" customWidth="1"/>
    <col min="7178" max="7429" width="11.42578125" style="945"/>
    <col min="7430" max="7430" width="9.42578125" style="945" customWidth="1"/>
    <col min="7431" max="7431" width="19.42578125" style="945" customWidth="1"/>
    <col min="7432" max="7432" width="22.140625" style="945" customWidth="1"/>
    <col min="7433" max="7433" width="0" style="945" hidden="1" customWidth="1"/>
    <col min="7434" max="7685" width="11.42578125" style="945"/>
    <col min="7686" max="7686" width="9.42578125" style="945" customWidth="1"/>
    <col min="7687" max="7687" width="19.42578125" style="945" customWidth="1"/>
    <col min="7688" max="7688" width="22.140625" style="945" customWidth="1"/>
    <col min="7689" max="7689" width="0" style="945" hidden="1" customWidth="1"/>
    <col min="7690" max="7941" width="11.42578125" style="945"/>
    <col min="7942" max="7942" width="9.42578125" style="945" customWidth="1"/>
    <col min="7943" max="7943" width="19.42578125" style="945" customWidth="1"/>
    <col min="7944" max="7944" width="22.140625" style="945" customWidth="1"/>
    <col min="7945" max="7945" width="0" style="945" hidden="1" customWidth="1"/>
    <col min="7946" max="8197" width="11.42578125" style="945"/>
    <col min="8198" max="8198" width="9.42578125" style="945" customWidth="1"/>
    <col min="8199" max="8199" width="19.42578125" style="945" customWidth="1"/>
    <col min="8200" max="8200" width="22.140625" style="945" customWidth="1"/>
    <col min="8201" max="8201" width="0" style="945" hidden="1" customWidth="1"/>
    <col min="8202" max="8453" width="11.42578125" style="945"/>
    <col min="8454" max="8454" width="9.42578125" style="945" customWidth="1"/>
    <col min="8455" max="8455" width="19.42578125" style="945" customWidth="1"/>
    <col min="8456" max="8456" width="22.140625" style="945" customWidth="1"/>
    <col min="8457" max="8457" width="0" style="945" hidden="1" customWidth="1"/>
    <col min="8458" max="8709" width="11.42578125" style="945"/>
    <col min="8710" max="8710" width="9.42578125" style="945" customWidth="1"/>
    <col min="8711" max="8711" width="19.42578125" style="945" customWidth="1"/>
    <col min="8712" max="8712" width="22.140625" style="945" customWidth="1"/>
    <col min="8713" max="8713" width="0" style="945" hidden="1" customWidth="1"/>
    <col min="8714" max="8965" width="11.42578125" style="945"/>
    <col min="8966" max="8966" width="9.42578125" style="945" customWidth="1"/>
    <col min="8967" max="8967" width="19.42578125" style="945" customWidth="1"/>
    <col min="8968" max="8968" width="22.140625" style="945" customWidth="1"/>
    <col min="8969" max="8969" width="0" style="945" hidden="1" customWidth="1"/>
    <col min="8970" max="9221" width="11.42578125" style="945"/>
    <col min="9222" max="9222" width="9.42578125" style="945" customWidth="1"/>
    <col min="9223" max="9223" width="19.42578125" style="945" customWidth="1"/>
    <col min="9224" max="9224" width="22.140625" style="945" customWidth="1"/>
    <col min="9225" max="9225" width="0" style="945" hidden="1" customWidth="1"/>
    <col min="9226" max="9477" width="11.42578125" style="945"/>
    <col min="9478" max="9478" width="9.42578125" style="945" customWidth="1"/>
    <col min="9479" max="9479" width="19.42578125" style="945" customWidth="1"/>
    <col min="9480" max="9480" width="22.140625" style="945" customWidth="1"/>
    <col min="9481" max="9481" width="0" style="945" hidden="1" customWidth="1"/>
    <col min="9482" max="9733" width="11.42578125" style="945"/>
    <col min="9734" max="9734" width="9.42578125" style="945" customWidth="1"/>
    <col min="9735" max="9735" width="19.42578125" style="945" customWidth="1"/>
    <col min="9736" max="9736" width="22.140625" style="945" customWidth="1"/>
    <col min="9737" max="9737" width="0" style="945" hidden="1" customWidth="1"/>
    <col min="9738" max="9989" width="11.42578125" style="945"/>
    <col min="9990" max="9990" width="9.42578125" style="945" customWidth="1"/>
    <col min="9991" max="9991" width="19.42578125" style="945" customWidth="1"/>
    <col min="9992" max="9992" width="22.140625" style="945" customWidth="1"/>
    <col min="9993" max="9993" width="0" style="945" hidden="1" customWidth="1"/>
    <col min="9994" max="10245" width="11.42578125" style="945"/>
    <col min="10246" max="10246" width="9.42578125" style="945" customWidth="1"/>
    <col min="10247" max="10247" width="19.42578125" style="945" customWidth="1"/>
    <col min="10248" max="10248" width="22.140625" style="945" customWidth="1"/>
    <col min="10249" max="10249" width="0" style="945" hidden="1" customWidth="1"/>
    <col min="10250" max="10501" width="11.42578125" style="945"/>
    <col min="10502" max="10502" width="9.42578125" style="945" customWidth="1"/>
    <col min="10503" max="10503" width="19.42578125" style="945" customWidth="1"/>
    <col min="10504" max="10504" width="22.140625" style="945" customWidth="1"/>
    <col min="10505" max="10505" width="0" style="945" hidden="1" customWidth="1"/>
    <col min="10506" max="10757" width="11.42578125" style="945"/>
    <col min="10758" max="10758" width="9.42578125" style="945" customWidth="1"/>
    <col min="10759" max="10759" width="19.42578125" style="945" customWidth="1"/>
    <col min="10760" max="10760" width="22.140625" style="945" customWidth="1"/>
    <col min="10761" max="10761" width="0" style="945" hidden="1" customWidth="1"/>
    <col min="10762" max="11013" width="11.42578125" style="945"/>
    <col min="11014" max="11014" width="9.42578125" style="945" customWidth="1"/>
    <col min="11015" max="11015" width="19.42578125" style="945" customWidth="1"/>
    <col min="11016" max="11016" width="22.140625" style="945" customWidth="1"/>
    <col min="11017" max="11017" width="0" style="945" hidden="1" customWidth="1"/>
    <col min="11018" max="11269" width="11.42578125" style="945"/>
    <col min="11270" max="11270" width="9.42578125" style="945" customWidth="1"/>
    <col min="11271" max="11271" width="19.42578125" style="945" customWidth="1"/>
    <col min="11272" max="11272" width="22.140625" style="945" customWidth="1"/>
    <col min="11273" max="11273" width="0" style="945" hidden="1" customWidth="1"/>
    <col min="11274" max="11525" width="11.42578125" style="945"/>
    <col min="11526" max="11526" width="9.42578125" style="945" customWidth="1"/>
    <col min="11527" max="11527" width="19.42578125" style="945" customWidth="1"/>
    <col min="11528" max="11528" width="22.140625" style="945" customWidth="1"/>
    <col min="11529" max="11529" width="0" style="945" hidden="1" customWidth="1"/>
    <col min="11530" max="11781" width="11.42578125" style="945"/>
    <col min="11782" max="11782" width="9.42578125" style="945" customWidth="1"/>
    <col min="11783" max="11783" width="19.42578125" style="945" customWidth="1"/>
    <col min="11784" max="11784" width="22.140625" style="945" customWidth="1"/>
    <col min="11785" max="11785" width="0" style="945" hidden="1" customWidth="1"/>
    <col min="11786" max="12037" width="11.42578125" style="945"/>
    <col min="12038" max="12038" width="9.42578125" style="945" customWidth="1"/>
    <col min="12039" max="12039" width="19.42578125" style="945" customWidth="1"/>
    <col min="12040" max="12040" width="22.140625" style="945" customWidth="1"/>
    <col min="12041" max="12041" width="0" style="945" hidden="1" customWidth="1"/>
    <col min="12042" max="12293" width="11.42578125" style="945"/>
    <col min="12294" max="12294" width="9.42578125" style="945" customWidth="1"/>
    <col min="12295" max="12295" width="19.42578125" style="945" customWidth="1"/>
    <col min="12296" max="12296" width="22.140625" style="945" customWidth="1"/>
    <col min="12297" max="12297" width="0" style="945" hidden="1" customWidth="1"/>
    <col min="12298" max="12549" width="11.42578125" style="945"/>
    <col min="12550" max="12550" width="9.42578125" style="945" customWidth="1"/>
    <col min="12551" max="12551" width="19.42578125" style="945" customWidth="1"/>
    <col min="12552" max="12552" width="22.140625" style="945" customWidth="1"/>
    <col min="12553" max="12553" width="0" style="945" hidden="1" customWidth="1"/>
    <col min="12554" max="12805" width="11.42578125" style="945"/>
    <col min="12806" max="12806" width="9.42578125" style="945" customWidth="1"/>
    <col min="12807" max="12807" width="19.42578125" style="945" customWidth="1"/>
    <col min="12808" max="12808" width="22.140625" style="945" customWidth="1"/>
    <col min="12809" max="12809" width="0" style="945" hidden="1" customWidth="1"/>
    <col min="12810" max="13061" width="11.42578125" style="945"/>
    <col min="13062" max="13062" width="9.42578125" style="945" customWidth="1"/>
    <col min="13063" max="13063" width="19.42578125" style="945" customWidth="1"/>
    <col min="13064" max="13064" width="22.140625" style="945" customWidth="1"/>
    <col min="13065" max="13065" width="0" style="945" hidden="1" customWidth="1"/>
    <col min="13066" max="13317" width="11.42578125" style="945"/>
    <col min="13318" max="13318" width="9.42578125" style="945" customWidth="1"/>
    <col min="13319" max="13319" width="19.42578125" style="945" customWidth="1"/>
    <col min="13320" max="13320" width="22.140625" style="945" customWidth="1"/>
    <col min="13321" max="13321" width="0" style="945" hidden="1" customWidth="1"/>
    <col min="13322" max="13573" width="11.42578125" style="945"/>
    <col min="13574" max="13574" width="9.42578125" style="945" customWidth="1"/>
    <col min="13575" max="13575" width="19.42578125" style="945" customWidth="1"/>
    <col min="13576" max="13576" width="22.140625" style="945" customWidth="1"/>
    <col min="13577" max="13577" width="0" style="945" hidden="1" customWidth="1"/>
    <col min="13578" max="13829" width="11.42578125" style="945"/>
    <col min="13830" max="13830" width="9.42578125" style="945" customWidth="1"/>
    <col min="13831" max="13831" width="19.42578125" style="945" customWidth="1"/>
    <col min="13832" max="13832" width="22.140625" style="945" customWidth="1"/>
    <col min="13833" max="13833" width="0" style="945" hidden="1" customWidth="1"/>
    <col min="13834" max="14085" width="11.42578125" style="945"/>
    <col min="14086" max="14086" width="9.42578125" style="945" customWidth="1"/>
    <col min="14087" max="14087" width="19.42578125" style="945" customWidth="1"/>
    <col min="14088" max="14088" width="22.140625" style="945" customWidth="1"/>
    <col min="14089" max="14089" width="0" style="945" hidden="1" customWidth="1"/>
    <col min="14090" max="14341" width="11.42578125" style="945"/>
    <col min="14342" max="14342" width="9.42578125" style="945" customWidth="1"/>
    <col min="14343" max="14343" width="19.42578125" style="945" customWidth="1"/>
    <col min="14344" max="14344" width="22.140625" style="945" customWidth="1"/>
    <col min="14345" max="14345" width="0" style="945" hidden="1" customWidth="1"/>
    <col min="14346" max="14597" width="11.42578125" style="945"/>
    <col min="14598" max="14598" width="9.42578125" style="945" customWidth="1"/>
    <col min="14599" max="14599" width="19.42578125" style="945" customWidth="1"/>
    <col min="14600" max="14600" width="22.140625" style="945" customWidth="1"/>
    <col min="14601" max="14601" width="0" style="945" hidden="1" customWidth="1"/>
    <col min="14602" max="14853" width="11.42578125" style="945"/>
    <col min="14854" max="14854" width="9.42578125" style="945" customWidth="1"/>
    <col min="14855" max="14855" width="19.42578125" style="945" customWidth="1"/>
    <col min="14856" max="14856" width="22.140625" style="945" customWidth="1"/>
    <col min="14857" max="14857" width="0" style="945" hidden="1" customWidth="1"/>
    <col min="14858" max="15109" width="11.42578125" style="945"/>
    <col min="15110" max="15110" width="9.42578125" style="945" customWidth="1"/>
    <col min="15111" max="15111" width="19.42578125" style="945" customWidth="1"/>
    <col min="15112" max="15112" width="22.140625" style="945" customWidth="1"/>
    <col min="15113" max="15113" width="0" style="945" hidden="1" customWidth="1"/>
    <col min="15114" max="15365" width="11.42578125" style="945"/>
    <col min="15366" max="15366" width="9.42578125" style="945" customWidth="1"/>
    <col min="15367" max="15367" width="19.42578125" style="945" customWidth="1"/>
    <col min="15368" max="15368" width="22.140625" style="945" customWidth="1"/>
    <col min="15369" max="15369" width="0" style="945" hidden="1" customWidth="1"/>
    <col min="15370" max="15621" width="11.42578125" style="945"/>
    <col min="15622" max="15622" width="9.42578125" style="945" customWidth="1"/>
    <col min="15623" max="15623" width="19.42578125" style="945" customWidth="1"/>
    <col min="15624" max="15624" width="22.140625" style="945" customWidth="1"/>
    <col min="15625" max="15625" width="0" style="945" hidden="1" customWidth="1"/>
    <col min="15626" max="15877" width="11.42578125" style="945"/>
    <col min="15878" max="15878" width="9.42578125" style="945" customWidth="1"/>
    <col min="15879" max="15879" width="19.42578125" style="945" customWidth="1"/>
    <col min="15880" max="15880" width="22.140625" style="945" customWidth="1"/>
    <col min="15881" max="15881" width="0" style="945" hidden="1" customWidth="1"/>
    <col min="15882" max="16133" width="11.42578125" style="945"/>
    <col min="16134" max="16134" width="9.42578125" style="945" customWidth="1"/>
    <col min="16135" max="16135" width="19.42578125" style="945" customWidth="1"/>
    <col min="16136" max="16136" width="22.140625" style="945" customWidth="1"/>
    <col min="16137" max="16137" width="0" style="945" hidden="1" customWidth="1"/>
    <col min="16138" max="16384" width="11.42578125" style="945"/>
  </cols>
  <sheetData>
    <row r="1" spans="1:10" ht="12.75" customHeight="1">
      <c r="B1" s="1643" t="s">
        <v>1179</v>
      </c>
      <c r="C1" s="1643"/>
      <c r="D1" s="1643"/>
      <c r="E1" s="1643"/>
      <c r="F1" s="1643"/>
      <c r="G1" s="1643"/>
      <c r="H1" s="1645" t="s">
        <v>1180</v>
      </c>
    </row>
    <row r="2" spans="1:10" ht="26.25" customHeight="1" thickBot="1">
      <c r="A2" s="978"/>
      <c r="B2" s="1644"/>
      <c r="C2" s="1644"/>
      <c r="D2" s="1644"/>
      <c r="E2" s="1644"/>
      <c r="F2" s="1644"/>
      <c r="G2" s="1644"/>
      <c r="H2" s="1646"/>
    </row>
    <row r="3" spans="1:10" ht="12.75" customHeight="1">
      <c r="A3" s="983"/>
      <c r="B3" s="984"/>
      <c r="C3" s="984"/>
      <c r="D3" s="984"/>
      <c r="E3" s="984"/>
      <c r="F3" s="984"/>
      <c r="G3" s="984"/>
      <c r="H3" s="1624" t="s">
        <v>1181</v>
      </c>
    </row>
    <row r="4" spans="1:10">
      <c r="A4" s="1629" t="s">
        <v>1182</v>
      </c>
      <c r="B4" s="1647"/>
      <c r="C4" s="1647"/>
      <c r="D4" s="1647"/>
      <c r="E4" s="1647"/>
      <c r="F4" s="1647"/>
      <c r="G4" s="1647"/>
      <c r="H4" s="1625"/>
    </row>
    <row r="5" spans="1:10">
      <c r="A5" s="1648"/>
      <c r="B5" s="1649"/>
      <c r="C5" s="1649"/>
      <c r="D5" s="1649"/>
      <c r="E5" s="1649"/>
      <c r="F5" s="1649"/>
      <c r="G5" s="1649"/>
      <c r="H5" s="1625"/>
    </row>
    <row r="6" spans="1:10" ht="13.5" thickBot="1">
      <c r="A6" s="1650" t="s">
        <v>1183</v>
      </c>
      <c r="B6" s="1630"/>
      <c r="C6" s="1630"/>
      <c r="D6" s="1630"/>
      <c r="E6" s="1630"/>
      <c r="F6" s="1630"/>
      <c r="G6" s="1630"/>
      <c r="H6" s="1626"/>
    </row>
    <row r="7" spans="1:10">
      <c r="A7" s="1650" t="s">
        <v>1184</v>
      </c>
      <c r="B7" s="1630"/>
      <c r="C7" s="1630"/>
      <c r="D7" s="1630"/>
      <c r="E7" s="1630"/>
      <c r="F7" s="1630"/>
      <c r="G7" s="1630"/>
      <c r="H7" s="985"/>
    </row>
    <row r="8" spans="1:10">
      <c r="A8" s="1650" t="s">
        <v>1185</v>
      </c>
      <c r="B8" s="1630"/>
      <c r="C8" s="1630"/>
      <c r="D8" s="1630"/>
      <c r="E8" s="1630"/>
      <c r="F8" s="1630"/>
      <c r="G8" s="1630"/>
      <c r="H8" s="986" t="s">
        <v>1186</v>
      </c>
    </row>
    <row r="9" spans="1:10">
      <c r="A9" s="1650" t="s">
        <v>1187</v>
      </c>
      <c r="B9" s="1630"/>
      <c r="C9" s="1630"/>
      <c r="D9" s="1630"/>
      <c r="E9" s="1630"/>
      <c r="F9" s="1630"/>
      <c r="G9" s="1630"/>
      <c r="H9" s="987" t="s">
        <v>1188</v>
      </c>
    </row>
    <row r="10" spans="1:10">
      <c r="A10" s="1650" t="s">
        <v>1189</v>
      </c>
      <c r="B10" s="1630"/>
      <c r="C10" s="1630"/>
      <c r="D10" s="1630"/>
      <c r="E10" s="1630"/>
      <c r="F10" s="1630"/>
      <c r="G10" s="1630"/>
      <c r="H10" s="987" t="s">
        <v>1190</v>
      </c>
    </row>
    <row r="11" spans="1:10" ht="13.5" thickBot="1">
      <c r="A11" s="978" t="s">
        <v>1191</v>
      </c>
      <c r="B11" s="979"/>
      <c r="C11" s="979"/>
      <c r="D11" s="979"/>
      <c r="E11" s="979"/>
      <c r="F11" s="979"/>
      <c r="G11" s="945" t="s">
        <v>1192</v>
      </c>
      <c r="H11" s="987" t="s">
        <v>1193</v>
      </c>
    </row>
    <row r="12" spans="1:10">
      <c r="A12" s="1651" t="s">
        <v>1194</v>
      </c>
      <c r="B12" s="1652"/>
      <c r="C12" s="1652"/>
      <c r="D12" s="1652"/>
      <c r="E12" s="1652"/>
      <c r="F12" s="1652"/>
      <c r="G12" s="1652"/>
      <c r="H12" s="987"/>
    </row>
    <row r="13" spans="1:10" ht="12.75" customHeight="1">
      <c r="A13" s="1653"/>
      <c r="B13" s="1654"/>
      <c r="C13" s="1654"/>
      <c r="D13" s="1654"/>
      <c r="E13" s="1654"/>
      <c r="F13" s="1654"/>
      <c r="G13" s="1654"/>
      <c r="H13" s="988"/>
    </row>
    <row r="14" spans="1:10" ht="13.5" customHeight="1" thickBot="1">
      <c r="A14" s="1655"/>
      <c r="B14" s="1656"/>
      <c r="C14" s="1656"/>
      <c r="D14" s="1656"/>
      <c r="E14" s="1656"/>
      <c r="F14" s="1656"/>
      <c r="G14" s="1656"/>
      <c r="H14" s="988"/>
      <c r="I14" s="989"/>
      <c r="J14" s="989"/>
    </row>
    <row r="15" spans="1:10" ht="13.5" customHeight="1">
      <c r="A15" s="990"/>
      <c r="B15" s="991"/>
      <c r="C15" s="991"/>
      <c r="D15" s="991"/>
      <c r="E15" s="991"/>
      <c r="F15" s="991"/>
      <c r="G15" s="991"/>
      <c r="H15" s="986" t="s">
        <v>1195</v>
      </c>
      <c r="I15" s="989"/>
      <c r="J15" s="989"/>
    </row>
    <row r="16" spans="1:10">
      <c r="A16" s="1638" t="s">
        <v>1196</v>
      </c>
      <c r="B16" s="1639"/>
      <c r="C16" s="1639"/>
      <c r="D16" s="1639"/>
      <c r="E16" s="1639"/>
      <c r="F16" s="1639"/>
      <c r="G16" s="1639"/>
      <c r="H16" s="987" t="s">
        <v>1197</v>
      </c>
    </row>
    <row r="17" spans="1:10">
      <c r="A17" s="1640"/>
      <c r="B17" s="1639"/>
      <c r="C17" s="1639"/>
      <c r="D17" s="1639"/>
      <c r="E17" s="1639"/>
      <c r="F17" s="1639"/>
      <c r="G17" s="1639"/>
      <c r="H17" s="987" t="s">
        <v>1198</v>
      </c>
    </row>
    <row r="18" spans="1:10" s="992" customFormat="1">
      <c r="A18" s="1640"/>
      <c r="B18" s="1639"/>
      <c r="C18" s="1639"/>
      <c r="D18" s="1639"/>
      <c r="E18" s="1639"/>
      <c r="F18" s="1639"/>
      <c r="G18" s="1639"/>
      <c r="H18" s="987" t="s">
        <v>1199</v>
      </c>
    </row>
    <row r="19" spans="1:10">
      <c r="A19" s="1640"/>
      <c r="B19" s="1639"/>
      <c r="C19" s="1639"/>
      <c r="D19" s="1639"/>
      <c r="E19" s="1639"/>
      <c r="F19" s="1639"/>
      <c r="G19" s="1639"/>
      <c r="H19" s="987" t="s">
        <v>1200</v>
      </c>
    </row>
    <row r="20" spans="1:10">
      <c r="A20" s="1640"/>
      <c r="B20" s="1639"/>
      <c r="C20" s="1639"/>
      <c r="D20" s="1639"/>
      <c r="E20" s="1639"/>
      <c r="F20" s="1639"/>
      <c r="G20" s="1639"/>
      <c r="H20" s="987" t="s">
        <v>1201</v>
      </c>
    </row>
    <row r="21" spans="1:10">
      <c r="A21" s="1640"/>
      <c r="B21" s="1639"/>
      <c r="C21" s="1639"/>
      <c r="D21" s="1639"/>
      <c r="E21" s="1639"/>
      <c r="F21" s="1639"/>
      <c r="G21" s="1639"/>
      <c r="H21" s="993" t="s">
        <v>1202</v>
      </c>
    </row>
    <row r="22" spans="1:10">
      <c r="A22" s="1640"/>
      <c r="B22" s="1639"/>
      <c r="C22" s="1639"/>
      <c r="D22" s="1639"/>
      <c r="E22" s="1639"/>
      <c r="F22" s="1639"/>
      <c r="G22" s="1639"/>
      <c r="H22" s="994" t="s">
        <v>1203</v>
      </c>
    </row>
    <row r="23" spans="1:10">
      <c r="A23" s="1640"/>
      <c r="B23" s="1639"/>
      <c r="C23" s="1639"/>
      <c r="D23" s="1639"/>
      <c r="E23" s="1639"/>
      <c r="F23" s="1639"/>
      <c r="G23" s="1639"/>
      <c r="H23" s="988"/>
    </row>
    <row r="24" spans="1:10">
      <c r="A24" s="1640"/>
      <c r="B24" s="1639"/>
      <c r="C24" s="1639"/>
      <c r="D24" s="1639"/>
      <c r="E24" s="1639"/>
      <c r="F24" s="1639"/>
      <c r="G24" s="1639"/>
      <c r="H24" s="988"/>
    </row>
    <row r="25" spans="1:10">
      <c r="A25" s="1640"/>
      <c r="B25" s="1639"/>
      <c r="C25" s="1639"/>
      <c r="D25" s="1639"/>
      <c r="E25" s="1639"/>
      <c r="F25" s="1639"/>
      <c r="G25" s="1639"/>
      <c r="H25" s="988"/>
    </row>
    <row r="26" spans="1:10">
      <c r="A26" s="1640"/>
      <c r="B26" s="1639"/>
      <c r="C26" s="1639"/>
      <c r="D26" s="1639"/>
      <c r="E26" s="1639"/>
      <c r="F26" s="1639"/>
      <c r="G26" s="1639"/>
      <c r="H26" s="986" t="s">
        <v>1204</v>
      </c>
    </row>
    <row r="27" spans="1:10">
      <c r="A27" s="1640"/>
      <c r="B27" s="1639"/>
      <c r="C27" s="1639"/>
      <c r="D27" s="1639"/>
      <c r="E27" s="1639"/>
      <c r="F27" s="1639"/>
      <c r="G27" s="1639"/>
      <c r="H27" s="987" t="s">
        <v>1205</v>
      </c>
    </row>
    <row r="28" spans="1:10">
      <c r="A28" s="1640"/>
      <c r="B28" s="1639"/>
      <c r="C28" s="1639"/>
      <c r="D28" s="1639"/>
      <c r="E28" s="1639"/>
      <c r="F28" s="1639"/>
      <c r="G28" s="1639"/>
      <c r="H28" s="987" t="s">
        <v>1206</v>
      </c>
    </row>
    <row r="29" spans="1:10">
      <c r="A29" s="1640"/>
      <c r="B29" s="1639"/>
      <c r="C29" s="1639"/>
      <c r="D29" s="1639"/>
      <c r="E29" s="1639"/>
      <c r="F29" s="1639"/>
      <c r="G29" s="1639"/>
      <c r="H29" s="987" t="s">
        <v>1207</v>
      </c>
    </row>
    <row r="30" spans="1:10">
      <c r="A30" s="1640"/>
      <c r="B30" s="1639"/>
      <c r="C30" s="1639"/>
      <c r="D30" s="1639"/>
      <c r="E30" s="1639"/>
      <c r="F30" s="1639"/>
      <c r="G30" s="1639"/>
      <c r="H30" s="987" t="s">
        <v>1208</v>
      </c>
      <c r="J30" s="992"/>
    </row>
    <row r="31" spans="1:10">
      <c r="A31" s="1640"/>
      <c r="B31" s="1639"/>
      <c r="C31" s="1639"/>
      <c r="D31" s="1639"/>
      <c r="E31" s="1639"/>
      <c r="F31" s="1639"/>
      <c r="G31" s="1639"/>
      <c r="H31" s="987" t="s">
        <v>1209</v>
      </c>
    </row>
    <row r="32" spans="1:10">
      <c r="A32" s="1641"/>
      <c r="B32" s="1642"/>
      <c r="C32" s="1642"/>
      <c r="D32" s="1642"/>
      <c r="E32" s="1642"/>
      <c r="F32" s="1642"/>
      <c r="G32" s="1642"/>
      <c r="H32" s="987" t="s">
        <v>1210</v>
      </c>
    </row>
    <row r="33" spans="1:11">
      <c r="A33" s="995"/>
      <c r="B33" s="996"/>
      <c r="C33" s="996"/>
      <c r="D33" s="996"/>
      <c r="E33" s="996"/>
      <c r="F33" s="996"/>
      <c r="G33" s="996"/>
      <c r="H33" s="987" t="s">
        <v>1211</v>
      </c>
    </row>
    <row r="34" spans="1:11" ht="12.75" customHeight="1">
      <c r="A34" s="1635" t="s">
        <v>1489</v>
      </c>
      <c r="B34" s="1636"/>
      <c r="C34" s="1636"/>
      <c r="D34" s="1636"/>
      <c r="E34" s="1636"/>
      <c r="F34" s="1636"/>
      <c r="G34" s="1637"/>
      <c r="H34" s="987" t="s">
        <v>1212</v>
      </c>
    </row>
    <row r="35" spans="1:11">
      <c r="A35" s="1635" t="s">
        <v>1490</v>
      </c>
      <c r="B35" s="1636"/>
      <c r="C35" s="1636"/>
      <c r="D35" s="1636"/>
      <c r="E35" s="1636"/>
      <c r="F35" s="1636"/>
      <c r="G35" s="1637"/>
      <c r="H35" s="988"/>
    </row>
    <row r="36" spans="1:11">
      <c r="A36" s="1635" t="s">
        <v>1491</v>
      </c>
      <c r="B36" s="1636"/>
      <c r="C36" s="1636"/>
      <c r="D36" s="1636"/>
      <c r="E36" s="1636"/>
      <c r="F36" s="1636"/>
      <c r="G36" s="1637"/>
      <c r="H36" s="988"/>
    </row>
    <row r="37" spans="1:11" ht="13.5" thickBot="1">
      <c r="A37" s="1635"/>
      <c r="B37" s="1636"/>
      <c r="C37" s="1636"/>
      <c r="D37" s="1636"/>
      <c r="E37" s="1636"/>
      <c r="F37" s="1636"/>
      <c r="G37" s="1637"/>
      <c r="H37" s="997"/>
    </row>
    <row r="38" spans="1:11">
      <c r="A38" s="998"/>
      <c r="B38" s="999"/>
      <c r="C38" s="999"/>
      <c r="D38" s="999"/>
      <c r="E38" s="999"/>
      <c r="F38" s="999"/>
      <c r="G38" s="999"/>
      <c r="H38" s="1624" t="s">
        <v>1213</v>
      </c>
    </row>
    <row r="39" spans="1:11">
      <c r="A39" s="1627" t="s">
        <v>1214</v>
      </c>
      <c r="B39" s="1628"/>
      <c r="C39" s="1628"/>
      <c r="D39" s="1628"/>
      <c r="E39" s="1628"/>
      <c r="F39" s="1628"/>
      <c r="G39" s="1628"/>
      <c r="H39" s="1625"/>
    </row>
    <row r="40" spans="1:11">
      <c r="A40" s="1627"/>
      <c r="B40" s="1628"/>
      <c r="C40" s="1628"/>
      <c r="D40" s="1628"/>
      <c r="E40" s="1628"/>
      <c r="F40" s="1628"/>
      <c r="G40" s="1628"/>
      <c r="H40" s="1625"/>
    </row>
    <row r="41" spans="1:11" ht="13.5" thickBot="1">
      <c r="A41" s="1627"/>
      <c r="B41" s="1628"/>
      <c r="C41" s="1628"/>
      <c r="D41" s="1628"/>
      <c r="E41" s="1628"/>
      <c r="F41" s="1628"/>
      <c r="G41" s="1628"/>
      <c r="H41" s="1626"/>
    </row>
    <row r="42" spans="1:11">
      <c r="A42" s="1627"/>
      <c r="B42" s="1628"/>
      <c r="C42" s="1628"/>
      <c r="D42" s="1628"/>
      <c r="E42" s="1628"/>
      <c r="F42" s="1628"/>
      <c r="G42" s="1628"/>
      <c r="H42" s="1000" t="s">
        <v>622</v>
      </c>
    </row>
    <row r="43" spans="1:11">
      <c r="A43" s="1627"/>
      <c r="B43" s="1628"/>
      <c r="C43" s="1628"/>
      <c r="D43" s="1628"/>
      <c r="E43" s="1628"/>
      <c r="F43" s="1628"/>
      <c r="G43" s="1628"/>
      <c r="H43" s="988"/>
      <c r="K43" s="1001" t="s">
        <v>1215</v>
      </c>
    </row>
    <row r="44" spans="1:11">
      <c r="A44" s="1627"/>
      <c r="B44" s="1628"/>
      <c r="C44" s="1628"/>
      <c r="D44" s="1628"/>
      <c r="E44" s="1628"/>
      <c r="F44" s="1628"/>
      <c r="G44" s="1628"/>
      <c r="H44" s="988"/>
      <c r="K44" s="1001"/>
    </row>
    <row r="45" spans="1:11">
      <c r="A45" s="1627"/>
      <c r="B45" s="1628"/>
      <c r="C45" s="1628"/>
      <c r="D45" s="1628"/>
      <c r="E45" s="1628"/>
      <c r="F45" s="1628"/>
      <c r="G45" s="1628"/>
      <c r="H45" s="1002" t="s">
        <v>1216</v>
      </c>
      <c r="K45" s="1001"/>
    </row>
    <row r="46" spans="1:11">
      <c r="A46" s="1627"/>
      <c r="B46" s="1628"/>
      <c r="C46" s="1628"/>
      <c r="D46" s="1628"/>
      <c r="E46" s="1628"/>
      <c r="F46" s="1628"/>
      <c r="G46" s="1628"/>
      <c r="H46" s="1002" t="s">
        <v>1217</v>
      </c>
      <c r="K46" s="1001"/>
    </row>
    <row r="47" spans="1:11">
      <c r="A47" s="1627"/>
      <c r="B47" s="1628"/>
      <c r="C47" s="1628"/>
      <c r="D47" s="1628"/>
      <c r="E47" s="1628"/>
      <c r="F47" s="1628"/>
      <c r="G47" s="1628"/>
      <c r="H47" s="1002" t="s">
        <v>1218</v>
      </c>
      <c r="K47" s="1003" t="s">
        <v>622</v>
      </c>
    </row>
    <row r="48" spans="1:11">
      <c r="A48" s="1627"/>
      <c r="B48" s="1628"/>
      <c r="C48" s="1628"/>
      <c r="D48" s="1628"/>
      <c r="E48" s="1628"/>
      <c r="F48" s="1628"/>
      <c r="G48" s="1628"/>
      <c r="H48" s="1002" t="s">
        <v>1219</v>
      </c>
      <c r="K48" s="1003"/>
    </row>
    <row r="49" spans="1:11" ht="21">
      <c r="A49" s="1627"/>
      <c r="B49" s="1628"/>
      <c r="C49" s="1628"/>
      <c r="D49" s="1628"/>
      <c r="E49" s="1628"/>
      <c r="F49" s="1628"/>
      <c r="G49" s="1628"/>
      <c r="H49" s="1004" t="s">
        <v>1220</v>
      </c>
      <c r="K49" s="1001"/>
    </row>
    <row r="50" spans="1:11">
      <c r="A50" s="1627"/>
      <c r="B50" s="1628"/>
      <c r="C50" s="1628"/>
      <c r="D50" s="1628"/>
      <c r="E50" s="1628"/>
      <c r="F50" s="1628"/>
      <c r="G50" s="1628"/>
      <c r="H50" s="1002" t="s">
        <v>1221</v>
      </c>
      <c r="K50" s="1001" t="s">
        <v>622</v>
      </c>
    </row>
    <row r="51" spans="1:11">
      <c r="A51" s="1627"/>
      <c r="B51" s="1628"/>
      <c r="C51" s="1628"/>
      <c r="D51" s="1628"/>
      <c r="E51" s="1628"/>
      <c r="F51" s="1628"/>
      <c r="G51" s="1628"/>
      <c r="H51" s="1002" t="s">
        <v>1222</v>
      </c>
      <c r="K51" s="1001"/>
    </row>
    <row r="52" spans="1:11">
      <c r="A52" s="1627"/>
      <c r="B52" s="1628"/>
      <c r="C52" s="1628"/>
      <c r="D52" s="1628"/>
      <c r="E52" s="1628"/>
      <c r="F52" s="1628"/>
      <c r="G52" s="1628"/>
      <c r="H52" s="1002" t="s">
        <v>1223</v>
      </c>
      <c r="K52" s="1001"/>
    </row>
    <row r="53" spans="1:11">
      <c r="A53" s="1627"/>
      <c r="B53" s="1628"/>
      <c r="C53" s="1628"/>
      <c r="D53" s="1628"/>
      <c r="E53" s="1628"/>
      <c r="F53" s="1628"/>
      <c r="G53" s="1628"/>
      <c r="H53" s="1002" t="s">
        <v>1224</v>
      </c>
    </row>
    <row r="54" spans="1:11">
      <c r="A54" s="1627"/>
      <c r="B54" s="1628"/>
      <c r="C54" s="1628"/>
      <c r="D54" s="1628"/>
      <c r="E54" s="1628"/>
      <c r="F54" s="1628"/>
      <c r="G54" s="1628"/>
      <c r="H54" s="1005"/>
    </row>
    <row r="55" spans="1:11" ht="38.25" customHeight="1">
      <c r="A55" s="1006"/>
      <c r="B55" s="1007"/>
      <c r="C55" s="1007"/>
      <c r="D55" s="1007"/>
      <c r="E55" s="1007"/>
      <c r="F55" s="1007"/>
      <c r="G55" s="1007"/>
      <c r="H55" s="1005"/>
    </row>
    <row r="56" spans="1:11">
      <c r="A56" s="1629" t="s">
        <v>1225</v>
      </c>
      <c r="B56" s="1630"/>
      <c r="C56" s="1630"/>
      <c r="D56" s="1630"/>
      <c r="E56" s="1630"/>
      <c r="F56" s="1630"/>
      <c r="G56" s="1630"/>
      <c r="H56" s="1005"/>
    </row>
    <row r="57" spans="1:11">
      <c r="A57" s="1008"/>
      <c r="B57" s="1009"/>
      <c r="C57" s="1009"/>
      <c r="D57" s="1009"/>
      <c r="E57" s="1009"/>
      <c r="F57" s="1009"/>
      <c r="G57" s="1010"/>
      <c r="H57" s="1005"/>
    </row>
    <row r="58" spans="1:11" s="1011" customFormat="1">
      <c r="A58" s="1631" t="s">
        <v>1226</v>
      </c>
      <c r="B58" s="1632"/>
      <c r="C58" s="1632"/>
      <c r="D58" s="1632"/>
      <c r="E58" s="1632"/>
      <c r="F58" s="1632"/>
      <c r="G58" s="1632"/>
      <c r="H58" s="1005"/>
    </row>
    <row r="59" spans="1:11" s="1011" customFormat="1" ht="13.5" thickBot="1">
      <c r="A59" s="1633"/>
      <c r="B59" s="1634"/>
      <c r="C59" s="1634"/>
      <c r="D59" s="1634"/>
      <c r="E59" s="1634"/>
      <c r="F59" s="1634"/>
      <c r="G59" s="1634"/>
      <c r="H59" s="1012"/>
    </row>
  </sheetData>
  <mergeCells count="20">
    <mergeCell ref="A16:G32"/>
    <mergeCell ref="B1:G2"/>
    <mergeCell ref="H1:H2"/>
    <mergeCell ref="H3:H6"/>
    <mergeCell ref="A4:G4"/>
    <mergeCell ref="A5:G5"/>
    <mergeCell ref="A6:G6"/>
    <mergeCell ref="A7:G7"/>
    <mergeCell ref="A8:G8"/>
    <mergeCell ref="A9:G9"/>
    <mergeCell ref="A10:G10"/>
    <mergeCell ref="A12:G14"/>
    <mergeCell ref="H38:H41"/>
    <mergeCell ref="A39:G54"/>
    <mergeCell ref="A56:G56"/>
    <mergeCell ref="A58:G59"/>
    <mergeCell ref="A34:G34"/>
    <mergeCell ref="A35:G35"/>
    <mergeCell ref="A36:G36"/>
    <mergeCell ref="A37:G37"/>
  </mergeCells>
  <printOptions horizontalCentered="1" verticalCentered="1"/>
  <pageMargins left="0" right="0" top="0.39370078740157483" bottom="0.39370078740157483" header="0" footer="0"/>
  <pageSetup paperSize="9" scale="95" orientation="portrait" blackAndWhite="1" r:id="rId1"/>
  <headerFooter alignWithMargins="0"/>
  <colBreaks count="1" manualBreakCount="1">
    <brk id="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8">
    <pageSetUpPr fitToPage="1"/>
  </sheetPr>
  <dimension ref="A1:T38"/>
  <sheetViews>
    <sheetView showGridLines="0" view="pageBreakPreview" zoomScale="85" zoomScaleNormal="70" zoomScaleSheetLayoutView="85" workbookViewId="0">
      <selection activeCell="A22" sqref="A22:I22"/>
    </sheetView>
  </sheetViews>
  <sheetFormatPr baseColWidth="10" defaultRowHeight="12.75"/>
  <cols>
    <col min="1" max="1" width="17.42578125" customWidth="1"/>
    <col min="2" max="2" width="19.140625" customWidth="1"/>
    <col min="3" max="3" width="1.5703125" hidden="1" customWidth="1"/>
    <col min="4" max="4" width="32.85546875" customWidth="1"/>
    <col min="5" max="5" width="15.140625" customWidth="1"/>
    <col min="6" max="7" width="14.85546875" customWidth="1"/>
    <col min="8" max="8" width="13" customWidth="1"/>
    <col min="9" max="9" width="12.5703125" customWidth="1"/>
    <col min="10" max="10" width="15.42578125" customWidth="1"/>
    <col min="12" max="14" width="10.7109375" customWidth="1"/>
    <col min="257" max="257" width="17.42578125" customWidth="1"/>
    <col min="258" max="258" width="19.140625" customWidth="1"/>
    <col min="259" max="259" width="0" hidden="1" customWidth="1"/>
    <col min="260" max="260" width="32.85546875" customWidth="1"/>
    <col min="261" max="261" width="15.140625" customWidth="1"/>
    <col min="262" max="263" width="14.85546875" customWidth="1"/>
    <col min="264" max="264" width="13" customWidth="1"/>
    <col min="265" max="265" width="12.5703125" customWidth="1"/>
    <col min="266" max="266" width="15.42578125" customWidth="1"/>
    <col min="268" max="270" width="10.7109375" customWidth="1"/>
    <col min="513" max="513" width="17.42578125" customWidth="1"/>
    <col min="514" max="514" width="19.140625" customWidth="1"/>
    <col min="515" max="515" width="0" hidden="1" customWidth="1"/>
    <col min="516" max="516" width="32.85546875" customWidth="1"/>
    <col min="517" max="517" width="15.140625" customWidth="1"/>
    <col min="518" max="519" width="14.85546875" customWidth="1"/>
    <col min="520" max="520" width="13" customWidth="1"/>
    <col min="521" max="521" width="12.5703125" customWidth="1"/>
    <col min="522" max="522" width="15.42578125" customWidth="1"/>
    <col min="524" max="526" width="10.7109375" customWidth="1"/>
    <col min="769" max="769" width="17.42578125" customWidth="1"/>
    <col min="770" max="770" width="19.140625" customWidth="1"/>
    <col min="771" max="771" width="0" hidden="1" customWidth="1"/>
    <col min="772" max="772" width="32.85546875" customWidth="1"/>
    <col min="773" max="773" width="15.140625" customWidth="1"/>
    <col min="774" max="775" width="14.85546875" customWidth="1"/>
    <col min="776" max="776" width="13" customWidth="1"/>
    <col min="777" max="777" width="12.5703125" customWidth="1"/>
    <col min="778" max="778" width="15.42578125" customWidth="1"/>
    <col min="780" max="782" width="10.7109375" customWidth="1"/>
    <col min="1025" max="1025" width="17.42578125" customWidth="1"/>
    <col min="1026" max="1026" width="19.140625" customWidth="1"/>
    <col min="1027" max="1027" width="0" hidden="1" customWidth="1"/>
    <col min="1028" max="1028" width="32.85546875" customWidth="1"/>
    <col min="1029" max="1029" width="15.140625" customWidth="1"/>
    <col min="1030" max="1031" width="14.85546875" customWidth="1"/>
    <col min="1032" max="1032" width="13" customWidth="1"/>
    <col min="1033" max="1033" width="12.5703125" customWidth="1"/>
    <col min="1034" max="1034" width="15.42578125" customWidth="1"/>
    <col min="1036" max="1038" width="10.7109375" customWidth="1"/>
    <col min="1281" max="1281" width="17.42578125" customWidth="1"/>
    <col min="1282" max="1282" width="19.140625" customWidth="1"/>
    <col min="1283" max="1283" width="0" hidden="1" customWidth="1"/>
    <col min="1284" max="1284" width="32.85546875" customWidth="1"/>
    <col min="1285" max="1285" width="15.140625" customWidth="1"/>
    <col min="1286" max="1287" width="14.85546875" customWidth="1"/>
    <col min="1288" max="1288" width="13" customWidth="1"/>
    <col min="1289" max="1289" width="12.5703125" customWidth="1"/>
    <col min="1290" max="1290" width="15.42578125" customWidth="1"/>
    <col min="1292" max="1294" width="10.7109375" customWidth="1"/>
    <col min="1537" max="1537" width="17.42578125" customWidth="1"/>
    <col min="1538" max="1538" width="19.140625" customWidth="1"/>
    <col min="1539" max="1539" width="0" hidden="1" customWidth="1"/>
    <col min="1540" max="1540" width="32.85546875" customWidth="1"/>
    <col min="1541" max="1541" width="15.140625" customWidth="1"/>
    <col min="1542" max="1543" width="14.85546875" customWidth="1"/>
    <col min="1544" max="1544" width="13" customWidth="1"/>
    <col min="1545" max="1545" width="12.5703125" customWidth="1"/>
    <col min="1546" max="1546" width="15.42578125" customWidth="1"/>
    <col min="1548" max="1550" width="10.7109375" customWidth="1"/>
    <col min="1793" max="1793" width="17.42578125" customWidth="1"/>
    <col min="1794" max="1794" width="19.140625" customWidth="1"/>
    <col min="1795" max="1795" width="0" hidden="1" customWidth="1"/>
    <col min="1796" max="1796" width="32.85546875" customWidth="1"/>
    <col min="1797" max="1797" width="15.140625" customWidth="1"/>
    <col min="1798" max="1799" width="14.85546875" customWidth="1"/>
    <col min="1800" max="1800" width="13" customWidth="1"/>
    <col min="1801" max="1801" width="12.5703125" customWidth="1"/>
    <col min="1802" max="1802" width="15.42578125" customWidth="1"/>
    <col min="1804" max="1806" width="10.7109375" customWidth="1"/>
    <col min="2049" max="2049" width="17.42578125" customWidth="1"/>
    <col min="2050" max="2050" width="19.140625" customWidth="1"/>
    <col min="2051" max="2051" width="0" hidden="1" customWidth="1"/>
    <col min="2052" max="2052" width="32.85546875" customWidth="1"/>
    <col min="2053" max="2053" width="15.140625" customWidth="1"/>
    <col min="2054" max="2055" width="14.85546875" customWidth="1"/>
    <col min="2056" max="2056" width="13" customWidth="1"/>
    <col min="2057" max="2057" width="12.5703125" customWidth="1"/>
    <col min="2058" max="2058" width="15.42578125" customWidth="1"/>
    <col min="2060" max="2062" width="10.7109375" customWidth="1"/>
    <col min="2305" max="2305" width="17.42578125" customWidth="1"/>
    <col min="2306" max="2306" width="19.140625" customWidth="1"/>
    <col min="2307" max="2307" width="0" hidden="1" customWidth="1"/>
    <col min="2308" max="2308" width="32.85546875" customWidth="1"/>
    <col min="2309" max="2309" width="15.140625" customWidth="1"/>
    <col min="2310" max="2311" width="14.85546875" customWidth="1"/>
    <col min="2312" max="2312" width="13" customWidth="1"/>
    <col min="2313" max="2313" width="12.5703125" customWidth="1"/>
    <col min="2314" max="2314" width="15.42578125" customWidth="1"/>
    <col min="2316" max="2318" width="10.7109375" customWidth="1"/>
    <col min="2561" max="2561" width="17.42578125" customWidth="1"/>
    <col min="2562" max="2562" width="19.140625" customWidth="1"/>
    <col min="2563" max="2563" width="0" hidden="1" customWidth="1"/>
    <col min="2564" max="2564" width="32.85546875" customWidth="1"/>
    <col min="2565" max="2565" width="15.140625" customWidth="1"/>
    <col min="2566" max="2567" width="14.85546875" customWidth="1"/>
    <col min="2568" max="2568" width="13" customWidth="1"/>
    <col min="2569" max="2569" width="12.5703125" customWidth="1"/>
    <col min="2570" max="2570" width="15.42578125" customWidth="1"/>
    <col min="2572" max="2574" width="10.7109375" customWidth="1"/>
    <col min="2817" max="2817" width="17.42578125" customWidth="1"/>
    <col min="2818" max="2818" width="19.140625" customWidth="1"/>
    <col min="2819" max="2819" width="0" hidden="1" customWidth="1"/>
    <col min="2820" max="2820" width="32.85546875" customWidth="1"/>
    <col min="2821" max="2821" width="15.140625" customWidth="1"/>
    <col min="2822" max="2823" width="14.85546875" customWidth="1"/>
    <col min="2824" max="2824" width="13" customWidth="1"/>
    <col min="2825" max="2825" width="12.5703125" customWidth="1"/>
    <col min="2826" max="2826" width="15.42578125" customWidth="1"/>
    <col min="2828" max="2830" width="10.7109375" customWidth="1"/>
    <col min="3073" max="3073" width="17.42578125" customWidth="1"/>
    <col min="3074" max="3074" width="19.140625" customWidth="1"/>
    <col min="3075" max="3075" width="0" hidden="1" customWidth="1"/>
    <col min="3076" max="3076" width="32.85546875" customWidth="1"/>
    <col min="3077" max="3077" width="15.140625" customWidth="1"/>
    <col min="3078" max="3079" width="14.85546875" customWidth="1"/>
    <col min="3080" max="3080" width="13" customWidth="1"/>
    <col min="3081" max="3081" width="12.5703125" customWidth="1"/>
    <col min="3082" max="3082" width="15.42578125" customWidth="1"/>
    <col min="3084" max="3086" width="10.7109375" customWidth="1"/>
    <col min="3329" max="3329" width="17.42578125" customWidth="1"/>
    <col min="3330" max="3330" width="19.140625" customWidth="1"/>
    <col min="3331" max="3331" width="0" hidden="1" customWidth="1"/>
    <col min="3332" max="3332" width="32.85546875" customWidth="1"/>
    <col min="3333" max="3333" width="15.140625" customWidth="1"/>
    <col min="3334" max="3335" width="14.85546875" customWidth="1"/>
    <col min="3336" max="3336" width="13" customWidth="1"/>
    <col min="3337" max="3337" width="12.5703125" customWidth="1"/>
    <col min="3338" max="3338" width="15.42578125" customWidth="1"/>
    <col min="3340" max="3342" width="10.7109375" customWidth="1"/>
    <col min="3585" max="3585" width="17.42578125" customWidth="1"/>
    <col min="3586" max="3586" width="19.140625" customWidth="1"/>
    <col min="3587" max="3587" width="0" hidden="1" customWidth="1"/>
    <col min="3588" max="3588" width="32.85546875" customWidth="1"/>
    <col min="3589" max="3589" width="15.140625" customWidth="1"/>
    <col min="3590" max="3591" width="14.85546875" customWidth="1"/>
    <col min="3592" max="3592" width="13" customWidth="1"/>
    <col min="3593" max="3593" width="12.5703125" customWidth="1"/>
    <col min="3594" max="3594" width="15.42578125" customWidth="1"/>
    <col min="3596" max="3598" width="10.7109375" customWidth="1"/>
    <col min="3841" max="3841" width="17.42578125" customWidth="1"/>
    <col min="3842" max="3842" width="19.140625" customWidth="1"/>
    <col min="3843" max="3843" width="0" hidden="1" customWidth="1"/>
    <col min="3844" max="3844" width="32.85546875" customWidth="1"/>
    <col min="3845" max="3845" width="15.140625" customWidth="1"/>
    <col min="3846" max="3847" width="14.85546875" customWidth="1"/>
    <col min="3848" max="3848" width="13" customWidth="1"/>
    <col min="3849" max="3849" width="12.5703125" customWidth="1"/>
    <col min="3850" max="3850" width="15.42578125" customWidth="1"/>
    <col min="3852" max="3854" width="10.7109375" customWidth="1"/>
    <col min="4097" max="4097" width="17.42578125" customWidth="1"/>
    <col min="4098" max="4098" width="19.140625" customWidth="1"/>
    <col min="4099" max="4099" width="0" hidden="1" customWidth="1"/>
    <col min="4100" max="4100" width="32.85546875" customWidth="1"/>
    <col min="4101" max="4101" width="15.140625" customWidth="1"/>
    <col min="4102" max="4103" width="14.85546875" customWidth="1"/>
    <col min="4104" max="4104" width="13" customWidth="1"/>
    <col min="4105" max="4105" width="12.5703125" customWidth="1"/>
    <col min="4106" max="4106" width="15.42578125" customWidth="1"/>
    <col min="4108" max="4110" width="10.7109375" customWidth="1"/>
    <col min="4353" max="4353" width="17.42578125" customWidth="1"/>
    <col min="4354" max="4354" width="19.140625" customWidth="1"/>
    <col min="4355" max="4355" width="0" hidden="1" customWidth="1"/>
    <col min="4356" max="4356" width="32.85546875" customWidth="1"/>
    <col min="4357" max="4357" width="15.140625" customWidth="1"/>
    <col min="4358" max="4359" width="14.85546875" customWidth="1"/>
    <col min="4360" max="4360" width="13" customWidth="1"/>
    <col min="4361" max="4361" width="12.5703125" customWidth="1"/>
    <col min="4362" max="4362" width="15.42578125" customWidth="1"/>
    <col min="4364" max="4366" width="10.7109375" customWidth="1"/>
    <col min="4609" max="4609" width="17.42578125" customWidth="1"/>
    <col min="4610" max="4610" width="19.140625" customWidth="1"/>
    <col min="4611" max="4611" width="0" hidden="1" customWidth="1"/>
    <col min="4612" max="4612" width="32.85546875" customWidth="1"/>
    <col min="4613" max="4613" width="15.140625" customWidth="1"/>
    <col min="4614" max="4615" width="14.85546875" customWidth="1"/>
    <col min="4616" max="4616" width="13" customWidth="1"/>
    <col min="4617" max="4617" width="12.5703125" customWidth="1"/>
    <col min="4618" max="4618" width="15.42578125" customWidth="1"/>
    <col min="4620" max="4622" width="10.7109375" customWidth="1"/>
    <col min="4865" max="4865" width="17.42578125" customWidth="1"/>
    <col min="4866" max="4866" width="19.140625" customWidth="1"/>
    <col min="4867" max="4867" width="0" hidden="1" customWidth="1"/>
    <col min="4868" max="4868" width="32.85546875" customWidth="1"/>
    <col min="4869" max="4869" width="15.140625" customWidth="1"/>
    <col min="4870" max="4871" width="14.85546875" customWidth="1"/>
    <col min="4872" max="4872" width="13" customWidth="1"/>
    <col min="4873" max="4873" width="12.5703125" customWidth="1"/>
    <col min="4874" max="4874" width="15.42578125" customWidth="1"/>
    <col min="4876" max="4878" width="10.7109375" customWidth="1"/>
    <col min="5121" max="5121" width="17.42578125" customWidth="1"/>
    <col min="5122" max="5122" width="19.140625" customWidth="1"/>
    <col min="5123" max="5123" width="0" hidden="1" customWidth="1"/>
    <col min="5124" max="5124" width="32.85546875" customWidth="1"/>
    <col min="5125" max="5125" width="15.140625" customWidth="1"/>
    <col min="5126" max="5127" width="14.85546875" customWidth="1"/>
    <col min="5128" max="5128" width="13" customWidth="1"/>
    <col min="5129" max="5129" width="12.5703125" customWidth="1"/>
    <col min="5130" max="5130" width="15.42578125" customWidth="1"/>
    <col min="5132" max="5134" width="10.7109375" customWidth="1"/>
    <col min="5377" max="5377" width="17.42578125" customWidth="1"/>
    <col min="5378" max="5378" width="19.140625" customWidth="1"/>
    <col min="5379" max="5379" width="0" hidden="1" customWidth="1"/>
    <col min="5380" max="5380" width="32.85546875" customWidth="1"/>
    <col min="5381" max="5381" width="15.140625" customWidth="1"/>
    <col min="5382" max="5383" width="14.85546875" customWidth="1"/>
    <col min="5384" max="5384" width="13" customWidth="1"/>
    <col min="5385" max="5385" width="12.5703125" customWidth="1"/>
    <col min="5386" max="5386" width="15.42578125" customWidth="1"/>
    <col min="5388" max="5390" width="10.7109375" customWidth="1"/>
    <col min="5633" max="5633" width="17.42578125" customWidth="1"/>
    <col min="5634" max="5634" width="19.140625" customWidth="1"/>
    <col min="5635" max="5635" width="0" hidden="1" customWidth="1"/>
    <col min="5636" max="5636" width="32.85546875" customWidth="1"/>
    <col min="5637" max="5637" width="15.140625" customWidth="1"/>
    <col min="5638" max="5639" width="14.85546875" customWidth="1"/>
    <col min="5640" max="5640" width="13" customWidth="1"/>
    <col min="5641" max="5641" width="12.5703125" customWidth="1"/>
    <col min="5642" max="5642" width="15.42578125" customWidth="1"/>
    <col min="5644" max="5646" width="10.7109375" customWidth="1"/>
    <col min="5889" max="5889" width="17.42578125" customWidth="1"/>
    <col min="5890" max="5890" width="19.140625" customWidth="1"/>
    <col min="5891" max="5891" width="0" hidden="1" customWidth="1"/>
    <col min="5892" max="5892" width="32.85546875" customWidth="1"/>
    <col min="5893" max="5893" width="15.140625" customWidth="1"/>
    <col min="5894" max="5895" width="14.85546875" customWidth="1"/>
    <col min="5896" max="5896" width="13" customWidth="1"/>
    <col min="5897" max="5897" width="12.5703125" customWidth="1"/>
    <col min="5898" max="5898" width="15.42578125" customWidth="1"/>
    <col min="5900" max="5902" width="10.7109375" customWidth="1"/>
    <col min="6145" max="6145" width="17.42578125" customWidth="1"/>
    <col min="6146" max="6146" width="19.140625" customWidth="1"/>
    <col min="6147" max="6147" width="0" hidden="1" customWidth="1"/>
    <col min="6148" max="6148" width="32.85546875" customWidth="1"/>
    <col min="6149" max="6149" width="15.140625" customWidth="1"/>
    <col min="6150" max="6151" width="14.85546875" customWidth="1"/>
    <col min="6152" max="6152" width="13" customWidth="1"/>
    <col min="6153" max="6153" width="12.5703125" customWidth="1"/>
    <col min="6154" max="6154" width="15.42578125" customWidth="1"/>
    <col min="6156" max="6158" width="10.7109375" customWidth="1"/>
    <col min="6401" max="6401" width="17.42578125" customWidth="1"/>
    <col min="6402" max="6402" width="19.140625" customWidth="1"/>
    <col min="6403" max="6403" width="0" hidden="1" customWidth="1"/>
    <col min="6404" max="6404" width="32.85546875" customWidth="1"/>
    <col min="6405" max="6405" width="15.140625" customWidth="1"/>
    <col min="6406" max="6407" width="14.85546875" customWidth="1"/>
    <col min="6408" max="6408" width="13" customWidth="1"/>
    <col min="6409" max="6409" width="12.5703125" customWidth="1"/>
    <col min="6410" max="6410" width="15.42578125" customWidth="1"/>
    <col min="6412" max="6414" width="10.7109375" customWidth="1"/>
    <col min="6657" max="6657" width="17.42578125" customWidth="1"/>
    <col min="6658" max="6658" width="19.140625" customWidth="1"/>
    <col min="6659" max="6659" width="0" hidden="1" customWidth="1"/>
    <col min="6660" max="6660" width="32.85546875" customWidth="1"/>
    <col min="6661" max="6661" width="15.140625" customWidth="1"/>
    <col min="6662" max="6663" width="14.85546875" customWidth="1"/>
    <col min="6664" max="6664" width="13" customWidth="1"/>
    <col min="6665" max="6665" width="12.5703125" customWidth="1"/>
    <col min="6666" max="6666" width="15.42578125" customWidth="1"/>
    <col min="6668" max="6670" width="10.7109375" customWidth="1"/>
    <col min="6913" max="6913" width="17.42578125" customWidth="1"/>
    <col min="6914" max="6914" width="19.140625" customWidth="1"/>
    <col min="6915" max="6915" width="0" hidden="1" customWidth="1"/>
    <col min="6916" max="6916" width="32.85546875" customWidth="1"/>
    <col min="6917" max="6917" width="15.140625" customWidth="1"/>
    <col min="6918" max="6919" width="14.85546875" customWidth="1"/>
    <col min="6920" max="6920" width="13" customWidth="1"/>
    <col min="6921" max="6921" width="12.5703125" customWidth="1"/>
    <col min="6922" max="6922" width="15.42578125" customWidth="1"/>
    <col min="6924" max="6926" width="10.7109375" customWidth="1"/>
    <col min="7169" max="7169" width="17.42578125" customWidth="1"/>
    <col min="7170" max="7170" width="19.140625" customWidth="1"/>
    <col min="7171" max="7171" width="0" hidden="1" customWidth="1"/>
    <col min="7172" max="7172" width="32.85546875" customWidth="1"/>
    <col min="7173" max="7173" width="15.140625" customWidth="1"/>
    <col min="7174" max="7175" width="14.85546875" customWidth="1"/>
    <col min="7176" max="7176" width="13" customWidth="1"/>
    <col min="7177" max="7177" width="12.5703125" customWidth="1"/>
    <col min="7178" max="7178" width="15.42578125" customWidth="1"/>
    <col min="7180" max="7182" width="10.7109375" customWidth="1"/>
    <col min="7425" max="7425" width="17.42578125" customWidth="1"/>
    <col min="7426" max="7426" width="19.140625" customWidth="1"/>
    <col min="7427" max="7427" width="0" hidden="1" customWidth="1"/>
    <col min="7428" max="7428" width="32.85546875" customWidth="1"/>
    <col min="7429" max="7429" width="15.140625" customWidth="1"/>
    <col min="7430" max="7431" width="14.85546875" customWidth="1"/>
    <col min="7432" max="7432" width="13" customWidth="1"/>
    <col min="7433" max="7433" width="12.5703125" customWidth="1"/>
    <col min="7434" max="7434" width="15.42578125" customWidth="1"/>
    <col min="7436" max="7438" width="10.7109375" customWidth="1"/>
    <col min="7681" max="7681" width="17.42578125" customWidth="1"/>
    <col min="7682" max="7682" width="19.140625" customWidth="1"/>
    <col min="7683" max="7683" width="0" hidden="1" customWidth="1"/>
    <col min="7684" max="7684" width="32.85546875" customWidth="1"/>
    <col min="7685" max="7685" width="15.140625" customWidth="1"/>
    <col min="7686" max="7687" width="14.85546875" customWidth="1"/>
    <col min="7688" max="7688" width="13" customWidth="1"/>
    <col min="7689" max="7689" width="12.5703125" customWidth="1"/>
    <col min="7690" max="7690" width="15.42578125" customWidth="1"/>
    <col min="7692" max="7694" width="10.7109375" customWidth="1"/>
    <col min="7937" max="7937" width="17.42578125" customWidth="1"/>
    <col min="7938" max="7938" width="19.140625" customWidth="1"/>
    <col min="7939" max="7939" width="0" hidden="1" customWidth="1"/>
    <col min="7940" max="7940" width="32.85546875" customWidth="1"/>
    <col min="7941" max="7941" width="15.140625" customWidth="1"/>
    <col min="7942" max="7943" width="14.85546875" customWidth="1"/>
    <col min="7944" max="7944" width="13" customWidth="1"/>
    <col min="7945" max="7945" width="12.5703125" customWidth="1"/>
    <col min="7946" max="7946" width="15.42578125" customWidth="1"/>
    <col min="7948" max="7950" width="10.7109375" customWidth="1"/>
    <col min="8193" max="8193" width="17.42578125" customWidth="1"/>
    <col min="8194" max="8194" width="19.140625" customWidth="1"/>
    <col min="8195" max="8195" width="0" hidden="1" customWidth="1"/>
    <col min="8196" max="8196" width="32.85546875" customWidth="1"/>
    <col min="8197" max="8197" width="15.140625" customWidth="1"/>
    <col min="8198" max="8199" width="14.85546875" customWidth="1"/>
    <col min="8200" max="8200" width="13" customWidth="1"/>
    <col min="8201" max="8201" width="12.5703125" customWidth="1"/>
    <col min="8202" max="8202" width="15.42578125" customWidth="1"/>
    <col min="8204" max="8206" width="10.7109375" customWidth="1"/>
    <col min="8449" max="8449" width="17.42578125" customWidth="1"/>
    <col min="8450" max="8450" width="19.140625" customWidth="1"/>
    <col min="8451" max="8451" width="0" hidden="1" customWidth="1"/>
    <col min="8452" max="8452" width="32.85546875" customWidth="1"/>
    <col min="8453" max="8453" width="15.140625" customWidth="1"/>
    <col min="8454" max="8455" width="14.85546875" customWidth="1"/>
    <col min="8456" max="8456" width="13" customWidth="1"/>
    <col min="8457" max="8457" width="12.5703125" customWidth="1"/>
    <col min="8458" max="8458" width="15.42578125" customWidth="1"/>
    <col min="8460" max="8462" width="10.7109375" customWidth="1"/>
    <col min="8705" max="8705" width="17.42578125" customWidth="1"/>
    <col min="8706" max="8706" width="19.140625" customWidth="1"/>
    <col min="8707" max="8707" width="0" hidden="1" customWidth="1"/>
    <col min="8708" max="8708" width="32.85546875" customWidth="1"/>
    <col min="8709" max="8709" width="15.140625" customWidth="1"/>
    <col min="8710" max="8711" width="14.85546875" customWidth="1"/>
    <col min="8712" max="8712" width="13" customWidth="1"/>
    <col min="8713" max="8713" width="12.5703125" customWidth="1"/>
    <col min="8714" max="8714" width="15.42578125" customWidth="1"/>
    <col min="8716" max="8718" width="10.7109375" customWidth="1"/>
    <col min="8961" max="8961" width="17.42578125" customWidth="1"/>
    <col min="8962" max="8962" width="19.140625" customWidth="1"/>
    <col min="8963" max="8963" width="0" hidden="1" customWidth="1"/>
    <col min="8964" max="8964" width="32.85546875" customWidth="1"/>
    <col min="8965" max="8965" width="15.140625" customWidth="1"/>
    <col min="8966" max="8967" width="14.85546875" customWidth="1"/>
    <col min="8968" max="8968" width="13" customWidth="1"/>
    <col min="8969" max="8969" width="12.5703125" customWidth="1"/>
    <col min="8970" max="8970" width="15.42578125" customWidth="1"/>
    <col min="8972" max="8974" width="10.7109375" customWidth="1"/>
    <col min="9217" max="9217" width="17.42578125" customWidth="1"/>
    <col min="9218" max="9218" width="19.140625" customWidth="1"/>
    <col min="9219" max="9219" width="0" hidden="1" customWidth="1"/>
    <col min="9220" max="9220" width="32.85546875" customWidth="1"/>
    <col min="9221" max="9221" width="15.140625" customWidth="1"/>
    <col min="9222" max="9223" width="14.85546875" customWidth="1"/>
    <col min="9224" max="9224" width="13" customWidth="1"/>
    <col min="9225" max="9225" width="12.5703125" customWidth="1"/>
    <col min="9226" max="9226" width="15.42578125" customWidth="1"/>
    <col min="9228" max="9230" width="10.7109375" customWidth="1"/>
    <col min="9473" max="9473" width="17.42578125" customWidth="1"/>
    <col min="9474" max="9474" width="19.140625" customWidth="1"/>
    <col min="9475" max="9475" width="0" hidden="1" customWidth="1"/>
    <col min="9476" max="9476" width="32.85546875" customWidth="1"/>
    <col min="9477" max="9477" width="15.140625" customWidth="1"/>
    <col min="9478" max="9479" width="14.85546875" customWidth="1"/>
    <col min="9480" max="9480" width="13" customWidth="1"/>
    <col min="9481" max="9481" width="12.5703125" customWidth="1"/>
    <col min="9482" max="9482" width="15.42578125" customWidth="1"/>
    <col min="9484" max="9486" width="10.7109375" customWidth="1"/>
    <col min="9729" max="9729" width="17.42578125" customWidth="1"/>
    <col min="9730" max="9730" width="19.140625" customWidth="1"/>
    <col min="9731" max="9731" width="0" hidden="1" customWidth="1"/>
    <col min="9732" max="9732" width="32.85546875" customWidth="1"/>
    <col min="9733" max="9733" width="15.140625" customWidth="1"/>
    <col min="9734" max="9735" width="14.85546875" customWidth="1"/>
    <col min="9736" max="9736" width="13" customWidth="1"/>
    <col min="9737" max="9737" width="12.5703125" customWidth="1"/>
    <col min="9738" max="9738" width="15.42578125" customWidth="1"/>
    <col min="9740" max="9742" width="10.7109375" customWidth="1"/>
    <col min="9985" max="9985" width="17.42578125" customWidth="1"/>
    <col min="9986" max="9986" width="19.140625" customWidth="1"/>
    <col min="9987" max="9987" width="0" hidden="1" customWidth="1"/>
    <col min="9988" max="9988" width="32.85546875" customWidth="1"/>
    <col min="9989" max="9989" width="15.140625" customWidth="1"/>
    <col min="9990" max="9991" width="14.85546875" customWidth="1"/>
    <col min="9992" max="9992" width="13" customWidth="1"/>
    <col min="9993" max="9993" width="12.5703125" customWidth="1"/>
    <col min="9994" max="9994" width="15.42578125" customWidth="1"/>
    <col min="9996" max="9998" width="10.7109375" customWidth="1"/>
    <col min="10241" max="10241" width="17.42578125" customWidth="1"/>
    <col min="10242" max="10242" width="19.140625" customWidth="1"/>
    <col min="10243" max="10243" width="0" hidden="1" customWidth="1"/>
    <col min="10244" max="10244" width="32.85546875" customWidth="1"/>
    <col min="10245" max="10245" width="15.140625" customWidth="1"/>
    <col min="10246" max="10247" width="14.85546875" customWidth="1"/>
    <col min="10248" max="10248" width="13" customWidth="1"/>
    <col min="10249" max="10249" width="12.5703125" customWidth="1"/>
    <col min="10250" max="10250" width="15.42578125" customWidth="1"/>
    <col min="10252" max="10254" width="10.7109375" customWidth="1"/>
    <col min="10497" max="10497" width="17.42578125" customWidth="1"/>
    <col min="10498" max="10498" width="19.140625" customWidth="1"/>
    <col min="10499" max="10499" width="0" hidden="1" customWidth="1"/>
    <col min="10500" max="10500" width="32.85546875" customWidth="1"/>
    <col min="10501" max="10501" width="15.140625" customWidth="1"/>
    <col min="10502" max="10503" width="14.85546875" customWidth="1"/>
    <col min="10504" max="10504" width="13" customWidth="1"/>
    <col min="10505" max="10505" width="12.5703125" customWidth="1"/>
    <col min="10506" max="10506" width="15.42578125" customWidth="1"/>
    <col min="10508" max="10510" width="10.7109375" customWidth="1"/>
    <col min="10753" max="10753" width="17.42578125" customWidth="1"/>
    <col min="10754" max="10754" width="19.140625" customWidth="1"/>
    <col min="10755" max="10755" width="0" hidden="1" customWidth="1"/>
    <col min="10756" max="10756" width="32.85546875" customWidth="1"/>
    <col min="10757" max="10757" width="15.140625" customWidth="1"/>
    <col min="10758" max="10759" width="14.85546875" customWidth="1"/>
    <col min="10760" max="10760" width="13" customWidth="1"/>
    <col min="10761" max="10761" width="12.5703125" customWidth="1"/>
    <col min="10762" max="10762" width="15.42578125" customWidth="1"/>
    <col min="10764" max="10766" width="10.7109375" customWidth="1"/>
    <col min="11009" max="11009" width="17.42578125" customWidth="1"/>
    <col min="11010" max="11010" width="19.140625" customWidth="1"/>
    <col min="11011" max="11011" width="0" hidden="1" customWidth="1"/>
    <col min="11012" max="11012" width="32.85546875" customWidth="1"/>
    <col min="11013" max="11013" width="15.140625" customWidth="1"/>
    <col min="11014" max="11015" width="14.85546875" customWidth="1"/>
    <col min="11016" max="11016" width="13" customWidth="1"/>
    <col min="11017" max="11017" width="12.5703125" customWidth="1"/>
    <col min="11018" max="11018" width="15.42578125" customWidth="1"/>
    <col min="11020" max="11022" width="10.7109375" customWidth="1"/>
    <col min="11265" max="11265" width="17.42578125" customWidth="1"/>
    <col min="11266" max="11266" width="19.140625" customWidth="1"/>
    <col min="11267" max="11267" width="0" hidden="1" customWidth="1"/>
    <col min="11268" max="11268" width="32.85546875" customWidth="1"/>
    <col min="11269" max="11269" width="15.140625" customWidth="1"/>
    <col min="11270" max="11271" width="14.85546875" customWidth="1"/>
    <col min="11272" max="11272" width="13" customWidth="1"/>
    <col min="11273" max="11273" width="12.5703125" customWidth="1"/>
    <col min="11274" max="11274" width="15.42578125" customWidth="1"/>
    <col min="11276" max="11278" width="10.7109375" customWidth="1"/>
    <col min="11521" max="11521" width="17.42578125" customWidth="1"/>
    <col min="11522" max="11522" width="19.140625" customWidth="1"/>
    <col min="11523" max="11523" width="0" hidden="1" customWidth="1"/>
    <col min="11524" max="11524" width="32.85546875" customWidth="1"/>
    <col min="11525" max="11525" width="15.140625" customWidth="1"/>
    <col min="11526" max="11527" width="14.85546875" customWidth="1"/>
    <col min="11528" max="11528" width="13" customWidth="1"/>
    <col min="11529" max="11529" width="12.5703125" customWidth="1"/>
    <col min="11530" max="11530" width="15.42578125" customWidth="1"/>
    <col min="11532" max="11534" width="10.7109375" customWidth="1"/>
    <col min="11777" max="11777" width="17.42578125" customWidth="1"/>
    <col min="11778" max="11778" width="19.140625" customWidth="1"/>
    <col min="11779" max="11779" width="0" hidden="1" customWidth="1"/>
    <col min="11780" max="11780" width="32.85546875" customWidth="1"/>
    <col min="11781" max="11781" width="15.140625" customWidth="1"/>
    <col min="11782" max="11783" width="14.85546875" customWidth="1"/>
    <col min="11784" max="11784" width="13" customWidth="1"/>
    <col min="11785" max="11785" width="12.5703125" customWidth="1"/>
    <col min="11786" max="11786" width="15.42578125" customWidth="1"/>
    <col min="11788" max="11790" width="10.7109375" customWidth="1"/>
    <col min="12033" max="12033" width="17.42578125" customWidth="1"/>
    <col min="12034" max="12034" width="19.140625" customWidth="1"/>
    <col min="12035" max="12035" width="0" hidden="1" customWidth="1"/>
    <col min="12036" max="12036" width="32.85546875" customWidth="1"/>
    <col min="12037" max="12037" width="15.140625" customWidth="1"/>
    <col min="12038" max="12039" width="14.85546875" customWidth="1"/>
    <col min="12040" max="12040" width="13" customWidth="1"/>
    <col min="12041" max="12041" width="12.5703125" customWidth="1"/>
    <col min="12042" max="12042" width="15.42578125" customWidth="1"/>
    <col min="12044" max="12046" width="10.7109375" customWidth="1"/>
    <col min="12289" max="12289" width="17.42578125" customWidth="1"/>
    <col min="12290" max="12290" width="19.140625" customWidth="1"/>
    <col min="12291" max="12291" width="0" hidden="1" customWidth="1"/>
    <col min="12292" max="12292" width="32.85546875" customWidth="1"/>
    <col min="12293" max="12293" width="15.140625" customWidth="1"/>
    <col min="12294" max="12295" width="14.85546875" customWidth="1"/>
    <col min="12296" max="12296" width="13" customWidth="1"/>
    <col min="12297" max="12297" width="12.5703125" customWidth="1"/>
    <col min="12298" max="12298" width="15.42578125" customWidth="1"/>
    <col min="12300" max="12302" width="10.7109375" customWidth="1"/>
    <col min="12545" max="12545" width="17.42578125" customWidth="1"/>
    <col min="12546" max="12546" width="19.140625" customWidth="1"/>
    <col min="12547" max="12547" width="0" hidden="1" customWidth="1"/>
    <col min="12548" max="12548" width="32.85546875" customWidth="1"/>
    <col min="12549" max="12549" width="15.140625" customWidth="1"/>
    <col min="12550" max="12551" width="14.85546875" customWidth="1"/>
    <col min="12552" max="12552" width="13" customWidth="1"/>
    <col min="12553" max="12553" width="12.5703125" customWidth="1"/>
    <col min="12554" max="12554" width="15.42578125" customWidth="1"/>
    <col min="12556" max="12558" width="10.7109375" customWidth="1"/>
    <col min="12801" max="12801" width="17.42578125" customWidth="1"/>
    <col min="12802" max="12802" width="19.140625" customWidth="1"/>
    <col min="12803" max="12803" width="0" hidden="1" customWidth="1"/>
    <col min="12804" max="12804" width="32.85546875" customWidth="1"/>
    <col min="12805" max="12805" width="15.140625" customWidth="1"/>
    <col min="12806" max="12807" width="14.85546875" customWidth="1"/>
    <col min="12808" max="12808" width="13" customWidth="1"/>
    <col min="12809" max="12809" width="12.5703125" customWidth="1"/>
    <col min="12810" max="12810" width="15.42578125" customWidth="1"/>
    <col min="12812" max="12814" width="10.7109375" customWidth="1"/>
    <col min="13057" max="13057" width="17.42578125" customWidth="1"/>
    <col min="13058" max="13058" width="19.140625" customWidth="1"/>
    <col min="13059" max="13059" width="0" hidden="1" customWidth="1"/>
    <col min="13060" max="13060" width="32.85546875" customWidth="1"/>
    <col min="13061" max="13061" width="15.140625" customWidth="1"/>
    <col min="13062" max="13063" width="14.85546875" customWidth="1"/>
    <col min="13064" max="13064" width="13" customWidth="1"/>
    <col min="13065" max="13065" width="12.5703125" customWidth="1"/>
    <col min="13066" max="13066" width="15.42578125" customWidth="1"/>
    <col min="13068" max="13070" width="10.7109375" customWidth="1"/>
    <col min="13313" max="13313" width="17.42578125" customWidth="1"/>
    <col min="13314" max="13314" width="19.140625" customWidth="1"/>
    <col min="13315" max="13315" width="0" hidden="1" customWidth="1"/>
    <col min="13316" max="13316" width="32.85546875" customWidth="1"/>
    <col min="13317" max="13317" width="15.140625" customWidth="1"/>
    <col min="13318" max="13319" width="14.85546875" customWidth="1"/>
    <col min="13320" max="13320" width="13" customWidth="1"/>
    <col min="13321" max="13321" width="12.5703125" customWidth="1"/>
    <col min="13322" max="13322" width="15.42578125" customWidth="1"/>
    <col min="13324" max="13326" width="10.7109375" customWidth="1"/>
    <col min="13569" max="13569" width="17.42578125" customWidth="1"/>
    <col min="13570" max="13570" width="19.140625" customWidth="1"/>
    <col min="13571" max="13571" width="0" hidden="1" customWidth="1"/>
    <col min="13572" max="13572" width="32.85546875" customWidth="1"/>
    <col min="13573" max="13573" width="15.140625" customWidth="1"/>
    <col min="13574" max="13575" width="14.85546875" customWidth="1"/>
    <col min="13576" max="13576" width="13" customWidth="1"/>
    <col min="13577" max="13577" width="12.5703125" customWidth="1"/>
    <col min="13578" max="13578" width="15.42578125" customWidth="1"/>
    <col min="13580" max="13582" width="10.7109375" customWidth="1"/>
    <col min="13825" max="13825" width="17.42578125" customWidth="1"/>
    <col min="13826" max="13826" width="19.140625" customWidth="1"/>
    <col min="13827" max="13827" width="0" hidden="1" customWidth="1"/>
    <col min="13828" max="13828" width="32.85546875" customWidth="1"/>
    <col min="13829" max="13829" width="15.140625" customWidth="1"/>
    <col min="13830" max="13831" width="14.85546875" customWidth="1"/>
    <col min="13832" max="13832" width="13" customWidth="1"/>
    <col min="13833" max="13833" width="12.5703125" customWidth="1"/>
    <col min="13834" max="13834" width="15.42578125" customWidth="1"/>
    <col min="13836" max="13838" width="10.7109375" customWidth="1"/>
    <col min="14081" max="14081" width="17.42578125" customWidth="1"/>
    <col min="14082" max="14082" width="19.140625" customWidth="1"/>
    <col min="14083" max="14083" width="0" hidden="1" customWidth="1"/>
    <col min="14084" max="14084" width="32.85546875" customWidth="1"/>
    <col min="14085" max="14085" width="15.140625" customWidth="1"/>
    <col min="14086" max="14087" width="14.85546875" customWidth="1"/>
    <col min="14088" max="14088" width="13" customWidth="1"/>
    <col min="14089" max="14089" width="12.5703125" customWidth="1"/>
    <col min="14090" max="14090" width="15.42578125" customWidth="1"/>
    <col min="14092" max="14094" width="10.7109375" customWidth="1"/>
    <col min="14337" max="14337" width="17.42578125" customWidth="1"/>
    <col min="14338" max="14338" width="19.140625" customWidth="1"/>
    <col min="14339" max="14339" width="0" hidden="1" customWidth="1"/>
    <col min="14340" max="14340" width="32.85546875" customWidth="1"/>
    <col min="14341" max="14341" width="15.140625" customWidth="1"/>
    <col min="14342" max="14343" width="14.85546875" customWidth="1"/>
    <col min="14344" max="14344" width="13" customWidth="1"/>
    <col min="14345" max="14345" width="12.5703125" customWidth="1"/>
    <col min="14346" max="14346" width="15.42578125" customWidth="1"/>
    <col min="14348" max="14350" width="10.7109375" customWidth="1"/>
    <col min="14593" max="14593" width="17.42578125" customWidth="1"/>
    <col min="14594" max="14594" width="19.140625" customWidth="1"/>
    <col min="14595" max="14595" width="0" hidden="1" customWidth="1"/>
    <col min="14596" max="14596" width="32.85546875" customWidth="1"/>
    <col min="14597" max="14597" width="15.140625" customWidth="1"/>
    <col min="14598" max="14599" width="14.85546875" customWidth="1"/>
    <col min="14600" max="14600" width="13" customWidth="1"/>
    <col min="14601" max="14601" width="12.5703125" customWidth="1"/>
    <col min="14602" max="14602" width="15.42578125" customWidth="1"/>
    <col min="14604" max="14606" width="10.7109375" customWidth="1"/>
    <col min="14849" max="14849" width="17.42578125" customWidth="1"/>
    <col min="14850" max="14850" width="19.140625" customWidth="1"/>
    <col min="14851" max="14851" width="0" hidden="1" customWidth="1"/>
    <col min="14852" max="14852" width="32.85546875" customWidth="1"/>
    <col min="14853" max="14853" width="15.140625" customWidth="1"/>
    <col min="14854" max="14855" width="14.85546875" customWidth="1"/>
    <col min="14856" max="14856" width="13" customWidth="1"/>
    <col min="14857" max="14857" width="12.5703125" customWidth="1"/>
    <col min="14858" max="14858" width="15.42578125" customWidth="1"/>
    <col min="14860" max="14862" width="10.7109375" customWidth="1"/>
    <col min="15105" max="15105" width="17.42578125" customWidth="1"/>
    <col min="15106" max="15106" width="19.140625" customWidth="1"/>
    <col min="15107" max="15107" width="0" hidden="1" customWidth="1"/>
    <col min="15108" max="15108" width="32.85546875" customWidth="1"/>
    <col min="15109" max="15109" width="15.140625" customWidth="1"/>
    <col min="15110" max="15111" width="14.85546875" customWidth="1"/>
    <col min="15112" max="15112" width="13" customWidth="1"/>
    <col min="15113" max="15113" width="12.5703125" customWidth="1"/>
    <col min="15114" max="15114" width="15.42578125" customWidth="1"/>
    <col min="15116" max="15118" width="10.7109375" customWidth="1"/>
    <col min="15361" max="15361" width="17.42578125" customWidth="1"/>
    <col min="15362" max="15362" width="19.140625" customWidth="1"/>
    <col min="15363" max="15363" width="0" hidden="1" customWidth="1"/>
    <col min="15364" max="15364" width="32.85546875" customWidth="1"/>
    <col min="15365" max="15365" width="15.140625" customWidth="1"/>
    <col min="15366" max="15367" width="14.85546875" customWidth="1"/>
    <col min="15368" max="15368" width="13" customWidth="1"/>
    <col min="15369" max="15369" width="12.5703125" customWidth="1"/>
    <col min="15370" max="15370" width="15.42578125" customWidth="1"/>
    <col min="15372" max="15374" width="10.7109375" customWidth="1"/>
    <col min="15617" max="15617" width="17.42578125" customWidth="1"/>
    <col min="15618" max="15618" width="19.140625" customWidth="1"/>
    <col min="15619" max="15619" width="0" hidden="1" customWidth="1"/>
    <col min="15620" max="15620" width="32.85546875" customWidth="1"/>
    <col min="15621" max="15621" width="15.140625" customWidth="1"/>
    <col min="15622" max="15623" width="14.85546875" customWidth="1"/>
    <col min="15624" max="15624" width="13" customWidth="1"/>
    <col min="15625" max="15625" width="12.5703125" customWidth="1"/>
    <col min="15626" max="15626" width="15.42578125" customWidth="1"/>
    <col min="15628" max="15630" width="10.7109375" customWidth="1"/>
    <col min="15873" max="15873" width="17.42578125" customWidth="1"/>
    <col min="15874" max="15874" width="19.140625" customWidth="1"/>
    <col min="15875" max="15875" width="0" hidden="1" customWidth="1"/>
    <col min="15876" max="15876" width="32.85546875" customWidth="1"/>
    <col min="15877" max="15877" width="15.140625" customWidth="1"/>
    <col min="15878" max="15879" width="14.85546875" customWidth="1"/>
    <col min="15880" max="15880" width="13" customWidth="1"/>
    <col min="15881" max="15881" width="12.5703125" customWidth="1"/>
    <col min="15882" max="15882" width="15.42578125" customWidth="1"/>
    <col min="15884" max="15886" width="10.7109375" customWidth="1"/>
    <col min="16129" max="16129" width="17.42578125" customWidth="1"/>
    <col min="16130" max="16130" width="19.140625" customWidth="1"/>
    <col min="16131" max="16131" width="0" hidden="1" customWidth="1"/>
    <col min="16132" max="16132" width="32.85546875" customWidth="1"/>
    <col min="16133" max="16133" width="15.140625" customWidth="1"/>
    <col min="16134" max="16135" width="14.85546875" customWidth="1"/>
    <col min="16136" max="16136" width="13" customWidth="1"/>
    <col min="16137" max="16137" width="12.5703125" customWidth="1"/>
    <col min="16138" max="16138" width="15.42578125" customWidth="1"/>
    <col min="16140" max="16142" width="10.7109375" customWidth="1"/>
  </cols>
  <sheetData>
    <row r="1" spans="1:14" ht="18">
      <c r="A1" s="1657" t="s">
        <v>1227</v>
      </c>
      <c r="B1" s="1657"/>
      <c r="C1" s="1657"/>
      <c r="D1" s="1657"/>
      <c r="E1" s="1657"/>
      <c r="F1" s="1657"/>
      <c r="G1" s="1657"/>
      <c r="H1" s="1657"/>
      <c r="I1" s="1657"/>
      <c r="J1" s="1657"/>
      <c r="K1" s="1657"/>
      <c r="L1" s="1657"/>
      <c r="M1" s="1657"/>
      <c r="N1" s="1657"/>
    </row>
    <row r="2" spans="1:14" ht="18.75" thickBot="1">
      <c r="A2" s="1101"/>
      <c r="B2" s="1101"/>
      <c r="C2" s="1101"/>
      <c r="D2" s="1101"/>
      <c r="E2" s="1101"/>
      <c r="F2" s="1101"/>
      <c r="G2" s="1013"/>
      <c r="H2" s="1013"/>
      <c r="I2" s="1013"/>
      <c r="J2" s="1014"/>
      <c r="K2" s="966"/>
      <c r="L2" s="966"/>
      <c r="M2" s="966"/>
      <c r="N2" s="966"/>
    </row>
    <row r="3" spans="1:14" ht="19.5" thickBot="1">
      <c r="A3" s="1658" t="s">
        <v>1228</v>
      </c>
      <c r="B3" s="1659"/>
      <c r="C3" s="1659"/>
      <c r="D3" s="1659"/>
      <c r="E3" s="1659"/>
      <c r="F3" s="1659"/>
      <c r="G3" s="1659"/>
      <c r="H3" s="1660"/>
      <c r="I3" s="1015"/>
      <c r="J3" s="1015"/>
      <c r="K3" s="966"/>
      <c r="L3" s="966"/>
      <c r="M3" s="966"/>
      <c r="N3" s="966"/>
    </row>
    <row r="4" spans="1:14" ht="18.75" thickBot="1">
      <c r="A4" s="1661" t="s">
        <v>1171</v>
      </c>
      <c r="B4" s="1662"/>
      <c r="C4" s="1662"/>
      <c r="D4" s="1663"/>
      <c r="E4" s="1667" t="s">
        <v>1229</v>
      </c>
      <c r="F4" s="1668"/>
      <c r="G4" s="1668"/>
      <c r="H4" s="1669"/>
      <c r="I4" s="1013"/>
      <c r="J4" s="1102"/>
      <c r="K4" s="966"/>
      <c r="L4" s="966"/>
      <c r="M4" s="966"/>
      <c r="N4" s="966"/>
    </row>
    <row r="5" spans="1:14" ht="36" customHeight="1" thickBot="1">
      <c r="A5" s="1664"/>
      <c r="B5" s="1665"/>
      <c r="C5" s="1665"/>
      <c r="D5" s="1666"/>
      <c r="E5" s="1016" t="s">
        <v>1230</v>
      </c>
      <c r="F5" s="1017" t="s">
        <v>1231</v>
      </c>
      <c r="G5" s="1018" t="s">
        <v>1232</v>
      </c>
      <c r="H5" s="1019" t="s">
        <v>1233</v>
      </c>
      <c r="I5" s="966"/>
      <c r="J5" s="1100"/>
      <c r="K5" s="966"/>
      <c r="L5" s="1670" t="s">
        <v>1234</v>
      </c>
      <c r="M5" s="1671"/>
      <c r="N5" s="1672"/>
    </row>
    <row r="6" spans="1:14" ht="18" customHeight="1">
      <c r="A6" s="1679" t="s">
        <v>1235</v>
      </c>
      <c r="B6" s="1680"/>
      <c r="C6" s="1680"/>
      <c r="D6" s="1681"/>
      <c r="E6" s="1020">
        <v>33.5</v>
      </c>
      <c r="F6" s="1021">
        <v>38.6</v>
      </c>
      <c r="G6" s="1022">
        <v>48.5</v>
      </c>
      <c r="H6" s="1022">
        <v>58.7</v>
      </c>
      <c r="I6" s="966"/>
      <c r="J6" s="1100"/>
      <c r="K6" s="966"/>
      <c r="L6" s="1673"/>
      <c r="M6" s="1674"/>
      <c r="N6" s="1675"/>
    </row>
    <row r="7" spans="1:14" ht="18.75" thickBot="1">
      <c r="A7" s="1682" t="s">
        <v>1236</v>
      </c>
      <c r="B7" s="1683"/>
      <c r="C7" s="1683"/>
      <c r="D7" s="1684"/>
      <c r="E7" s="1023">
        <v>1.3</v>
      </c>
      <c r="F7" s="1024">
        <v>2</v>
      </c>
      <c r="G7" s="1025">
        <v>2.75</v>
      </c>
      <c r="H7" s="1025">
        <v>4.0999999999999996</v>
      </c>
      <c r="I7" s="966"/>
      <c r="J7" s="1100"/>
      <c r="K7" s="966"/>
      <c r="L7" s="1676"/>
      <c r="M7" s="1677"/>
      <c r="N7" s="1678"/>
    </row>
    <row r="8" spans="1:14" ht="18.75" thickBot="1">
      <c r="A8" s="1682" t="s">
        <v>1237</v>
      </c>
      <c r="B8" s="1683"/>
      <c r="C8" s="1683"/>
      <c r="D8" s="1684"/>
      <c r="E8" s="1023">
        <v>30</v>
      </c>
      <c r="F8" s="1024">
        <v>62</v>
      </c>
      <c r="G8" s="1025">
        <v>78</v>
      </c>
      <c r="H8" s="1025">
        <v>94</v>
      </c>
      <c r="I8" s="966"/>
      <c r="J8" s="1100"/>
      <c r="K8" s="966"/>
      <c r="L8" s="966"/>
      <c r="M8" s="966"/>
      <c r="N8" s="966"/>
    </row>
    <row r="9" spans="1:14" ht="18.75" hidden="1" thickBot="1">
      <c r="A9" s="1682" t="s">
        <v>1238</v>
      </c>
      <c r="B9" s="1683"/>
      <c r="C9" s="1683"/>
      <c r="D9" s="1684"/>
      <c r="E9" s="1023">
        <v>150</v>
      </c>
      <c r="F9" s="1024">
        <v>285</v>
      </c>
      <c r="G9" s="1025">
        <v>450</v>
      </c>
      <c r="H9" s="1025">
        <v>720</v>
      </c>
      <c r="I9" s="966"/>
      <c r="J9" s="1100"/>
      <c r="K9" s="966"/>
      <c r="L9" s="966"/>
      <c r="M9" s="966"/>
      <c r="N9" s="966"/>
    </row>
    <row r="10" spans="1:14" ht="18.75" thickBot="1">
      <c r="A10" s="1685" t="s">
        <v>1240</v>
      </c>
      <c r="B10" s="1686"/>
      <c r="C10" s="1686"/>
      <c r="D10" s="1687"/>
      <c r="E10" s="1026">
        <v>600</v>
      </c>
      <c r="F10" s="1027">
        <v>1005</v>
      </c>
      <c r="G10" s="1028">
        <v>1560</v>
      </c>
      <c r="H10" s="1028">
        <v>2445</v>
      </c>
      <c r="I10" s="966"/>
      <c r="J10" s="1100"/>
      <c r="K10" s="966"/>
      <c r="L10" s="1688" t="s">
        <v>1239</v>
      </c>
      <c r="M10" s="1689"/>
      <c r="N10" s="1690"/>
    </row>
    <row r="11" spans="1:14" ht="18.75" thickBot="1">
      <c r="A11" s="1691"/>
      <c r="B11" s="1691"/>
      <c r="C11" s="1657"/>
      <c r="D11" s="1657"/>
      <c r="E11" s="1013"/>
      <c r="F11" s="1013"/>
      <c r="G11" s="1013"/>
      <c r="H11" s="1013"/>
      <c r="I11" s="1013"/>
      <c r="J11" s="1014"/>
      <c r="K11" s="966"/>
      <c r="L11" s="1688" t="s">
        <v>1241</v>
      </c>
      <c r="M11" s="1689"/>
      <c r="N11" s="1690"/>
    </row>
    <row r="12" spans="1:14" ht="18.75" thickBot="1">
      <c r="A12" s="1100"/>
      <c r="B12" s="1100"/>
      <c r="C12" s="1101"/>
      <c r="D12" s="1101"/>
      <c r="E12" s="1013"/>
      <c r="F12" s="1013"/>
      <c r="G12" s="1013"/>
      <c r="H12" s="1013"/>
      <c r="I12" s="1013"/>
      <c r="J12" s="1014"/>
      <c r="K12" s="966"/>
      <c r="L12" s="1101"/>
      <c r="M12" s="1101"/>
      <c r="N12" s="1101"/>
    </row>
    <row r="13" spans="1:14" ht="19.5" thickBot="1">
      <c r="A13" s="1692" t="s">
        <v>1242</v>
      </c>
      <c r="B13" s="1693"/>
      <c r="C13" s="1693"/>
      <c r="D13" s="1693"/>
      <c r="E13" s="1693"/>
      <c r="F13" s="1693"/>
      <c r="G13" s="1693"/>
      <c r="H13" s="1693"/>
      <c r="I13" s="1693"/>
      <c r="J13" s="1694"/>
      <c r="K13" s="966"/>
      <c r="L13" s="966"/>
      <c r="M13" s="966"/>
      <c r="N13" s="966"/>
    </row>
    <row r="14" spans="1:14" ht="18.75" thickBot="1">
      <c r="A14" s="1695" t="s">
        <v>1171</v>
      </c>
      <c r="B14" s="1696"/>
      <c r="C14" s="1696"/>
      <c r="D14" s="1697"/>
      <c r="E14" s="1698" t="s">
        <v>1229</v>
      </c>
      <c r="F14" s="1698"/>
      <c r="G14" s="1698"/>
      <c r="H14" s="1698"/>
      <c r="I14" s="1698"/>
      <c r="J14" s="1699"/>
      <c r="K14" s="966"/>
      <c r="L14" s="966"/>
      <c r="M14" s="966"/>
      <c r="N14" s="966"/>
    </row>
    <row r="15" spans="1:14" ht="36.75" thickBot="1">
      <c r="A15" s="1664"/>
      <c r="B15" s="1665"/>
      <c r="C15" s="1665"/>
      <c r="D15" s="1666"/>
      <c r="E15" s="1029" t="s">
        <v>1243</v>
      </c>
      <c r="F15" s="1030" t="s">
        <v>1244</v>
      </c>
      <c r="G15" s="1017" t="s">
        <v>1245</v>
      </c>
      <c r="H15" s="1017" t="s">
        <v>1246</v>
      </c>
      <c r="I15" s="1031" t="s">
        <v>1247</v>
      </c>
      <c r="J15" s="1032" t="s">
        <v>1248</v>
      </c>
      <c r="K15" s="966"/>
      <c r="L15" s="966"/>
      <c r="M15" s="966"/>
      <c r="N15" s="966"/>
    </row>
    <row r="16" spans="1:14" ht="18.75" thickBot="1">
      <c r="A16" s="1679" t="s">
        <v>1249</v>
      </c>
      <c r="B16" s="1680"/>
      <c r="C16" s="1680"/>
      <c r="D16" s="1681"/>
      <c r="E16" s="1033">
        <v>8.6999999999999993</v>
      </c>
      <c r="F16" s="1034">
        <v>68</v>
      </c>
      <c r="G16" s="1035">
        <v>68</v>
      </c>
      <c r="H16" s="1035">
        <v>77</v>
      </c>
      <c r="I16" s="1035">
        <v>86</v>
      </c>
      <c r="J16" s="1036">
        <v>96</v>
      </c>
      <c r="K16" s="966"/>
      <c r="L16" s="1688" t="s">
        <v>1239</v>
      </c>
      <c r="M16" s="1689"/>
      <c r="N16" s="1690"/>
    </row>
    <row r="17" spans="1:20" ht="18.75" thickBot="1">
      <c r="A17" s="1682" t="s">
        <v>1236</v>
      </c>
      <c r="B17" s="1683"/>
      <c r="C17" s="1683"/>
      <c r="D17" s="1684"/>
      <c r="E17" s="1037"/>
      <c r="F17" s="1038">
        <v>3</v>
      </c>
      <c r="G17" s="1039">
        <v>3</v>
      </c>
      <c r="H17" s="1039">
        <v>3.85</v>
      </c>
      <c r="I17" s="1039">
        <v>4.75</v>
      </c>
      <c r="J17" s="1040">
        <v>6.1</v>
      </c>
      <c r="K17" s="966"/>
      <c r="L17" s="1688" t="s">
        <v>1241</v>
      </c>
      <c r="M17" s="1689"/>
      <c r="N17" s="1690"/>
      <c r="O17" s="966"/>
      <c r="P17" s="966"/>
      <c r="Q17" s="966"/>
      <c r="R17" s="966"/>
      <c r="S17" s="966"/>
      <c r="T17" s="966"/>
    </row>
    <row r="18" spans="1:20" ht="18">
      <c r="A18" s="1682" t="s">
        <v>1250</v>
      </c>
      <c r="B18" s="1683"/>
      <c r="C18" s="1683"/>
      <c r="D18" s="1684"/>
      <c r="E18" s="1041"/>
      <c r="F18" s="1042">
        <v>55</v>
      </c>
      <c r="G18" s="1042">
        <v>55</v>
      </c>
      <c r="H18" s="1042">
        <v>61</v>
      </c>
      <c r="I18" s="1042">
        <v>67</v>
      </c>
      <c r="J18" s="1043">
        <v>85</v>
      </c>
      <c r="K18" s="966"/>
      <c r="L18" s="966"/>
      <c r="M18" s="966"/>
      <c r="N18" s="966"/>
      <c r="O18" s="966"/>
      <c r="P18" s="966"/>
      <c r="Q18" s="966"/>
      <c r="R18" s="966"/>
      <c r="S18" s="966"/>
      <c r="T18" s="966"/>
    </row>
    <row r="19" spans="1:20" ht="18" hidden="1">
      <c r="A19" s="1682" t="s">
        <v>1251</v>
      </c>
      <c r="B19" s="1683"/>
      <c r="C19" s="1683"/>
      <c r="D19" s="1684"/>
      <c r="E19" s="1037">
        <v>150</v>
      </c>
      <c r="F19" s="1038">
        <v>150</v>
      </c>
      <c r="G19" s="1039">
        <v>150</v>
      </c>
      <c r="H19" s="1039">
        <v>285</v>
      </c>
      <c r="I19" s="1039">
        <v>450</v>
      </c>
      <c r="J19" s="1040">
        <v>720</v>
      </c>
      <c r="K19" s="966"/>
      <c r="L19" s="966"/>
      <c r="M19" s="966"/>
      <c r="N19" s="966"/>
      <c r="O19" s="966"/>
      <c r="P19" s="966"/>
      <c r="Q19" s="966"/>
      <c r="R19" s="966"/>
      <c r="S19" s="966"/>
      <c r="T19" s="966"/>
    </row>
    <row r="20" spans="1:20" ht="18.75" thickBot="1">
      <c r="A20" s="1685" t="s">
        <v>1252</v>
      </c>
      <c r="B20" s="1686"/>
      <c r="C20" s="1686"/>
      <c r="D20" s="1687"/>
      <c r="E20" s="1044">
        <v>150</v>
      </c>
      <c r="F20" s="1045">
        <v>450</v>
      </c>
      <c r="G20" s="1046">
        <v>450</v>
      </c>
      <c r="H20" s="1046">
        <v>855</v>
      </c>
      <c r="I20" s="1046">
        <v>1350</v>
      </c>
      <c r="J20" s="1047">
        <v>2160</v>
      </c>
      <c r="K20" s="966"/>
      <c r="L20" s="966"/>
      <c r="M20" s="966"/>
      <c r="N20" s="966"/>
      <c r="O20" s="966"/>
      <c r="P20" s="966"/>
      <c r="Q20" s="966"/>
      <c r="R20" s="966"/>
      <c r="S20" s="966"/>
      <c r="T20" s="966"/>
    </row>
    <row r="21" spans="1:20" ht="18.75" thickBot="1">
      <c r="A21" s="1691"/>
      <c r="B21" s="1691"/>
      <c r="C21" s="1657"/>
      <c r="D21" s="1657"/>
      <c r="E21" s="1013"/>
      <c r="F21" s="1013"/>
      <c r="G21" s="1013"/>
      <c r="H21" s="1013"/>
      <c r="I21" s="1013"/>
      <c r="J21" s="1014"/>
      <c r="K21" s="966"/>
      <c r="L21" s="966"/>
      <c r="M21" s="966"/>
      <c r="N21" s="966"/>
      <c r="O21" s="966"/>
      <c r="P21" s="966"/>
      <c r="Q21" s="966"/>
      <c r="R21" s="966"/>
      <c r="S21" s="966"/>
      <c r="T21" s="966"/>
    </row>
    <row r="22" spans="1:20" ht="19.5" thickBot="1">
      <c r="A22" s="1692" t="s">
        <v>1253</v>
      </c>
      <c r="B22" s="1693"/>
      <c r="C22" s="1693"/>
      <c r="D22" s="1693"/>
      <c r="E22" s="1693"/>
      <c r="F22" s="1693"/>
      <c r="G22" s="1693"/>
      <c r="H22" s="1693"/>
      <c r="I22" s="1694"/>
      <c r="J22" s="968"/>
      <c r="K22" s="966"/>
      <c r="L22" s="966"/>
      <c r="M22" s="966"/>
      <c r="N22" s="966"/>
      <c r="O22" s="966"/>
      <c r="P22" s="966"/>
      <c r="Q22" s="966"/>
      <c r="R22" s="966"/>
      <c r="S22" s="966"/>
      <c r="T22" s="966"/>
    </row>
    <row r="23" spans="1:20" ht="18.75" thickBot="1">
      <c r="A23" s="1661" t="s">
        <v>1171</v>
      </c>
      <c r="B23" s="1662"/>
      <c r="C23" s="1662"/>
      <c r="D23" s="1663"/>
      <c r="E23" s="1700" t="s">
        <v>1229</v>
      </c>
      <c r="F23" s="1698"/>
      <c r="G23" s="1698"/>
      <c r="H23" s="1698"/>
      <c r="I23" s="1699"/>
      <c r="J23" s="1014"/>
      <c r="K23" s="966"/>
      <c r="L23" s="966"/>
      <c r="M23" s="966"/>
      <c r="N23" s="966"/>
      <c r="O23" s="966"/>
      <c r="P23" s="966"/>
      <c r="Q23" s="966"/>
      <c r="R23" s="966"/>
      <c r="S23" s="966"/>
      <c r="T23" s="966"/>
    </row>
    <row r="24" spans="1:20" ht="36.75" thickBot="1">
      <c r="A24" s="1664"/>
      <c r="B24" s="1665"/>
      <c r="C24" s="1665"/>
      <c r="D24" s="1666"/>
      <c r="E24" s="1029" t="s">
        <v>1244</v>
      </c>
      <c r="F24" s="1017" t="s">
        <v>1246</v>
      </c>
      <c r="G24" s="1031" t="s">
        <v>1247</v>
      </c>
      <c r="H24" s="1048" t="s">
        <v>1248</v>
      </c>
      <c r="I24" s="1049" t="s">
        <v>1254</v>
      </c>
      <c r="J24" s="1014"/>
      <c r="K24" s="966"/>
      <c r="L24" s="966"/>
      <c r="M24" s="966"/>
      <c r="N24" s="966"/>
      <c r="O24" s="966"/>
      <c r="P24" s="966"/>
      <c r="Q24" s="966"/>
      <c r="R24" s="966"/>
      <c r="S24" s="966"/>
      <c r="T24" s="966"/>
    </row>
    <row r="25" spans="1:20" ht="18.75" thickBot="1">
      <c r="A25" s="1679" t="s">
        <v>1249</v>
      </c>
      <c r="B25" s="1680"/>
      <c r="C25" s="1680"/>
      <c r="D25" s="1681"/>
      <c r="E25" s="1050">
        <v>65</v>
      </c>
      <c r="F25" s="1051">
        <v>70</v>
      </c>
      <c r="G25" s="1051">
        <v>70</v>
      </c>
      <c r="H25" s="1052">
        <v>80</v>
      </c>
      <c r="I25" s="1053">
        <v>80</v>
      </c>
      <c r="J25" s="1100"/>
      <c r="K25" s="966"/>
      <c r="L25" s="1692" t="s">
        <v>1255</v>
      </c>
      <c r="M25" s="1693"/>
      <c r="N25" s="1694"/>
      <c r="O25" s="966"/>
      <c r="P25" s="966"/>
      <c r="Q25" s="966"/>
      <c r="R25" s="966"/>
      <c r="S25" s="966"/>
      <c r="T25" s="966"/>
    </row>
    <row r="26" spans="1:20" ht="18.75" thickBot="1">
      <c r="A26" s="1682" t="s">
        <v>1236</v>
      </c>
      <c r="B26" s="1683"/>
      <c r="C26" s="1683"/>
      <c r="D26" s="1684"/>
      <c r="E26" s="1041">
        <v>2.1</v>
      </c>
      <c r="F26" s="1042">
        <v>2.8</v>
      </c>
      <c r="G26" s="1042">
        <v>3.1</v>
      </c>
      <c r="H26" s="1054">
        <v>4.2</v>
      </c>
      <c r="I26" s="1043">
        <v>9</v>
      </c>
      <c r="J26" s="1100"/>
      <c r="K26" s="966"/>
      <c r="L26" s="1688" t="s">
        <v>1241</v>
      </c>
      <c r="M26" s="1689"/>
      <c r="N26" s="1690"/>
      <c r="O26" s="966"/>
      <c r="P26" s="966"/>
      <c r="Q26" s="966"/>
      <c r="R26" s="966"/>
      <c r="S26" s="966"/>
      <c r="T26" s="966"/>
    </row>
    <row r="27" spans="1:20" ht="18">
      <c r="A27" s="1682" t="s">
        <v>1256</v>
      </c>
      <c r="B27" s="1683"/>
      <c r="C27" s="1683"/>
      <c r="D27" s="1684"/>
      <c r="E27" s="1041">
        <v>65</v>
      </c>
      <c r="F27" s="1042">
        <v>70</v>
      </c>
      <c r="G27" s="1042">
        <v>80</v>
      </c>
      <c r="H27" s="1054">
        <v>90</v>
      </c>
      <c r="I27" s="1043">
        <v>95</v>
      </c>
      <c r="J27" s="1014"/>
      <c r="K27" s="966"/>
      <c r="L27" s="966"/>
      <c r="M27" s="966"/>
      <c r="N27" s="966"/>
      <c r="O27" s="966"/>
      <c r="P27" s="966"/>
      <c r="Q27" s="966"/>
      <c r="R27" s="966"/>
      <c r="S27" s="966"/>
      <c r="T27" s="966"/>
    </row>
    <row r="28" spans="1:20" ht="18" hidden="1">
      <c r="A28" s="1682" t="s">
        <v>1257</v>
      </c>
      <c r="B28" s="1683"/>
      <c r="C28" s="1683"/>
      <c r="D28" s="1684"/>
      <c r="E28" s="1041">
        <v>150</v>
      </c>
      <c r="F28" s="1042">
        <v>285</v>
      </c>
      <c r="G28" s="1042">
        <v>450</v>
      </c>
      <c r="H28" s="1054">
        <v>720</v>
      </c>
      <c r="I28" s="1043">
        <v>1200</v>
      </c>
      <c r="J28" s="1014"/>
      <c r="K28" s="966"/>
      <c r="L28" s="966"/>
      <c r="M28" s="966"/>
      <c r="N28" s="966"/>
      <c r="O28" s="966"/>
      <c r="P28" s="966"/>
      <c r="Q28" s="966"/>
      <c r="R28" s="966"/>
      <c r="S28" s="966"/>
      <c r="T28" s="966"/>
    </row>
    <row r="29" spans="1:20" ht="18.75" thickBot="1">
      <c r="A29" s="1685" t="s">
        <v>1258</v>
      </c>
      <c r="B29" s="1686"/>
      <c r="C29" s="1686"/>
      <c r="D29" s="1687"/>
      <c r="E29" s="1055">
        <v>450</v>
      </c>
      <c r="F29" s="1056">
        <v>855</v>
      </c>
      <c r="G29" s="1056">
        <v>1350</v>
      </c>
      <c r="H29" s="1057">
        <v>2160</v>
      </c>
      <c r="I29" s="1058">
        <v>3600</v>
      </c>
      <c r="J29" s="1014"/>
      <c r="K29" s="966"/>
      <c r="L29" s="966"/>
      <c r="M29" s="966"/>
      <c r="N29" s="966"/>
      <c r="O29" s="966"/>
      <c r="P29" s="966"/>
      <c r="Q29" s="966"/>
      <c r="R29" s="966"/>
      <c r="S29" s="966"/>
      <c r="T29" s="966"/>
    </row>
    <row r="30" spans="1:20" ht="18.75" thickBot="1">
      <c r="A30" s="1691"/>
      <c r="B30" s="1691"/>
      <c r="C30" s="1013"/>
      <c r="D30" s="1013"/>
      <c r="E30" s="1013"/>
      <c r="F30" s="1013"/>
      <c r="G30" s="1013"/>
      <c r="H30" s="1013"/>
      <c r="I30" s="1013"/>
      <c r="J30" s="1014"/>
      <c r="K30" s="966"/>
      <c r="L30" s="966"/>
      <c r="M30" s="966"/>
      <c r="N30" s="966"/>
      <c r="O30" s="966"/>
      <c r="P30" s="966"/>
      <c r="Q30" s="966"/>
      <c r="R30" s="966"/>
      <c r="S30" s="966"/>
      <c r="T30" s="966"/>
    </row>
    <row r="31" spans="1:20" ht="19.5" thickBot="1">
      <c r="A31" s="1658" t="s">
        <v>1259</v>
      </c>
      <c r="B31" s="1659"/>
      <c r="C31" s="1659"/>
      <c r="D31" s="1659"/>
      <c r="E31" s="1659"/>
      <c r="F31" s="1659"/>
      <c r="G31" s="1659"/>
      <c r="H31" s="1659"/>
      <c r="I31" s="1659"/>
      <c r="J31" s="1659"/>
      <c r="K31" s="1660"/>
      <c r="L31" s="1015"/>
      <c r="M31" s="1015"/>
      <c r="N31" s="1015"/>
      <c r="O31" s="1015"/>
      <c r="P31" s="1015"/>
      <c r="Q31" s="1015"/>
      <c r="R31" s="1015"/>
      <c r="S31" s="1015"/>
      <c r="T31" s="1015"/>
    </row>
    <row r="32" spans="1:20" ht="18.75" thickBot="1">
      <c r="A32" s="1695" t="s">
        <v>1171</v>
      </c>
      <c r="B32" s="1696"/>
      <c r="C32" s="1696"/>
      <c r="D32" s="1697"/>
      <c r="E32" s="1698" t="s">
        <v>1260</v>
      </c>
      <c r="F32" s="1698"/>
      <c r="G32" s="1698"/>
      <c r="H32" s="1698"/>
      <c r="I32" s="1698"/>
      <c r="J32" s="1698"/>
      <c r="K32" s="1699"/>
      <c r="L32" s="966"/>
      <c r="M32" s="966"/>
      <c r="N32" s="966"/>
      <c r="O32" s="966"/>
      <c r="P32" s="966"/>
      <c r="Q32" s="966"/>
      <c r="R32" s="966"/>
      <c r="S32" s="966"/>
      <c r="T32" s="966"/>
    </row>
    <row r="33" spans="1:14" ht="18.75" thickBot="1">
      <c r="A33" s="1664"/>
      <c r="B33" s="1665"/>
      <c r="C33" s="1665"/>
      <c r="D33" s="1666"/>
      <c r="E33" s="1106" t="s">
        <v>1261</v>
      </c>
      <c r="F33" s="1107" t="s">
        <v>1262</v>
      </c>
      <c r="G33" s="1107" t="s">
        <v>1263</v>
      </c>
      <c r="H33" s="1107" t="s">
        <v>1264</v>
      </c>
      <c r="I33" s="1107" t="s">
        <v>1265</v>
      </c>
      <c r="J33" s="1107" t="s">
        <v>1266</v>
      </c>
      <c r="K33" s="1108" t="s">
        <v>1267</v>
      </c>
      <c r="L33" s="966"/>
      <c r="M33" s="966"/>
      <c r="N33" s="966"/>
    </row>
    <row r="34" spans="1:14" ht="18.75" thickBot="1">
      <c r="A34" s="1679" t="s">
        <v>1268</v>
      </c>
      <c r="B34" s="1680"/>
      <c r="C34" s="1680"/>
      <c r="D34" s="1681"/>
      <c r="E34" s="1109">
        <v>120</v>
      </c>
      <c r="F34" s="1051">
        <v>190</v>
      </c>
      <c r="G34" s="1051">
        <v>270</v>
      </c>
      <c r="H34" s="1051">
        <v>330</v>
      </c>
      <c r="I34" s="1051">
        <v>375</v>
      </c>
      <c r="J34" s="1051">
        <v>480</v>
      </c>
      <c r="K34" s="1059">
        <v>600</v>
      </c>
      <c r="L34" s="1688" t="s">
        <v>1239</v>
      </c>
      <c r="M34" s="1689"/>
      <c r="N34" s="1690"/>
    </row>
    <row r="35" spans="1:14" ht="18.75" thickBot="1">
      <c r="A35" s="1685" t="s">
        <v>1269</v>
      </c>
      <c r="B35" s="1686"/>
      <c r="C35" s="1686"/>
      <c r="D35" s="1687"/>
      <c r="E35" s="1110">
        <v>210</v>
      </c>
      <c r="F35" s="1056">
        <v>520</v>
      </c>
      <c r="G35" s="1056">
        <v>1050</v>
      </c>
      <c r="H35" s="1056">
        <v>1570</v>
      </c>
      <c r="I35" s="1056">
        <v>2030</v>
      </c>
      <c r="J35" s="1056">
        <v>3330</v>
      </c>
      <c r="K35" s="1060">
        <v>3380</v>
      </c>
      <c r="L35" s="1688" t="s">
        <v>1241</v>
      </c>
      <c r="M35" s="1689"/>
      <c r="N35" s="1690"/>
    </row>
    <row r="36" spans="1:14" ht="18" hidden="1">
      <c r="A36" s="1682" t="s">
        <v>1270</v>
      </c>
      <c r="B36" s="1683"/>
      <c r="C36" s="1683"/>
      <c r="D36" s="1684"/>
      <c r="E36" s="1041"/>
      <c r="F36" s="1042"/>
      <c r="G36" s="1042"/>
      <c r="H36" s="1042"/>
      <c r="I36" s="1042"/>
      <c r="J36" s="1042"/>
      <c r="K36" s="1059"/>
      <c r="L36" s="966"/>
      <c r="M36" s="966"/>
      <c r="N36" s="966"/>
    </row>
    <row r="37" spans="1:14" ht="18.75" hidden="1" thickBot="1">
      <c r="A37" s="1685" t="s">
        <v>1271</v>
      </c>
      <c r="B37" s="1686"/>
      <c r="C37" s="1686"/>
      <c r="D37" s="1687"/>
      <c r="E37" s="1055"/>
      <c r="F37" s="1056"/>
      <c r="G37" s="1056"/>
      <c r="H37" s="1056"/>
      <c r="I37" s="1056"/>
      <c r="J37" s="1056"/>
      <c r="K37" s="1060"/>
      <c r="L37" s="966"/>
      <c r="M37" s="966"/>
      <c r="N37" s="966"/>
    </row>
    <row r="38" spans="1:14" ht="18">
      <c r="A38" s="966"/>
      <c r="B38" s="966"/>
      <c r="C38" s="966"/>
      <c r="D38" s="966"/>
      <c r="E38" s="966"/>
      <c r="F38" s="966"/>
      <c r="G38" s="966"/>
      <c r="H38" s="966"/>
      <c r="I38" s="966"/>
      <c r="J38" s="1100"/>
      <c r="K38" s="966"/>
      <c r="L38" s="966"/>
      <c r="M38" s="966"/>
      <c r="N38" s="966"/>
    </row>
  </sheetData>
  <mergeCells count="46">
    <mergeCell ref="L34:N34"/>
    <mergeCell ref="A35:D35"/>
    <mergeCell ref="L35:N35"/>
    <mergeCell ref="A36:D36"/>
    <mergeCell ref="A37:D37"/>
    <mergeCell ref="A32:D33"/>
    <mergeCell ref="E32:K32"/>
    <mergeCell ref="A34:D34"/>
    <mergeCell ref="A23:D24"/>
    <mergeCell ref="E23:I23"/>
    <mergeCell ref="A25:D25"/>
    <mergeCell ref="A27:D27"/>
    <mergeCell ref="A28:D28"/>
    <mergeCell ref="A29:D29"/>
    <mergeCell ref="A30:B30"/>
    <mergeCell ref="A31:K31"/>
    <mergeCell ref="L25:N25"/>
    <mergeCell ref="A26:D26"/>
    <mergeCell ref="L26:N26"/>
    <mergeCell ref="A22:I22"/>
    <mergeCell ref="A13:J13"/>
    <mergeCell ref="A14:D15"/>
    <mergeCell ref="E14:J14"/>
    <mergeCell ref="A16:D16"/>
    <mergeCell ref="A18:D18"/>
    <mergeCell ref="A19:D19"/>
    <mergeCell ref="A20:D20"/>
    <mergeCell ref="A21:B21"/>
    <mergeCell ref="C21:D21"/>
    <mergeCell ref="L16:N16"/>
    <mergeCell ref="A17:D17"/>
    <mergeCell ref="L17:N17"/>
    <mergeCell ref="A8:D8"/>
    <mergeCell ref="A9:D9"/>
    <mergeCell ref="A10:D10"/>
    <mergeCell ref="L10:N10"/>
    <mergeCell ref="A11:B11"/>
    <mergeCell ref="C11:D11"/>
    <mergeCell ref="L11:N11"/>
    <mergeCell ref="A1:N1"/>
    <mergeCell ref="A3:H3"/>
    <mergeCell ref="A4:D5"/>
    <mergeCell ref="E4:H4"/>
    <mergeCell ref="L5:N7"/>
    <mergeCell ref="A6:D6"/>
    <mergeCell ref="A7:D7"/>
  </mergeCells>
  <printOptions horizontalCentered="1" verticalCentered="1"/>
  <pageMargins left="0" right="0" top="0" bottom="0.39370078740157483" header="0" footer="0"/>
  <pageSetup paperSize="9" scale="74" orientation="landscape" blackAndWhite="1"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7">
    <tabColor indexed="42"/>
    <pageSetUpPr fitToPage="1"/>
  </sheetPr>
  <dimension ref="A1:Q77"/>
  <sheetViews>
    <sheetView showGridLines="0" view="pageBreakPreview" zoomScale="70" zoomScaleNormal="100" zoomScaleSheetLayoutView="70" workbookViewId="0">
      <selection activeCell="J75" sqref="J75"/>
    </sheetView>
  </sheetViews>
  <sheetFormatPr baseColWidth="10" defaultColWidth="11.42578125" defaultRowHeight="12.75"/>
  <cols>
    <col min="1" max="1" width="7.85546875" style="737" customWidth="1"/>
    <col min="2" max="2" width="4.85546875" style="39" customWidth="1"/>
    <col min="3" max="3" width="2.140625" style="738" customWidth="1"/>
    <col min="4" max="5" width="8.42578125" style="737" customWidth="1"/>
    <col min="6" max="6" width="2" style="737" customWidth="1"/>
    <col min="7" max="7" width="24.42578125" style="737" customWidth="1"/>
    <col min="8" max="8" width="9" style="737" customWidth="1"/>
    <col min="9" max="9" width="18" style="737" customWidth="1"/>
    <col min="10" max="10" width="29" style="738" customWidth="1"/>
    <col min="11" max="11" width="2" style="737" customWidth="1"/>
    <col min="12" max="12" width="7.85546875" style="737" customWidth="1"/>
    <col min="13" max="13" width="2" style="737" customWidth="1"/>
    <col min="14" max="14" width="30.140625" customWidth="1"/>
  </cols>
  <sheetData>
    <row r="1" spans="1:17" ht="13.5" customHeight="1" thickTop="1">
      <c r="A1" s="1705" t="s">
        <v>1089</v>
      </c>
      <c r="B1" s="1706"/>
      <c r="C1" s="1706"/>
      <c r="D1" s="1706"/>
      <c r="E1" s="1706"/>
      <c r="F1" s="1706"/>
      <c r="G1" s="1706"/>
      <c r="H1" s="1706"/>
      <c r="I1" s="1706"/>
      <c r="J1" s="1706"/>
      <c r="K1" s="1706"/>
      <c r="L1" s="1706"/>
      <c r="M1" s="1706"/>
      <c r="N1" s="1710" t="s">
        <v>1090</v>
      </c>
    </row>
    <row r="2" spans="1:17" ht="13.5" customHeight="1">
      <c r="A2" s="1707"/>
      <c r="B2" s="1576"/>
      <c r="C2" s="1576"/>
      <c r="D2" s="1576"/>
      <c r="E2" s="1576"/>
      <c r="F2" s="1576"/>
      <c r="G2" s="1576"/>
      <c r="H2" s="1576"/>
      <c r="I2" s="1576"/>
      <c r="J2" s="1576"/>
      <c r="K2" s="1576"/>
      <c r="L2" s="1576"/>
      <c r="M2" s="1576"/>
      <c r="N2" s="1711"/>
    </row>
    <row r="3" spans="1:17" ht="13.5" customHeight="1" thickBot="1">
      <c r="A3" s="1708"/>
      <c r="B3" s="1709"/>
      <c r="C3" s="1709"/>
      <c r="D3" s="1709"/>
      <c r="E3" s="1709"/>
      <c r="F3" s="1709"/>
      <c r="G3" s="1709"/>
      <c r="H3" s="1709"/>
      <c r="I3" s="1709"/>
      <c r="J3" s="1709"/>
      <c r="K3" s="1709"/>
      <c r="L3" s="1709"/>
      <c r="M3" s="1709"/>
      <c r="N3" s="1712"/>
    </row>
    <row r="4" spans="1:17" ht="10.5" customHeight="1" thickTop="1">
      <c r="B4" s="25"/>
      <c r="H4" s="29"/>
      <c r="J4" s="34"/>
      <c r="N4" s="739"/>
    </row>
    <row r="5" spans="1:17" ht="17.25" customHeight="1">
      <c r="A5" s="21" t="s">
        <v>798</v>
      </c>
      <c r="B5"/>
      <c r="C5" s="726" t="str">
        <f>IF(ISBLANK(oeOTP),"",oeOTP)</f>
        <v/>
      </c>
      <c r="D5" s="726"/>
      <c r="E5" s="726"/>
      <c r="F5" s="726"/>
      <c r="G5" s="5"/>
      <c r="H5"/>
      <c r="I5" s="35" t="s">
        <v>799</v>
      </c>
      <c r="J5" s="736" t="str">
        <f>IF(ISBLANK(oReferenceCommande),"",oReferenceCommande)</f>
        <v/>
      </c>
      <c r="K5" s="1274"/>
      <c r="L5" s="21"/>
      <c r="M5" s="740"/>
    </row>
    <row r="6" spans="1:17" ht="17.25" customHeight="1">
      <c r="A6" s="21" t="s">
        <v>800</v>
      </c>
      <c r="B6"/>
      <c r="C6" s="726" t="str">
        <f>IF(ISBLANK(oMOE),"",oMOE)</f>
        <v/>
      </c>
      <c r="D6" s="726"/>
      <c r="E6" s="726"/>
      <c r="F6" s="726"/>
      <c r="G6" s="726"/>
      <c r="H6" s="5"/>
      <c r="I6" s="35" t="s">
        <v>801</v>
      </c>
      <c r="J6" s="736" t="str">
        <f>IF(ISBLANK(oVille),"",oVille)</f>
        <v/>
      </c>
      <c r="K6" s="1274"/>
      <c r="L6" s="21"/>
      <c r="M6" s="12"/>
    </row>
    <row r="7" spans="1:17" ht="17.25" customHeight="1">
      <c r="A7" t="s">
        <v>802</v>
      </c>
      <c r="B7"/>
      <c r="C7" s="1273" t="str">
        <f>IF(ISBLANK(oLibelleOTP),"",oLibelleOTP)</f>
        <v/>
      </c>
      <c r="D7" s="1273"/>
      <c r="E7" s="1273"/>
      <c r="F7" s="1273"/>
      <c r="G7" s="1273"/>
      <c r="H7" s="1273"/>
      <c r="I7" s="27"/>
      <c r="J7" s="27"/>
      <c r="K7" s="1242"/>
      <c r="L7" s="1242"/>
      <c r="M7" s="1242"/>
      <c r="N7" s="1242"/>
    </row>
    <row r="8" spans="1:17" s="344" customFormat="1" ht="12.75" customHeight="1">
      <c r="C8" s="741"/>
      <c r="D8" s="741"/>
      <c r="E8" s="741"/>
      <c r="F8" s="741"/>
      <c r="G8" s="741"/>
      <c r="H8" s="741"/>
      <c r="I8" s="741"/>
      <c r="J8" s="741"/>
      <c r="K8" s="741"/>
      <c r="L8" s="741"/>
      <c r="M8" s="741"/>
      <c r="N8" s="741"/>
    </row>
    <row r="9" spans="1:17">
      <c r="A9"/>
      <c r="B9"/>
      <c r="C9" s="21"/>
      <c r="D9" s="1704" t="s">
        <v>1347</v>
      </c>
      <c r="E9" s="1704"/>
      <c r="F9" s="1704"/>
      <c r="G9" s="1704"/>
      <c r="H9" s="1704"/>
      <c r="I9" s="1704"/>
      <c r="J9" s="1704"/>
      <c r="K9" s="1704"/>
      <c r="L9" s="1704"/>
      <c r="M9" s="1704"/>
      <c r="N9" s="1704"/>
    </row>
    <row r="10" spans="1:17">
      <c r="A10"/>
      <c r="B10"/>
      <c r="C10" s="21"/>
      <c r="D10" s="129"/>
      <c r="E10" s="129"/>
      <c r="F10" s="129"/>
      <c r="G10" s="129"/>
      <c r="H10" s="129"/>
      <c r="I10" s="129"/>
      <c r="J10" s="129"/>
      <c r="K10" s="129"/>
      <c r="L10" s="129"/>
      <c r="M10" s="129"/>
      <c r="N10" s="129"/>
    </row>
    <row r="11" spans="1:17">
      <c r="B11" s="742"/>
      <c r="C11" s="20"/>
      <c r="D11" s="743" t="s">
        <v>1348</v>
      </c>
      <c r="E11" s="743" t="s">
        <v>563</v>
      </c>
      <c r="F11" s="39"/>
      <c r="G11" s="744" t="s">
        <v>597</v>
      </c>
      <c r="H11" s="745"/>
      <c r="I11" s="745"/>
      <c r="J11" s="735"/>
      <c r="K11" s="39"/>
      <c r="L11" s="746" t="s">
        <v>1091</v>
      </c>
      <c r="M11" s="39"/>
      <c r="N11" s="747" t="s">
        <v>564</v>
      </c>
    </row>
    <row r="12" spans="1:17">
      <c r="B12" s="742"/>
      <c r="C12" s="20"/>
      <c r="D12" s="129"/>
      <c r="E12" s="129"/>
      <c r="F12" s="39"/>
      <c r="G12" s="21"/>
      <c r="H12" s="21"/>
      <c r="I12" s="21"/>
      <c r="J12" s="20"/>
      <c r="K12" s="39"/>
      <c r="L12" s="39"/>
      <c r="M12" s="39"/>
      <c r="N12" s="36"/>
    </row>
    <row r="13" spans="1:17" ht="21" customHeight="1">
      <c r="B13" s="36"/>
      <c r="C13" s="20"/>
      <c r="D13" s="39"/>
      <c r="E13" s="39"/>
      <c r="F13" s="39"/>
      <c r="G13" s="539" t="s">
        <v>1092</v>
      </c>
      <c r="H13" s="21"/>
      <c r="I13" s="21"/>
      <c r="J13" s="20"/>
      <c r="K13" s="39"/>
      <c r="L13" s="39"/>
      <c r="M13" s="39"/>
      <c r="N13" s="116"/>
    </row>
    <row r="14" spans="1:17" s="6" customFormat="1" ht="20.100000000000001" customHeight="1">
      <c r="A14" s="748"/>
      <c r="B14" s="129"/>
      <c r="C14" s="122"/>
      <c r="D14" s="749"/>
      <c r="E14" s="749"/>
      <c r="F14" s="281"/>
      <c r="G14" s="1702" t="s">
        <v>246</v>
      </c>
      <c r="H14" s="1702"/>
      <c r="I14" s="1702"/>
      <c r="J14" s="1702"/>
      <c r="K14" s="281"/>
      <c r="L14" s="634"/>
      <c r="M14" s="281"/>
      <c r="N14" s="749"/>
    </row>
    <row r="15" spans="1:17" s="6" customFormat="1" ht="20.100000000000001" customHeight="1">
      <c r="A15" s="748"/>
      <c r="B15" s="129"/>
      <c r="C15" s="122"/>
      <c r="D15" s="749"/>
      <c r="E15" s="749"/>
      <c r="F15" s="281"/>
      <c r="G15" s="1702" t="s">
        <v>1093</v>
      </c>
      <c r="H15" s="1702"/>
      <c r="I15" s="1702"/>
      <c r="J15" s="1702"/>
      <c r="K15" s="281"/>
      <c r="L15" s="634"/>
      <c r="M15" s="281"/>
      <c r="N15" s="749"/>
      <c r="O15" s="1701"/>
      <c r="P15" s="1701"/>
      <c r="Q15" s="1701"/>
    </row>
    <row r="16" spans="1:17" s="6" customFormat="1" ht="20.100000000000001" customHeight="1">
      <c r="A16" s="748"/>
      <c r="B16" s="129"/>
      <c r="C16" s="122"/>
      <c r="D16" s="749"/>
      <c r="E16" s="749"/>
      <c r="F16" s="281"/>
      <c r="G16" s="1702" t="s">
        <v>1094</v>
      </c>
      <c r="H16" s="1702"/>
      <c r="I16" s="1702"/>
      <c r="J16" s="1702"/>
      <c r="K16" s="281"/>
      <c r="L16" s="634"/>
      <c r="M16" s="281"/>
      <c r="N16" s="749"/>
    </row>
    <row r="17" spans="1:14" s="6" customFormat="1" ht="17.25" customHeight="1">
      <c r="A17" s="748"/>
      <c r="B17" s="129"/>
      <c r="C17" s="750"/>
      <c r="D17" s="541"/>
      <c r="E17" s="541"/>
      <c r="F17" s="281"/>
      <c r="G17" s="751"/>
      <c r="H17" s="751"/>
      <c r="I17" s="751"/>
      <c r="J17" s="751"/>
      <c r="K17" s="281"/>
      <c r="L17" s="281"/>
      <c r="M17" s="281"/>
      <c r="N17" s="558"/>
    </row>
    <row r="18" spans="1:14" s="6" customFormat="1" ht="20.100000000000001" customHeight="1">
      <c r="A18" s="748"/>
      <c r="B18" s="752">
        <v>1</v>
      </c>
      <c r="C18" s="750"/>
      <c r="D18" s="197"/>
      <c r="E18" s="197"/>
      <c r="F18" s="18"/>
      <c r="G18" s="538" t="s">
        <v>804</v>
      </c>
      <c r="H18" s="748"/>
      <c r="I18" s="748"/>
      <c r="J18" s="753"/>
      <c r="K18" s="18"/>
      <c r="L18" s="18"/>
      <c r="M18" s="18"/>
      <c r="N18" s="558"/>
    </row>
    <row r="19" spans="1:14" s="6" customFormat="1" ht="20.100000000000001" customHeight="1">
      <c r="A19" s="748"/>
      <c r="B19" s="129"/>
      <c r="C19" s="750"/>
      <c r="D19" s="754"/>
      <c r="E19" s="754"/>
      <c r="F19" s="129"/>
      <c r="G19" s="1702" t="s">
        <v>1349</v>
      </c>
      <c r="H19" s="1702"/>
      <c r="I19" s="1702"/>
      <c r="J19" s="1702"/>
      <c r="K19" s="129"/>
      <c r="L19" s="743"/>
      <c r="M19" s="129"/>
      <c r="N19" s="754"/>
    </row>
    <row r="20" spans="1:14" s="6" customFormat="1" ht="20.100000000000001" customHeight="1">
      <c r="A20" s="748"/>
      <c r="B20" s="129"/>
      <c r="C20" s="750"/>
      <c r="D20" s="749"/>
      <c r="E20" s="749"/>
      <c r="F20" s="129"/>
      <c r="G20" s="1702" t="s">
        <v>1095</v>
      </c>
      <c r="H20" s="1702"/>
      <c r="I20" s="1702"/>
      <c r="J20" s="1702"/>
      <c r="K20" s="129"/>
      <c r="L20" s="634"/>
      <c r="M20" s="129"/>
      <c r="N20" s="754"/>
    </row>
    <row r="21" spans="1:14" s="6" customFormat="1" ht="20.100000000000001" customHeight="1">
      <c r="A21" s="748"/>
      <c r="B21" s="129"/>
      <c r="C21" s="750"/>
      <c r="D21" s="749"/>
      <c r="E21" s="749"/>
      <c r="F21" s="129"/>
      <c r="G21" s="1702" t="s">
        <v>1096</v>
      </c>
      <c r="H21" s="1702"/>
      <c r="I21" s="1702"/>
      <c r="J21" s="1702"/>
      <c r="K21" s="129"/>
      <c r="L21" s="634"/>
      <c r="M21" s="129"/>
      <c r="N21" s="754"/>
    </row>
    <row r="22" spans="1:14" s="6" customFormat="1" ht="20.100000000000001" customHeight="1">
      <c r="A22" s="748"/>
      <c r="B22" s="129"/>
      <c r="C22" s="750"/>
      <c r="D22" s="754"/>
      <c r="E22" s="754"/>
      <c r="F22" s="129"/>
      <c r="G22" s="1702" t="s">
        <v>1097</v>
      </c>
      <c r="H22" s="1702"/>
      <c r="I22" s="1702"/>
      <c r="J22" s="1702"/>
      <c r="K22" s="129"/>
      <c r="L22" s="743"/>
      <c r="M22" s="129"/>
      <c r="N22" s="754"/>
    </row>
    <row r="23" spans="1:14" s="6" customFormat="1" ht="20.100000000000001" customHeight="1">
      <c r="A23" s="748"/>
      <c r="B23" s="129"/>
      <c r="C23" s="750"/>
      <c r="D23" s="754"/>
      <c r="E23" s="754"/>
      <c r="F23" s="129"/>
      <c r="G23" s="1702" t="s">
        <v>1098</v>
      </c>
      <c r="H23" s="1702"/>
      <c r="I23" s="1702"/>
      <c r="J23" s="1702"/>
      <c r="K23" s="129"/>
      <c r="L23" s="743"/>
      <c r="M23" s="129"/>
      <c r="N23" s="754"/>
    </row>
    <row r="24" spans="1:14" s="6" customFormat="1" ht="20.100000000000001" customHeight="1">
      <c r="A24" s="755"/>
      <c r="B24" s="756"/>
      <c r="C24" s="757"/>
      <c r="D24" s="749"/>
      <c r="E24" s="749"/>
      <c r="F24" s="757"/>
      <c r="G24" s="1702" t="s">
        <v>565</v>
      </c>
      <c r="H24" s="1702"/>
      <c r="I24" s="1702"/>
      <c r="J24" s="1702"/>
      <c r="K24" s="757"/>
      <c r="L24" s="634"/>
      <c r="M24" s="757"/>
      <c r="N24" s="754"/>
    </row>
    <row r="25" spans="1:14" s="6" customFormat="1" ht="20.100000000000001" customHeight="1">
      <c r="A25" s="755"/>
      <c r="B25" s="756"/>
      <c r="C25" s="757"/>
      <c r="D25" s="749"/>
      <c r="E25" s="749"/>
      <c r="F25" s="750"/>
      <c r="G25" s="1703" t="s">
        <v>1099</v>
      </c>
      <c r="H25" s="1702"/>
      <c r="I25" s="1702"/>
      <c r="J25" s="1702"/>
      <c r="K25" s="750"/>
      <c r="L25" s="634"/>
      <c r="M25" s="750"/>
      <c r="N25" s="754"/>
    </row>
    <row r="26" spans="1:14" s="6" customFormat="1" ht="20.100000000000001" customHeight="1">
      <c r="A26" s="755"/>
      <c r="B26" s="756"/>
      <c r="C26" s="757"/>
      <c r="D26" s="749"/>
      <c r="E26" s="749"/>
      <c r="F26" s="750"/>
      <c r="G26" s="1702" t="s">
        <v>566</v>
      </c>
      <c r="H26" s="1702"/>
      <c r="I26" s="1702"/>
      <c r="J26" s="1702"/>
      <c r="K26" s="750"/>
      <c r="L26" s="634"/>
      <c r="M26" s="750"/>
      <c r="N26" s="754"/>
    </row>
    <row r="27" spans="1:14" s="6" customFormat="1" ht="20.100000000000001" customHeight="1">
      <c r="A27" s="755"/>
      <c r="B27" s="756"/>
      <c r="C27" s="757"/>
      <c r="D27" s="749"/>
      <c r="E27" s="749"/>
      <c r="F27" s="750"/>
      <c r="G27" s="1702" t="s">
        <v>318</v>
      </c>
      <c r="H27" s="1702"/>
      <c r="I27" s="1702"/>
      <c r="J27" s="1702"/>
      <c r="K27" s="750"/>
      <c r="L27" s="634"/>
      <c r="M27" s="750"/>
      <c r="N27" s="754"/>
    </row>
    <row r="28" spans="1:14" s="6" customFormat="1" ht="20.100000000000001" customHeight="1">
      <c r="A28" s="748"/>
      <c r="B28" s="129"/>
      <c r="C28" s="750"/>
      <c r="D28" s="759"/>
      <c r="E28" s="759"/>
      <c r="F28" s="748"/>
      <c r="G28" s="748"/>
      <c r="H28" s="748"/>
      <c r="I28" s="748"/>
      <c r="J28" s="750"/>
      <c r="K28" s="748"/>
      <c r="L28" s="748"/>
      <c r="M28" s="748"/>
      <c r="N28" s="558"/>
    </row>
    <row r="29" spans="1:14" s="6" customFormat="1" ht="20.100000000000001" customHeight="1">
      <c r="A29" s="748"/>
      <c r="B29" s="752">
        <v>2</v>
      </c>
      <c r="C29" s="750"/>
      <c r="D29" s="197"/>
      <c r="E29" s="197"/>
      <c r="F29" s="18"/>
      <c r="G29" s="538" t="s">
        <v>319</v>
      </c>
      <c r="H29" s="748"/>
      <c r="I29" s="748"/>
      <c r="J29" s="753"/>
      <c r="K29" s="18"/>
      <c r="L29" s="18"/>
      <c r="M29" s="18"/>
      <c r="N29" s="558"/>
    </row>
    <row r="30" spans="1:14" s="6" customFormat="1" ht="20.100000000000001" customHeight="1">
      <c r="A30" s="748"/>
      <c r="B30" s="129"/>
      <c r="C30" s="750"/>
      <c r="D30" s="754"/>
      <c r="E30" s="754"/>
      <c r="F30" s="129"/>
      <c r="G30" s="1702" t="s">
        <v>1100</v>
      </c>
      <c r="H30" s="1702"/>
      <c r="I30" s="1702"/>
      <c r="J30" s="1702"/>
      <c r="K30" s="129"/>
      <c r="L30" s="743"/>
      <c r="M30" s="129"/>
      <c r="N30" s="754"/>
    </row>
    <row r="31" spans="1:14" s="6" customFormat="1" ht="20.100000000000001" customHeight="1">
      <c r="A31" s="748"/>
      <c r="B31" s="129"/>
      <c r="C31" s="750"/>
      <c r="D31" s="754"/>
      <c r="E31" s="754"/>
      <c r="F31" s="129"/>
      <c r="G31" s="1702" t="s">
        <v>1101</v>
      </c>
      <c r="H31" s="1702"/>
      <c r="I31" s="1702"/>
      <c r="J31" s="1702"/>
      <c r="K31" s="129"/>
      <c r="L31" s="743"/>
      <c r="M31" s="129"/>
      <c r="N31" s="754"/>
    </row>
    <row r="32" spans="1:14" s="6" customFormat="1" ht="20.100000000000001" customHeight="1">
      <c r="A32" s="748"/>
      <c r="B32" s="129"/>
      <c r="C32" s="750"/>
      <c r="D32" s="754"/>
      <c r="E32" s="749"/>
      <c r="F32" s="129"/>
      <c r="G32" s="1703" t="s">
        <v>1405</v>
      </c>
      <c r="H32" s="1702"/>
      <c r="I32" s="1702"/>
      <c r="J32" s="1702"/>
      <c r="K32" s="129"/>
      <c r="L32" s="743"/>
      <c r="M32" s="129"/>
      <c r="N32" s="754"/>
    </row>
    <row r="33" spans="1:14" s="6" customFormat="1" ht="20.100000000000001" customHeight="1">
      <c r="A33" s="748"/>
      <c r="B33" s="129"/>
      <c r="C33" s="750"/>
      <c r="D33" s="540"/>
      <c r="E33" s="540"/>
      <c r="F33" s="129"/>
      <c r="G33" s="748"/>
      <c r="H33" s="748"/>
      <c r="I33" s="748"/>
      <c r="J33" s="753"/>
      <c r="K33" s="129"/>
      <c r="L33" s="129"/>
      <c r="M33" s="129"/>
      <c r="N33" s="558"/>
    </row>
    <row r="34" spans="1:14" s="6" customFormat="1" ht="20.100000000000001" customHeight="1">
      <c r="A34" s="748"/>
      <c r="B34" s="752">
        <v>3</v>
      </c>
      <c r="C34" s="750"/>
      <c r="D34" s="197"/>
      <c r="E34" s="197"/>
      <c r="F34" s="18"/>
      <c r="G34" s="538" t="s">
        <v>320</v>
      </c>
      <c r="H34" s="748"/>
      <c r="I34" s="748"/>
      <c r="J34" s="753"/>
      <c r="K34" s="18"/>
      <c r="L34" s="18"/>
      <c r="M34" s="18"/>
      <c r="N34" s="558"/>
    </row>
    <row r="35" spans="1:14" s="6" customFormat="1" ht="20.100000000000001" customHeight="1">
      <c r="A35" s="748"/>
      <c r="B35" s="129"/>
      <c r="C35" s="750"/>
      <c r="D35" s="754"/>
      <c r="E35" s="754"/>
      <c r="F35" s="129"/>
      <c r="G35" s="1702" t="s">
        <v>321</v>
      </c>
      <c r="H35" s="1702"/>
      <c r="I35" s="1702"/>
      <c r="J35" s="1702"/>
      <c r="K35" s="129"/>
      <c r="L35" s="743"/>
      <c r="M35" s="129"/>
      <c r="N35" s="761"/>
    </row>
    <row r="36" spans="1:14" s="6" customFormat="1" ht="20.100000000000001" customHeight="1">
      <c r="A36" s="748"/>
      <c r="B36" s="129"/>
      <c r="C36" s="750"/>
      <c r="D36" s="754"/>
      <c r="E36" s="754"/>
      <c r="F36" s="129"/>
      <c r="G36" s="1702" t="s">
        <v>322</v>
      </c>
      <c r="H36" s="1702"/>
      <c r="I36" s="1702"/>
      <c r="J36" s="1702"/>
      <c r="K36" s="129"/>
      <c r="L36" s="743"/>
      <c r="M36" s="129"/>
      <c r="N36" s="762"/>
    </row>
    <row r="37" spans="1:14" s="6" customFormat="1" ht="20.100000000000001" customHeight="1">
      <c r="A37" s="748"/>
      <c r="B37" s="129"/>
      <c r="C37" s="750"/>
      <c r="D37" s="754"/>
      <c r="E37" s="754"/>
      <c r="F37" s="129"/>
      <c r="G37" s="1702" t="s">
        <v>1102</v>
      </c>
      <c r="H37" s="1702"/>
      <c r="I37" s="1702"/>
      <c r="J37" s="1702"/>
      <c r="K37" s="129"/>
      <c r="L37" s="743"/>
      <c r="M37" s="129"/>
      <c r="N37" s="762"/>
    </row>
    <row r="38" spans="1:14" s="6" customFormat="1" ht="20.100000000000001" customHeight="1">
      <c r="A38" s="748"/>
      <c r="B38" s="129"/>
      <c r="C38" s="750"/>
      <c r="D38" s="754"/>
      <c r="E38" s="754"/>
      <c r="F38" s="129"/>
      <c r="G38" s="1702" t="s">
        <v>1103</v>
      </c>
      <c r="H38" s="1702"/>
      <c r="I38" s="1702"/>
      <c r="J38" s="1702"/>
      <c r="K38" s="129"/>
      <c r="L38" s="743"/>
      <c r="M38" s="129"/>
      <c r="N38" s="762"/>
    </row>
    <row r="39" spans="1:14" s="6" customFormat="1" ht="20.100000000000001" customHeight="1">
      <c r="A39" s="748"/>
      <c r="B39" s="129"/>
      <c r="C39" s="750"/>
      <c r="D39" s="758"/>
      <c r="E39" s="758"/>
      <c r="F39" s="750"/>
      <c r="G39" s="763"/>
      <c r="H39" s="748"/>
      <c r="I39" s="748"/>
      <c r="J39" s="753"/>
      <c r="K39" s="750"/>
      <c r="L39" s="750"/>
      <c r="M39" s="750"/>
      <c r="N39" s="558"/>
    </row>
    <row r="40" spans="1:14" s="6" customFormat="1" ht="20.100000000000001" customHeight="1">
      <c r="A40" s="748"/>
      <c r="B40" s="752">
        <v>4</v>
      </c>
      <c r="C40" s="750"/>
      <c r="D40" s="197"/>
      <c r="E40" s="197"/>
      <c r="F40" s="18"/>
      <c r="G40" s="538" t="s">
        <v>323</v>
      </c>
      <c r="H40" s="748"/>
      <c r="I40" s="748"/>
      <c r="J40" s="753"/>
      <c r="K40" s="18"/>
      <c r="L40" s="18"/>
      <c r="M40" s="18"/>
      <c r="N40" s="558"/>
    </row>
    <row r="41" spans="1:14" s="6" customFormat="1" ht="20.100000000000001" customHeight="1">
      <c r="A41" s="748"/>
      <c r="B41" s="129"/>
      <c r="C41" s="750"/>
      <c r="D41" s="754"/>
      <c r="E41" s="754"/>
      <c r="F41" s="764"/>
      <c r="G41" s="1702" t="s">
        <v>621</v>
      </c>
      <c r="H41" s="1702"/>
      <c r="I41" s="1702"/>
      <c r="J41" s="1702"/>
      <c r="K41" s="129"/>
      <c r="L41" s="886"/>
      <c r="M41" s="764"/>
      <c r="N41" s="762"/>
    </row>
    <row r="42" spans="1:14" s="6" customFormat="1" ht="20.100000000000001" customHeight="1">
      <c r="A42" s="748"/>
      <c r="B42" s="129"/>
      <c r="C42" s="750"/>
      <c r="D42" s="754"/>
      <c r="E42" s="754"/>
      <c r="F42" s="129"/>
      <c r="G42" s="1702" t="s">
        <v>324</v>
      </c>
      <c r="H42" s="1702"/>
      <c r="I42" s="1702"/>
      <c r="J42" s="1702"/>
      <c r="K42" s="129"/>
      <c r="L42" s="743"/>
      <c r="M42" s="129"/>
      <c r="N42" s="762"/>
    </row>
    <row r="43" spans="1:14" s="6" customFormat="1" ht="20.100000000000001" customHeight="1">
      <c r="A43" s="748"/>
      <c r="B43" s="129"/>
      <c r="C43" s="750"/>
      <c r="D43" s="754"/>
      <c r="E43" s="754"/>
      <c r="F43" s="129"/>
      <c r="G43" s="1702" t="s">
        <v>1104</v>
      </c>
      <c r="H43" s="1702"/>
      <c r="I43" s="1702"/>
      <c r="J43" s="1702"/>
      <c r="K43" s="129"/>
      <c r="L43" s="743"/>
      <c r="M43" s="129"/>
      <c r="N43" s="762"/>
    </row>
    <row r="44" spans="1:14" s="6" customFormat="1" ht="20.100000000000001" customHeight="1">
      <c r="A44" s="748"/>
      <c r="B44" s="129"/>
      <c r="C44" s="750"/>
      <c r="D44" s="754"/>
      <c r="E44" s="754"/>
      <c r="F44" s="129"/>
      <c r="G44" s="1702" t="s">
        <v>1105</v>
      </c>
      <c r="H44" s="1702"/>
      <c r="I44" s="1702"/>
      <c r="J44" s="1702"/>
      <c r="K44" s="129"/>
      <c r="L44" s="743"/>
      <c r="M44" s="129"/>
      <c r="N44" s="762"/>
    </row>
    <row r="45" spans="1:14" s="6" customFormat="1" ht="20.100000000000001" customHeight="1">
      <c r="A45" s="748"/>
      <c r="B45" s="129"/>
      <c r="C45" s="750"/>
      <c r="D45" s="754"/>
      <c r="E45" s="754"/>
      <c r="F45" s="129"/>
      <c r="G45" s="1702" t="s">
        <v>1106</v>
      </c>
      <c r="H45" s="1702"/>
      <c r="I45" s="1702"/>
      <c r="J45" s="1702"/>
      <c r="K45" s="129"/>
      <c r="L45" s="743"/>
      <c r="M45" s="129"/>
      <c r="N45" s="762"/>
    </row>
    <row r="46" spans="1:14" s="6" customFormat="1" ht="20.100000000000001" customHeight="1">
      <c r="A46" s="748"/>
      <c r="B46" s="129"/>
      <c r="C46" s="750"/>
      <c r="D46" s="754"/>
      <c r="E46" s="754"/>
      <c r="F46" s="129"/>
      <c r="G46" s="1702" t="s">
        <v>245</v>
      </c>
      <c r="H46" s="1702"/>
      <c r="I46" s="1702"/>
      <c r="J46" s="1702"/>
      <c r="K46" s="129"/>
      <c r="L46" s="743"/>
      <c r="M46" s="129"/>
      <c r="N46" s="762"/>
    </row>
    <row r="47" spans="1:14" s="6" customFormat="1" ht="20.100000000000001" customHeight="1">
      <c r="A47" s="748"/>
      <c r="B47" s="129"/>
      <c r="C47" s="750"/>
      <c r="D47" s="540"/>
      <c r="E47" s="540"/>
      <c r="F47" s="129"/>
      <c r="G47" s="765"/>
      <c r="H47" s="765"/>
      <c r="I47" s="765"/>
      <c r="J47" s="765"/>
      <c r="K47" s="129"/>
      <c r="L47" s="129"/>
      <c r="M47" s="129"/>
      <c r="N47" s="558"/>
    </row>
    <row r="48" spans="1:14" s="6" customFormat="1" ht="20.100000000000001" customHeight="1">
      <c r="A48" s="748"/>
      <c r="B48" s="752">
        <v>5</v>
      </c>
      <c r="C48" s="750"/>
      <c r="D48" s="197"/>
      <c r="E48" s="197"/>
      <c r="F48" s="18"/>
      <c r="G48" s="538" t="s">
        <v>1107</v>
      </c>
      <c r="H48" s="748"/>
      <c r="I48" s="748"/>
      <c r="J48" s="753"/>
      <c r="K48" s="18"/>
      <c r="L48" s="18"/>
      <c r="M48" s="18"/>
      <c r="N48" s="558"/>
    </row>
    <row r="49" spans="1:15" s="6" customFormat="1" ht="20.100000000000001" customHeight="1">
      <c r="A49" s="748"/>
      <c r="B49" s="129"/>
      <c r="C49" s="750"/>
      <c r="D49" s="749"/>
      <c r="E49" s="749"/>
      <c r="F49" s="766"/>
      <c r="G49" s="1702" t="s">
        <v>325</v>
      </c>
      <c r="H49" s="1702"/>
      <c r="I49" s="1702"/>
      <c r="J49" s="1702"/>
      <c r="K49" s="766"/>
      <c r="L49" s="887"/>
      <c r="M49" s="766"/>
      <c r="N49" s="762"/>
    </row>
    <row r="50" spans="1:15" s="6" customFormat="1" ht="20.100000000000001" customHeight="1">
      <c r="A50" s="748"/>
      <c r="B50" s="129"/>
      <c r="C50" s="750"/>
      <c r="D50" s="749"/>
      <c r="E50" s="749"/>
      <c r="F50" s="766"/>
      <c r="G50" s="1702" t="s">
        <v>413</v>
      </c>
      <c r="H50" s="1702"/>
      <c r="I50" s="1702"/>
      <c r="J50" s="1702"/>
      <c r="K50" s="766"/>
      <c r="L50" s="887"/>
      <c r="M50" s="764"/>
      <c r="N50" s="762"/>
    </row>
    <row r="51" spans="1:15" s="6" customFormat="1" ht="20.100000000000001" customHeight="1">
      <c r="A51" s="748"/>
      <c r="B51" s="129"/>
      <c r="C51" s="750"/>
      <c r="D51" s="749"/>
      <c r="E51" s="749"/>
      <c r="F51" s="766"/>
      <c r="G51" s="1702" t="s">
        <v>286</v>
      </c>
      <c r="H51" s="1702"/>
      <c r="I51" s="1702"/>
      <c r="J51" s="1702"/>
      <c r="K51" s="766"/>
      <c r="L51" s="887"/>
      <c r="M51" s="766"/>
      <c r="N51" s="762"/>
    </row>
    <row r="52" spans="1:15" s="6" customFormat="1" ht="20.100000000000001" customHeight="1">
      <c r="A52" s="748"/>
      <c r="B52" s="129"/>
      <c r="C52" s="750"/>
      <c r="D52" s="754"/>
      <c r="E52" s="749"/>
      <c r="F52" s="129"/>
      <c r="G52" s="1702" t="s">
        <v>1108</v>
      </c>
      <c r="H52" s="1702"/>
      <c r="I52" s="1702"/>
      <c r="J52" s="1702"/>
      <c r="K52" s="766"/>
      <c r="L52" s="743"/>
      <c r="M52" s="129"/>
      <c r="N52" s="762"/>
    </row>
    <row r="53" spans="1:15" s="6" customFormat="1" ht="20.100000000000001" customHeight="1">
      <c r="A53" s="748"/>
      <c r="B53" s="129"/>
      <c r="C53" s="750"/>
      <c r="D53" s="754"/>
      <c r="E53" s="749"/>
      <c r="F53" s="129"/>
      <c r="G53" s="1702" t="s">
        <v>1109</v>
      </c>
      <c r="H53" s="1702"/>
      <c r="I53" s="1702"/>
      <c r="J53" s="1702"/>
      <c r="K53" s="129"/>
      <c r="L53" s="743"/>
      <c r="M53" s="129"/>
      <c r="N53" s="762"/>
    </row>
    <row r="54" spans="1:15" s="6" customFormat="1" ht="20.100000000000001" customHeight="1">
      <c r="A54" s="748"/>
      <c r="B54" s="129"/>
      <c r="C54" s="750"/>
      <c r="D54" s="754"/>
      <c r="E54" s="754"/>
      <c r="F54" s="129"/>
      <c r="G54" s="1702" t="s">
        <v>1110</v>
      </c>
      <c r="H54" s="1702"/>
      <c r="I54" s="1702"/>
      <c r="J54" s="1702"/>
      <c r="K54" s="129"/>
      <c r="L54" s="743"/>
      <c r="M54" s="129"/>
      <c r="N54" s="762"/>
    </row>
    <row r="55" spans="1:15" s="6" customFormat="1" ht="20.100000000000001" customHeight="1">
      <c r="A55" s="748"/>
      <c r="B55" s="129"/>
      <c r="C55" s="750"/>
      <c r="D55" s="754"/>
      <c r="E55" s="749"/>
      <c r="F55" s="129"/>
      <c r="G55" s="1702" t="s">
        <v>1111</v>
      </c>
      <c r="H55" s="1702"/>
      <c r="I55" s="1702"/>
      <c r="J55" s="1702"/>
      <c r="K55" s="129"/>
      <c r="L55" s="634"/>
      <c r="M55" s="129"/>
      <c r="N55" s="762"/>
      <c r="O55" s="769"/>
    </row>
    <row r="56" spans="1:15" s="6" customFormat="1" ht="20.100000000000001" customHeight="1">
      <c r="A56" s="748"/>
      <c r="B56" s="129"/>
      <c r="C56" s="750"/>
      <c r="D56" s="771"/>
      <c r="E56" s="771"/>
      <c r="F56" s="129"/>
      <c r="G56" s="767"/>
      <c r="H56" s="760"/>
      <c r="I56" s="760"/>
      <c r="J56" s="770"/>
      <c r="K56" s="129"/>
      <c r="L56" s="768"/>
      <c r="M56" s="129"/>
      <c r="N56" s="772"/>
      <c r="O56" s="769"/>
    </row>
    <row r="57" spans="1:15" s="6" customFormat="1" ht="20.100000000000001" customHeight="1">
      <c r="A57" s="748"/>
      <c r="B57" s="752">
        <v>6</v>
      </c>
      <c r="C57" s="750"/>
      <c r="D57" s="197"/>
      <c r="E57" s="197"/>
      <c r="F57" s="18"/>
      <c r="G57" s="538" t="s">
        <v>326</v>
      </c>
      <c r="H57" s="748"/>
      <c r="I57" s="748"/>
      <c r="J57" s="753"/>
      <c r="K57" s="18"/>
      <c r="L57" s="18"/>
      <c r="M57" s="18"/>
      <c r="N57" s="558"/>
    </row>
    <row r="58" spans="1:15" s="6" customFormat="1" ht="20.100000000000001" customHeight="1">
      <c r="A58" s="748"/>
      <c r="B58" s="129"/>
      <c r="C58" s="750"/>
      <c r="D58" s="754"/>
      <c r="E58" s="754"/>
      <c r="F58" s="129"/>
      <c r="G58" s="1703" t="s">
        <v>1377</v>
      </c>
      <c r="H58" s="1702"/>
      <c r="I58" s="1702"/>
      <c r="J58" s="1702"/>
      <c r="K58" s="129"/>
      <c r="L58" s="743"/>
      <c r="M58" s="129"/>
      <c r="N58" s="762"/>
    </row>
    <row r="59" spans="1:15" s="6" customFormat="1" ht="20.100000000000001" customHeight="1">
      <c r="A59" s="748"/>
      <c r="B59" s="129"/>
      <c r="C59" s="750"/>
      <c r="D59" s="754"/>
      <c r="E59" s="754"/>
      <c r="F59" s="129"/>
      <c r="G59" s="1702" t="s">
        <v>1112</v>
      </c>
      <c r="H59" s="1702"/>
      <c r="I59" s="1702"/>
      <c r="J59" s="1702"/>
      <c r="K59" s="129"/>
      <c r="L59" s="743"/>
      <c r="M59" s="129"/>
      <c r="N59" s="762"/>
    </row>
    <row r="60" spans="1:15" s="6" customFormat="1" ht="20.100000000000001" customHeight="1">
      <c r="A60" s="748"/>
      <c r="B60" s="129"/>
      <c r="C60" s="750"/>
      <c r="D60" s="749"/>
      <c r="E60" s="749"/>
      <c r="F60" s="129"/>
      <c r="G60" s="1702" t="s">
        <v>915</v>
      </c>
      <c r="H60" s="1702"/>
      <c r="I60" s="1702"/>
      <c r="J60" s="1702"/>
      <c r="K60" s="129"/>
      <c r="L60" s="634"/>
      <c r="M60" s="129"/>
      <c r="N60" s="762"/>
    </row>
    <row r="61" spans="1:15" s="6" customFormat="1" ht="20.100000000000001" customHeight="1">
      <c r="A61" s="748"/>
      <c r="B61" s="129"/>
      <c r="C61" s="750"/>
      <c r="D61" s="749"/>
      <c r="E61" s="749"/>
      <c r="F61" s="129"/>
      <c r="G61" s="1702" t="s">
        <v>1113</v>
      </c>
      <c r="H61" s="1702"/>
      <c r="I61" s="1702"/>
      <c r="J61" s="1702"/>
      <c r="K61" s="129"/>
      <c r="L61" s="634"/>
      <c r="M61" s="129"/>
      <c r="N61" s="762"/>
    </row>
    <row r="62" spans="1:15" s="6" customFormat="1" ht="20.100000000000001" customHeight="1">
      <c r="A62" s="748"/>
      <c r="B62" s="129"/>
      <c r="C62" s="750"/>
      <c r="D62" s="749"/>
      <c r="E62" s="749"/>
      <c r="F62" s="129"/>
      <c r="G62" s="1702" t="s">
        <v>1114</v>
      </c>
      <c r="H62" s="1702"/>
      <c r="I62" s="1702"/>
      <c r="J62" s="1702"/>
      <c r="K62" s="129"/>
      <c r="L62" s="634"/>
      <c r="M62" s="129"/>
      <c r="N62" s="762"/>
    </row>
    <row r="63" spans="1:15" s="6" customFormat="1" ht="20.100000000000001" customHeight="1">
      <c r="A63" s="748"/>
      <c r="B63" s="129"/>
      <c r="C63" s="750"/>
      <c r="D63" s="540"/>
      <c r="E63" s="540"/>
      <c r="F63" s="129"/>
      <c r="G63" s="748"/>
      <c r="H63" s="773"/>
      <c r="I63" s="773"/>
      <c r="J63" s="281"/>
      <c r="K63" s="129"/>
      <c r="L63" s="129"/>
      <c r="M63" s="129"/>
      <c r="N63" s="558"/>
    </row>
    <row r="64" spans="1:15" s="6" customFormat="1" ht="20.100000000000001" customHeight="1">
      <c r="A64" s="748"/>
      <c r="B64" s="752">
        <v>7</v>
      </c>
      <c r="C64" s="750"/>
      <c r="D64" s="197"/>
      <c r="E64" s="197"/>
      <c r="F64" s="18"/>
      <c r="G64" s="538" t="s">
        <v>861</v>
      </c>
      <c r="H64" s="748"/>
      <c r="I64" s="748"/>
      <c r="J64" s="281"/>
      <c r="K64" s="18"/>
      <c r="L64" s="18"/>
      <c r="M64" s="18"/>
      <c r="N64" s="558"/>
    </row>
    <row r="65" spans="1:14" s="6" customFormat="1" ht="20.100000000000001" customHeight="1">
      <c r="A65" s="748"/>
      <c r="B65" s="129"/>
      <c r="C65" s="750"/>
      <c r="D65" s="754"/>
      <c r="E65" s="754"/>
      <c r="F65" s="129"/>
      <c r="G65" s="1702" t="s">
        <v>328</v>
      </c>
      <c r="H65" s="1702"/>
      <c r="I65" s="1702"/>
      <c r="J65" s="1702"/>
      <c r="K65" s="129"/>
      <c r="L65" s="743"/>
      <c r="M65" s="129"/>
      <c r="N65" s="762"/>
    </row>
    <row r="66" spans="1:14" s="6" customFormat="1" ht="20.100000000000001" customHeight="1">
      <c r="A66" s="748"/>
      <c r="B66" s="129"/>
      <c r="C66" s="750"/>
      <c r="D66" s="754"/>
      <c r="E66" s="754"/>
      <c r="F66" s="129"/>
      <c r="G66" s="1702" t="s">
        <v>619</v>
      </c>
      <c r="H66" s="1702"/>
      <c r="I66" s="1702"/>
      <c r="J66" s="1702"/>
      <c r="K66" s="129"/>
      <c r="L66" s="743"/>
      <c r="M66" s="129"/>
      <c r="N66" s="762"/>
    </row>
    <row r="67" spans="1:14" s="6" customFormat="1" ht="20.100000000000001" customHeight="1">
      <c r="A67" s="748"/>
      <c r="B67" s="129"/>
      <c r="C67" s="750"/>
      <c r="D67" s="749"/>
      <c r="E67" s="749"/>
      <c r="F67" s="129"/>
      <c r="G67" s="1702" t="s">
        <v>620</v>
      </c>
      <c r="H67" s="1702"/>
      <c r="I67" s="1702"/>
      <c r="J67" s="1702"/>
      <c r="K67" s="129"/>
      <c r="L67" s="634"/>
      <c r="M67" s="129"/>
      <c r="N67" s="762"/>
    </row>
    <row r="68" spans="1:14">
      <c r="B68" s="36"/>
      <c r="D68" s="36"/>
      <c r="E68" s="36"/>
      <c r="F68" s="36"/>
      <c r="J68" s="774"/>
      <c r="K68" s="36"/>
      <c r="L68" s="36"/>
      <c r="M68" s="36"/>
      <c r="N68" s="274"/>
    </row>
    <row r="69" spans="1:14">
      <c r="G69" s="775"/>
      <c r="H69" s="775"/>
      <c r="I69" s="775"/>
      <c r="J69" s="775"/>
    </row>
    <row r="70" spans="1:14" ht="12" customHeight="1">
      <c r="B70" s="1334"/>
      <c r="C70" s="1334"/>
      <c r="D70" s="1334"/>
      <c r="E70" s="1334"/>
      <c r="F70" s="1334"/>
      <c r="G70" s="1334"/>
      <c r="H70" s="1334"/>
      <c r="I70" s="1334"/>
      <c r="J70" s="1334"/>
      <c r="K70" s="1334"/>
      <c r="L70" s="1334"/>
      <c r="M70" s="1333"/>
      <c r="N70" s="1333"/>
    </row>
    <row r="71" spans="1:14" ht="12" customHeight="1">
      <c r="B71" s="1334"/>
      <c r="C71" s="1334"/>
      <c r="D71" s="1334"/>
      <c r="E71" s="1334"/>
      <c r="F71" s="1334"/>
      <c r="G71" s="1334"/>
      <c r="H71" s="1334"/>
      <c r="I71" s="1334"/>
      <c r="J71" s="1334"/>
      <c r="K71" s="1334"/>
      <c r="L71" s="1334"/>
      <c r="M71" s="1333"/>
      <c r="N71" s="1333"/>
    </row>
    <row r="72" spans="1:14" ht="26.25" customHeight="1">
      <c r="B72" s="686"/>
      <c r="C72" s="1715"/>
      <c r="D72" s="1715"/>
      <c r="E72" s="1715"/>
      <c r="F72" s="1715"/>
      <c r="G72" s="1540"/>
      <c r="H72" s="1714"/>
      <c r="I72" s="1714"/>
      <c r="J72" s="981"/>
      <c r="K72"/>
      <c r="L72" s="981"/>
    </row>
    <row r="73" spans="1:14" ht="27" customHeight="1">
      <c r="C73" s="1713"/>
      <c r="D73" s="1713"/>
      <c r="E73" s="1713"/>
      <c r="F73" s="1713"/>
      <c r="G73" s="1401"/>
      <c r="H73" s="1401"/>
      <c r="I73" s="1401"/>
      <c r="J73" s="970"/>
      <c r="K73"/>
      <c r="L73" s="970"/>
    </row>
    <row r="74" spans="1:14" ht="27" customHeight="1">
      <c r="C74" s="1713"/>
      <c r="D74" s="1713"/>
      <c r="E74" s="1713"/>
      <c r="F74" s="1713"/>
      <c r="G74" s="1401"/>
      <c r="H74" s="1401"/>
      <c r="I74" s="1401"/>
      <c r="J74" s="970"/>
      <c r="K74"/>
      <c r="L74" s="970"/>
    </row>
    <row r="75" spans="1:14" ht="27" customHeight="1">
      <c r="C75" s="1713"/>
      <c r="D75" s="1713"/>
      <c r="E75" s="1713"/>
      <c r="F75" s="1713"/>
      <c r="G75" s="1100"/>
      <c r="H75" s="1100"/>
      <c r="I75" s="1100"/>
      <c r="J75" s="966"/>
      <c r="K75"/>
      <c r="L75" s="966"/>
    </row>
    <row r="76" spans="1:14" ht="16.5" customHeight="1">
      <c r="C76" s="969"/>
      <c r="D76" s="969"/>
      <c r="E76" s="969"/>
      <c r="F76" s="969"/>
      <c r="G76" s="1100"/>
      <c r="H76" s="1100"/>
      <c r="I76" s="1100"/>
      <c r="J76" s="966"/>
      <c r="K76"/>
      <c r="L76" s="966"/>
    </row>
    <row r="77" spans="1:14">
      <c r="G77" s="775"/>
      <c r="H77" s="775"/>
      <c r="I77" s="775"/>
      <c r="J77" s="775"/>
    </row>
  </sheetData>
  <mergeCells count="49">
    <mergeCell ref="C74:F74"/>
    <mergeCell ref="C75:F75"/>
    <mergeCell ref="H72:I72"/>
    <mergeCell ref="C73:F73"/>
    <mergeCell ref="C72:F72"/>
    <mergeCell ref="G65:J65"/>
    <mergeCell ref="G66:J66"/>
    <mergeCell ref="G67:J67"/>
    <mergeCell ref="G58:J58"/>
    <mergeCell ref="G59:J59"/>
    <mergeCell ref="G60:J60"/>
    <mergeCell ref="G61:J61"/>
    <mergeCell ref="G62:J62"/>
    <mergeCell ref="G51:J51"/>
    <mergeCell ref="G52:J52"/>
    <mergeCell ref="G53:J53"/>
    <mergeCell ref="G54:J54"/>
    <mergeCell ref="G55:J55"/>
    <mergeCell ref="G44:J44"/>
    <mergeCell ref="G45:J45"/>
    <mergeCell ref="G41:J41"/>
    <mergeCell ref="G49:J49"/>
    <mergeCell ref="G50:J50"/>
    <mergeCell ref="G46:J46"/>
    <mergeCell ref="G35:J35"/>
    <mergeCell ref="G36:J36"/>
    <mergeCell ref="G38:J38"/>
    <mergeCell ref="G42:J42"/>
    <mergeCell ref="G43:J43"/>
    <mergeCell ref="G37:J37"/>
    <mergeCell ref="D9:N9"/>
    <mergeCell ref="A1:M3"/>
    <mergeCell ref="N1:N3"/>
    <mergeCell ref="G31:J31"/>
    <mergeCell ref="G32:J32"/>
    <mergeCell ref="G14:J14"/>
    <mergeCell ref="G26:J26"/>
    <mergeCell ref="G27:J27"/>
    <mergeCell ref="G30:J30"/>
    <mergeCell ref="O15:Q15"/>
    <mergeCell ref="G20:J20"/>
    <mergeCell ref="G23:J23"/>
    <mergeCell ref="G24:J24"/>
    <mergeCell ref="G25:J25"/>
    <mergeCell ref="G15:J15"/>
    <mergeCell ref="G16:J16"/>
    <mergeCell ref="G19:J19"/>
    <mergeCell ref="G21:J21"/>
    <mergeCell ref="G22:J22"/>
  </mergeCells>
  <phoneticPr fontId="12" type="noConversion"/>
  <printOptions horizontalCentered="1" verticalCentered="1"/>
  <pageMargins left="0" right="0" top="0.78740157480314965" bottom="0.39370078740157483" header="0" footer="0"/>
  <pageSetup paperSize="9" scale="53" orientation="portrait" blackAndWhite="1" r:id="rId1"/>
  <headerFooter alignWithMargins="0">
    <oddFooter>&amp;LEdité le &amp;D&amp;C&amp;P/&amp;N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2">
    <tabColor indexed="42"/>
  </sheetPr>
  <dimension ref="A1:I122"/>
  <sheetViews>
    <sheetView showGridLines="0" view="pageBreakPreview" topLeftCell="A71" zoomScaleNormal="100" zoomScaleSheetLayoutView="100" workbookViewId="0">
      <selection activeCell="A72" sqref="A72"/>
    </sheetView>
  </sheetViews>
  <sheetFormatPr baseColWidth="10" defaultRowHeight="12.75"/>
  <cols>
    <col min="1" max="1" width="12.140625" customWidth="1"/>
    <col min="2" max="3" width="12.7109375" customWidth="1"/>
    <col min="4" max="4" width="9.7109375" customWidth="1"/>
    <col min="5" max="7" width="12.140625" customWidth="1"/>
  </cols>
  <sheetData>
    <row r="1" spans="1:9" ht="38.25" customHeight="1">
      <c r="A1" s="1720" t="s">
        <v>106</v>
      </c>
      <c r="B1" s="1745"/>
      <c r="C1" s="1745"/>
      <c r="D1" s="1745"/>
      <c r="E1" s="1745"/>
      <c r="F1" s="1745"/>
      <c r="G1" s="1745"/>
      <c r="H1" s="1745"/>
      <c r="I1" s="1745"/>
    </row>
    <row r="2" spans="1:9">
      <c r="A2" s="1746" t="s">
        <v>421</v>
      </c>
      <c r="B2" s="1746"/>
      <c r="C2" s="1746"/>
      <c r="D2" s="1746"/>
      <c r="E2" s="1746"/>
      <c r="F2" s="1746"/>
      <c r="G2" s="1746"/>
      <c r="H2" s="1746"/>
      <c r="I2" s="1746"/>
    </row>
    <row r="3" spans="1:9" ht="13.5">
      <c r="A3" s="1721" t="s">
        <v>422</v>
      </c>
      <c r="B3" s="1721"/>
      <c r="C3" s="1721"/>
      <c r="D3" s="1721"/>
      <c r="E3" s="1721"/>
      <c r="F3" s="1721"/>
      <c r="G3" s="1721"/>
      <c r="H3" s="1721"/>
      <c r="I3" s="1721"/>
    </row>
    <row r="4" spans="1:9">
      <c r="A4" s="42"/>
      <c r="B4" s="42"/>
      <c r="C4" s="42"/>
      <c r="D4" s="42"/>
      <c r="E4" s="42"/>
      <c r="F4" s="42"/>
      <c r="G4" s="42"/>
      <c r="H4" s="42"/>
    </row>
    <row r="5" spans="1:9">
      <c r="A5" s="43" t="s">
        <v>107</v>
      </c>
      <c r="B5" s="42"/>
      <c r="C5" s="42"/>
      <c r="D5" s="42"/>
      <c r="E5" s="42"/>
      <c r="F5" s="42"/>
      <c r="G5" s="42"/>
      <c r="H5" s="42"/>
    </row>
    <row r="6" spans="1:9">
      <c r="A6" s="42"/>
      <c r="B6" s="42"/>
      <c r="C6" s="42"/>
      <c r="D6" s="42"/>
      <c r="E6" s="42"/>
      <c r="F6" s="42"/>
      <c r="G6" s="42"/>
      <c r="H6" s="42"/>
    </row>
    <row r="7" spans="1:9" ht="15.95" customHeight="1">
      <c r="A7" s="42"/>
      <c r="B7" s="1742" t="s">
        <v>108</v>
      </c>
      <c r="C7" s="1744"/>
      <c r="D7" s="44" t="s">
        <v>109</v>
      </c>
      <c r="E7" s="1742" t="s">
        <v>110</v>
      </c>
      <c r="F7" s="1743"/>
      <c r="G7" s="1744"/>
      <c r="H7" s="42"/>
    </row>
    <row r="8" spans="1:9" ht="15.95" customHeight="1">
      <c r="A8" s="42"/>
      <c r="B8" s="1735" t="s">
        <v>111</v>
      </c>
      <c r="C8" s="1736"/>
      <c r="D8" s="45" t="s">
        <v>112</v>
      </c>
      <c r="E8" s="1735" t="s">
        <v>423</v>
      </c>
      <c r="F8" s="1737"/>
      <c r="G8" s="1736"/>
      <c r="H8" s="42"/>
    </row>
    <row r="9" spans="1:9" ht="15.95" customHeight="1">
      <c r="A9" s="42"/>
      <c r="B9" s="1735" t="s">
        <v>424</v>
      </c>
      <c r="C9" s="1736"/>
      <c r="D9" s="45" t="s">
        <v>113</v>
      </c>
      <c r="E9" s="1735" t="s">
        <v>425</v>
      </c>
      <c r="F9" s="1737"/>
      <c r="G9" s="1736"/>
      <c r="H9" s="42"/>
    </row>
    <row r="10" spans="1:9" ht="15.95" customHeight="1">
      <c r="A10" s="42"/>
      <c r="B10" s="1735"/>
      <c r="C10" s="1736"/>
      <c r="D10" s="45"/>
      <c r="E10" s="1742" t="s">
        <v>114</v>
      </c>
      <c r="F10" s="1743"/>
      <c r="G10" s="1744"/>
      <c r="H10" s="42"/>
    </row>
    <row r="11" spans="1:9" ht="15.95" customHeight="1">
      <c r="A11" s="42"/>
      <c r="B11" s="1735" t="s">
        <v>426</v>
      </c>
      <c r="C11" s="1736"/>
      <c r="D11" s="45" t="s">
        <v>115</v>
      </c>
      <c r="E11" s="1735" t="s">
        <v>427</v>
      </c>
      <c r="F11" s="1737"/>
      <c r="G11" s="1736"/>
      <c r="H11" s="42"/>
    </row>
    <row r="12" spans="1:9" ht="15.95" customHeight="1">
      <c r="A12" s="42"/>
      <c r="B12" s="1735" t="s">
        <v>428</v>
      </c>
      <c r="C12" s="1736"/>
      <c r="D12" s="46" t="s">
        <v>116</v>
      </c>
      <c r="E12" s="1735" t="s">
        <v>429</v>
      </c>
      <c r="F12" s="1737"/>
      <c r="G12" s="1736"/>
      <c r="H12" s="42"/>
    </row>
    <row r="13" spans="1:9" ht="15.95" customHeight="1">
      <c r="A13" s="42"/>
      <c r="B13" s="1735"/>
      <c r="C13" s="1736"/>
      <c r="D13" s="45"/>
      <c r="E13" s="1742" t="s">
        <v>117</v>
      </c>
      <c r="F13" s="1743"/>
      <c r="G13" s="1744"/>
      <c r="H13" s="42"/>
    </row>
    <row r="14" spans="1:9" ht="15.95" customHeight="1">
      <c r="A14" s="42"/>
      <c r="B14" s="1735" t="s">
        <v>430</v>
      </c>
      <c r="C14" s="1736"/>
      <c r="D14" s="47" t="s">
        <v>116</v>
      </c>
      <c r="E14" s="1735" t="s">
        <v>118</v>
      </c>
      <c r="F14" s="1737"/>
      <c r="G14" s="1736"/>
      <c r="H14" s="42"/>
    </row>
    <row r="15" spans="1:9">
      <c r="A15" s="42"/>
      <c r="B15" s="42"/>
      <c r="C15" s="42"/>
      <c r="D15" s="42"/>
      <c r="E15" s="42"/>
      <c r="F15" s="42"/>
      <c r="G15" s="42"/>
      <c r="H15" s="42"/>
    </row>
    <row r="16" spans="1:9">
      <c r="A16" s="43" t="s">
        <v>119</v>
      </c>
      <c r="B16" s="42"/>
      <c r="C16" s="42"/>
      <c r="D16" s="42"/>
      <c r="E16" s="42"/>
      <c r="F16" s="42"/>
      <c r="G16" s="42"/>
      <c r="H16" s="42"/>
    </row>
    <row r="17" spans="1:8">
      <c r="A17" s="42"/>
      <c r="B17" s="42"/>
      <c r="C17" s="42"/>
      <c r="D17" s="42"/>
      <c r="E17" s="42"/>
      <c r="F17" s="42"/>
      <c r="G17" s="42"/>
      <c r="H17" s="42"/>
    </row>
    <row r="18" spans="1:8">
      <c r="A18" s="42"/>
      <c r="B18" s="42"/>
      <c r="C18" s="42"/>
      <c r="D18" s="42"/>
      <c r="E18" s="42"/>
      <c r="F18" s="42"/>
      <c r="G18" s="42"/>
      <c r="H18" s="42"/>
    </row>
    <row r="19" spans="1:8">
      <c r="A19" s="42"/>
      <c r="B19" s="42"/>
      <c r="C19" s="42"/>
      <c r="D19" s="42"/>
      <c r="E19" s="42"/>
      <c r="F19" s="42"/>
      <c r="G19" s="42"/>
      <c r="H19" s="42"/>
    </row>
    <row r="20" spans="1:8">
      <c r="A20" s="42"/>
      <c r="B20" s="42"/>
      <c r="C20" s="42"/>
      <c r="D20" s="42"/>
      <c r="E20" s="42"/>
      <c r="F20" s="42"/>
      <c r="G20" s="42"/>
      <c r="H20" s="42"/>
    </row>
    <row r="21" spans="1:8">
      <c r="A21" s="42"/>
      <c r="B21" s="42"/>
      <c r="C21" s="42"/>
      <c r="D21" s="42"/>
      <c r="E21" s="42"/>
      <c r="F21" s="42"/>
      <c r="G21" s="42"/>
      <c r="H21" s="42"/>
    </row>
    <row r="22" spans="1:8">
      <c r="A22" s="42"/>
      <c r="B22" s="42"/>
      <c r="C22" s="42"/>
      <c r="D22" s="42"/>
      <c r="E22" s="42"/>
      <c r="F22" s="42"/>
      <c r="G22" s="42"/>
      <c r="H22" s="42"/>
    </row>
    <row r="23" spans="1:8">
      <c r="A23" s="42"/>
      <c r="B23" s="42"/>
      <c r="C23" s="42"/>
      <c r="D23" s="42"/>
      <c r="E23" s="42"/>
      <c r="F23" s="42"/>
      <c r="G23" s="42"/>
      <c r="H23" s="42"/>
    </row>
    <row r="24" spans="1:8">
      <c r="A24" s="42"/>
      <c r="B24" s="42"/>
      <c r="C24" s="42"/>
      <c r="D24" s="42"/>
      <c r="E24" s="42"/>
      <c r="F24" s="42"/>
      <c r="G24" s="42"/>
      <c r="H24" s="42"/>
    </row>
    <row r="25" spans="1:8">
      <c r="A25" s="42"/>
      <c r="B25" s="42"/>
      <c r="C25" s="42"/>
      <c r="D25" s="42"/>
      <c r="E25" s="42"/>
      <c r="F25" s="42"/>
      <c r="G25" s="42"/>
      <c r="H25" s="42"/>
    </row>
    <row r="26" spans="1:8">
      <c r="A26" s="42"/>
      <c r="B26" s="42"/>
      <c r="C26" s="42"/>
      <c r="D26" s="42"/>
      <c r="E26" s="42"/>
      <c r="F26" s="42"/>
      <c r="G26" s="42"/>
      <c r="H26" s="42"/>
    </row>
    <row r="27" spans="1:8">
      <c r="A27" s="42"/>
      <c r="B27" s="42"/>
      <c r="C27" s="42"/>
      <c r="D27" s="42"/>
      <c r="E27" s="42"/>
      <c r="F27" s="42"/>
      <c r="G27" s="42"/>
      <c r="H27" s="42"/>
    </row>
    <row r="28" spans="1:8">
      <c r="A28" s="42"/>
      <c r="B28" s="42"/>
      <c r="C28" s="42"/>
      <c r="D28" s="42"/>
      <c r="E28" s="42"/>
      <c r="F28" s="42"/>
      <c r="G28" s="42"/>
      <c r="H28" s="42"/>
    </row>
    <row r="29" spans="1:8">
      <c r="A29" s="42"/>
      <c r="B29" s="42"/>
      <c r="C29" s="42"/>
      <c r="D29" s="42"/>
      <c r="E29" s="42"/>
      <c r="F29" s="42"/>
      <c r="G29" s="42"/>
      <c r="H29" s="42"/>
    </row>
    <row r="30" spans="1:8">
      <c r="A30" s="42"/>
      <c r="B30" s="42"/>
      <c r="C30" s="42"/>
      <c r="D30" s="42"/>
      <c r="E30" s="42"/>
      <c r="F30" s="42"/>
      <c r="G30" s="42"/>
      <c r="H30" s="42"/>
    </row>
    <row r="31" spans="1:8">
      <c r="A31" s="42"/>
      <c r="B31" s="42"/>
      <c r="C31" s="42"/>
      <c r="D31" s="42"/>
      <c r="E31" s="42"/>
      <c r="F31" s="42"/>
      <c r="G31" s="42"/>
      <c r="H31" s="42"/>
    </row>
    <row r="32" spans="1:8">
      <c r="A32" s="42"/>
      <c r="B32" s="42"/>
      <c r="C32" s="42"/>
      <c r="D32" s="42"/>
      <c r="E32" s="42"/>
      <c r="F32" s="42"/>
      <c r="G32" s="42"/>
      <c r="H32" s="42"/>
    </row>
    <row r="33" spans="1:8">
      <c r="A33" s="43" t="s">
        <v>120</v>
      </c>
      <c r="B33" s="42"/>
      <c r="C33" s="42"/>
      <c r="D33" s="42"/>
      <c r="E33" s="42"/>
      <c r="F33" s="42"/>
      <c r="G33" s="42"/>
      <c r="H33" s="42"/>
    </row>
    <row r="34" spans="1:8">
      <c r="A34" s="42"/>
      <c r="B34" s="42"/>
      <c r="C34" s="42"/>
      <c r="D34" s="42"/>
      <c r="E34" s="42"/>
      <c r="F34" s="42"/>
      <c r="G34" s="42"/>
      <c r="H34" s="42"/>
    </row>
    <row r="35" spans="1:8">
      <c r="A35" s="42"/>
      <c r="B35" s="42"/>
      <c r="C35" s="42"/>
      <c r="D35" s="42"/>
      <c r="E35" s="42"/>
      <c r="F35" s="42"/>
      <c r="G35" s="42"/>
      <c r="H35" s="42"/>
    </row>
    <row r="36" spans="1:8">
      <c r="A36" s="48"/>
      <c r="B36" s="49"/>
      <c r="C36" s="49"/>
      <c r="D36" s="1738" t="s">
        <v>121</v>
      </c>
      <c r="E36" s="1739"/>
      <c r="F36" s="50" t="s">
        <v>122</v>
      </c>
      <c r="G36" s="51" t="s">
        <v>123</v>
      </c>
      <c r="H36" s="51" t="s">
        <v>124</v>
      </c>
    </row>
    <row r="37" spans="1:8">
      <c r="A37" s="52" t="s">
        <v>125</v>
      </c>
      <c r="B37" s="42"/>
      <c r="C37" s="1740" t="s">
        <v>431</v>
      </c>
      <c r="D37" s="1740"/>
      <c r="E37" s="1741"/>
      <c r="F37" s="53" t="s">
        <v>126</v>
      </c>
      <c r="G37" s="54" t="s">
        <v>127</v>
      </c>
      <c r="H37" s="54" t="s">
        <v>116</v>
      </c>
    </row>
    <row r="38" spans="1:8">
      <c r="A38" s="55"/>
      <c r="B38" s="56"/>
      <c r="C38" s="56"/>
      <c r="D38" s="56"/>
      <c r="E38" s="57"/>
      <c r="F38" s="58" t="s">
        <v>128</v>
      </c>
      <c r="G38" s="59" t="s">
        <v>116</v>
      </c>
      <c r="H38" s="59"/>
    </row>
    <row r="39" spans="1:8">
      <c r="A39" s="60" t="s">
        <v>432</v>
      </c>
      <c r="B39" s="61"/>
      <c r="C39" s="62" t="s">
        <v>129</v>
      </c>
      <c r="D39" s="1731" t="s">
        <v>433</v>
      </c>
      <c r="E39" s="1732"/>
      <c r="F39" s="63">
        <v>45</v>
      </c>
      <c r="G39" s="64">
        <v>25</v>
      </c>
      <c r="H39" s="64">
        <v>20</v>
      </c>
    </row>
    <row r="40" spans="1:8" ht="13.5">
      <c r="A40" s="65" t="s">
        <v>434</v>
      </c>
      <c r="B40" s="66"/>
      <c r="C40" s="67"/>
      <c r="D40" s="1733" t="s">
        <v>130</v>
      </c>
      <c r="E40" s="1734"/>
      <c r="F40" s="68">
        <v>5</v>
      </c>
      <c r="G40" s="67">
        <v>6</v>
      </c>
      <c r="H40" s="67">
        <v>9</v>
      </c>
    </row>
    <row r="41" spans="1:8">
      <c r="A41" s="69" t="s">
        <v>432</v>
      </c>
      <c r="B41" s="42"/>
      <c r="C41" s="70"/>
      <c r="D41" s="1723" t="s">
        <v>433</v>
      </c>
      <c r="E41" s="1724"/>
      <c r="F41" s="71">
        <v>55</v>
      </c>
      <c r="G41" s="70">
        <v>30</v>
      </c>
      <c r="H41" s="70">
        <v>25</v>
      </c>
    </row>
    <row r="42" spans="1:8" ht="13.5">
      <c r="A42" s="52" t="s">
        <v>146</v>
      </c>
      <c r="B42" s="42"/>
      <c r="C42" s="70" t="s">
        <v>131</v>
      </c>
      <c r="D42" s="1725" t="s">
        <v>130</v>
      </c>
      <c r="E42" s="1726"/>
      <c r="F42" s="71">
        <v>5</v>
      </c>
      <c r="G42" s="70">
        <v>6</v>
      </c>
      <c r="H42" s="70">
        <v>8</v>
      </c>
    </row>
    <row r="43" spans="1:8">
      <c r="A43" s="55" t="s">
        <v>132</v>
      </c>
      <c r="B43" s="56"/>
      <c r="C43" s="72"/>
      <c r="D43" s="1727"/>
      <c r="E43" s="1728"/>
      <c r="F43" s="73"/>
      <c r="G43" s="72"/>
      <c r="H43" s="72"/>
    </row>
    <row r="44" spans="1:8">
      <c r="A44" s="74" t="s">
        <v>133</v>
      </c>
      <c r="B44" s="61"/>
      <c r="C44" s="64" t="s">
        <v>134</v>
      </c>
      <c r="D44" s="1729" t="s">
        <v>433</v>
      </c>
      <c r="E44" s="1730"/>
      <c r="F44" s="63">
        <v>20</v>
      </c>
      <c r="G44" s="64"/>
      <c r="H44" s="64">
        <v>15</v>
      </c>
    </row>
    <row r="45" spans="1:8" ht="13.5">
      <c r="A45" s="74" t="s">
        <v>147</v>
      </c>
      <c r="B45" s="61"/>
      <c r="C45" s="64"/>
      <c r="D45" s="1716" t="s">
        <v>130</v>
      </c>
      <c r="E45" s="1717"/>
      <c r="F45" s="63">
        <v>5</v>
      </c>
      <c r="G45" s="64"/>
      <c r="H45" s="64">
        <v>16</v>
      </c>
    </row>
    <row r="46" spans="1:8">
      <c r="A46" s="65" t="s">
        <v>135</v>
      </c>
      <c r="B46" s="66"/>
      <c r="C46" s="67"/>
      <c r="D46" s="1718"/>
      <c r="E46" s="1719"/>
      <c r="F46" s="68"/>
      <c r="G46" s="67"/>
      <c r="H46" s="67"/>
    </row>
    <row r="47" spans="1:8">
      <c r="A47" s="52" t="s">
        <v>870</v>
      </c>
      <c r="B47" s="42"/>
      <c r="C47" s="70" t="s">
        <v>871</v>
      </c>
      <c r="D47" s="1723" t="s">
        <v>433</v>
      </c>
      <c r="E47" s="1724"/>
      <c r="F47" s="71">
        <v>40</v>
      </c>
      <c r="G47" s="70">
        <v>20</v>
      </c>
      <c r="H47" s="70">
        <v>20</v>
      </c>
    </row>
    <row r="48" spans="1:8">
      <c r="A48" s="52" t="s">
        <v>872</v>
      </c>
      <c r="B48" s="42"/>
      <c r="C48" s="70"/>
      <c r="D48" s="1725" t="s">
        <v>130</v>
      </c>
      <c r="E48" s="1726"/>
      <c r="F48" s="71">
        <v>6</v>
      </c>
      <c r="G48" s="70">
        <v>8</v>
      </c>
      <c r="H48" s="70">
        <v>12</v>
      </c>
    </row>
    <row r="49" spans="1:9" ht="13.5">
      <c r="A49" s="55" t="s">
        <v>148</v>
      </c>
      <c r="B49" s="56"/>
      <c r="C49" s="72"/>
      <c r="D49" s="1727"/>
      <c r="E49" s="1728"/>
      <c r="F49" s="73"/>
      <c r="G49" s="72"/>
      <c r="H49" s="72"/>
    </row>
    <row r="50" spans="1:9">
      <c r="A50" s="74" t="s">
        <v>870</v>
      </c>
      <c r="B50" s="61"/>
      <c r="C50" s="64" t="s">
        <v>873</v>
      </c>
      <c r="D50" s="1729" t="s">
        <v>433</v>
      </c>
      <c r="E50" s="1730"/>
      <c r="F50" s="63">
        <v>55</v>
      </c>
      <c r="G50" s="64">
        <v>30</v>
      </c>
      <c r="H50" s="64">
        <v>25</v>
      </c>
    </row>
    <row r="51" spans="1:9">
      <c r="A51" s="74" t="s">
        <v>874</v>
      </c>
      <c r="B51" s="61"/>
      <c r="C51" s="64"/>
      <c r="D51" s="1716" t="s">
        <v>130</v>
      </c>
      <c r="E51" s="1717"/>
      <c r="F51" s="63">
        <v>6</v>
      </c>
      <c r="G51" s="64">
        <v>8</v>
      </c>
      <c r="H51" s="64">
        <v>10</v>
      </c>
    </row>
    <row r="52" spans="1:9">
      <c r="A52" s="65" t="s">
        <v>875</v>
      </c>
      <c r="B52" s="66"/>
      <c r="C52" s="67"/>
      <c r="D52" s="1718"/>
      <c r="E52" s="1719"/>
      <c r="F52" s="68"/>
      <c r="G52" s="67"/>
      <c r="H52" s="67"/>
    </row>
    <row r="53" spans="1:9">
      <c r="A53" s="42"/>
      <c r="B53" s="42"/>
      <c r="C53" s="42"/>
      <c r="D53" s="42"/>
      <c r="E53" s="42"/>
      <c r="F53" s="42"/>
      <c r="G53" s="42"/>
      <c r="H53" s="42"/>
    </row>
    <row r="54" spans="1:9">
      <c r="A54" s="42" t="s">
        <v>876</v>
      </c>
      <c r="B54" s="42"/>
      <c r="C54" s="42"/>
      <c r="D54" s="42"/>
      <c r="E54" s="42"/>
      <c r="F54" s="42"/>
      <c r="G54" s="42"/>
      <c r="H54" s="42"/>
    </row>
    <row r="55" spans="1:9" ht="27" customHeight="1">
      <c r="A55" s="42"/>
      <c r="B55" s="42"/>
      <c r="C55" s="42"/>
      <c r="D55" s="42"/>
      <c r="E55" s="42"/>
      <c r="F55" s="42"/>
      <c r="G55" s="42"/>
      <c r="H55" s="42"/>
    </row>
    <row r="56" spans="1:9" ht="24">
      <c r="A56" s="42"/>
      <c r="B56" s="75" t="s">
        <v>596</v>
      </c>
      <c r="C56" s="76"/>
      <c r="D56" s="76"/>
      <c r="E56" s="76"/>
      <c r="F56" s="76"/>
      <c r="G56" s="76"/>
      <c r="H56" s="76"/>
    </row>
    <row r="57" spans="1:9" ht="27" customHeight="1">
      <c r="A57" s="42"/>
      <c r="B57" s="76"/>
      <c r="C57" s="76"/>
      <c r="D57" s="76"/>
      <c r="E57" s="76"/>
      <c r="F57" s="76"/>
      <c r="G57" s="76"/>
      <c r="H57" s="76"/>
    </row>
    <row r="58" spans="1:9">
      <c r="A58" s="42"/>
      <c r="B58" s="42"/>
      <c r="C58" s="42"/>
      <c r="D58" s="42"/>
      <c r="E58" s="42"/>
      <c r="F58" s="42"/>
      <c r="G58" s="42"/>
      <c r="H58" s="42"/>
    </row>
    <row r="59" spans="1:9" ht="38.25" customHeight="1">
      <c r="A59" s="1720" t="s">
        <v>106</v>
      </c>
      <c r="B59" s="1721"/>
      <c r="C59" s="1721"/>
      <c r="D59" s="1721"/>
      <c r="E59" s="1721"/>
      <c r="F59" s="1721"/>
      <c r="G59" s="1721"/>
      <c r="H59" s="1721"/>
      <c r="I59" s="1721"/>
    </row>
    <row r="60" spans="1:9" ht="14.25">
      <c r="A60" s="1722" t="s">
        <v>877</v>
      </c>
      <c r="B60" s="1722"/>
      <c r="C60" s="1722"/>
      <c r="D60" s="1722"/>
      <c r="E60" s="1722"/>
      <c r="F60" s="1722"/>
      <c r="G60" s="1722"/>
      <c r="H60" s="1722"/>
      <c r="I60" s="1722"/>
    </row>
    <row r="61" spans="1:9">
      <c r="A61" s="42"/>
      <c r="B61" s="42"/>
      <c r="C61" s="42"/>
      <c r="D61" s="42"/>
      <c r="E61" s="42"/>
      <c r="F61" s="42"/>
      <c r="G61" s="42"/>
      <c r="H61" s="42"/>
    </row>
    <row r="62" spans="1:9">
      <c r="A62" s="77" t="s">
        <v>878</v>
      </c>
      <c r="B62" s="42"/>
      <c r="C62" s="42"/>
      <c r="D62" s="42"/>
      <c r="E62" s="42"/>
      <c r="F62" s="42"/>
      <c r="G62" s="42"/>
      <c r="H62" s="42"/>
    </row>
    <row r="63" spans="1:9">
      <c r="A63" s="42"/>
      <c r="B63" s="42"/>
      <c r="C63" s="42"/>
      <c r="D63" s="42"/>
      <c r="E63" s="42"/>
      <c r="F63" s="42"/>
      <c r="G63" s="42"/>
      <c r="H63" s="42"/>
    </row>
    <row r="64" spans="1:9">
      <c r="A64" s="42" t="s">
        <v>879</v>
      </c>
      <c r="B64" s="42"/>
      <c r="C64" s="42"/>
      <c r="D64" s="42"/>
      <c r="E64" s="42"/>
      <c r="F64" s="42"/>
      <c r="G64" s="42"/>
      <c r="H64" s="42"/>
    </row>
    <row r="65" spans="1:8">
      <c r="A65" s="42"/>
      <c r="B65" s="42" t="s">
        <v>880</v>
      </c>
      <c r="C65" s="42"/>
      <c r="D65" s="42"/>
      <c r="E65" s="42"/>
      <c r="F65" s="42"/>
      <c r="G65" s="42"/>
      <c r="H65" s="42"/>
    </row>
    <row r="66" spans="1:8">
      <c r="A66" s="42"/>
      <c r="B66" s="42" t="s">
        <v>149</v>
      </c>
      <c r="C66" s="42"/>
      <c r="D66" s="42"/>
      <c r="E66" s="42"/>
      <c r="F66" s="42" t="s">
        <v>150</v>
      </c>
      <c r="G66" s="42"/>
      <c r="H66" s="42"/>
    </row>
    <row r="67" spans="1:8">
      <c r="A67" s="42"/>
      <c r="B67" s="42"/>
      <c r="C67" s="42"/>
      <c r="D67" s="42"/>
      <c r="E67" s="42"/>
      <c r="F67" s="42"/>
      <c r="G67" s="42"/>
      <c r="H67" s="42"/>
    </row>
    <row r="68" spans="1:8">
      <c r="A68" s="77" t="s">
        <v>881</v>
      </c>
      <c r="B68" s="42"/>
      <c r="C68" s="42"/>
      <c r="D68" s="42"/>
      <c r="E68" s="42"/>
      <c r="F68" s="42"/>
      <c r="G68" s="42"/>
      <c r="H68" s="42"/>
    </row>
    <row r="69" spans="1:8">
      <c r="A69" s="42"/>
      <c r="B69" s="42"/>
      <c r="C69" s="42"/>
      <c r="D69" s="42"/>
      <c r="E69" s="42"/>
      <c r="F69" s="42"/>
      <c r="G69" s="42"/>
      <c r="H69" s="42"/>
    </row>
    <row r="70" spans="1:8">
      <c r="A70" s="42" t="s">
        <v>882</v>
      </c>
      <c r="B70" s="42"/>
      <c r="C70" s="42"/>
      <c r="D70" s="42"/>
      <c r="E70" s="42"/>
      <c r="F70" s="42"/>
      <c r="G70" s="42"/>
      <c r="H70" s="42"/>
    </row>
    <row r="71" spans="1:8">
      <c r="A71" s="42"/>
      <c r="B71" s="42" t="s">
        <v>883</v>
      </c>
      <c r="C71" s="42"/>
      <c r="D71" s="42"/>
      <c r="E71" s="42"/>
      <c r="F71" s="42"/>
      <c r="G71" s="42"/>
      <c r="H71" s="42"/>
    </row>
    <row r="72" spans="1:8">
      <c r="A72" s="42"/>
      <c r="B72" s="42" t="s">
        <v>884</v>
      </c>
      <c r="C72" s="42"/>
      <c r="D72" s="42"/>
      <c r="E72" s="42"/>
      <c r="F72" s="42"/>
      <c r="G72" s="42"/>
      <c r="H72" s="42"/>
    </row>
    <row r="73" spans="1:8">
      <c r="A73" s="42"/>
      <c r="B73" s="42" t="s">
        <v>885</v>
      </c>
      <c r="C73" s="42"/>
      <c r="D73" s="42"/>
      <c r="E73" s="42"/>
      <c r="F73" s="42"/>
      <c r="G73" s="42"/>
      <c r="H73" s="42"/>
    </row>
    <row r="74" spans="1:8">
      <c r="A74" s="42"/>
      <c r="B74" s="42"/>
      <c r="C74" s="42"/>
      <c r="D74" s="42"/>
      <c r="E74" s="42"/>
      <c r="F74" s="42"/>
      <c r="G74" s="42"/>
      <c r="H74" s="42"/>
    </row>
    <row r="75" spans="1:8">
      <c r="A75" s="42"/>
      <c r="B75" s="42" t="s">
        <v>886</v>
      </c>
      <c r="C75" s="42"/>
      <c r="D75" s="42"/>
      <c r="E75" s="42"/>
      <c r="F75" s="42"/>
      <c r="G75" s="42"/>
      <c r="H75" s="42"/>
    </row>
    <row r="76" spans="1:8">
      <c r="A76" s="42"/>
      <c r="B76" s="42"/>
      <c r="C76" s="42"/>
      <c r="D76" s="42"/>
      <c r="E76" s="42"/>
      <c r="F76" s="42"/>
      <c r="G76" s="42"/>
      <c r="H76" s="42"/>
    </row>
    <row r="77" spans="1:8">
      <c r="A77" s="42"/>
      <c r="B77" s="42"/>
      <c r="C77" s="42"/>
      <c r="D77" s="42"/>
      <c r="E77" s="42"/>
      <c r="F77" s="42"/>
      <c r="G77" s="42"/>
      <c r="H77" s="42"/>
    </row>
    <row r="78" spans="1:8">
      <c r="A78" s="42"/>
      <c r="B78" s="42" t="s">
        <v>151</v>
      </c>
      <c r="C78" s="42"/>
      <c r="D78" s="42"/>
      <c r="E78" s="42"/>
      <c r="F78" s="42"/>
      <c r="G78" s="42"/>
      <c r="H78" s="42"/>
    </row>
    <row r="79" spans="1:8">
      <c r="A79" s="42"/>
      <c r="B79" s="42"/>
      <c r="C79" s="42"/>
      <c r="D79" s="42"/>
      <c r="E79" s="42"/>
      <c r="F79" s="42"/>
      <c r="G79" s="42"/>
      <c r="H79" s="42"/>
    </row>
    <row r="80" spans="1:8">
      <c r="A80" s="42"/>
      <c r="B80" s="42"/>
      <c r="C80" s="42"/>
      <c r="D80" s="42"/>
      <c r="E80" s="42"/>
      <c r="F80" s="42"/>
      <c r="G80" s="42"/>
      <c r="H80" s="42"/>
    </row>
    <row r="81" spans="1:9">
      <c r="A81" s="77" t="s">
        <v>887</v>
      </c>
      <c r="B81" s="42"/>
      <c r="C81" s="42"/>
      <c r="D81" s="42"/>
      <c r="E81" s="42"/>
      <c r="F81" s="42"/>
      <c r="G81" s="42"/>
      <c r="H81" s="42"/>
    </row>
    <row r="82" spans="1:9">
      <c r="A82" s="42"/>
      <c r="B82" s="42"/>
      <c r="C82" s="42"/>
      <c r="D82" s="42"/>
      <c r="E82" s="42"/>
      <c r="F82" s="42"/>
      <c r="G82" s="42"/>
      <c r="H82" s="42"/>
    </row>
    <row r="83" spans="1:9">
      <c r="A83" s="42" t="s">
        <v>888</v>
      </c>
      <c r="B83" s="42"/>
      <c r="C83" s="42"/>
      <c r="D83" s="42"/>
      <c r="E83" s="42"/>
      <c r="F83" s="42"/>
      <c r="G83" s="42"/>
      <c r="H83" s="42"/>
    </row>
    <row r="84" spans="1:9">
      <c r="A84" s="42"/>
      <c r="B84" s="42" t="s">
        <v>889</v>
      </c>
      <c r="C84" s="42"/>
      <c r="D84" s="42"/>
      <c r="E84" s="42"/>
      <c r="F84" s="42"/>
      <c r="G84" s="42"/>
      <c r="H84" s="42"/>
    </row>
    <row r="85" spans="1:9">
      <c r="A85" s="42"/>
      <c r="B85" s="42" t="s">
        <v>152</v>
      </c>
      <c r="C85" s="42"/>
      <c r="D85" s="42"/>
      <c r="E85" s="42"/>
      <c r="F85" s="42"/>
      <c r="G85" s="42"/>
      <c r="H85" s="42"/>
    </row>
    <row r="86" spans="1:9">
      <c r="A86" s="42"/>
      <c r="B86" s="42"/>
      <c r="C86" s="42"/>
      <c r="D86" s="42"/>
      <c r="E86" s="42"/>
      <c r="F86" s="42"/>
      <c r="G86" s="42"/>
      <c r="H86" s="42"/>
    </row>
    <row r="87" spans="1:9">
      <c r="A87" s="42"/>
      <c r="B87" s="42" t="s">
        <v>890</v>
      </c>
      <c r="C87" s="42"/>
      <c r="D87" s="42"/>
      <c r="E87" s="42"/>
      <c r="F87" s="42"/>
      <c r="G87" s="42" t="s">
        <v>153</v>
      </c>
      <c r="H87" s="42"/>
    </row>
    <row r="88" spans="1:9">
      <c r="A88" s="42"/>
      <c r="B88" s="42"/>
      <c r="C88" s="42"/>
      <c r="D88" s="42"/>
      <c r="E88" s="42"/>
      <c r="F88" s="42"/>
      <c r="G88" s="42"/>
      <c r="H88" s="42"/>
    </row>
    <row r="89" spans="1:9">
      <c r="A89" s="77" t="s">
        <v>891</v>
      </c>
      <c r="B89" s="42"/>
      <c r="C89" s="42"/>
      <c r="D89" s="42"/>
      <c r="E89" s="42"/>
      <c r="F89" s="42"/>
      <c r="G89" s="42"/>
      <c r="H89" s="42"/>
    </row>
    <row r="90" spans="1:9">
      <c r="A90" s="42"/>
      <c r="B90" s="42"/>
      <c r="C90" s="42"/>
      <c r="D90" s="42"/>
      <c r="E90" s="42"/>
      <c r="F90" s="42"/>
      <c r="G90" s="42"/>
      <c r="H90" s="42"/>
    </row>
    <row r="91" spans="1:9">
      <c r="A91" s="42"/>
      <c r="B91" s="42" t="s">
        <v>892</v>
      </c>
      <c r="C91" s="42"/>
      <c r="D91" s="78"/>
      <c r="E91" s="79"/>
      <c r="F91" s="80" t="s">
        <v>121</v>
      </c>
      <c r="G91" s="81" t="s">
        <v>122</v>
      </c>
      <c r="H91" s="82" t="s">
        <v>123</v>
      </c>
      <c r="I91" s="83" t="s">
        <v>124</v>
      </c>
    </row>
    <row r="92" spans="1:9">
      <c r="A92" s="42"/>
      <c r="B92" s="42"/>
      <c r="C92" s="42"/>
      <c r="D92" s="84" t="s">
        <v>893</v>
      </c>
      <c r="E92" s="85"/>
      <c r="F92" s="86" t="s">
        <v>894</v>
      </c>
      <c r="G92" s="87" t="s">
        <v>895</v>
      </c>
      <c r="H92" s="88" t="s">
        <v>127</v>
      </c>
      <c r="I92" s="89" t="s">
        <v>116</v>
      </c>
    </row>
    <row r="93" spans="1:9">
      <c r="A93" s="42"/>
      <c r="B93" s="42"/>
      <c r="C93" s="42"/>
      <c r="D93" s="90"/>
      <c r="E93" s="91"/>
      <c r="F93" s="91"/>
      <c r="G93" s="92" t="s">
        <v>128</v>
      </c>
      <c r="H93" s="93" t="s">
        <v>116</v>
      </c>
      <c r="I93" s="94"/>
    </row>
    <row r="94" spans="1:9">
      <c r="A94" s="42"/>
      <c r="D94" s="95" t="s">
        <v>896</v>
      </c>
      <c r="E94" s="96"/>
      <c r="F94" s="85" t="s">
        <v>897</v>
      </c>
      <c r="G94" s="97">
        <v>45</v>
      </c>
      <c r="H94" s="97">
        <v>25</v>
      </c>
      <c r="I94" s="98">
        <v>20</v>
      </c>
    </row>
    <row r="95" spans="1:9">
      <c r="A95" s="99"/>
      <c r="B95" s="99"/>
      <c r="C95" s="99"/>
      <c r="D95" s="84" t="s">
        <v>449</v>
      </c>
      <c r="E95" s="85"/>
      <c r="F95" s="85" t="s">
        <v>130</v>
      </c>
      <c r="G95" s="97">
        <v>5</v>
      </c>
      <c r="H95" s="97">
        <v>6</v>
      </c>
      <c r="I95" s="98">
        <v>9</v>
      </c>
    </row>
    <row r="96" spans="1:9">
      <c r="A96" s="99"/>
      <c r="B96" s="99"/>
      <c r="C96" s="99"/>
      <c r="D96" s="90"/>
      <c r="E96" s="91"/>
      <c r="F96" s="91"/>
      <c r="G96" s="100"/>
      <c r="H96" s="100"/>
      <c r="I96" s="101"/>
    </row>
    <row r="97" spans="1:9">
      <c r="A97" s="99"/>
      <c r="B97" s="99"/>
      <c r="C97" s="99"/>
      <c r="D97" s="102" t="s">
        <v>896</v>
      </c>
      <c r="E97" s="103"/>
      <c r="F97" s="104" t="s">
        <v>897</v>
      </c>
      <c r="G97" s="97">
        <v>55</v>
      </c>
      <c r="H97" s="105">
        <v>30</v>
      </c>
      <c r="I97" s="98">
        <v>25</v>
      </c>
    </row>
    <row r="98" spans="1:9">
      <c r="A98" s="99"/>
      <c r="B98" s="99"/>
      <c r="C98" s="99"/>
      <c r="D98" s="106" t="s">
        <v>450</v>
      </c>
      <c r="E98" s="104"/>
      <c r="F98" s="104" t="s">
        <v>130</v>
      </c>
      <c r="G98" s="97">
        <v>5</v>
      </c>
      <c r="H98" s="105">
        <v>6</v>
      </c>
      <c r="I98" s="98">
        <v>8</v>
      </c>
    </row>
    <row r="99" spans="1:9">
      <c r="A99" s="99"/>
      <c r="B99" s="99"/>
      <c r="C99" s="99"/>
      <c r="D99" s="107" t="s">
        <v>898</v>
      </c>
      <c r="E99" s="108"/>
      <c r="F99" s="108"/>
      <c r="G99" s="100"/>
      <c r="H99" s="109"/>
      <c r="I99" s="101"/>
    </row>
    <row r="100" spans="1:9">
      <c r="A100" s="99"/>
      <c r="B100" s="99"/>
      <c r="C100" s="99"/>
      <c r="D100" s="95" t="s">
        <v>451</v>
      </c>
      <c r="E100" s="96"/>
      <c r="F100" s="85" t="s">
        <v>897</v>
      </c>
      <c r="G100" s="97">
        <v>20</v>
      </c>
      <c r="H100" s="97"/>
      <c r="I100" s="98">
        <v>15</v>
      </c>
    </row>
    <row r="101" spans="1:9">
      <c r="A101" s="99"/>
      <c r="B101" s="99"/>
      <c r="C101" s="99"/>
      <c r="D101" s="84" t="s">
        <v>452</v>
      </c>
      <c r="E101" s="85"/>
      <c r="F101" s="85" t="s">
        <v>130</v>
      </c>
      <c r="G101" s="97">
        <v>5</v>
      </c>
      <c r="H101" s="97"/>
      <c r="I101" s="98">
        <v>16</v>
      </c>
    </row>
    <row r="102" spans="1:9">
      <c r="A102" s="99"/>
      <c r="B102" s="99"/>
      <c r="C102" s="99"/>
      <c r="D102" s="90" t="s">
        <v>135</v>
      </c>
      <c r="E102" s="91"/>
      <c r="F102" s="91"/>
      <c r="G102" s="100"/>
      <c r="H102" s="100"/>
      <c r="I102" s="101"/>
    </row>
    <row r="103" spans="1:9">
      <c r="A103" s="99"/>
      <c r="B103" s="99"/>
      <c r="C103" s="99"/>
      <c r="D103" s="95" t="s">
        <v>453</v>
      </c>
      <c r="E103" s="96"/>
      <c r="F103" s="85" t="s">
        <v>897</v>
      </c>
      <c r="G103" s="97">
        <v>40</v>
      </c>
      <c r="H103" s="97">
        <v>20</v>
      </c>
      <c r="I103" s="98">
        <v>20</v>
      </c>
    </row>
    <row r="104" spans="1:9">
      <c r="A104" s="99"/>
      <c r="B104" s="99"/>
      <c r="C104" s="99"/>
      <c r="D104" s="84" t="s">
        <v>872</v>
      </c>
      <c r="E104" s="85"/>
      <c r="F104" s="85" t="s">
        <v>130</v>
      </c>
      <c r="G104" s="97">
        <v>6</v>
      </c>
      <c r="H104" s="97">
        <v>8</v>
      </c>
      <c r="I104" s="98">
        <v>12</v>
      </c>
    </row>
    <row r="105" spans="1:9">
      <c r="A105" s="99"/>
      <c r="B105" s="99"/>
      <c r="C105" s="99"/>
      <c r="D105" s="90" t="s">
        <v>454</v>
      </c>
      <c r="E105" s="91"/>
      <c r="F105" s="91"/>
      <c r="G105" s="100"/>
      <c r="H105" s="100"/>
      <c r="I105" s="101"/>
    </row>
    <row r="106" spans="1:9">
      <c r="A106" s="99"/>
      <c r="B106" s="99"/>
      <c r="C106" s="99"/>
      <c r="D106" s="95" t="s">
        <v>453</v>
      </c>
      <c r="E106" s="96"/>
      <c r="F106" s="85" t="s">
        <v>897</v>
      </c>
      <c r="G106" s="97">
        <v>55</v>
      </c>
      <c r="H106" s="97">
        <v>30</v>
      </c>
      <c r="I106" s="98">
        <v>25</v>
      </c>
    </row>
    <row r="107" spans="1:9">
      <c r="A107" s="99"/>
      <c r="B107" s="99"/>
      <c r="C107" s="99"/>
      <c r="D107" s="84" t="s">
        <v>874</v>
      </c>
      <c r="E107" s="85"/>
      <c r="F107" s="85" t="s">
        <v>130</v>
      </c>
      <c r="G107" s="97">
        <v>6</v>
      </c>
      <c r="H107" s="97">
        <v>8</v>
      </c>
      <c r="I107" s="98">
        <v>10</v>
      </c>
    </row>
    <row r="108" spans="1:9">
      <c r="A108" s="99"/>
      <c r="B108" s="99"/>
      <c r="C108" s="99"/>
      <c r="D108" s="90" t="s">
        <v>875</v>
      </c>
      <c r="E108" s="91"/>
      <c r="F108" s="91"/>
      <c r="G108" s="100"/>
      <c r="H108" s="100"/>
      <c r="I108" s="101"/>
    </row>
    <row r="109" spans="1:9">
      <c r="A109" s="99"/>
      <c r="B109" s="99"/>
      <c r="C109" s="99"/>
    </row>
    <row r="110" spans="1:9">
      <c r="A110" s="99"/>
      <c r="B110" s="99"/>
      <c r="C110" s="99"/>
      <c r="D110" s="85"/>
      <c r="I110" s="85"/>
    </row>
    <row r="111" spans="1:9">
      <c r="D111" s="85"/>
      <c r="I111" s="85"/>
    </row>
    <row r="112" spans="1:9">
      <c r="D112" s="85"/>
      <c r="E112" s="110"/>
      <c r="I112" s="85"/>
    </row>
    <row r="113" spans="4:9">
      <c r="D113" s="85"/>
      <c r="E113" s="110"/>
      <c r="I113" s="85"/>
    </row>
    <row r="114" spans="4:9">
      <c r="D114" s="85"/>
      <c r="E114" s="110"/>
      <c r="F114" s="110"/>
      <c r="I114" s="85"/>
    </row>
    <row r="115" spans="4:9">
      <c r="D115" s="85"/>
      <c r="E115" s="110"/>
      <c r="F115" s="110"/>
      <c r="I115" s="85"/>
    </row>
    <row r="116" spans="4:9">
      <c r="D116" s="85"/>
      <c r="E116" s="110"/>
      <c r="F116" s="110"/>
      <c r="I116" s="85"/>
    </row>
    <row r="117" spans="4:9">
      <c r="D117" s="85"/>
      <c r="E117" s="110"/>
      <c r="F117" s="110"/>
      <c r="I117" s="85"/>
    </row>
    <row r="118" spans="4:9">
      <c r="D118" s="85"/>
      <c r="E118" s="110"/>
      <c r="F118" s="110"/>
      <c r="I118" s="85"/>
    </row>
    <row r="119" spans="4:9">
      <c r="D119" s="85"/>
      <c r="E119" s="110"/>
      <c r="F119" s="110"/>
      <c r="H119" s="111"/>
      <c r="I119" s="85"/>
    </row>
    <row r="120" spans="4:9">
      <c r="E120" s="110"/>
      <c r="F120" s="112"/>
      <c r="G120" s="111"/>
    </row>
    <row r="121" spans="4:9">
      <c r="F121" s="113"/>
    </row>
    <row r="122" spans="4:9">
      <c r="F122" s="110"/>
    </row>
  </sheetData>
  <mergeCells count="37">
    <mergeCell ref="A1:I1"/>
    <mergeCell ref="A2:I2"/>
    <mergeCell ref="A3:I3"/>
    <mergeCell ref="B7:C7"/>
    <mergeCell ref="E7:G7"/>
    <mergeCell ref="B11:C11"/>
    <mergeCell ref="E11:G11"/>
    <mergeCell ref="B8:C8"/>
    <mergeCell ref="E8:G8"/>
    <mergeCell ref="B9:C9"/>
    <mergeCell ref="E9:G9"/>
    <mergeCell ref="B10:C10"/>
    <mergeCell ref="E10:G10"/>
    <mergeCell ref="B14:C14"/>
    <mergeCell ref="E14:G14"/>
    <mergeCell ref="D36:E36"/>
    <mergeCell ref="C37:E37"/>
    <mergeCell ref="B12:C12"/>
    <mergeCell ref="E12:G12"/>
    <mergeCell ref="B13:C13"/>
    <mergeCell ref="E13:G13"/>
    <mergeCell ref="D43:E43"/>
    <mergeCell ref="D44:E44"/>
    <mergeCell ref="D45:E45"/>
    <mergeCell ref="D46:E46"/>
    <mergeCell ref="D39:E39"/>
    <mergeCell ref="D40:E40"/>
    <mergeCell ref="D41:E41"/>
    <mergeCell ref="D42:E42"/>
    <mergeCell ref="D51:E51"/>
    <mergeCell ref="D52:E52"/>
    <mergeCell ref="A59:I59"/>
    <mergeCell ref="A60:I60"/>
    <mergeCell ref="D47:E47"/>
    <mergeCell ref="D48:E48"/>
    <mergeCell ref="D49:E49"/>
    <mergeCell ref="D50:E50"/>
  </mergeCells>
  <phoneticPr fontId="12" type="noConversion"/>
  <printOptions horizontalCentered="1" verticalCentered="1"/>
  <pageMargins left="0.39370078740157483" right="0" top="0" bottom="0.39370078740157483" header="0" footer="0"/>
  <pageSetup paperSize="9" scale="93" fitToHeight="2" orientation="portrait" horizontalDpi="300" r:id="rId1"/>
  <headerFooter alignWithMargins="0">
    <oddFooter>&amp;LEdité le &amp;D&amp;C&amp;P/&amp;N&amp;RGuide Compactage</oddFooter>
  </headerFooter>
  <rowBreaks count="1" manualBreakCount="1">
    <brk id="58"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56">
    <pageSetUpPr fitToPage="1"/>
  </sheetPr>
  <dimension ref="A1:F47"/>
  <sheetViews>
    <sheetView showGridLines="0" view="pageBreakPreview" zoomScaleNormal="100" zoomScaleSheetLayoutView="100" workbookViewId="0">
      <selection activeCell="B19" sqref="B19"/>
    </sheetView>
  </sheetViews>
  <sheetFormatPr baseColWidth="10" defaultColWidth="11.42578125" defaultRowHeight="12.75"/>
  <cols>
    <col min="1" max="1" width="15.7109375" style="21" customWidth="1"/>
    <col min="2" max="6" width="11.7109375" style="21" customWidth="1"/>
  </cols>
  <sheetData>
    <row r="1" spans="1:6" ht="23.25">
      <c r="A1" s="114"/>
      <c r="B1" s="1747" t="s">
        <v>455</v>
      </c>
      <c r="C1" s="1747"/>
      <c r="D1" s="1747"/>
      <c r="E1" s="1747"/>
      <c r="F1" s="684">
        <v>1</v>
      </c>
    </row>
    <row r="19" spans="2:5" ht="23.25">
      <c r="B19" s="1326" t="s">
        <v>456</v>
      </c>
      <c r="C19" s="685"/>
      <c r="D19" s="115"/>
      <c r="E19" s="115"/>
    </row>
    <row r="21" spans="2:5">
      <c r="B21" s="39" t="s">
        <v>457</v>
      </c>
    </row>
    <row r="22" spans="2:5">
      <c r="B22" s="39" t="s">
        <v>1059</v>
      </c>
    </row>
    <row r="23" spans="2:5">
      <c r="B23" s="39" t="s">
        <v>458</v>
      </c>
    </row>
    <row r="24" spans="2:5">
      <c r="B24" s="39" t="s">
        <v>459</v>
      </c>
    </row>
    <row r="25" spans="2:5">
      <c r="B25" s="39" t="s">
        <v>1060</v>
      </c>
    </row>
    <row r="26" spans="2:5">
      <c r="B26" s="39" t="s">
        <v>460</v>
      </c>
    </row>
    <row r="27" spans="2:5">
      <c r="B27" s="39" t="s">
        <v>461</v>
      </c>
    </row>
    <row r="46" spans="2:2">
      <c r="B46" s="18"/>
    </row>
    <row r="47" spans="2:2">
      <c r="B47"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74">
    <tabColor rgb="FFCCFFCC"/>
    <pageSetUpPr fitToPage="1"/>
  </sheetPr>
  <dimension ref="A1:T69"/>
  <sheetViews>
    <sheetView showGridLines="0" view="pageBreakPreview" zoomScaleNormal="100" zoomScaleSheetLayoutView="100" workbookViewId="0">
      <selection activeCell="T19" sqref="T19"/>
    </sheetView>
  </sheetViews>
  <sheetFormatPr baseColWidth="10" defaultColWidth="11.42578125" defaultRowHeight="12.75"/>
  <cols>
    <col min="1" max="1" width="5.28515625" style="776" customWidth="1"/>
    <col min="2" max="2" width="6.140625" style="776" customWidth="1"/>
    <col min="3" max="3" width="5.7109375" style="776" customWidth="1"/>
    <col min="4" max="4" width="8.85546875" style="776" customWidth="1"/>
    <col min="5" max="5" width="4.28515625" style="776" customWidth="1"/>
    <col min="6" max="6" width="7.140625" style="776" customWidth="1"/>
    <col min="7" max="7" width="5.5703125" style="776" customWidth="1"/>
    <col min="8" max="13" width="5.7109375" style="776" customWidth="1"/>
    <col min="14" max="15" width="6.7109375" style="776" customWidth="1"/>
    <col min="16" max="16" width="5.7109375" style="776" customWidth="1"/>
    <col min="17" max="17" width="13" style="776" customWidth="1"/>
    <col min="18" max="18" width="8.7109375" style="776" customWidth="1"/>
    <col min="19" max="19" width="8.140625" style="776" customWidth="1"/>
    <col min="20" max="16384" width="11.42578125" style="776"/>
  </cols>
  <sheetData>
    <row r="1" spans="1:20" ht="18" customHeight="1" thickTop="1">
      <c r="A1" s="1775"/>
      <c r="B1" s="1775"/>
      <c r="C1" s="1775"/>
      <c r="D1" s="1777" t="s">
        <v>1350</v>
      </c>
      <c r="E1" s="1778"/>
      <c r="F1" s="1778"/>
      <c r="G1" s="1778"/>
      <c r="H1" s="1778"/>
      <c r="I1" s="1778"/>
      <c r="J1" s="1778"/>
      <c r="K1" s="1778"/>
      <c r="L1" s="1778"/>
      <c r="M1" s="1778"/>
      <c r="N1" s="1778"/>
      <c r="O1" s="1778"/>
      <c r="P1" s="1778"/>
      <c r="Q1" s="1778"/>
      <c r="R1" s="1781" t="s">
        <v>1115</v>
      </c>
      <c r="S1" s="1782"/>
    </row>
    <row r="2" spans="1:20" ht="24" customHeight="1" thickBot="1">
      <c r="A2" s="1776"/>
      <c r="B2" s="1776"/>
      <c r="C2" s="1776"/>
      <c r="D2" s="1779"/>
      <c r="E2" s="1780"/>
      <c r="F2" s="1780"/>
      <c r="G2" s="1780"/>
      <c r="H2" s="1780"/>
      <c r="I2" s="1780"/>
      <c r="J2" s="1780"/>
      <c r="K2" s="1780"/>
      <c r="L2" s="1780"/>
      <c r="M2" s="1780"/>
      <c r="N2" s="1780"/>
      <c r="O2" s="1780"/>
      <c r="P2" s="1780"/>
      <c r="Q2" s="1780"/>
      <c r="R2" s="1783"/>
      <c r="S2" s="1784"/>
    </row>
    <row r="3" spans="1:20" ht="30" customHeight="1" thickTop="1">
      <c r="A3" s="777"/>
      <c r="F3" s="778"/>
      <c r="G3" s="778"/>
      <c r="H3" s="778"/>
      <c r="I3" s="778"/>
      <c r="J3" s="778"/>
      <c r="K3" s="778"/>
      <c r="L3" s="778"/>
      <c r="M3" s="778"/>
      <c r="N3" s="778"/>
      <c r="O3" s="778"/>
      <c r="P3" s="778"/>
      <c r="Q3" s="778"/>
      <c r="R3" s="778"/>
      <c r="S3" s="778"/>
    </row>
    <row r="4" spans="1:20" s="779" customFormat="1" ht="17.25" customHeight="1">
      <c r="B4" s="780" t="s">
        <v>462</v>
      </c>
      <c r="C4" s="780"/>
      <c r="D4" s="781" t="str">
        <f>IF(ISBLANK(oMOE),"",oMOE)</f>
        <v/>
      </c>
      <c r="E4" s="782"/>
      <c r="F4" s="782"/>
      <c r="G4" s="782"/>
      <c r="H4" s="782"/>
      <c r="I4" s="783"/>
      <c r="J4" s="783"/>
      <c r="K4" s="783"/>
      <c r="N4" s="780" t="s">
        <v>798</v>
      </c>
      <c r="P4" s="780"/>
      <c r="Q4" s="1785" t="str">
        <f>IF(ISBLANK(oeOTP),"",oeOTP)</f>
        <v/>
      </c>
      <c r="R4" s="1785" t="e">
        <f>IF(ISBLANK(#REF!),"",#REF!)</f>
        <v>#REF!</v>
      </c>
      <c r="S4" s="1785" t="e">
        <f>IF(ISBLANK(#REF!),"",#REF!)</f>
        <v>#REF!</v>
      </c>
    </row>
    <row r="5" spans="1:20" s="779" customFormat="1" ht="20.100000000000001" customHeight="1">
      <c r="A5" s="1786" t="s">
        <v>802</v>
      </c>
      <c r="B5" s="1786"/>
      <c r="C5" s="1786"/>
      <c r="D5" s="1787" t="str">
        <f>IF(ISBLANK(oLibelleOTP),"",oLibelleOTP)</f>
        <v/>
      </c>
      <c r="E5" s="1787" t="e">
        <f>IF(ISBLANK(#REF!),"",#REF!)</f>
        <v>#REF!</v>
      </c>
      <c r="F5" s="1787" t="e">
        <f>IF(ISBLANK(#REF!),"",#REF!)</f>
        <v>#REF!</v>
      </c>
      <c r="G5" s="1787" t="e">
        <f>IF(ISBLANK(#REF!),"",#REF!)</f>
        <v>#REF!</v>
      </c>
      <c r="H5" s="1787" t="e">
        <f>IF(ISBLANK(#REF!),"",#REF!)</f>
        <v>#REF!</v>
      </c>
      <c r="I5" s="1787" t="e">
        <f>IF(ISBLANK(#REF!),"",#REF!)</f>
        <v>#REF!</v>
      </c>
      <c r="J5" s="1787" t="e">
        <f>IF(ISBLANK(#REF!),"",#REF!)</f>
        <v>#REF!</v>
      </c>
      <c r="K5" s="1787" t="e">
        <f>IF(ISBLANK(#REF!),"",#REF!)</f>
        <v>#REF!</v>
      </c>
      <c r="L5" s="1787" t="e">
        <f>IF(ISBLANK(#REF!),"",#REF!)</f>
        <v>#REF!</v>
      </c>
      <c r="M5" s="1787" t="e">
        <f>IF(ISBLANK(#REF!),"",#REF!)</f>
        <v>#REF!</v>
      </c>
      <c r="N5" s="1787" t="e">
        <f>IF(ISBLANK(#REF!),"",#REF!)</f>
        <v>#REF!</v>
      </c>
      <c r="O5" s="1787" t="e">
        <f>IF(ISBLANK(#REF!),"",#REF!)</f>
        <v>#REF!</v>
      </c>
      <c r="P5" s="1787" t="e">
        <f>IF(ISBLANK(#REF!),"",#REF!)</f>
        <v>#REF!</v>
      </c>
      <c r="Q5" s="1787" t="e">
        <f>IF(ISBLANK(#REF!),"",#REF!)</f>
        <v>#REF!</v>
      </c>
      <c r="R5" s="1787" t="e">
        <f>IF(ISBLANK(#REF!),"",#REF!)</f>
        <v>#REF!</v>
      </c>
      <c r="S5" s="1787" t="e">
        <f>IF(ISBLANK(#REF!),"",#REF!)</f>
        <v>#REF!</v>
      </c>
    </row>
    <row r="6" spans="1:20" s="779" customFormat="1" ht="20.100000000000001" customHeight="1">
      <c r="A6" s="1786"/>
      <c r="B6" s="1786"/>
      <c r="C6" s="1786"/>
      <c r="D6" s="1787" t="e">
        <f>IF(ISBLANK(#REF!),"",#REF!)</f>
        <v>#REF!</v>
      </c>
      <c r="E6" s="1787" t="e">
        <f>IF(ISBLANK(#REF!),"",#REF!)</f>
        <v>#REF!</v>
      </c>
      <c r="F6" s="1787" t="e">
        <f>IF(ISBLANK(#REF!),"",#REF!)</f>
        <v>#REF!</v>
      </c>
      <c r="G6" s="1787" t="e">
        <f>IF(ISBLANK(#REF!),"",#REF!)</f>
        <v>#REF!</v>
      </c>
      <c r="H6" s="1787" t="e">
        <f>IF(ISBLANK(#REF!),"",#REF!)</f>
        <v>#REF!</v>
      </c>
      <c r="I6" s="1787" t="e">
        <f>IF(ISBLANK(#REF!),"",#REF!)</f>
        <v>#REF!</v>
      </c>
      <c r="J6" s="1787" t="e">
        <f>IF(ISBLANK(#REF!),"",#REF!)</f>
        <v>#REF!</v>
      </c>
      <c r="K6" s="1787" t="e">
        <f>IF(ISBLANK(#REF!),"",#REF!)</f>
        <v>#REF!</v>
      </c>
      <c r="L6" s="1787" t="e">
        <f>IF(ISBLANK(#REF!),"",#REF!)</f>
        <v>#REF!</v>
      </c>
      <c r="M6" s="1787" t="e">
        <f>IF(ISBLANK(#REF!),"",#REF!)</f>
        <v>#REF!</v>
      </c>
      <c r="N6" s="1787" t="e">
        <f>IF(ISBLANK(#REF!),"",#REF!)</f>
        <v>#REF!</v>
      </c>
      <c r="O6" s="1787" t="e">
        <f>IF(ISBLANK(#REF!),"",#REF!)</f>
        <v>#REF!</v>
      </c>
      <c r="P6" s="1787" t="e">
        <f>IF(ISBLANK(#REF!),"",#REF!)</f>
        <v>#REF!</v>
      </c>
      <c r="Q6" s="1787" t="e">
        <f>IF(ISBLANK(#REF!),"",#REF!)</f>
        <v>#REF!</v>
      </c>
      <c r="R6" s="1787" t="e">
        <f>IF(ISBLANK(#REF!),"",#REF!)</f>
        <v>#REF!</v>
      </c>
      <c r="S6" s="1787" t="e">
        <f>IF(ISBLANK(#REF!),"",#REF!)</f>
        <v>#REF!</v>
      </c>
    </row>
    <row r="7" spans="1:20" s="779" customFormat="1" ht="20.100000000000001" customHeight="1">
      <c r="B7" s="784" t="s">
        <v>801</v>
      </c>
      <c r="C7" s="780"/>
      <c r="D7" s="781" t="str">
        <f>IF(ISBLANK(oVille),"",oVille)</f>
        <v/>
      </c>
      <c r="E7" s="782"/>
      <c r="F7" s="782"/>
      <c r="G7" s="782"/>
      <c r="H7" s="785"/>
      <c r="I7" s="785"/>
      <c r="J7" s="785"/>
      <c r="K7" s="785"/>
      <c r="L7" s="780"/>
      <c r="M7" s="780"/>
      <c r="N7" s="780"/>
      <c r="O7" s="780"/>
      <c r="P7" s="780"/>
      <c r="Q7" s="780"/>
      <c r="R7" s="780"/>
    </row>
    <row r="8" spans="1:20" s="779" customFormat="1" ht="10.5" customHeight="1">
      <c r="B8" s="780"/>
      <c r="C8" s="780"/>
      <c r="D8" s="780"/>
      <c r="E8" s="780"/>
      <c r="F8" s="780"/>
      <c r="G8" s="780"/>
      <c r="H8" s="780"/>
      <c r="I8" s="780"/>
      <c r="J8" s="780"/>
      <c r="K8" s="780"/>
      <c r="L8" s="780"/>
      <c r="M8" s="780"/>
      <c r="N8" s="780"/>
      <c r="O8" s="780"/>
      <c r="P8" s="780"/>
      <c r="Q8" s="780"/>
      <c r="R8" s="780"/>
    </row>
    <row r="9" spans="1:20" s="786" customFormat="1" ht="20.100000000000001" customHeight="1">
      <c r="A9" s="786" t="s">
        <v>1116</v>
      </c>
    </row>
    <row r="10" spans="1:20" s="786" customFormat="1" ht="20.100000000000001" customHeight="1">
      <c r="A10" s="787"/>
      <c r="B10" s="788" t="s">
        <v>1117</v>
      </c>
      <c r="C10" s="787"/>
      <c r="D10" s="787"/>
      <c r="E10" s="787"/>
      <c r="F10" s="787"/>
      <c r="G10" s="787"/>
      <c r="H10" s="787"/>
      <c r="I10" s="787"/>
      <c r="J10" s="787"/>
      <c r="K10" s="787"/>
      <c r="L10" s="787"/>
      <c r="M10" s="787"/>
      <c r="N10" s="787"/>
      <c r="O10" s="787"/>
      <c r="P10" s="787"/>
      <c r="Q10" s="787"/>
      <c r="R10" s="787"/>
      <c r="S10" s="787"/>
      <c r="T10" s="789"/>
    </row>
    <row r="11" spans="1:20" s="786" customFormat="1" ht="20.100000000000001" customHeight="1">
      <c r="A11" s="787"/>
      <c r="B11" s="788" t="s">
        <v>1118</v>
      </c>
      <c r="C11" s="787"/>
      <c r="D11" s="787"/>
      <c r="E11" s="787"/>
      <c r="F11" s="787"/>
      <c r="G11" s="787"/>
      <c r="H11" s="787"/>
      <c r="I11" s="787"/>
      <c r="J11" s="787"/>
      <c r="K11" s="787"/>
      <c r="L11" s="787"/>
      <c r="M11" s="787"/>
      <c r="N11" s="787"/>
      <c r="O11" s="787"/>
      <c r="P11" s="787"/>
      <c r="Q11" s="787"/>
      <c r="R11" s="787"/>
      <c r="S11" s="787"/>
    </row>
    <row r="12" spans="1:20" s="786" customFormat="1" ht="20.100000000000001" customHeight="1">
      <c r="A12" s="787"/>
      <c r="B12" s="788" t="s">
        <v>1119</v>
      </c>
      <c r="C12" s="787"/>
      <c r="D12" s="787"/>
      <c r="E12" s="787"/>
      <c r="F12" s="787"/>
      <c r="G12" s="787"/>
      <c r="H12" s="787"/>
      <c r="I12" s="787"/>
      <c r="J12" s="787"/>
      <c r="K12" s="787"/>
      <c r="L12" s="787"/>
      <c r="M12" s="787"/>
      <c r="N12" s="787"/>
      <c r="O12" s="787"/>
      <c r="P12" s="787"/>
      <c r="Q12" s="787"/>
      <c r="R12" s="787"/>
      <c r="S12" s="787"/>
    </row>
    <row r="13" spans="1:20" ht="12.75" customHeight="1">
      <c r="A13" s="790"/>
      <c r="B13" s="790"/>
      <c r="C13" s="790"/>
      <c r="D13" s="790"/>
      <c r="E13" s="790"/>
      <c r="F13" s="790"/>
      <c r="G13" s="790"/>
      <c r="H13" s="790"/>
      <c r="I13" s="790"/>
      <c r="J13" s="790"/>
      <c r="K13" s="790"/>
      <c r="L13" s="790"/>
      <c r="M13" s="790"/>
      <c r="N13" s="790"/>
      <c r="O13" s="790"/>
      <c r="P13" s="790"/>
      <c r="Q13" s="790"/>
      <c r="R13" s="790"/>
      <c r="S13" s="790"/>
      <c r="T13" s="791"/>
    </row>
    <row r="14" spans="1:20" ht="15">
      <c r="A14" s="793"/>
      <c r="B14" s="793"/>
      <c r="C14" s="793"/>
      <c r="D14" s="793"/>
      <c r="E14" s="793"/>
      <c r="F14" s="793"/>
      <c r="G14" s="793"/>
      <c r="H14" s="793"/>
      <c r="I14" s="793"/>
      <c r="J14" s="793"/>
      <c r="K14" s="793"/>
      <c r="L14" s="793"/>
      <c r="M14" s="793"/>
      <c r="N14" s="793"/>
      <c r="O14" s="793"/>
      <c r="P14" s="793"/>
      <c r="Q14" s="793"/>
      <c r="R14" s="793"/>
      <c r="S14" s="796"/>
      <c r="T14" s="792"/>
    </row>
    <row r="15" spans="1:20" ht="15">
      <c r="A15" s="793"/>
      <c r="B15" s="793" t="s">
        <v>1120</v>
      </c>
      <c r="C15" s="793"/>
      <c r="D15" s="794"/>
      <c r="E15" s="794"/>
      <c r="F15" s="794"/>
      <c r="G15" s="794"/>
      <c r="H15" s="793"/>
      <c r="I15" s="793" t="s">
        <v>1121</v>
      </c>
      <c r="J15" s="793"/>
      <c r="K15" s="795"/>
      <c r="L15" s="794"/>
      <c r="M15" s="794"/>
      <c r="N15" s="794"/>
      <c r="O15" s="794"/>
      <c r="P15" s="794"/>
      <c r="Q15" s="793" t="s">
        <v>465</v>
      </c>
      <c r="R15" s="794"/>
      <c r="S15" s="796"/>
      <c r="T15" s="792"/>
    </row>
    <row r="16" spans="1:20" ht="13.5" customHeight="1">
      <c r="A16" s="793"/>
      <c r="B16" s="793"/>
      <c r="C16" s="793"/>
      <c r="D16" s="793"/>
      <c r="E16" s="795"/>
      <c r="F16" s="795"/>
      <c r="G16" s="795"/>
      <c r="H16" s="793"/>
      <c r="I16" s="793"/>
      <c r="J16" s="795"/>
      <c r="K16" s="795"/>
      <c r="L16" s="795"/>
      <c r="M16" s="795"/>
      <c r="N16" s="795"/>
      <c r="O16" s="795"/>
      <c r="P16" s="795"/>
      <c r="Q16" s="793"/>
      <c r="R16" s="793"/>
      <c r="S16" s="793"/>
    </row>
    <row r="17" spans="1:20">
      <c r="A17" s="793"/>
      <c r="B17" s="793"/>
      <c r="C17" s="793"/>
      <c r="D17" s="793"/>
      <c r="E17" s="795"/>
      <c r="F17" s="795"/>
      <c r="G17" s="795"/>
      <c r="H17" s="795"/>
      <c r="I17" s="793"/>
      <c r="J17" s="795"/>
      <c r="K17" s="795"/>
      <c r="L17" s="795"/>
      <c r="M17" s="795"/>
      <c r="N17" s="795"/>
      <c r="O17" s="795"/>
      <c r="P17" s="795"/>
      <c r="Q17" s="793"/>
      <c r="R17" s="793"/>
      <c r="S17" s="793"/>
    </row>
    <row r="18" spans="1:20">
      <c r="C18" s="888"/>
      <c r="D18" s="888"/>
      <c r="E18" s="888"/>
      <c r="F18" s="888"/>
      <c r="G18" s="888"/>
      <c r="H18" s="888"/>
      <c r="J18" s="888"/>
      <c r="K18" s="888"/>
      <c r="L18" s="888"/>
      <c r="M18" s="888"/>
      <c r="N18" s="888"/>
      <c r="O18" s="888"/>
      <c r="P18" s="888"/>
    </row>
    <row r="19" spans="1:20" ht="12.75" customHeight="1">
      <c r="C19" s="888"/>
      <c r="D19" s="888"/>
      <c r="E19" s="888"/>
      <c r="F19" s="888"/>
      <c r="G19" s="888"/>
      <c r="H19" s="888"/>
      <c r="I19" s="888"/>
      <c r="J19" s="888"/>
      <c r="K19" s="888"/>
      <c r="L19" s="888"/>
      <c r="M19" s="888"/>
      <c r="N19" s="888"/>
      <c r="O19" s="888"/>
      <c r="P19" s="888"/>
    </row>
    <row r="20" spans="1:20" ht="18" customHeight="1" thickBot="1">
      <c r="B20" s="786"/>
      <c r="C20" s="786"/>
      <c r="D20" s="786"/>
      <c r="E20" s="786"/>
      <c r="F20" s="786"/>
      <c r="G20" s="786"/>
      <c r="H20" s="786"/>
      <c r="I20" s="786"/>
      <c r="J20" s="786"/>
      <c r="L20" s="786"/>
      <c r="M20" s="786"/>
      <c r="N20" s="786"/>
      <c r="O20" s="786"/>
      <c r="P20" s="786"/>
      <c r="Q20" s="786"/>
      <c r="R20" s="786"/>
    </row>
    <row r="21" spans="1:20" ht="13.5" thickTop="1">
      <c r="A21" s="1762" t="s">
        <v>616</v>
      </c>
      <c r="B21" s="1763"/>
      <c r="C21" s="1763"/>
      <c r="D21" s="1763"/>
      <c r="E21" s="1763"/>
      <c r="F21" s="1763"/>
      <c r="G21" s="1763"/>
      <c r="H21" s="1763"/>
      <c r="I21" s="1763"/>
      <c r="J21" s="1788"/>
      <c r="K21" s="1789" t="s">
        <v>616</v>
      </c>
      <c r="L21" s="1763"/>
      <c r="M21" s="1763"/>
      <c r="N21" s="1763"/>
      <c r="O21" s="1763"/>
      <c r="P21" s="1763"/>
      <c r="Q21" s="1763"/>
      <c r="R21" s="1763"/>
      <c r="S21" s="1764"/>
    </row>
    <row r="22" spans="1:20" ht="14.25" customHeight="1" thickBot="1">
      <c r="A22" s="1765" t="s">
        <v>617</v>
      </c>
      <c r="B22" s="1766"/>
      <c r="C22" s="1766"/>
      <c r="D22" s="1766"/>
      <c r="E22" s="1766"/>
      <c r="F22" s="1766"/>
      <c r="G22" s="1766"/>
      <c r="H22" s="1766"/>
      <c r="I22" s="1766"/>
      <c r="J22" s="1790"/>
      <c r="K22" s="1791" t="s">
        <v>617</v>
      </c>
      <c r="L22" s="1767"/>
      <c r="M22" s="1767"/>
      <c r="N22" s="1767"/>
      <c r="O22" s="1767"/>
      <c r="P22" s="1767"/>
      <c r="Q22" s="1767"/>
      <c r="R22" s="1767"/>
      <c r="S22" s="1768"/>
    </row>
    <row r="23" spans="1:20" ht="21" customHeight="1">
      <c r="A23" s="797"/>
      <c r="B23" s="798"/>
      <c r="C23" s="798"/>
      <c r="D23" s="798"/>
      <c r="E23" s="798"/>
      <c r="F23" s="798"/>
      <c r="G23" s="1769" t="s">
        <v>618</v>
      </c>
      <c r="H23" s="1769"/>
      <c r="I23" s="1769"/>
      <c r="J23" s="1769"/>
      <c r="K23" s="799"/>
      <c r="L23" s="800"/>
      <c r="M23" s="800"/>
      <c r="N23" s="800"/>
      <c r="O23" s="800"/>
      <c r="P23" s="800"/>
      <c r="Q23" s="801" t="s">
        <v>618</v>
      </c>
      <c r="R23" s="800"/>
      <c r="S23" s="802"/>
      <c r="T23" s="786"/>
    </row>
    <row r="24" spans="1:20">
      <c r="A24" s="797"/>
      <c r="B24" s="798"/>
      <c r="C24" s="798"/>
      <c r="D24" s="798"/>
      <c r="E24" s="798"/>
      <c r="F24" s="798"/>
      <c r="G24" s="1770"/>
      <c r="H24" s="1770"/>
      <c r="I24" s="1770"/>
      <c r="J24" s="1770"/>
      <c r="K24" s="797"/>
      <c r="L24" s="798"/>
      <c r="M24" s="798"/>
      <c r="N24" s="798"/>
      <c r="O24" s="798"/>
      <c r="P24" s="798"/>
      <c r="Q24" s="1770"/>
      <c r="R24" s="1770"/>
      <c r="S24" s="1774"/>
      <c r="T24" s="786"/>
    </row>
    <row r="25" spans="1:20" ht="16.5" customHeight="1">
      <c r="A25" s="797"/>
      <c r="B25" s="798"/>
      <c r="C25" s="798"/>
      <c r="D25" s="798"/>
      <c r="E25" s="798"/>
      <c r="F25" s="798"/>
      <c r="G25" s="1748"/>
      <c r="H25" s="1749"/>
      <c r="I25" s="1749"/>
      <c r="J25" s="1749"/>
      <c r="K25" s="797"/>
      <c r="L25" s="798"/>
      <c r="M25" s="798"/>
      <c r="N25" s="798"/>
      <c r="O25" s="798"/>
      <c r="P25" s="798"/>
      <c r="Q25" s="1748"/>
      <c r="R25" s="1749"/>
      <c r="S25" s="1750"/>
      <c r="T25" s="786"/>
    </row>
    <row r="26" spans="1:20" ht="15.75" thickBot="1">
      <c r="A26" s="797"/>
      <c r="B26" s="803"/>
      <c r="C26" s="798"/>
      <c r="D26" s="798"/>
      <c r="E26" s="798"/>
      <c r="F26" s="798"/>
      <c r="G26" s="1748"/>
      <c r="H26" s="1749"/>
      <c r="I26" s="1749"/>
      <c r="J26" s="1749"/>
      <c r="K26" s="797"/>
      <c r="L26" s="803"/>
      <c r="M26" s="798"/>
      <c r="N26" s="798"/>
      <c r="O26" s="798"/>
      <c r="P26" s="798"/>
      <c r="Q26" s="1748"/>
      <c r="R26" s="1748"/>
      <c r="S26" s="1773"/>
      <c r="T26" s="786"/>
    </row>
    <row r="27" spans="1:20" ht="15">
      <c r="A27" s="1760" t="s">
        <v>298</v>
      </c>
      <c r="B27" s="1761"/>
      <c r="C27" s="798"/>
      <c r="D27" s="798"/>
      <c r="E27" s="798"/>
      <c r="F27" s="798"/>
      <c r="G27" s="1748"/>
      <c r="H27" s="1749"/>
      <c r="I27" s="1749"/>
      <c r="J27" s="1749"/>
      <c r="K27" s="1760" t="s">
        <v>298</v>
      </c>
      <c r="L27" s="1761"/>
      <c r="M27" s="798"/>
      <c r="N27" s="798"/>
      <c r="O27" s="798"/>
      <c r="P27" s="798"/>
      <c r="Q27" s="1748"/>
      <c r="R27" s="1749"/>
      <c r="S27" s="1750"/>
      <c r="T27" s="786"/>
    </row>
    <row r="28" spans="1:20" ht="13.5" customHeight="1">
      <c r="A28" s="1755" t="s">
        <v>299</v>
      </c>
      <c r="B28" s="1756"/>
      <c r="C28" s="798"/>
      <c r="D28" s="798"/>
      <c r="E28" s="798"/>
      <c r="F28" s="798"/>
      <c r="G28" s="1748"/>
      <c r="H28" s="1749"/>
      <c r="I28" s="1749"/>
      <c r="J28" s="1749"/>
      <c r="K28" s="1755" t="s">
        <v>299</v>
      </c>
      <c r="L28" s="1756"/>
      <c r="M28" s="798"/>
      <c r="N28" s="798"/>
      <c r="O28" s="798"/>
      <c r="P28" s="798"/>
      <c r="Q28" s="1748"/>
      <c r="R28" s="1749"/>
      <c r="S28" s="1750"/>
      <c r="T28" s="786"/>
    </row>
    <row r="29" spans="1:20" ht="13.5" customHeight="1" thickBot="1">
      <c r="A29" s="1757"/>
      <c r="B29" s="1758"/>
      <c r="C29" s="798"/>
      <c r="D29" s="798"/>
      <c r="E29" s="798"/>
      <c r="F29" s="798"/>
      <c r="G29" s="1748"/>
      <c r="H29" s="1749"/>
      <c r="I29" s="1749"/>
      <c r="J29" s="1749"/>
      <c r="K29" s="1757"/>
      <c r="L29" s="1758"/>
      <c r="M29" s="798"/>
      <c r="N29" s="798"/>
      <c r="O29" s="798"/>
      <c r="P29" s="798"/>
      <c r="Q29" s="1748"/>
      <c r="R29" s="1749"/>
      <c r="S29" s="1750"/>
      <c r="T29" s="786"/>
    </row>
    <row r="30" spans="1:20" ht="13.5" customHeight="1">
      <c r="A30" s="1755"/>
      <c r="B30" s="1759"/>
      <c r="C30" s="798"/>
      <c r="D30" s="798"/>
      <c r="E30" s="798"/>
      <c r="F30" s="798"/>
      <c r="G30" s="1748"/>
      <c r="H30" s="1749"/>
      <c r="I30" s="1749"/>
      <c r="J30" s="1749"/>
      <c r="K30" s="804"/>
      <c r="L30" s="805"/>
      <c r="M30" s="798"/>
      <c r="N30" s="798"/>
      <c r="O30" s="798"/>
      <c r="P30" s="798"/>
      <c r="Q30" s="1748"/>
      <c r="R30" s="1749"/>
      <c r="S30" s="1750"/>
      <c r="T30" s="786"/>
    </row>
    <row r="31" spans="1:20" ht="13.5" customHeight="1">
      <c r="A31" s="804"/>
      <c r="B31" s="805"/>
      <c r="C31" s="798"/>
      <c r="D31" s="798"/>
      <c r="E31" s="798"/>
      <c r="F31" s="798"/>
      <c r="G31" s="1748"/>
      <c r="H31" s="1749"/>
      <c r="I31" s="1749"/>
      <c r="J31" s="1749"/>
      <c r="K31" s="804"/>
      <c r="L31" s="805"/>
      <c r="M31" s="798"/>
      <c r="N31" s="798"/>
      <c r="O31" s="798"/>
      <c r="P31" s="798"/>
      <c r="Q31" s="1748"/>
      <c r="R31" s="1749"/>
      <c r="S31" s="1750"/>
      <c r="T31" s="786"/>
    </row>
    <row r="32" spans="1:20" ht="13.5" customHeight="1">
      <c r="A32" s="804"/>
      <c r="B32" s="805"/>
      <c r="C32" s="798"/>
      <c r="D32" s="798"/>
      <c r="E32" s="798"/>
      <c r="F32" s="798"/>
      <c r="G32" s="1748"/>
      <c r="H32" s="1749"/>
      <c r="I32" s="1749"/>
      <c r="J32" s="1749"/>
      <c r="K32" s="804"/>
      <c r="L32" s="805"/>
      <c r="M32" s="798"/>
      <c r="N32" s="798"/>
      <c r="O32" s="798"/>
      <c r="P32" s="798"/>
      <c r="Q32" s="1748"/>
      <c r="R32" s="1749"/>
      <c r="S32" s="1750"/>
      <c r="T32" s="786"/>
    </row>
    <row r="33" spans="1:20" ht="15">
      <c r="A33" s="804"/>
      <c r="B33" s="805"/>
      <c r="C33" s="798"/>
      <c r="D33" s="798"/>
      <c r="E33" s="798"/>
      <c r="F33" s="798"/>
      <c r="G33" s="1748"/>
      <c r="H33" s="1749"/>
      <c r="I33" s="1749"/>
      <c r="J33" s="1749"/>
      <c r="K33" s="804"/>
      <c r="L33" s="805"/>
      <c r="M33" s="798"/>
      <c r="N33" s="798"/>
      <c r="O33" s="798"/>
      <c r="P33" s="798"/>
      <c r="Q33" s="1748"/>
      <c r="R33" s="1749"/>
      <c r="S33" s="1750"/>
      <c r="T33" s="786"/>
    </row>
    <row r="34" spans="1:20" ht="15">
      <c r="A34" s="797"/>
      <c r="B34" s="798"/>
      <c r="C34" s="798"/>
      <c r="D34" s="798"/>
      <c r="E34" s="798"/>
      <c r="F34" s="798"/>
      <c r="G34" s="1748"/>
      <c r="H34" s="1749"/>
      <c r="I34" s="1749"/>
      <c r="J34" s="1749"/>
      <c r="K34" s="797"/>
      <c r="L34" s="798"/>
      <c r="M34" s="798"/>
      <c r="N34" s="798"/>
      <c r="O34" s="798"/>
      <c r="P34" s="798"/>
      <c r="Q34" s="1748"/>
      <c r="R34" s="1749"/>
      <c r="S34" s="1750"/>
      <c r="T34" s="786"/>
    </row>
    <row r="35" spans="1:20" ht="15">
      <c r="A35" s="797"/>
      <c r="B35" s="798"/>
      <c r="C35" s="798"/>
      <c r="D35" s="798"/>
      <c r="E35" s="798"/>
      <c r="F35" s="798"/>
      <c r="G35" s="1748"/>
      <c r="H35" s="1749"/>
      <c r="I35" s="1749"/>
      <c r="J35" s="1749"/>
      <c r="K35" s="797"/>
      <c r="L35" s="798"/>
      <c r="M35" s="798"/>
      <c r="N35" s="798"/>
      <c r="O35" s="798"/>
      <c r="P35" s="798"/>
      <c r="Q35" s="1748"/>
      <c r="R35" s="1749"/>
      <c r="S35" s="1750"/>
      <c r="T35" s="786"/>
    </row>
    <row r="36" spans="1:20" ht="15">
      <c r="A36" s="797"/>
      <c r="B36" s="798"/>
      <c r="C36" s="798"/>
      <c r="D36" s="798"/>
      <c r="E36" s="798"/>
      <c r="F36" s="798"/>
      <c r="G36" s="1748"/>
      <c r="H36" s="1749"/>
      <c r="I36" s="1749"/>
      <c r="J36" s="1749"/>
      <c r="K36" s="797"/>
      <c r="L36" s="798"/>
      <c r="M36" s="798"/>
      <c r="N36" s="798"/>
      <c r="O36" s="798"/>
      <c r="P36" s="798"/>
      <c r="Q36" s="1748"/>
      <c r="R36" s="1749"/>
      <c r="S36" s="1750"/>
      <c r="T36" s="786"/>
    </row>
    <row r="37" spans="1:20" ht="15">
      <c r="A37" s="797"/>
      <c r="B37" s="798"/>
      <c r="C37" s="798"/>
      <c r="D37" s="798"/>
      <c r="E37" s="798"/>
      <c r="F37" s="798"/>
      <c r="G37" s="1748"/>
      <c r="H37" s="1749"/>
      <c r="I37" s="1749"/>
      <c r="J37" s="1749"/>
      <c r="K37" s="797"/>
      <c r="L37" s="798"/>
      <c r="M37" s="798"/>
      <c r="N37" s="798"/>
      <c r="O37" s="798"/>
      <c r="P37" s="798"/>
      <c r="Q37" s="1748"/>
      <c r="R37" s="1749"/>
      <c r="S37" s="1750"/>
      <c r="T37" s="786"/>
    </row>
    <row r="38" spans="1:20" ht="15">
      <c r="A38" s="797"/>
      <c r="B38" s="798"/>
      <c r="C38" s="798"/>
      <c r="D38" s="798"/>
      <c r="E38" s="798"/>
      <c r="F38" s="798"/>
      <c r="G38" s="1748"/>
      <c r="H38" s="1749"/>
      <c r="I38" s="1749"/>
      <c r="J38" s="1749"/>
      <c r="K38" s="797"/>
      <c r="L38" s="798"/>
      <c r="M38" s="798"/>
      <c r="N38" s="798"/>
      <c r="O38" s="798"/>
      <c r="P38" s="798"/>
      <c r="Q38" s="1748"/>
      <c r="R38" s="1749"/>
      <c r="S38" s="1750"/>
      <c r="T38" s="786"/>
    </row>
    <row r="39" spans="1:20" ht="12.75" customHeight="1">
      <c r="A39" s="797"/>
      <c r="B39" s="798"/>
      <c r="C39" s="798"/>
      <c r="D39" s="798"/>
      <c r="E39" s="798"/>
      <c r="F39" s="798"/>
      <c r="G39" s="1748"/>
      <c r="H39" s="1749"/>
      <c r="I39" s="1749"/>
      <c r="J39" s="1749"/>
      <c r="K39" s="797"/>
      <c r="L39" s="798"/>
      <c r="M39" s="798"/>
      <c r="N39" s="798"/>
      <c r="O39" s="798"/>
      <c r="P39" s="798"/>
      <c r="Q39" s="1748"/>
      <c r="R39" s="1749"/>
      <c r="S39" s="1750"/>
      <c r="T39" s="786"/>
    </row>
    <row r="40" spans="1:20" ht="3.75" customHeight="1" thickBot="1">
      <c r="A40" s="797"/>
      <c r="B40" s="798"/>
      <c r="C40" s="798"/>
      <c r="D40" s="798"/>
      <c r="E40" s="798"/>
      <c r="F40" s="798"/>
      <c r="G40" s="798"/>
      <c r="H40" s="798"/>
      <c r="I40" s="798"/>
      <c r="J40" s="798"/>
      <c r="K40" s="797"/>
      <c r="L40" s="798"/>
      <c r="M40" s="1751"/>
      <c r="N40" s="1751"/>
      <c r="O40" s="1751"/>
      <c r="P40" s="1751"/>
      <c r="Q40" s="798"/>
      <c r="R40" s="798"/>
      <c r="S40" s="806"/>
    </row>
    <row r="41" spans="1:20" ht="13.5" thickBot="1">
      <c r="A41" s="797"/>
      <c r="B41" s="803"/>
      <c r="C41" s="1752" t="s">
        <v>300</v>
      </c>
      <c r="D41" s="1753"/>
      <c r="E41" s="1753"/>
      <c r="F41" s="1753"/>
      <c r="G41" s="1754"/>
      <c r="H41" s="798"/>
      <c r="I41" s="798"/>
      <c r="J41" s="798"/>
      <c r="K41" s="807"/>
      <c r="L41" s="798"/>
      <c r="M41" s="1752" t="s">
        <v>300</v>
      </c>
      <c r="N41" s="1753"/>
      <c r="O41" s="1753"/>
      <c r="P41" s="1753"/>
      <c r="Q41" s="1754"/>
      <c r="R41" s="798"/>
      <c r="S41" s="808"/>
    </row>
    <row r="42" spans="1:20" ht="13.5" thickBot="1">
      <c r="A42" s="797"/>
      <c r="B42" s="798"/>
      <c r="C42" s="798"/>
      <c r="D42" s="798"/>
      <c r="E42" s="798"/>
      <c r="F42" s="798"/>
      <c r="G42" s="798"/>
      <c r="H42" s="798"/>
      <c r="I42" s="798"/>
      <c r="J42" s="798"/>
      <c r="K42" s="807"/>
      <c r="L42" s="798"/>
      <c r="M42" s="798"/>
      <c r="N42" s="798"/>
      <c r="O42" s="798"/>
      <c r="P42" s="798"/>
      <c r="Q42" s="798"/>
      <c r="R42" s="798"/>
      <c r="S42" s="808"/>
    </row>
    <row r="43" spans="1:20" ht="18" customHeight="1" thickTop="1">
      <c r="A43" s="1762" t="s">
        <v>616</v>
      </c>
      <c r="B43" s="1763"/>
      <c r="C43" s="1763"/>
      <c r="D43" s="1763"/>
      <c r="E43" s="1763"/>
      <c r="F43" s="1763"/>
      <c r="G43" s="1763"/>
      <c r="H43" s="1763"/>
      <c r="I43" s="1763"/>
      <c r="J43" s="1763"/>
      <c r="K43" s="1762" t="s">
        <v>616</v>
      </c>
      <c r="L43" s="1763"/>
      <c r="M43" s="1763"/>
      <c r="N43" s="1763"/>
      <c r="O43" s="1763"/>
      <c r="P43" s="1763"/>
      <c r="Q43" s="1763"/>
      <c r="R43" s="1763"/>
      <c r="S43" s="1764"/>
    </row>
    <row r="44" spans="1:20" ht="15.75" thickBot="1">
      <c r="A44" s="1765" t="s">
        <v>617</v>
      </c>
      <c r="B44" s="1766"/>
      <c r="C44" s="1766"/>
      <c r="D44" s="1766"/>
      <c r="E44" s="1766"/>
      <c r="F44" s="1766"/>
      <c r="G44" s="1766"/>
      <c r="H44" s="1766"/>
      <c r="I44" s="1766"/>
      <c r="J44" s="1766"/>
      <c r="K44" s="1765" t="s">
        <v>617</v>
      </c>
      <c r="L44" s="1767"/>
      <c r="M44" s="1767"/>
      <c r="N44" s="1767"/>
      <c r="O44" s="1767"/>
      <c r="P44" s="1767"/>
      <c r="Q44" s="1767"/>
      <c r="R44" s="1767"/>
      <c r="S44" s="1768"/>
    </row>
    <row r="45" spans="1:20" ht="27" customHeight="1">
      <c r="A45" s="797"/>
      <c r="B45" s="798"/>
      <c r="C45" s="798"/>
      <c r="D45" s="798"/>
      <c r="E45" s="798"/>
      <c r="F45" s="798"/>
      <c r="G45" s="1769" t="s">
        <v>618</v>
      </c>
      <c r="H45" s="1769"/>
      <c r="I45" s="1769"/>
      <c r="J45" s="1769"/>
      <c r="K45" s="807"/>
      <c r="L45" s="798"/>
      <c r="M45" s="798"/>
      <c r="N45" s="798"/>
      <c r="O45" s="798"/>
      <c r="P45" s="798"/>
      <c r="Q45" s="809" t="s">
        <v>618</v>
      </c>
      <c r="R45" s="798"/>
      <c r="S45" s="808"/>
    </row>
    <row r="46" spans="1:20" ht="15">
      <c r="A46" s="797"/>
      <c r="B46" s="798"/>
      <c r="C46" s="798"/>
      <c r="D46" s="798"/>
      <c r="E46" s="798"/>
      <c r="F46" s="798"/>
      <c r="G46" s="1770"/>
      <c r="H46" s="1770"/>
      <c r="I46" s="1770"/>
      <c r="J46" s="1770"/>
      <c r="K46" s="797"/>
      <c r="L46" s="798"/>
      <c r="M46" s="798"/>
      <c r="N46" s="798"/>
      <c r="O46" s="798"/>
      <c r="P46" s="798"/>
      <c r="Q46" s="1770"/>
      <c r="R46" s="1771"/>
      <c r="S46" s="1772"/>
    </row>
    <row r="47" spans="1:20" ht="15">
      <c r="A47" s="797"/>
      <c r="B47" s="798"/>
      <c r="C47" s="798"/>
      <c r="D47" s="798"/>
      <c r="E47" s="798"/>
      <c r="F47" s="798"/>
      <c r="G47" s="1748"/>
      <c r="H47" s="1749"/>
      <c r="I47" s="1749"/>
      <c r="J47" s="1749"/>
      <c r="K47" s="797"/>
      <c r="L47" s="798"/>
      <c r="M47" s="798"/>
      <c r="N47" s="798"/>
      <c r="O47" s="798"/>
      <c r="P47" s="798"/>
      <c r="Q47" s="1748"/>
      <c r="R47" s="1749"/>
      <c r="S47" s="1750"/>
    </row>
    <row r="48" spans="1:20" ht="15.75" thickBot="1">
      <c r="A48" s="797"/>
      <c r="B48" s="803"/>
      <c r="C48" s="798"/>
      <c r="D48" s="798"/>
      <c r="E48" s="798"/>
      <c r="F48" s="798"/>
      <c r="G48" s="1748"/>
      <c r="H48" s="1749"/>
      <c r="I48" s="1749"/>
      <c r="J48" s="1749"/>
      <c r="K48" s="797"/>
      <c r="L48" s="803"/>
      <c r="M48" s="798"/>
      <c r="N48" s="798"/>
      <c r="O48" s="798"/>
      <c r="P48" s="798"/>
      <c r="Q48" s="1748"/>
      <c r="R48" s="1749"/>
      <c r="S48" s="1750"/>
    </row>
    <row r="49" spans="1:19" ht="15">
      <c r="A49" s="1760" t="s">
        <v>298</v>
      </c>
      <c r="B49" s="1761"/>
      <c r="C49" s="798"/>
      <c r="D49" s="798"/>
      <c r="E49" s="798"/>
      <c r="F49" s="798"/>
      <c r="G49" s="1748"/>
      <c r="H49" s="1749"/>
      <c r="I49" s="1749"/>
      <c r="J49" s="1749"/>
      <c r="K49" s="1760" t="s">
        <v>298</v>
      </c>
      <c r="L49" s="1761"/>
      <c r="M49" s="798"/>
      <c r="N49" s="798"/>
      <c r="O49" s="798"/>
      <c r="P49" s="798"/>
      <c r="Q49" s="1748"/>
      <c r="R49" s="1749"/>
      <c r="S49" s="1750"/>
    </row>
    <row r="50" spans="1:19" ht="15">
      <c r="A50" s="1755" t="s">
        <v>299</v>
      </c>
      <c r="B50" s="1756"/>
      <c r="C50" s="798"/>
      <c r="D50" s="798"/>
      <c r="E50" s="798"/>
      <c r="F50" s="798"/>
      <c r="G50" s="1748"/>
      <c r="H50" s="1749"/>
      <c r="I50" s="1749"/>
      <c r="J50" s="1749"/>
      <c r="K50" s="1755" t="s">
        <v>299</v>
      </c>
      <c r="L50" s="1756"/>
      <c r="M50" s="798"/>
      <c r="N50" s="798"/>
      <c r="O50" s="798"/>
      <c r="P50" s="798"/>
      <c r="Q50" s="1748"/>
      <c r="R50" s="1749"/>
      <c r="S50" s="1750"/>
    </row>
    <row r="51" spans="1:19" ht="15.75" thickBot="1">
      <c r="A51" s="1757"/>
      <c r="B51" s="1758"/>
      <c r="C51" s="798"/>
      <c r="D51" s="798"/>
      <c r="E51" s="798"/>
      <c r="F51" s="798"/>
      <c r="G51" s="1748"/>
      <c r="H51" s="1749"/>
      <c r="I51" s="1749"/>
      <c r="J51" s="1749"/>
      <c r="K51" s="1757"/>
      <c r="L51" s="1758"/>
      <c r="M51" s="798"/>
      <c r="N51" s="798"/>
      <c r="O51" s="798"/>
      <c r="P51" s="798"/>
      <c r="Q51" s="1748"/>
      <c r="R51" s="1749"/>
      <c r="S51" s="1750"/>
    </row>
    <row r="52" spans="1:19" ht="15">
      <c r="A52" s="1755"/>
      <c r="B52" s="1759"/>
      <c r="C52" s="798"/>
      <c r="D52" s="798"/>
      <c r="E52" s="798"/>
      <c r="F52" s="798"/>
      <c r="G52" s="1748"/>
      <c r="H52" s="1749"/>
      <c r="I52" s="1749"/>
      <c r="J52" s="1749"/>
      <c r="K52" s="804"/>
      <c r="L52" s="805"/>
      <c r="M52" s="798"/>
      <c r="N52" s="798"/>
      <c r="O52" s="798"/>
      <c r="P52" s="798"/>
      <c r="Q52" s="1748"/>
      <c r="R52" s="1749"/>
      <c r="S52" s="1750"/>
    </row>
    <row r="53" spans="1:19" ht="15">
      <c r="A53" s="804"/>
      <c r="B53" s="805"/>
      <c r="C53" s="798"/>
      <c r="D53" s="798"/>
      <c r="E53" s="798"/>
      <c r="F53" s="798"/>
      <c r="G53" s="1748"/>
      <c r="H53" s="1749"/>
      <c r="I53" s="1749"/>
      <c r="J53" s="1749"/>
      <c r="K53" s="804"/>
      <c r="L53" s="805"/>
      <c r="M53" s="798"/>
      <c r="N53" s="798"/>
      <c r="O53" s="798"/>
      <c r="P53" s="798"/>
      <c r="Q53" s="1748"/>
      <c r="R53" s="1749"/>
      <c r="S53" s="1750"/>
    </row>
    <row r="54" spans="1:19" ht="15">
      <c r="A54" s="804"/>
      <c r="B54" s="805"/>
      <c r="C54" s="798"/>
      <c r="D54" s="798"/>
      <c r="E54" s="798"/>
      <c r="F54" s="798"/>
      <c r="G54" s="1748"/>
      <c r="H54" s="1749"/>
      <c r="I54" s="1749"/>
      <c r="J54" s="1749"/>
      <c r="K54" s="804"/>
      <c r="L54" s="805"/>
      <c r="M54" s="798"/>
      <c r="N54" s="798"/>
      <c r="O54" s="798"/>
      <c r="P54" s="798"/>
      <c r="Q54" s="1748"/>
      <c r="R54" s="1749"/>
      <c r="S54" s="1750"/>
    </row>
    <row r="55" spans="1:19" ht="15">
      <c r="A55" s="804"/>
      <c r="B55" s="805"/>
      <c r="C55" s="798"/>
      <c r="D55" s="798"/>
      <c r="E55" s="798"/>
      <c r="F55" s="798"/>
      <c r="G55" s="1748"/>
      <c r="H55" s="1749"/>
      <c r="I55" s="1749"/>
      <c r="J55" s="1749"/>
      <c r="K55" s="804"/>
      <c r="L55" s="805"/>
      <c r="M55" s="798"/>
      <c r="N55" s="798"/>
      <c r="O55" s="798"/>
      <c r="P55" s="798"/>
      <c r="Q55" s="1748"/>
      <c r="R55" s="1749"/>
      <c r="S55" s="1750"/>
    </row>
    <row r="56" spans="1:19" ht="15">
      <c r="A56" s="797"/>
      <c r="B56" s="798"/>
      <c r="C56" s="798"/>
      <c r="D56" s="798"/>
      <c r="E56" s="798"/>
      <c r="F56" s="798"/>
      <c r="G56" s="1748"/>
      <c r="H56" s="1749"/>
      <c r="I56" s="1749"/>
      <c r="J56" s="1749"/>
      <c r="K56" s="797"/>
      <c r="L56" s="798"/>
      <c r="M56" s="798"/>
      <c r="N56" s="798"/>
      <c r="O56" s="798"/>
      <c r="P56" s="798"/>
      <c r="Q56" s="1748"/>
      <c r="R56" s="1749"/>
      <c r="S56" s="1750"/>
    </row>
    <row r="57" spans="1:19" ht="15">
      <c r="A57" s="797"/>
      <c r="B57" s="798"/>
      <c r="C57" s="798"/>
      <c r="D57" s="798"/>
      <c r="E57" s="798"/>
      <c r="F57" s="798"/>
      <c r="G57" s="1748"/>
      <c r="H57" s="1749"/>
      <c r="I57" s="1749"/>
      <c r="J57" s="1749"/>
      <c r="K57" s="797"/>
      <c r="L57" s="798"/>
      <c r="M57" s="798"/>
      <c r="N57" s="798"/>
      <c r="O57" s="798"/>
      <c r="P57" s="798"/>
      <c r="Q57" s="1748"/>
      <c r="R57" s="1749"/>
      <c r="S57" s="1750"/>
    </row>
    <row r="58" spans="1:19" ht="15">
      <c r="A58" s="797"/>
      <c r="B58" s="798"/>
      <c r="C58" s="798"/>
      <c r="D58" s="798"/>
      <c r="E58" s="798"/>
      <c r="F58" s="798"/>
      <c r="G58" s="1748"/>
      <c r="H58" s="1749"/>
      <c r="I58" s="1749"/>
      <c r="J58" s="1749"/>
      <c r="K58" s="797"/>
      <c r="L58" s="798"/>
      <c r="M58" s="798"/>
      <c r="N58" s="798"/>
      <c r="O58" s="798"/>
      <c r="P58" s="798"/>
      <c r="Q58" s="1748"/>
      <c r="R58" s="1749"/>
      <c r="S58" s="1750"/>
    </row>
    <row r="59" spans="1:19" ht="15">
      <c r="A59" s="797"/>
      <c r="B59" s="798"/>
      <c r="C59" s="798"/>
      <c r="D59" s="798"/>
      <c r="E59" s="798"/>
      <c r="F59" s="798"/>
      <c r="G59" s="1748"/>
      <c r="H59" s="1749"/>
      <c r="I59" s="1749"/>
      <c r="J59" s="1749"/>
      <c r="K59" s="797"/>
      <c r="L59" s="798"/>
      <c r="M59" s="798"/>
      <c r="N59" s="798"/>
      <c r="O59" s="798"/>
      <c r="P59" s="798"/>
      <c r="Q59" s="1748"/>
      <c r="R59" s="1749"/>
      <c r="S59" s="1750"/>
    </row>
    <row r="60" spans="1:19" ht="15">
      <c r="A60" s="797"/>
      <c r="B60" s="798"/>
      <c r="C60" s="798"/>
      <c r="D60" s="798"/>
      <c r="E60" s="798"/>
      <c r="F60" s="798"/>
      <c r="G60" s="1748"/>
      <c r="H60" s="1749"/>
      <c r="I60" s="1749"/>
      <c r="J60" s="1749"/>
      <c r="K60" s="797"/>
      <c r="L60" s="798"/>
      <c r="M60" s="798"/>
      <c r="N60" s="798"/>
      <c r="O60" s="798"/>
      <c r="P60" s="798"/>
      <c r="Q60" s="1748"/>
      <c r="R60" s="1749"/>
      <c r="S60" s="1750"/>
    </row>
    <row r="61" spans="1:19" ht="15">
      <c r="A61" s="797"/>
      <c r="B61" s="798"/>
      <c r="C61" s="798"/>
      <c r="D61" s="798"/>
      <c r="E61" s="798"/>
      <c r="F61" s="798"/>
      <c r="G61" s="1748"/>
      <c r="H61" s="1749"/>
      <c r="I61" s="1749"/>
      <c r="J61" s="1749"/>
      <c r="K61" s="797"/>
      <c r="L61" s="798"/>
      <c r="M61" s="798"/>
      <c r="N61" s="798"/>
      <c r="O61" s="798"/>
      <c r="P61" s="798"/>
      <c r="Q61" s="1748"/>
      <c r="R61" s="1749"/>
      <c r="S61" s="1750"/>
    </row>
    <row r="62" spans="1:19" ht="13.5" thickBot="1">
      <c r="A62" s="797"/>
      <c r="B62" s="798"/>
      <c r="C62" s="798"/>
      <c r="D62" s="798"/>
      <c r="E62" s="798"/>
      <c r="F62" s="798"/>
      <c r="G62" s="798"/>
      <c r="H62" s="798"/>
      <c r="I62" s="798"/>
      <c r="J62" s="798"/>
      <c r="K62" s="797"/>
      <c r="L62" s="798"/>
      <c r="M62" s="1751"/>
      <c r="N62" s="1751"/>
      <c r="O62" s="1751"/>
      <c r="P62" s="1751"/>
      <c r="Q62" s="798"/>
      <c r="R62" s="798"/>
      <c r="S62" s="806"/>
    </row>
    <row r="63" spans="1:19" ht="13.5" thickBot="1">
      <c r="A63" s="797"/>
      <c r="B63" s="803"/>
      <c r="C63" s="1752" t="s">
        <v>300</v>
      </c>
      <c r="D63" s="1753"/>
      <c r="E63" s="1753"/>
      <c r="F63" s="1753"/>
      <c r="G63" s="1754"/>
      <c r="H63" s="798"/>
      <c r="I63" s="798"/>
      <c r="J63" s="798"/>
      <c r="K63" s="807"/>
      <c r="L63" s="798"/>
      <c r="M63" s="1752" t="s">
        <v>300</v>
      </c>
      <c r="N63" s="1753"/>
      <c r="O63" s="1753"/>
      <c r="P63" s="1753"/>
      <c r="Q63" s="1754"/>
      <c r="R63" s="798"/>
      <c r="S63" s="808"/>
    </row>
    <row r="64" spans="1:19" ht="13.5" thickBot="1">
      <c r="A64" s="810"/>
      <c r="B64" s="811"/>
      <c r="C64" s="811"/>
      <c r="D64" s="811"/>
      <c r="E64" s="811"/>
      <c r="F64" s="811"/>
      <c r="G64" s="811"/>
      <c r="H64" s="811"/>
      <c r="I64" s="811"/>
      <c r="J64" s="811"/>
      <c r="K64" s="812"/>
      <c r="L64" s="811"/>
      <c r="M64" s="811"/>
      <c r="N64" s="811"/>
      <c r="O64" s="811"/>
      <c r="P64" s="811"/>
      <c r="Q64" s="811"/>
      <c r="R64" s="811"/>
      <c r="S64" s="813"/>
    </row>
    <row r="65" spans="3:3" ht="13.5" thickTop="1"/>
    <row r="68" spans="3:3">
      <c r="C68" s="776" t="s">
        <v>466</v>
      </c>
    </row>
    <row r="69" spans="3:3">
      <c r="C69" s="776" t="s">
        <v>467</v>
      </c>
    </row>
  </sheetData>
  <mergeCells count="100">
    <mergeCell ref="G24:J24"/>
    <mergeCell ref="Q24:S24"/>
    <mergeCell ref="A1:C2"/>
    <mergeCell ref="D1:Q2"/>
    <mergeCell ref="R1:S2"/>
    <mergeCell ref="Q4:S4"/>
    <mergeCell ref="A5:C6"/>
    <mergeCell ref="D5:S6"/>
    <mergeCell ref="A21:J21"/>
    <mergeCell ref="K21:S21"/>
    <mergeCell ref="A22:J22"/>
    <mergeCell ref="K22:S22"/>
    <mergeCell ref="G23:J23"/>
    <mergeCell ref="G25:J25"/>
    <mergeCell ref="Q25:S25"/>
    <mergeCell ref="G26:J26"/>
    <mergeCell ref="Q26:S26"/>
    <mergeCell ref="A27:B27"/>
    <mergeCell ref="G27:J27"/>
    <mergeCell ref="K27:L27"/>
    <mergeCell ref="Q27:S27"/>
    <mergeCell ref="G32:J32"/>
    <mergeCell ref="Q32:S32"/>
    <mergeCell ref="A28:B28"/>
    <mergeCell ref="G28:J28"/>
    <mergeCell ref="K28:L28"/>
    <mergeCell ref="Q28:S28"/>
    <mergeCell ref="A29:B29"/>
    <mergeCell ref="G29:J29"/>
    <mergeCell ref="K29:L29"/>
    <mergeCell ref="Q29:S29"/>
    <mergeCell ref="A30:B30"/>
    <mergeCell ref="G30:J30"/>
    <mergeCell ref="Q30:S30"/>
    <mergeCell ref="G31:J31"/>
    <mergeCell ref="Q31:S31"/>
    <mergeCell ref="G33:J33"/>
    <mergeCell ref="Q33:S33"/>
    <mergeCell ref="G34:J34"/>
    <mergeCell ref="Q34:S34"/>
    <mergeCell ref="G35:J35"/>
    <mergeCell ref="Q35:S35"/>
    <mergeCell ref="G36:J36"/>
    <mergeCell ref="Q36:S36"/>
    <mergeCell ref="G37:J37"/>
    <mergeCell ref="Q37:S37"/>
    <mergeCell ref="G38:J38"/>
    <mergeCell ref="Q38:S38"/>
    <mergeCell ref="G47:J47"/>
    <mergeCell ref="Q47:S47"/>
    <mergeCell ref="G39:J39"/>
    <mergeCell ref="Q39:S39"/>
    <mergeCell ref="M40:P40"/>
    <mergeCell ref="C41:G41"/>
    <mergeCell ref="M41:Q41"/>
    <mergeCell ref="A43:J43"/>
    <mergeCell ref="K43:S43"/>
    <mergeCell ref="A44:J44"/>
    <mergeCell ref="K44:S44"/>
    <mergeCell ref="G45:J45"/>
    <mergeCell ref="G46:J46"/>
    <mergeCell ref="Q46:S46"/>
    <mergeCell ref="G48:J48"/>
    <mergeCell ref="Q48:S48"/>
    <mergeCell ref="A49:B49"/>
    <mergeCell ref="G49:J49"/>
    <mergeCell ref="K49:L49"/>
    <mergeCell ref="Q49:S49"/>
    <mergeCell ref="G54:J54"/>
    <mergeCell ref="Q54:S54"/>
    <mergeCell ref="A50:B50"/>
    <mergeCell ref="G50:J50"/>
    <mergeCell ref="K50:L50"/>
    <mergeCell ref="Q50:S50"/>
    <mergeCell ref="A51:B51"/>
    <mergeCell ref="G51:J51"/>
    <mergeCell ref="K51:L51"/>
    <mergeCell ref="Q51:S51"/>
    <mergeCell ref="A52:B52"/>
    <mergeCell ref="G52:J52"/>
    <mergeCell ref="Q52:S52"/>
    <mergeCell ref="G53:J53"/>
    <mergeCell ref="Q53:S53"/>
    <mergeCell ref="G55:J55"/>
    <mergeCell ref="Q55:S55"/>
    <mergeCell ref="G56:J56"/>
    <mergeCell ref="Q56:S56"/>
    <mergeCell ref="G57:J57"/>
    <mergeCell ref="Q57:S57"/>
    <mergeCell ref="G58:J58"/>
    <mergeCell ref="Q58:S58"/>
    <mergeCell ref="G59:J59"/>
    <mergeCell ref="Q59:S59"/>
    <mergeCell ref="G60:J60"/>
    <mergeCell ref="Q60:S60"/>
    <mergeCell ref="G61:J61"/>
    <mergeCell ref="Q61:S61"/>
    <mergeCell ref="M62:P62"/>
    <mergeCell ref="C63:G63"/>
    <mergeCell ref="M63:Q63"/>
  </mergeCells>
  <printOptions horizontalCentered="1" verticalCentered="1"/>
  <pageMargins left="0" right="0" top="0.39370078740157483" bottom="0.39370078740157483" header="0" footer="0"/>
  <pageSetup paperSize="9" scale="75" orientation="portrait" blackAndWhite="1" horizontalDpi="4294967292" verticalDpi="4294967292" r:id="rId1"/>
  <headerFooter>
    <oddFooter>&amp;LEdité le &amp;D&amp;C&amp;P/&amp;N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3">
    <tabColor rgb="FFCCFFCC"/>
    <pageSetUpPr fitToPage="1"/>
  </sheetPr>
  <dimension ref="A1:U90"/>
  <sheetViews>
    <sheetView showGridLines="0" view="pageBreakPreview" topLeftCell="A64" zoomScaleNormal="75" workbookViewId="0">
      <selection activeCell="C6" sqref="C6"/>
    </sheetView>
  </sheetViews>
  <sheetFormatPr baseColWidth="10" defaultColWidth="11.42578125" defaultRowHeight="12.75"/>
  <cols>
    <col min="1" max="1" width="10.140625" style="21" customWidth="1"/>
    <col min="2" max="2" width="5.5703125" style="21" customWidth="1"/>
    <col min="3" max="4" width="10.140625" style="21" customWidth="1"/>
    <col min="5" max="6" width="5.7109375" style="21" customWidth="1"/>
    <col min="7" max="7" width="2" style="21" customWidth="1"/>
    <col min="8" max="8" width="5.7109375" style="21" customWidth="1"/>
    <col min="9" max="9" width="6.28515625" style="21" customWidth="1"/>
    <col min="10" max="10" width="7.85546875" style="21" customWidth="1"/>
    <col min="11" max="11" width="16.85546875" style="21" bestFit="1" customWidth="1"/>
    <col min="12" max="12" width="12.85546875" style="21" customWidth="1"/>
    <col min="13" max="13" width="7.28515625" style="21" customWidth="1"/>
    <col min="14" max="14" width="6" style="21" customWidth="1"/>
    <col min="15" max="16384" width="11.42578125" style="21"/>
  </cols>
  <sheetData>
    <row r="1" spans="1:13" ht="18.75" customHeight="1" thickTop="1">
      <c r="A1" s="1809"/>
      <c r="B1" s="1809"/>
      <c r="C1" s="1705" t="s">
        <v>468</v>
      </c>
      <c r="D1" s="1706"/>
      <c r="E1" s="1706"/>
      <c r="F1" s="1706"/>
      <c r="G1" s="1706"/>
      <c r="H1" s="1706"/>
      <c r="I1" s="1706"/>
      <c r="J1" s="1706"/>
      <c r="K1" s="1706"/>
      <c r="L1" s="1813" t="s">
        <v>469</v>
      </c>
      <c r="M1" s="1814"/>
    </row>
    <row r="2" spans="1:13" ht="21" customHeight="1" thickBot="1">
      <c r="A2" s="1810"/>
      <c r="B2" s="1810"/>
      <c r="C2" s="1708"/>
      <c r="D2" s="1709"/>
      <c r="E2" s="1709"/>
      <c r="F2" s="1709"/>
      <c r="G2" s="1709"/>
      <c r="H2" s="1709"/>
      <c r="I2" s="1709"/>
      <c r="J2" s="1709"/>
      <c r="K2" s="1709"/>
      <c r="L2" s="1815"/>
      <c r="M2" s="1816"/>
    </row>
    <row r="3" spans="1:13" ht="9.75" customHeight="1" thickTop="1">
      <c r="A3" s="20"/>
      <c r="B3" s="20"/>
      <c r="C3" s="20"/>
      <c r="D3" s="10"/>
      <c r="E3" s="10"/>
      <c r="F3" s="10"/>
      <c r="G3" s="10"/>
      <c r="H3" s="10"/>
      <c r="I3" s="10"/>
      <c r="J3" s="10"/>
      <c r="K3" s="10"/>
      <c r="L3" s="10"/>
      <c r="M3" s="10"/>
    </row>
    <row r="4" spans="1:13" ht="15.75">
      <c r="A4" s="29" t="s">
        <v>470</v>
      </c>
      <c r="B4" s="29"/>
      <c r="C4" s="119"/>
      <c r="D4" s="29"/>
      <c r="E4" s="128"/>
      <c r="F4" s="128"/>
      <c r="G4" s="128"/>
      <c r="H4" s="14" t="s">
        <v>798</v>
      </c>
      <c r="I4" s="144"/>
      <c r="J4" s="14"/>
      <c r="K4" s="720" t="str">
        <f>IF(ISBLANK(oeOTP),"",oeOTP)</f>
        <v/>
      </c>
      <c r="L4" s="699"/>
      <c r="M4" s="128"/>
    </row>
    <row r="5" spans="1:13" ht="12.75" customHeight="1">
      <c r="A5" s="128"/>
      <c r="B5" s="128"/>
      <c r="C5" s="128"/>
      <c r="D5" s="128"/>
      <c r="E5" s="128"/>
      <c r="F5" s="128"/>
      <c r="G5" s="128"/>
      <c r="H5" s="128"/>
      <c r="I5" s="128"/>
      <c r="J5" s="128"/>
      <c r="K5" s="128"/>
      <c r="L5" s="128"/>
      <c r="M5" s="128"/>
    </row>
    <row r="6" spans="1:13" ht="12.75" customHeight="1">
      <c r="A6" s="14" t="s">
        <v>462</v>
      </c>
      <c r="B6" s="721" t="str">
        <f>IF(ISBLANK(oMOE),"",oMOE)</f>
        <v/>
      </c>
      <c r="C6" s="701"/>
      <c r="D6" s="14"/>
      <c r="E6" s="14"/>
      <c r="F6" s="538"/>
      <c r="H6" s="538" t="s">
        <v>801</v>
      </c>
      <c r="J6" s="729" t="str">
        <f>IF(ISBLANK(oVille),"",oVille)</f>
        <v/>
      </c>
      <c r="K6" s="702"/>
    </row>
    <row r="7" spans="1:13" ht="13.5" customHeight="1">
      <c r="A7" s="14"/>
      <c r="B7" s="144"/>
      <c r="C7" s="14"/>
      <c r="D7" s="14"/>
      <c r="E7" s="14"/>
      <c r="F7" s="538"/>
      <c r="J7" s="538"/>
      <c r="K7" s="538"/>
    </row>
    <row r="8" spans="1:13" ht="30" customHeight="1">
      <c r="A8" s="538" t="s">
        <v>471</v>
      </c>
      <c r="B8" s="538"/>
      <c r="C8" s="538"/>
      <c r="D8" s="1792" t="str">
        <f>IF(ISBLANK(oLibelleOTP),"",oLibelleOTP)</f>
        <v/>
      </c>
      <c r="E8" s="1792"/>
      <c r="F8" s="1792"/>
      <c r="G8" s="1792"/>
      <c r="H8" s="1792"/>
      <c r="I8" s="1792"/>
      <c r="J8" s="1792"/>
      <c r="K8" s="1792"/>
      <c r="L8" s="1792"/>
      <c r="M8" s="1792"/>
    </row>
    <row r="9" spans="1:13" ht="12.75" customHeight="1">
      <c r="A9" s="538"/>
      <c r="B9" s="538"/>
      <c r="C9" s="538"/>
      <c r="D9" s="538"/>
      <c r="G9" s="538"/>
      <c r="H9" s="538"/>
      <c r="J9" s="538"/>
      <c r="K9" s="538"/>
    </row>
    <row r="10" spans="1:13">
      <c r="A10" s="538"/>
      <c r="B10" s="538"/>
      <c r="C10" s="538"/>
      <c r="D10" s="538"/>
      <c r="E10" s="538"/>
      <c r="F10" s="538"/>
      <c r="G10" s="538"/>
      <c r="H10" s="538"/>
      <c r="J10" s="538"/>
      <c r="K10" s="538"/>
    </row>
    <row r="11" spans="1:13" ht="12.75" customHeight="1">
      <c r="A11" s="39" t="s">
        <v>472</v>
      </c>
      <c r="B11" s="39"/>
      <c r="D11" s="1061" t="str">
        <f>IF(ISBLANK(oDebut_travaux),"",oDebut_travaux)</f>
        <v/>
      </c>
      <c r="E11" s="702"/>
      <c r="F11" s="115"/>
      <c r="H11" s="539" t="s">
        <v>464</v>
      </c>
      <c r="K11" s="1061" t="str">
        <f>IF(ISBLANK(oFinTravaux),"",oFinTravaux)</f>
        <v/>
      </c>
      <c r="L11" s="702"/>
      <c r="M11" s="700"/>
    </row>
    <row r="12" spans="1:13">
      <c r="A12" s="115"/>
      <c r="B12" s="121"/>
      <c r="C12" s="121"/>
      <c r="D12" s="121"/>
      <c r="E12" s="121"/>
      <c r="F12" s="121"/>
      <c r="G12" s="121"/>
      <c r="H12" s="121"/>
      <c r="I12" s="122"/>
      <c r="J12" s="36"/>
      <c r="L12" s="115"/>
      <c r="M12" s="115"/>
    </row>
    <row r="13" spans="1:13">
      <c r="A13" s="115"/>
      <c r="B13" s="121"/>
      <c r="C13" s="121"/>
      <c r="D13" s="121"/>
      <c r="E13" s="121"/>
      <c r="F13" s="121"/>
      <c r="G13" s="121"/>
      <c r="H13" s="121"/>
      <c r="I13" s="122"/>
      <c r="J13" s="40"/>
      <c r="L13" s="115"/>
      <c r="M13" s="115"/>
    </row>
    <row r="14" spans="1:13">
      <c r="A14" s="1819" t="s">
        <v>473</v>
      </c>
      <c r="B14" s="1819"/>
      <c r="C14" s="1819"/>
      <c r="D14" s="1820" t="s">
        <v>474</v>
      </c>
      <c r="E14" s="1820"/>
      <c r="F14" s="1820"/>
      <c r="G14" s="1821"/>
      <c r="H14" s="1811" t="s">
        <v>475</v>
      </c>
      <c r="I14" s="1811"/>
      <c r="J14" s="1811"/>
      <c r="K14" s="1811"/>
      <c r="L14" s="1819" t="s">
        <v>476</v>
      </c>
      <c r="M14" s="1819"/>
    </row>
    <row r="15" spans="1:13" ht="25.5" customHeight="1">
      <c r="A15" s="1812"/>
      <c r="B15" s="1812"/>
      <c r="C15" s="1812"/>
      <c r="D15" s="1817"/>
      <c r="E15" s="1817"/>
      <c r="F15" s="1817"/>
      <c r="G15" s="1818"/>
      <c r="H15" s="1822" t="s">
        <v>477</v>
      </c>
      <c r="I15" s="1823"/>
      <c r="J15" s="1823"/>
      <c r="K15" s="1823"/>
      <c r="L15" s="1812"/>
      <c r="M15" s="1812"/>
    </row>
    <row r="16" spans="1:13" ht="24.75" customHeight="1">
      <c r="A16" s="1804"/>
      <c r="B16" s="1804"/>
      <c r="C16" s="1804"/>
      <c r="D16" s="1807"/>
      <c r="E16" s="1807"/>
      <c r="F16" s="1807"/>
      <c r="G16" s="1808"/>
      <c r="H16" s="1805" t="s">
        <v>477</v>
      </c>
      <c r="I16" s="1806"/>
      <c r="J16" s="1806"/>
      <c r="K16" s="1806"/>
      <c r="L16" s="1804"/>
      <c r="M16" s="1804"/>
    </row>
    <row r="17" spans="1:21" ht="25.5" customHeight="1">
      <c r="A17" s="1804"/>
      <c r="B17" s="1804"/>
      <c r="C17" s="1804"/>
      <c r="D17" s="1807"/>
      <c r="E17" s="1807"/>
      <c r="F17" s="1807"/>
      <c r="G17" s="1808"/>
      <c r="H17" s="1805" t="s">
        <v>477</v>
      </c>
      <c r="I17" s="1806"/>
      <c r="J17" s="1806"/>
      <c r="K17" s="1806"/>
      <c r="L17" s="1804"/>
      <c r="M17" s="1804"/>
    </row>
    <row r="18" spans="1:21" ht="25.5" customHeight="1">
      <c r="A18" s="1804"/>
      <c r="B18" s="1804"/>
      <c r="C18" s="1804"/>
      <c r="D18" s="1807"/>
      <c r="E18" s="1807"/>
      <c r="F18" s="1807"/>
      <c r="G18" s="1808"/>
      <c r="H18" s="1805" t="s">
        <v>477</v>
      </c>
      <c r="I18" s="1806"/>
      <c r="J18" s="1806"/>
      <c r="K18" s="1806"/>
      <c r="L18" s="1804"/>
      <c r="M18" s="1804"/>
    </row>
    <row r="19" spans="1:21" ht="25.5" customHeight="1">
      <c r="A19" s="1804"/>
      <c r="B19" s="1804"/>
      <c r="C19" s="1804"/>
      <c r="D19" s="1807"/>
      <c r="E19" s="1807"/>
      <c r="F19" s="1807"/>
      <c r="G19" s="1808"/>
      <c r="H19" s="1805" t="s">
        <v>477</v>
      </c>
      <c r="I19" s="1806"/>
      <c r="J19" s="1806"/>
      <c r="K19" s="1806"/>
      <c r="L19" s="1804"/>
      <c r="M19" s="1804"/>
    </row>
    <row r="20" spans="1:21" ht="24.75" customHeight="1">
      <c r="A20" s="1801"/>
      <c r="B20" s="1801"/>
      <c r="C20" s="1801"/>
      <c r="D20" s="1802"/>
      <c r="E20" s="1802"/>
      <c r="F20" s="1802"/>
      <c r="G20" s="1803"/>
      <c r="H20" s="1799" t="s">
        <v>477</v>
      </c>
      <c r="I20" s="1800"/>
      <c r="J20" s="1800"/>
      <c r="K20" s="1800"/>
      <c r="L20" s="1801"/>
      <c r="M20" s="1801"/>
    </row>
    <row r="21" spans="1:21">
      <c r="A21" s="115"/>
      <c r="B21" s="121"/>
      <c r="C21" s="121"/>
      <c r="D21" s="121"/>
      <c r="E21" s="121"/>
      <c r="F21" s="121"/>
      <c r="G21" s="121"/>
      <c r="H21" s="121"/>
      <c r="I21" s="122"/>
      <c r="J21" s="40"/>
      <c r="L21" s="115"/>
      <c r="M21" s="115"/>
    </row>
    <row r="22" spans="1:21" ht="18">
      <c r="A22" s="1797" t="s">
        <v>478</v>
      </c>
      <c r="B22" s="1797"/>
      <c r="C22" s="1797"/>
      <c r="D22" s="1797"/>
      <c r="E22" s="1797"/>
      <c r="F22" s="1797"/>
      <c r="G22" s="1797"/>
      <c r="H22" s="1797"/>
      <c r="I22" s="1797"/>
      <c r="J22" s="1797"/>
      <c r="K22" s="1797"/>
      <c r="L22" s="1797"/>
      <c r="M22" s="1797"/>
      <c r="R22" s="117"/>
      <c r="S22" s="117"/>
      <c r="T22" s="117"/>
    </row>
    <row r="23" spans="1:21" ht="18">
      <c r="A23" s="1796"/>
      <c r="B23" s="1796"/>
      <c r="C23" s="1796"/>
      <c r="D23" s="1796"/>
      <c r="E23" s="1796"/>
      <c r="F23" s="1796"/>
      <c r="G23" s="1796"/>
      <c r="H23" s="1796"/>
      <c r="I23" s="1796"/>
      <c r="J23" s="1796"/>
      <c r="K23" s="1796"/>
      <c r="L23" s="124"/>
      <c r="R23" s="117"/>
      <c r="S23" s="117"/>
      <c r="T23" s="117"/>
    </row>
    <row r="24" spans="1:21" ht="15">
      <c r="A24" s="1798"/>
      <c r="B24" s="1798"/>
      <c r="C24" s="1798"/>
      <c r="D24" s="1798"/>
      <c r="E24" s="1798"/>
      <c r="F24" s="1798"/>
      <c r="G24" s="1798"/>
      <c r="H24" s="1798"/>
      <c r="I24" s="1798"/>
      <c r="J24" s="1798"/>
      <c r="K24" s="1798"/>
      <c r="L24" s="1798"/>
      <c r="M24" s="1798"/>
      <c r="R24" s="117"/>
      <c r="S24" s="117"/>
      <c r="T24" s="117"/>
    </row>
    <row r="25" spans="1:21" ht="18" customHeight="1">
      <c r="A25" s="1795"/>
      <c r="B25" s="1795"/>
      <c r="C25" s="1795"/>
      <c r="D25" s="1795"/>
      <c r="E25" s="1795"/>
      <c r="F25" s="1795"/>
      <c r="G25" s="1795"/>
      <c r="H25" s="1795"/>
      <c r="I25" s="1795"/>
      <c r="J25" s="1795"/>
      <c r="K25" s="1795"/>
      <c r="L25" s="1795"/>
      <c r="M25" s="1795"/>
      <c r="S25" s="118"/>
      <c r="T25" s="118"/>
      <c r="U25" s="118"/>
    </row>
    <row r="26" spans="1:21" ht="18" customHeight="1">
      <c r="A26" s="1795"/>
      <c r="B26" s="1795"/>
      <c r="C26" s="1795"/>
      <c r="D26" s="1795"/>
      <c r="E26" s="1795"/>
      <c r="F26" s="1795"/>
      <c r="G26" s="1795"/>
      <c r="H26" s="1795"/>
      <c r="I26" s="1795"/>
      <c r="J26" s="1795"/>
      <c r="K26" s="1795"/>
      <c r="L26" s="1795"/>
      <c r="M26" s="1795"/>
    </row>
    <row r="27" spans="1:21" ht="15">
      <c r="A27" s="1795"/>
      <c r="B27" s="1795"/>
      <c r="C27" s="1795"/>
      <c r="D27" s="1795"/>
      <c r="E27" s="1795"/>
      <c r="F27" s="1795"/>
      <c r="G27" s="1795"/>
      <c r="H27" s="1795"/>
      <c r="I27" s="1795"/>
      <c r="J27" s="1795"/>
      <c r="K27" s="1795"/>
      <c r="L27" s="1795"/>
      <c r="M27" s="1795"/>
      <c r="R27" s="117"/>
      <c r="S27" s="117"/>
      <c r="T27" s="117"/>
    </row>
    <row r="28" spans="1:21" ht="15">
      <c r="A28" s="125"/>
      <c r="B28" s="125"/>
      <c r="C28" s="125"/>
      <c r="D28" s="125"/>
      <c r="E28" s="125"/>
      <c r="F28" s="125"/>
      <c r="G28" s="125"/>
      <c r="H28" s="125"/>
      <c r="I28" s="125"/>
      <c r="J28" s="125"/>
      <c r="K28" s="125"/>
      <c r="L28" s="125"/>
      <c r="M28" s="125"/>
      <c r="R28" s="117"/>
      <c r="S28" s="117"/>
      <c r="T28" s="117"/>
    </row>
    <row r="29" spans="1:21" ht="15">
      <c r="A29" s="125"/>
      <c r="B29" s="125"/>
      <c r="C29" s="125"/>
      <c r="D29" s="125"/>
      <c r="E29" s="125"/>
      <c r="F29" s="125"/>
      <c r="G29" s="125"/>
      <c r="H29" s="125"/>
      <c r="I29" s="125"/>
      <c r="J29" s="125"/>
      <c r="K29" s="125"/>
      <c r="L29" s="125"/>
      <c r="M29" s="125"/>
      <c r="R29" s="117"/>
      <c r="S29" s="117"/>
      <c r="T29" s="117"/>
    </row>
    <row r="30" spans="1:21" ht="18" customHeight="1">
      <c r="A30" s="1795"/>
      <c r="B30" s="1795"/>
      <c r="C30" s="1795"/>
      <c r="D30" s="1795"/>
      <c r="E30" s="1795"/>
      <c r="F30" s="1795"/>
      <c r="G30" s="1795"/>
      <c r="H30" s="1795"/>
      <c r="I30" s="1795"/>
      <c r="J30" s="1795"/>
      <c r="K30" s="1795"/>
      <c r="L30" s="1795"/>
      <c r="M30" s="1795"/>
      <c r="S30" s="118"/>
      <c r="T30" s="118"/>
      <c r="U30" s="118"/>
    </row>
    <row r="31" spans="1:21" ht="18" customHeight="1">
      <c r="A31" s="125"/>
      <c r="B31" s="125"/>
      <c r="C31" s="125"/>
      <c r="D31" s="125"/>
      <c r="E31" s="125"/>
      <c r="F31" s="125"/>
      <c r="G31" s="125"/>
      <c r="H31" s="125"/>
      <c r="I31" s="125"/>
      <c r="J31" s="125"/>
      <c r="K31" s="125"/>
      <c r="L31" s="125"/>
      <c r="M31" s="125"/>
      <c r="S31" s="118"/>
      <c r="T31" s="118"/>
      <c r="U31" s="118"/>
    </row>
    <row r="32" spans="1:21" ht="18" customHeight="1">
      <c r="A32" s="125"/>
      <c r="B32" s="125"/>
      <c r="C32" s="125"/>
      <c r="D32" s="125"/>
      <c r="E32" s="125"/>
      <c r="F32" s="125"/>
      <c r="G32" s="125"/>
      <c r="H32" s="125"/>
      <c r="I32" s="125"/>
      <c r="J32" s="125"/>
      <c r="K32" s="125"/>
      <c r="L32" s="125"/>
      <c r="M32" s="125"/>
      <c r="S32" s="118"/>
      <c r="T32" s="118"/>
      <c r="U32" s="118"/>
    </row>
    <row r="33" spans="1:21" ht="15">
      <c r="A33" s="1795"/>
      <c r="B33" s="1795"/>
      <c r="C33" s="1795"/>
      <c r="D33" s="1795"/>
      <c r="E33" s="1795"/>
      <c r="F33" s="1795"/>
      <c r="G33" s="1795"/>
      <c r="H33" s="1795"/>
      <c r="I33" s="1795"/>
      <c r="J33" s="1795"/>
      <c r="K33" s="1795"/>
      <c r="L33" s="1795"/>
      <c r="M33" s="1795"/>
      <c r="R33" s="117"/>
      <c r="S33" s="117"/>
      <c r="T33" s="117"/>
    </row>
    <row r="34" spans="1:21" ht="15">
      <c r="A34" s="1795"/>
      <c r="B34" s="1795"/>
      <c r="C34" s="1795"/>
      <c r="D34" s="1795"/>
      <c r="E34" s="1795"/>
      <c r="F34" s="1795"/>
      <c r="G34" s="1795"/>
      <c r="H34" s="1795"/>
      <c r="I34" s="1795"/>
      <c r="J34" s="1795"/>
      <c r="K34" s="1795"/>
      <c r="L34" s="1795"/>
      <c r="M34" s="1795"/>
      <c r="R34" s="117"/>
      <c r="S34" s="117"/>
      <c r="T34" s="117"/>
    </row>
    <row r="35" spans="1:21" ht="15">
      <c r="A35" s="125"/>
      <c r="B35" s="125"/>
      <c r="C35" s="125"/>
      <c r="D35" s="125"/>
      <c r="E35" s="125"/>
      <c r="F35" s="125"/>
      <c r="G35" s="125"/>
      <c r="H35" s="125"/>
      <c r="I35" s="125"/>
      <c r="J35" s="125"/>
      <c r="K35" s="125"/>
      <c r="L35" s="125"/>
      <c r="M35" s="125"/>
      <c r="R35" s="117"/>
      <c r="S35" s="117"/>
      <c r="T35" s="117"/>
    </row>
    <row r="36" spans="1:21" ht="15">
      <c r="A36" s="125"/>
      <c r="B36" s="125"/>
      <c r="C36" s="125"/>
      <c r="D36" s="125"/>
      <c r="E36" s="125"/>
      <c r="F36" s="125"/>
      <c r="G36" s="125"/>
      <c r="H36" s="125"/>
      <c r="I36" s="125"/>
      <c r="J36" s="125"/>
      <c r="K36" s="125"/>
      <c r="L36" s="125"/>
      <c r="M36" s="125"/>
      <c r="R36" s="117"/>
      <c r="S36" s="117"/>
      <c r="T36" s="117"/>
    </row>
    <row r="37" spans="1:21" ht="18" customHeight="1">
      <c r="A37" s="1795"/>
      <c r="B37" s="1795"/>
      <c r="C37" s="1795"/>
      <c r="D37" s="1795"/>
      <c r="E37" s="1795"/>
      <c r="F37" s="1795"/>
      <c r="G37" s="1795"/>
      <c r="H37" s="1795"/>
      <c r="I37" s="1795"/>
      <c r="J37" s="1795"/>
      <c r="K37" s="1795"/>
      <c r="L37" s="1795"/>
      <c r="M37" s="1795"/>
      <c r="S37" s="118"/>
      <c r="T37" s="118"/>
      <c r="U37" s="118"/>
    </row>
    <row r="38" spans="1:21" ht="18" customHeight="1">
      <c r="A38" s="1795"/>
      <c r="B38" s="1795"/>
      <c r="C38" s="1795"/>
      <c r="D38" s="1795"/>
      <c r="E38" s="1795"/>
      <c r="F38" s="1795"/>
      <c r="G38" s="1795"/>
      <c r="H38" s="1795"/>
      <c r="I38" s="1795"/>
      <c r="J38" s="1795"/>
      <c r="K38" s="1795"/>
      <c r="L38" s="1795"/>
      <c r="M38" s="1795"/>
      <c r="S38" s="118"/>
      <c r="T38" s="118"/>
      <c r="U38" s="118"/>
    </row>
    <row r="39" spans="1:21" ht="18" customHeight="1">
      <c r="A39" s="1795"/>
      <c r="B39" s="1795"/>
      <c r="C39" s="1795"/>
      <c r="D39" s="1795"/>
      <c r="E39" s="1795"/>
      <c r="F39" s="1795"/>
      <c r="G39" s="1795"/>
      <c r="H39" s="1795"/>
      <c r="I39" s="1795"/>
      <c r="J39" s="1795"/>
      <c r="K39" s="1795"/>
      <c r="L39" s="1795"/>
      <c r="M39" s="1795"/>
    </row>
    <row r="40" spans="1:21" ht="15">
      <c r="A40" s="1795"/>
      <c r="B40" s="1795"/>
      <c r="C40" s="1795"/>
      <c r="D40" s="1795"/>
      <c r="E40" s="1795"/>
      <c r="F40" s="1795"/>
      <c r="G40" s="1795"/>
      <c r="H40" s="1795"/>
      <c r="I40" s="1795"/>
      <c r="J40" s="1795"/>
      <c r="K40" s="1795"/>
      <c r="L40" s="1795"/>
      <c r="M40" s="1795"/>
      <c r="R40" s="117"/>
      <c r="S40" s="117"/>
      <c r="T40" s="117"/>
    </row>
    <row r="41" spans="1:21" ht="15">
      <c r="A41" s="1795"/>
      <c r="B41" s="1795"/>
      <c r="C41" s="1795"/>
      <c r="D41" s="1795"/>
      <c r="E41" s="1795"/>
      <c r="F41" s="1795"/>
      <c r="G41" s="1795"/>
      <c r="H41" s="1795"/>
      <c r="I41" s="1795"/>
      <c r="J41" s="1795"/>
      <c r="K41" s="1795"/>
      <c r="L41" s="1795"/>
      <c r="M41" s="1795"/>
      <c r="R41" s="117"/>
      <c r="S41" s="117"/>
      <c r="T41" s="117"/>
    </row>
    <row r="42" spans="1:21" ht="18" customHeight="1">
      <c r="A42" s="1795"/>
      <c r="B42" s="1795"/>
      <c r="C42" s="1795"/>
      <c r="D42" s="1795"/>
      <c r="E42" s="1795"/>
      <c r="F42" s="1795"/>
      <c r="G42" s="1795"/>
      <c r="H42" s="1795"/>
      <c r="I42" s="1795"/>
      <c r="J42" s="1795"/>
      <c r="K42" s="1795"/>
      <c r="L42" s="1795"/>
      <c r="M42" s="1795"/>
      <c r="S42" s="118"/>
      <c r="T42" s="118"/>
      <c r="U42" s="118"/>
    </row>
    <row r="43" spans="1:21" ht="18" customHeight="1">
      <c r="A43" s="1795"/>
      <c r="B43" s="1795"/>
      <c r="C43" s="1795"/>
      <c r="D43" s="1795"/>
      <c r="E43" s="1795"/>
      <c r="F43" s="1795"/>
      <c r="G43" s="1795"/>
      <c r="H43" s="1795"/>
      <c r="I43" s="1795"/>
      <c r="J43" s="1795"/>
      <c r="K43" s="1795"/>
      <c r="L43" s="1795"/>
      <c r="M43" s="1795"/>
      <c r="S43" s="118"/>
      <c r="T43" s="118"/>
      <c r="U43" s="118"/>
    </row>
    <row r="45" spans="1:21">
      <c r="A45" s="1796" t="s">
        <v>479</v>
      </c>
      <c r="B45" s="1796"/>
      <c r="C45" s="1796"/>
      <c r="D45" s="1796"/>
      <c r="E45" s="1796"/>
      <c r="F45" s="1796"/>
      <c r="G45" s="1796"/>
      <c r="H45" s="1796"/>
      <c r="I45" s="1796"/>
      <c r="J45" s="1796"/>
      <c r="K45" s="1796"/>
      <c r="L45" s="1796"/>
      <c r="M45" s="1796"/>
    </row>
    <row r="46" spans="1:21" ht="24.95" customHeight="1">
      <c r="A46" s="1793" t="s">
        <v>480</v>
      </c>
      <c r="B46" s="1793"/>
      <c r="C46" s="1793"/>
      <c r="D46" s="1793"/>
      <c r="E46" s="1793"/>
      <c r="F46" s="1793"/>
      <c r="G46" s="1793"/>
      <c r="H46" s="1793"/>
      <c r="I46" s="1793"/>
      <c r="J46" s="1793"/>
      <c r="K46" s="1793"/>
      <c r="L46" s="1793"/>
      <c r="M46" s="1793"/>
    </row>
    <row r="47" spans="1:21" ht="24.95" customHeight="1">
      <c r="A47" s="1793"/>
      <c r="B47" s="1793"/>
      <c r="C47" s="1793"/>
      <c r="D47" s="1793"/>
      <c r="E47" s="1793"/>
      <c r="F47" s="1793"/>
      <c r="G47" s="1793"/>
      <c r="H47" s="1793"/>
      <c r="I47" s="1793"/>
      <c r="J47" s="1793"/>
      <c r="K47" s="1793"/>
      <c r="L47" s="1793"/>
      <c r="M47" s="1793"/>
    </row>
    <row r="48" spans="1:21">
      <c r="A48" s="33" t="s">
        <v>1504</v>
      </c>
    </row>
    <row r="49" spans="1:7" ht="24.95" customHeight="1"/>
    <row r="50" spans="1:7">
      <c r="A50" s="39" t="s">
        <v>1505</v>
      </c>
      <c r="G50" s="38" t="s">
        <v>481</v>
      </c>
    </row>
    <row r="51" spans="1:7">
      <c r="A51" s="21" t="s">
        <v>482</v>
      </c>
      <c r="G51" s="21" t="s">
        <v>483</v>
      </c>
    </row>
    <row r="52" spans="1:7">
      <c r="A52" s="21" t="s">
        <v>484</v>
      </c>
      <c r="G52" s="21" t="s">
        <v>485</v>
      </c>
    </row>
    <row r="53" spans="1:7">
      <c r="G53" s="21" t="s">
        <v>486</v>
      </c>
    </row>
    <row r="54" spans="1:7">
      <c r="A54" s="38" t="s">
        <v>487</v>
      </c>
      <c r="G54" s="21" t="s">
        <v>488</v>
      </c>
    </row>
    <row r="55" spans="1:7">
      <c r="A55" s="21" t="s">
        <v>489</v>
      </c>
    </row>
    <row r="56" spans="1:7">
      <c r="A56" s="21" t="s">
        <v>490</v>
      </c>
      <c r="G56" s="38" t="s">
        <v>491</v>
      </c>
    </row>
    <row r="57" spans="1:7">
      <c r="A57" s="21" t="s">
        <v>492</v>
      </c>
    </row>
    <row r="58" spans="1:7">
      <c r="A58" s="21" t="s">
        <v>493</v>
      </c>
      <c r="G58" s="38" t="s">
        <v>494</v>
      </c>
    </row>
    <row r="60" spans="1:7">
      <c r="A60" s="38" t="s">
        <v>495</v>
      </c>
      <c r="G60" s="38" t="s">
        <v>496</v>
      </c>
    </row>
    <row r="61" spans="1:7">
      <c r="A61" s="21" t="s">
        <v>497</v>
      </c>
    </row>
    <row r="62" spans="1:7">
      <c r="A62" s="21" t="s">
        <v>498</v>
      </c>
      <c r="G62" s="38" t="s">
        <v>499</v>
      </c>
    </row>
    <row r="63" spans="1:7">
      <c r="A63" s="21" t="s">
        <v>500</v>
      </c>
    </row>
    <row r="64" spans="1:7">
      <c r="A64" s="21" t="s">
        <v>501</v>
      </c>
      <c r="G64" s="38" t="s">
        <v>502</v>
      </c>
    </row>
    <row r="65" spans="1:13" ht="27" customHeight="1">
      <c r="A65" s="1794" t="s">
        <v>503</v>
      </c>
      <c r="B65" s="1794"/>
      <c r="C65" s="1794"/>
      <c r="D65" s="1794"/>
      <c r="E65" s="1794"/>
      <c r="F65" s="1794"/>
      <c r="G65" s="1794" t="s">
        <v>504</v>
      </c>
      <c r="H65" s="1794"/>
      <c r="I65" s="1794"/>
      <c r="J65" s="1794"/>
      <c r="K65" s="1794"/>
      <c r="L65" s="1794"/>
      <c r="M65" s="1794"/>
    </row>
    <row r="66" spans="1:13">
      <c r="A66" s="21" t="s">
        <v>505</v>
      </c>
      <c r="G66" s="21" t="s">
        <v>506</v>
      </c>
    </row>
    <row r="67" spans="1:13">
      <c r="A67" s="21" t="s">
        <v>507</v>
      </c>
      <c r="G67" s="21" t="s">
        <v>508</v>
      </c>
    </row>
    <row r="68" spans="1:13">
      <c r="G68" s="21" t="s">
        <v>509</v>
      </c>
    </row>
    <row r="69" spans="1:13">
      <c r="A69" s="38" t="s">
        <v>510</v>
      </c>
    </row>
    <row r="70" spans="1:13">
      <c r="A70" s="21" t="s">
        <v>511</v>
      </c>
      <c r="G70" s="38" t="s">
        <v>512</v>
      </c>
    </row>
    <row r="71" spans="1:13">
      <c r="A71" s="21" t="s">
        <v>513</v>
      </c>
      <c r="G71" s="21" t="s">
        <v>514</v>
      </c>
    </row>
    <row r="72" spans="1:13">
      <c r="A72" s="21" t="s">
        <v>515</v>
      </c>
      <c r="G72" s="21" t="s">
        <v>516</v>
      </c>
    </row>
    <row r="73" spans="1:13">
      <c r="A73" s="21" t="s">
        <v>517</v>
      </c>
    </row>
    <row r="74" spans="1:13">
      <c r="A74" s="21" t="s">
        <v>518</v>
      </c>
      <c r="G74" s="38" t="s">
        <v>519</v>
      </c>
    </row>
    <row r="75" spans="1:13">
      <c r="A75" s="21" t="s">
        <v>520</v>
      </c>
    </row>
    <row r="76" spans="1:13">
      <c r="A76" s="21" t="s">
        <v>521</v>
      </c>
      <c r="G76" s="38" t="s">
        <v>522</v>
      </c>
    </row>
    <row r="77" spans="1:13">
      <c r="G77" s="21" t="s">
        <v>523</v>
      </c>
    </row>
    <row r="78" spans="1:13">
      <c r="A78" s="38" t="s">
        <v>524</v>
      </c>
      <c r="G78" s="21" t="s">
        <v>525</v>
      </c>
    </row>
    <row r="79" spans="1:13">
      <c r="A79" s="21" t="s">
        <v>526</v>
      </c>
      <c r="G79" s="21" t="s">
        <v>527</v>
      </c>
    </row>
    <row r="80" spans="1:13">
      <c r="G80" s="21" t="s">
        <v>528</v>
      </c>
    </row>
    <row r="81" spans="1:7">
      <c r="A81" s="38" t="s">
        <v>529</v>
      </c>
      <c r="G81" s="21" t="s">
        <v>530</v>
      </c>
    </row>
    <row r="82" spans="1:7">
      <c r="G82" s="21" t="s">
        <v>531</v>
      </c>
    </row>
    <row r="83" spans="1:7">
      <c r="A83" s="38" t="s">
        <v>532</v>
      </c>
    </row>
    <row r="85" spans="1:7">
      <c r="A85" s="38" t="s">
        <v>533</v>
      </c>
    </row>
    <row r="86" spans="1:7">
      <c r="A86" s="21" t="s">
        <v>534</v>
      </c>
    </row>
    <row r="87" spans="1:7">
      <c r="A87" s="21" t="s">
        <v>535</v>
      </c>
    </row>
    <row r="88" spans="1:7">
      <c r="A88" s="21" t="s">
        <v>536</v>
      </c>
    </row>
    <row r="89" spans="1:7">
      <c r="A89" s="21" t="s">
        <v>537</v>
      </c>
    </row>
    <row r="90" spans="1:7">
      <c r="A90" s="21" t="s">
        <v>538</v>
      </c>
    </row>
  </sheetData>
  <mergeCells count="52">
    <mergeCell ref="A1:B2"/>
    <mergeCell ref="H14:K14"/>
    <mergeCell ref="H16:K16"/>
    <mergeCell ref="L15:M15"/>
    <mergeCell ref="L17:M17"/>
    <mergeCell ref="C1:K2"/>
    <mergeCell ref="L1:M2"/>
    <mergeCell ref="D15:G15"/>
    <mergeCell ref="D16:G16"/>
    <mergeCell ref="L14:M14"/>
    <mergeCell ref="D14:G14"/>
    <mergeCell ref="A14:C14"/>
    <mergeCell ref="A15:C15"/>
    <mergeCell ref="H15:K15"/>
    <mergeCell ref="A17:C17"/>
    <mergeCell ref="D17:G17"/>
    <mergeCell ref="H20:K20"/>
    <mergeCell ref="L20:M20"/>
    <mergeCell ref="D20:G20"/>
    <mergeCell ref="A20:C20"/>
    <mergeCell ref="A16:C16"/>
    <mergeCell ref="H17:K17"/>
    <mergeCell ref="L16:M16"/>
    <mergeCell ref="H19:K19"/>
    <mergeCell ref="L19:M19"/>
    <mergeCell ref="D19:G19"/>
    <mergeCell ref="A19:C19"/>
    <mergeCell ref="H18:K18"/>
    <mergeCell ref="L18:M18"/>
    <mergeCell ref="D18:G18"/>
    <mergeCell ref="A18:C18"/>
    <mergeCell ref="A37:M37"/>
    <mergeCell ref="A22:M22"/>
    <mergeCell ref="A23:K23"/>
    <mergeCell ref="A24:M24"/>
    <mergeCell ref="A25:M25"/>
    <mergeCell ref="D8:M8"/>
    <mergeCell ref="A46:M47"/>
    <mergeCell ref="A65:F65"/>
    <mergeCell ref="G65:M65"/>
    <mergeCell ref="A42:M42"/>
    <mergeCell ref="A43:M43"/>
    <mergeCell ref="A45:M45"/>
    <mergeCell ref="A38:M38"/>
    <mergeCell ref="A39:M39"/>
    <mergeCell ref="A40:M40"/>
    <mergeCell ref="A41:M41"/>
    <mergeCell ref="A26:M26"/>
    <mergeCell ref="A27:M27"/>
    <mergeCell ref="A30:M30"/>
    <mergeCell ref="A33:M33"/>
    <mergeCell ref="A34:M34"/>
  </mergeCells>
  <phoneticPr fontId="12" type="noConversion"/>
  <printOptions horizontalCentered="1" verticalCentered="1"/>
  <pageMargins left="0" right="0" top="0" bottom="0.39370078740157483" header="0" footer="0"/>
  <pageSetup paperSize="9" scale="97" fitToHeight="0" orientation="portrait" blackAndWhite="1" r:id="rId1"/>
  <headerFooter alignWithMargins="0">
    <oddFooter>&amp;L&amp;8Edité le &amp;D&amp;C&amp;P/&amp;N</oddFooter>
  </headerFooter>
  <rowBreaks count="1" manualBreakCount="1">
    <brk id="45" max="1638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57">
    <pageSetUpPr fitToPage="1"/>
  </sheetPr>
  <dimension ref="A1:F42"/>
  <sheetViews>
    <sheetView showGridLines="0" view="pageBreakPreview" zoomScaleNormal="100" zoomScaleSheetLayoutView="100" workbookViewId="0">
      <selection activeCell="C15" sqref="C15"/>
    </sheetView>
  </sheetViews>
  <sheetFormatPr baseColWidth="10" defaultRowHeight="12.75"/>
  <cols>
    <col min="1" max="1" width="19.5703125" style="21" customWidth="1"/>
    <col min="2" max="4" width="11.7109375" style="21" customWidth="1"/>
    <col min="5" max="5" width="14.5703125" style="21" customWidth="1"/>
    <col min="6" max="6" width="11.7109375" style="21" customWidth="1"/>
  </cols>
  <sheetData>
    <row r="1" spans="1:6" ht="23.25">
      <c r="A1" s="114"/>
      <c r="B1" s="1747" t="s">
        <v>455</v>
      </c>
      <c r="C1" s="1747"/>
      <c r="D1" s="1747"/>
      <c r="E1" s="1747"/>
      <c r="F1" s="684">
        <v>2</v>
      </c>
    </row>
    <row r="10" spans="1:6" ht="101.25" customHeight="1"/>
    <row r="15" spans="1:6" ht="23.25">
      <c r="C15" s="1327" t="s">
        <v>319</v>
      </c>
      <c r="D15" s="115"/>
      <c r="E15" s="115"/>
    </row>
    <row r="17" spans="1:2">
      <c r="A17" s="39" t="s">
        <v>1506</v>
      </c>
    </row>
    <row r="18" spans="1:2">
      <c r="A18" s="39" t="s">
        <v>1061</v>
      </c>
    </row>
    <row r="19" spans="1:2">
      <c r="A19" s="39"/>
    </row>
    <row r="20" spans="1:2">
      <c r="B20" s="39"/>
    </row>
    <row r="21" spans="1:2">
      <c r="B21" s="39"/>
    </row>
    <row r="41" spans="2:2">
      <c r="B41" s="18"/>
    </row>
    <row r="42" spans="2:2">
      <c r="B42"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58">
    <pageSetUpPr fitToPage="1"/>
  </sheetPr>
  <dimension ref="A1:F43"/>
  <sheetViews>
    <sheetView showGridLines="0" view="pageBreakPreview" zoomScaleNormal="100" zoomScaleSheetLayoutView="100" workbookViewId="0">
      <selection activeCell="A15" sqref="A15"/>
    </sheetView>
  </sheetViews>
  <sheetFormatPr baseColWidth="10" defaultRowHeight="12.75"/>
  <cols>
    <col min="1" max="1" width="19.5703125" style="21" customWidth="1"/>
    <col min="2" max="4" width="11.7109375" style="21" customWidth="1"/>
    <col min="5" max="5" width="14.5703125" style="21" customWidth="1"/>
    <col min="6" max="6" width="11.7109375" style="21" customWidth="1"/>
  </cols>
  <sheetData>
    <row r="1" spans="1:6" ht="23.25">
      <c r="A1" s="114"/>
      <c r="B1" s="1747" t="s">
        <v>455</v>
      </c>
      <c r="C1" s="1747"/>
      <c r="D1" s="1747"/>
      <c r="E1" s="1747"/>
      <c r="F1" s="684">
        <v>3</v>
      </c>
    </row>
    <row r="10" spans="1:6" ht="101.25" customHeight="1"/>
    <row r="15" spans="1:6" ht="23.25">
      <c r="A15" s="1327" t="s">
        <v>1062</v>
      </c>
      <c r="C15" s="685"/>
      <c r="D15" s="115"/>
      <c r="E15" s="115"/>
    </row>
    <row r="17" spans="2:2">
      <c r="B17" s="39" t="s">
        <v>539</v>
      </c>
    </row>
    <row r="18" spans="2:2">
      <c r="B18" s="39" t="s">
        <v>540</v>
      </c>
    </row>
    <row r="19" spans="2:2">
      <c r="B19" s="39" t="s">
        <v>541</v>
      </c>
    </row>
    <row r="20" spans="2:2">
      <c r="B20" s="39" t="s">
        <v>1063</v>
      </c>
    </row>
    <row r="21" spans="2:2">
      <c r="B21" s="39"/>
    </row>
    <row r="22" spans="2:2">
      <c r="B22" s="39"/>
    </row>
    <row r="42" spans="2:2">
      <c r="B42" s="18"/>
    </row>
    <row r="43" spans="2:2">
      <c r="B43"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59">
    <pageSetUpPr fitToPage="1"/>
  </sheetPr>
  <dimension ref="A1:F45"/>
  <sheetViews>
    <sheetView showGridLines="0" view="pageBreakPreview" topLeftCell="A16" zoomScale="115" zoomScaleNormal="100" zoomScaleSheetLayoutView="115" workbookViewId="0">
      <selection activeCell="B19" sqref="B19"/>
    </sheetView>
  </sheetViews>
  <sheetFormatPr baseColWidth="10" defaultRowHeight="12.75"/>
  <cols>
    <col min="1" max="1" width="15.7109375" style="21" customWidth="1"/>
    <col min="2" max="5" width="11.7109375" style="21" customWidth="1"/>
    <col min="6" max="6" width="20.85546875" style="21" customWidth="1"/>
  </cols>
  <sheetData>
    <row r="1" spans="1:6" ht="23.25">
      <c r="A1" s="114"/>
      <c r="B1" s="1747" t="s">
        <v>455</v>
      </c>
      <c r="C1" s="1747"/>
      <c r="D1" s="1747"/>
      <c r="E1" s="1747"/>
      <c r="F1" s="684">
        <v>4</v>
      </c>
    </row>
    <row r="16" spans="1:6" ht="57" customHeight="1"/>
    <row r="19" spans="2:6" ht="23.25">
      <c r="B19" s="1326" t="s">
        <v>323</v>
      </c>
      <c r="C19" s="685"/>
      <c r="D19" s="115"/>
      <c r="E19" s="115"/>
    </row>
    <row r="21" spans="2:6" ht="24.75" customHeight="1">
      <c r="B21" s="1824" t="s">
        <v>1507</v>
      </c>
      <c r="C21" s="1824"/>
      <c r="D21" s="1824"/>
      <c r="E21" s="1824"/>
      <c r="F21" s="1824"/>
    </row>
    <row r="22" spans="2:6">
      <c r="B22" s="39" t="s">
        <v>542</v>
      </c>
    </row>
    <row r="23" spans="2:6">
      <c r="B23" s="39" t="s">
        <v>1064</v>
      </c>
    </row>
    <row r="24" spans="2:6">
      <c r="B24" s="39" t="s">
        <v>1065</v>
      </c>
    </row>
    <row r="25" spans="2:6">
      <c r="B25" s="39" t="s">
        <v>543</v>
      </c>
    </row>
    <row r="44" spans="2:2">
      <c r="B44" s="18"/>
    </row>
    <row r="45" spans="2:2">
      <c r="B45" s="18"/>
    </row>
  </sheetData>
  <mergeCells count="2">
    <mergeCell ref="B1:E1"/>
    <mergeCell ref="B21:F2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6">
    <pageSetUpPr fitToPage="1"/>
  </sheetPr>
  <dimension ref="A1:G43"/>
  <sheetViews>
    <sheetView showGridLines="0" view="pageBreakPreview" zoomScaleNormal="100" zoomScaleSheetLayoutView="100" workbookViewId="0">
      <selection activeCell="B17" sqref="B17"/>
    </sheetView>
  </sheetViews>
  <sheetFormatPr baseColWidth="10" defaultRowHeight="12.75"/>
  <cols>
    <col min="1" max="1" width="15.7109375" style="21" customWidth="1"/>
    <col min="2" max="6" width="11.7109375" style="21" customWidth="1"/>
  </cols>
  <sheetData>
    <row r="1" spans="1:7" ht="23.25">
      <c r="A1" s="114"/>
      <c r="B1" s="1747" t="s">
        <v>455</v>
      </c>
      <c r="C1" s="1747"/>
      <c r="D1" s="1747"/>
      <c r="E1" s="1747"/>
      <c r="G1" s="684">
        <v>5</v>
      </c>
    </row>
    <row r="13" spans="1:7" ht="90" customHeight="1"/>
    <row r="17" spans="2:7" ht="23.25">
      <c r="B17" s="1326" t="s">
        <v>1066</v>
      </c>
      <c r="C17" s="1326"/>
      <c r="D17" s="115"/>
      <c r="E17" s="115"/>
    </row>
    <row r="19" spans="2:7">
      <c r="B19" s="39" t="s">
        <v>544</v>
      </c>
      <c r="G19" s="39"/>
    </row>
    <row r="20" spans="2:7">
      <c r="B20" s="39" t="s">
        <v>545</v>
      </c>
    </row>
    <row r="21" spans="2:7">
      <c r="B21" s="39" t="s">
        <v>546</v>
      </c>
    </row>
    <row r="22" spans="2:7">
      <c r="B22" s="1825" t="s">
        <v>1067</v>
      </c>
      <c r="C22" s="1825"/>
      <c r="D22" s="1825"/>
      <c r="E22" s="1825"/>
      <c r="F22" s="1825"/>
      <c r="G22" s="1825"/>
    </row>
    <row r="23" spans="2:7">
      <c r="B23" s="39" t="s">
        <v>548</v>
      </c>
      <c r="G23" s="39"/>
    </row>
    <row r="24" spans="2:7">
      <c r="B24" s="39" t="s">
        <v>549</v>
      </c>
    </row>
    <row r="25" spans="2:7">
      <c r="B25" s="39" t="s">
        <v>550</v>
      </c>
    </row>
    <row r="26" spans="2:7">
      <c r="B26" s="39" t="s">
        <v>547</v>
      </c>
    </row>
    <row r="27" spans="2:7">
      <c r="B27" s="39" t="s">
        <v>552</v>
      </c>
    </row>
    <row r="28" spans="2:7">
      <c r="B28" s="39" t="s">
        <v>553</v>
      </c>
    </row>
    <row r="29" spans="2:7">
      <c r="B29" s="39" t="s">
        <v>555</v>
      </c>
    </row>
    <row r="30" spans="2:7">
      <c r="B30" s="39" t="s">
        <v>554</v>
      </c>
    </row>
    <row r="31" spans="2:7">
      <c r="B31" s="39" t="s">
        <v>556</v>
      </c>
    </row>
    <row r="32" spans="2:7">
      <c r="B32" s="39" t="s">
        <v>557</v>
      </c>
    </row>
    <row r="33" spans="2:7">
      <c r="B33" s="39" t="s">
        <v>551</v>
      </c>
    </row>
    <row r="34" spans="2:7">
      <c r="B34" s="39" t="s">
        <v>558</v>
      </c>
    </row>
    <row r="35" spans="2:7">
      <c r="B35" s="39" t="s">
        <v>559</v>
      </c>
    </row>
    <row r="36" spans="2:7">
      <c r="B36" s="39" t="s">
        <v>560</v>
      </c>
    </row>
    <row r="37" spans="2:7" ht="12.75" customHeight="1">
      <c r="B37" s="1824" t="s">
        <v>1068</v>
      </c>
      <c r="C37" s="1824"/>
      <c r="D37" s="1824"/>
      <c r="E37" s="1824"/>
      <c r="F37" s="1824"/>
      <c r="G37" s="1824"/>
    </row>
    <row r="38" spans="2:7">
      <c r="B38" s="539" t="s">
        <v>1508</v>
      </c>
      <c r="C38" s="686"/>
      <c r="D38" s="686"/>
      <c r="E38" s="686"/>
      <c r="F38" s="686"/>
      <c r="G38" s="686"/>
    </row>
    <row r="39" spans="2:7">
      <c r="B39" s="39" t="s">
        <v>561</v>
      </c>
    </row>
    <row r="40" spans="2:7">
      <c r="B40" s="39" t="s">
        <v>1069</v>
      </c>
    </row>
    <row r="41" spans="2:7">
      <c r="B41" s="39" t="s">
        <v>243</v>
      </c>
      <c r="G41" s="39"/>
    </row>
    <row r="42" spans="2:7">
      <c r="B42" s="39" t="s">
        <v>1278</v>
      </c>
      <c r="D42"/>
    </row>
    <row r="43" spans="2:7">
      <c r="B43" s="39"/>
      <c r="D43"/>
    </row>
  </sheetData>
  <mergeCells count="3">
    <mergeCell ref="B1:E1"/>
    <mergeCell ref="B22:G22"/>
    <mergeCell ref="B37:G37"/>
  </mergeCells>
  <phoneticPr fontId="12" type="noConversion"/>
  <printOptions horizontalCentered="1"/>
  <pageMargins left="0" right="0" top="0" bottom="0.39370078740157483" header="0" footer="0"/>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9">
    <tabColor indexed="42"/>
    <pageSetUpPr fitToPage="1"/>
  </sheetPr>
  <dimension ref="A1:M70"/>
  <sheetViews>
    <sheetView showGridLines="0" view="pageBreakPreview" zoomScale="70" zoomScaleNormal="100" zoomScaleSheetLayoutView="70" workbookViewId="0">
      <selection activeCell="F18" sqref="F18"/>
    </sheetView>
  </sheetViews>
  <sheetFormatPr baseColWidth="10" defaultColWidth="11.42578125" defaultRowHeight="15"/>
  <cols>
    <col min="1" max="1" width="15.28515625" style="144" customWidth="1"/>
    <col min="2" max="2" width="11.85546875" style="144" customWidth="1"/>
    <col min="3" max="3" width="5.140625" style="144" customWidth="1"/>
    <col min="4" max="4" width="7.7109375" style="144" customWidth="1"/>
    <col min="5" max="5" width="21.7109375" style="144" customWidth="1"/>
    <col min="6" max="6" width="21.140625" style="144" customWidth="1"/>
    <col min="7" max="7" width="18.42578125" style="144" customWidth="1"/>
    <col min="8" max="8" width="12.28515625" style="144" customWidth="1"/>
    <col min="9" max="9" width="10.140625" style="144" customWidth="1"/>
    <col min="10" max="10" width="6.28515625" style="144" customWidth="1"/>
    <col min="11" max="11" width="8.5703125" style="144" customWidth="1"/>
    <col min="12" max="12" width="23.85546875" style="144" customWidth="1"/>
    <col min="13" max="16384" width="11.42578125" style="144"/>
  </cols>
  <sheetData>
    <row r="1" spans="1:13" s="21" customFormat="1" ht="12.75" customHeight="1" thickTop="1">
      <c r="A1" s="1828"/>
      <c r="B1" s="1830" t="s">
        <v>1375</v>
      </c>
      <c r="C1" s="1831"/>
      <c r="D1" s="1831"/>
      <c r="E1" s="1831"/>
      <c r="F1" s="1831"/>
      <c r="G1" s="1831"/>
      <c r="H1" s="1831"/>
      <c r="I1" s="1831"/>
      <c r="J1" s="1831"/>
      <c r="K1" s="1832"/>
      <c r="L1" s="1836" t="s">
        <v>728</v>
      </c>
    </row>
    <row r="2" spans="1:13" s="21" customFormat="1" ht="26.25" customHeight="1" thickBot="1">
      <c r="A2" s="1829"/>
      <c r="B2" s="1833"/>
      <c r="C2" s="1834"/>
      <c r="D2" s="1834"/>
      <c r="E2" s="1834"/>
      <c r="F2" s="1834"/>
      <c r="G2" s="1834"/>
      <c r="H2" s="1834"/>
      <c r="I2" s="1834"/>
      <c r="J2" s="1834"/>
      <c r="K2" s="1835"/>
      <c r="L2" s="1837"/>
    </row>
    <row r="3" spans="1:13" s="21" customFormat="1" ht="30.75" customHeight="1" thickTop="1">
      <c r="A3" s="38"/>
      <c r="B3" s="38"/>
      <c r="C3" s="38"/>
      <c r="D3" s="38"/>
      <c r="E3" s="126"/>
      <c r="F3" s="126"/>
      <c r="G3" s="126"/>
      <c r="H3" s="126"/>
      <c r="I3" s="126"/>
      <c r="J3" s="126"/>
      <c r="K3" s="126"/>
      <c r="L3" s="126"/>
    </row>
    <row r="4" spans="1:13" s="21" customFormat="1" ht="12.75" customHeight="1">
      <c r="A4" s="121"/>
      <c r="B4" s="121"/>
      <c r="C4" s="121"/>
      <c r="D4" s="121"/>
      <c r="E4" s="121"/>
      <c r="F4" s="121"/>
    </row>
    <row r="5" spans="1:13" s="9" customFormat="1" ht="20.100000000000001" customHeight="1">
      <c r="A5" s="14" t="s">
        <v>462</v>
      </c>
      <c r="B5" s="721" t="str">
        <f>IF(ISBLANK(oMOE),"",oMOE)</f>
        <v/>
      </c>
      <c r="C5" s="701"/>
      <c r="D5" s="5"/>
      <c r="E5" s="5"/>
      <c r="F5" s="14"/>
      <c r="G5" s="14"/>
      <c r="H5" s="5"/>
      <c r="I5" s="5"/>
      <c r="J5" s="14" t="s">
        <v>798</v>
      </c>
      <c r="K5" s="5"/>
      <c r="L5" s="720" t="str">
        <f>IF(ISBLANK(oeOTP),"",oeOTP)</f>
        <v/>
      </c>
    </row>
    <row r="6" spans="1:13" s="9" customFormat="1" ht="7.5" customHeight="1">
      <c r="A6" s="14"/>
      <c r="B6" s="14"/>
      <c r="C6" s="5"/>
      <c r="D6" s="14"/>
      <c r="E6" s="14"/>
      <c r="F6" s="14"/>
      <c r="G6" s="14"/>
      <c r="H6" s="5"/>
      <c r="I6" s="5"/>
      <c r="J6" s="5"/>
      <c r="K6" s="14"/>
      <c r="L6" s="5"/>
    </row>
    <row r="7" spans="1:13" s="9" customFormat="1" ht="20.25" customHeight="1">
      <c r="A7" s="14" t="s">
        <v>801</v>
      </c>
      <c r="B7" s="721" t="str">
        <f>IF(ISBLANK(oVille),"",oVille)</f>
        <v/>
      </c>
      <c r="C7" s="701"/>
      <c r="D7" s="14"/>
      <c r="E7" s="14"/>
      <c r="F7" s="14"/>
      <c r="G7" s="14"/>
      <c r="H7" s="5"/>
      <c r="I7" s="5"/>
      <c r="J7" s="5"/>
      <c r="K7" s="14"/>
      <c r="L7" s="5"/>
    </row>
    <row r="8" spans="1:13" s="9" customFormat="1" ht="8.25" customHeight="1">
      <c r="A8" s="14"/>
      <c r="B8" s="14"/>
      <c r="C8" s="5"/>
      <c r="D8" s="14"/>
      <c r="E8" s="14"/>
      <c r="F8" s="14"/>
      <c r="G8" s="14"/>
      <c r="H8" s="5"/>
      <c r="I8" s="5"/>
      <c r="J8" s="5"/>
      <c r="K8" s="14"/>
      <c r="L8" s="5"/>
    </row>
    <row r="9" spans="1:13" s="9" customFormat="1" ht="33" customHeight="1">
      <c r="A9" s="14" t="s">
        <v>471</v>
      </c>
      <c r="B9" s="14"/>
      <c r="C9" s="5"/>
      <c r="D9" s="1838" t="str">
        <f>IF(ISBLANK(oLibelleOTP),"",oLibelleOTP)</f>
        <v/>
      </c>
      <c r="E9" s="1838"/>
      <c r="F9" s="1838"/>
      <c r="G9" s="1838"/>
      <c r="H9" s="1838"/>
      <c r="I9" s="1838"/>
      <c r="J9" s="1838"/>
      <c r="K9" s="1838"/>
      <c r="L9" s="1838"/>
      <c r="M9" s="1838"/>
    </row>
    <row r="10" spans="1:13" s="9" customFormat="1" ht="7.5" customHeight="1">
      <c r="A10" s="14"/>
      <c r="B10" s="14"/>
      <c r="C10" s="5"/>
      <c r="D10" s="14"/>
      <c r="E10" s="5"/>
      <c r="F10" s="5"/>
      <c r="G10" s="5"/>
      <c r="H10" s="5"/>
      <c r="I10" s="5"/>
      <c r="J10" s="14"/>
      <c r="K10" s="14"/>
      <c r="L10" s="5"/>
    </row>
    <row r="11" spans="1:13" s="9" customFormat="1" ht="20.100000000000001" customHeight="1">
      <c r="A11" s="29" t="s">
        <v>463</v>
      </c>
      <c r="B11" s="29"/>
      <c r="C11" s="5"/>
      <c r="D11" s="1839" t="str">
        <f>IF(ISBLANK(oDebut_travaux),"",oDebut_travaux)</f>
        <v/>
      </c>
      <c r="E11" s="1839"/>
      <c r="F11" s="344"/>
      <c r="G11" s="344"/>
      <c r="H11" s="5"/>
      <c r="I11" s="5"/>
      <c r="J11" s="14"/>
      <c r="K11" s="5"/>
      <c r="L11" s="5"/>
    </row>
    <row r="12" spans="1:13" s="18" customFormat="1" ht="10.5" customHeight="1">
      <c r="A12" s="5"/>
      <c r="B12" s="12"/>
      <c r="C12" s="12"/>
      <c r="D12" s="12"/>
      <c r="E12" s="703"/>
      <c r="F12" s="703"/>
      <c r="G12" s="12"/>
      <c r="H12" s="12"/>
      <c r="I12" s="12"/>
      <c r="J12" s="12"/>
      <c r="K12" s="12"/>
      <c r="L12" s="12"/>
    </row>
    <row r="13" spans="1:13" s="18" customFormat="1" ht="20.100000000000001" customHeight="1">
      <c r="A13" s="14" t="s">
        <v>729</v>
      </c>
      <c r="B13" s="12"/>
      <c r="C13" s="12"/>
      <c r="D13" s="12"/>
      <c r="E13" s="703"/>
      <c r="F13" s="703"/>
      <c r="G13" s="703"/>
      <c r="H13" s="12"/>
      <c r="I13" s="12"/>
      <c r="J13" s="12"/>
      <c r="K13" s="12"/>
      <c r="L13" s="12"/>
    </row>
    <row r="14" spans="1:13" s="18" customFormat="1" ht="20.100000000000001" customHeight="1">
      <c r="A14" s="1826"/>
      <c r="B14" s="1826"/>
      <c r="C14" s="1826"/>
      <c r="D14" s="1826"/>
      <c r="E14" s="1826"/>
      <c r="F14" s="1826"/>
      <c r="G14" s="1826"/>
      <c r="H14" s="1826"/>
      <c r="I14" s="1826"/>
      <c r="J14" s="1826"/>
      <c r="K14" s="1826"/>
      <c r="L14" s="1826"/>
    </row>
    <row r="15" spans="1:13" s="18" customFormat="1" ht="20.100000000000001" customHeight="1">
      <c r="A15" s="1827"/>
      <c r="B15" s="1827"/>
      <c r="C15" s="1827"/>
      <c r="D15" s="1827"/>
      <c r="E15" s="1827"/>
      <c r="F15" s="1827"/>
      <c r="G15" s="1827"/>
      <c r="H15" s="1827"/>
      <c r="I15" s="1827"/>
      <c r="J15" s="1827"/>
      <c r="K15" s="1827"/>
      <c r="L15" s="1827"/>
    </row>
    <row r="16" spans="1:13" s="18" customFormat="1" ht="20.100000000000001" customHeight="1">
      <c r="A16" s="1827"/>
      <c r="B16" s="1827"/>
      <c r="C16" s="1827"/>
      <c r="D16" s="1827"/>
      <c r="E16" s="1827"/>
      <c r="F16" s="1827"/>
      <c r="G16" s="1827"/>
      <c r="H16" s="1827"/>
      <c r="I16" s="1827"/>
      <c r="J16" s="1827"/>
      <c r="K16" s="1827"/>
      <c r="L16" s="1827"/>
    </row>
    <row r="17" spans="1:12" s="121" customFormat="1" ht="13.5" thickBot="1">
      <c r="B17" s="40"/>
      <c r="C17" s="40"/>
      <c r="D17" s="37"/>
      <c r="E17" s="37"/>
    </row>
    <row r="18" spans="1:12" s="134" customFormat="1" ht="108" customHeight="1" thickBot="1">
      <c r="A18" s="1840" t="s">
        <v>730</v>
      </c>
      <c r="B18" s="1841"/>
      <c r="C18" s="1841"/>
      <c r="D18" s="1841"/>
      <c r="E18" s="1842"/>
      <c r="F18" s="133" t="s">
        <v>731</v>
      </c>
      <c r="G18" s="132" t="s">
        <v>732</v>
      </c>
      <c r="H18" s="1841" t="s">
        <v>733</v>
      </c>
      <c r="I18" s="1841"/>
      <c r="J18" s="1841"/>
      <c r="K18" s="1841" t="s">
        <v>734</v>
      </c>
      <c r="L18" s="1842"/>
    </row>
    <row r="19" spans="1:12" s="135" customFormat="1" ht="57" customHeight="1">
      <c r="A19" s="1843"/>
      <c r="B19" s="1844"/>
      <c r="C19" s="1844"/>
      <c r="D19" s="1844"/>
      <c r="E19" s="1845"/>
      <c r="F19" s="1287"/>
      <c r="G19" s="1288"/>
      <c r="H19" s="1846"/>
      <c r="I19" s="1847"/>
      <c r="J19" s="1848"/>
      <c r="K19" s="1846"/>
      <c r="L19" s="1849"/>
    </row>
    <row r="20" spans="1:12" s="121" customFormat="1" ht="57" customHeight="1">
      <c r="A20" s="1843"/>
      <c r="B20" s="1844"/>
      <c r="C20" s="1844"/>
      <c r="D20" s="1844"/>
      <c r="E20" s="1845"/>
      <c r="F20" s="136"/>
      <c r="G20" s="137"/>
      <c r="H20" s="1850"/>
      <c r="I20" s="1844"/>
      <c r="J20" s="1851"/>
      <c r="K20" s="1850"/>
      <c r="L20" s="1845"/>
    </row>
    <row r="21" spans="1:12" s="121" customFormat="1" ht="57" customHeight="1">
      <c r="A21" s="1843"/>
      <c r="B21" s="1844"/>
      <c r="C21" s="1844"/>
      <c r="D21" s="1844"/>
      <c r="E21" s="1845"/>
      <c r="F21" s="136"/>
      <c r="G21" s="137"/>
      <c r="H21" s="1850"/>
      <c r="I21" s="1844"/>
      <c r="J21" s="1851"/>
      <c r="K21" s="1850"/>
      <c r="L21" s="1845"/>
    </row>
    <row r="22" spans="1:12" s="121" customFormat="1" ht="57" customHeight="1">
      <c r="A22" s="1843"/>
      <c r="B22" s="1844"/>
      <c r="C22" s="1844"/>
      <c r="D22" s="1844"/>
      <c r="E22" s="1845"/>
      <c r="F22" s="136"/>
      <c r="G22" s="137"/>
      <c r="H22" s="1850"/>
      <c r="I22" s="1844"/>
      <c r="J22" s="1851"/>
      <c r="K22" s="1850"/>
      <c r="L22" s="1845"/>
    </row>
    <row r="23" spans="1:12" s="121" customFormat="1" ht="57" customHeight="1">
      <c r="A23" s="1843"/>
      <c r="B23" s="1844"/>
      <c r="C23" s="1844"/>
      <c r="D23" s="1844"/>
      <c r="E23" s="1845"/>
      <c r="F23" s="136"/>
      <c r="G23" s="137"/>
      <c r="H23" s="1850"/>
      <c r="I23" s="1844"/>
      <c r="J23" s="1851"/>
      <c r="K23" s="1850"/>
      <c r="L23" s="1845"/>
    </row>
    <row r="24" spans="1:12" s="121" customFormat="1" ht="56.25" customHeight="1">
      <c r="A24" s="1843"/>
      <c r="B24" s="1844"/>
      <c r="C24" s="1844"/>
      <c r="D24" s="1844"/>
      <c r="E24" s="1845"/>
      <c r="F24" s="136"/>
      <c r="G24" s="137"/>
      <c r="H24" s="1850"/>
      <c r="I24" s="1844"/>
      <c r="J24" s="1851"/>
      <c r="K24" s="1850"/>
      <c r="L24" s="1845"/>
    </row>
    <row r="25" spans="1:12" s="121" customFormat="1" ht="57" customHeight="1">
      <c r="A25" s="1843"/>
      <c r="B25" s="1844"/>
      <c r="C25" s="1844"/>
      <c r="D25" s="1844"/>
      <c r="E25" s="1845"/>
      <c r="F25" s="136"/>
      <c r="G25" s="137"/>
      <c r="H25" s="1850"/>
      <c r="I25" s="1844"/>
      <c r="J25" s="1851"/>
      <c r="K25" s="1850"/>
      <c r="L25" s="1845"/>
    </row>
    <row r="26" spans="1:12" s="121" customFormat="1" ht="57" customHeight="1">
      <c r="A26" s="1843"/>
      <c r="B26" s="1844"/>
      <c r="C26" s="1844"/>
      <c r="D26" s="1844"/>
      <c r="E26" s="1845"/>
      <c r="F26" s="136"/>
      <c r="G26" s="137"/>
      <c r="H26" s="1850"/>
      <c r="I26" s="1844"/>
      <c r="J26" s="1851"/>
      <c r="K26" s="1850"/>
      <c r="L26" s="1845"/>
    </row>
    <row r="27" spans="1:12" s="121" customFormat="1" ht="57" customHeight="1">
      <c r="A27" s="1843"/>
      <c r="B27" s="1844"/>
      <c r="C27" s="1844"/>
      <c r="D27" s="1844"/>
      <c r="E27" s="1845"/>
      <c r="F27" s="136"/>
      <c r="G27" s="137"/>
      <c r="H27" s="1850"/>
      <c r="I27" s="1844"/>
      <c r="J27" s="1851"/>
      <c r="K27" s="1850"/>
      <c r="L27" s="1845"/>
    </row>
    <row r="28" spans="1:12" s="138" customFormat="1" ht="57" customHeight="1">
      <c r="A28" s="1843"/>
      <c r="B28" s="1844"/>
      <c r="C28" s="1844"/>
      <c r="D28" s="1844"/>
      <c r="E28" s="1845"/>
      <c r="F28" s="136"/>
      <c r="G28" s="137"/>
      <c r="H28" s="1850"/>
      <c r="I28" s="1844"/>
      <c r="J28" s="1851"/>
      <c r="K28" s="1850"/>
      <c r="L28" s="1845"/>
    </row>
    <row r="29" spans="1:12" s="138" customFormat="1" ht="57" customHeight="1">
      <c r="A29" s="1843"/>
      <c r="B29" s="1844"/>
      <c r="C29" s="1844"/>
      <c r="D29" s="1844"/>
      <c r="E29" s="1845"/>
      <c r="F29" s="136"/>
      <c r="G29" s="137"/>
      <c r="H29" s="1850"/>
      <c r="I29" s="1844"/>
      <c r="J29" s="1851"/>
      <c r="K29" s="1850"/>
      <c r="L29" s="1845"/>
    </row>
    <row r="30" spans="1:12" s="138" customFormat="1" ht="57" customHeight="1">
      <c r="A30" s="1843"/>
      <c r="B30" s="1844"/>
      <c r="C30" s="1844"/>
      <c r="D30" s="1844"/>
      <c r="E30" s="1845"/>
      <c r="F30" s="136"/>
      <c r="G30" s="137"/>
      <c r="H30" s="1850"/>
      <c r="I30" s="1844"/>
      <c r="J30" s="1851"/>
      <c r="K30" s="1850"/>
      <c r="L30" s="1845"/>
    </row>
    <row r="31" spans="1:12" s="138" customFormat="1" ht="57" customHeight="1">
      <c r="A31" s="1843"/>
      <c r="B31" s="1844"/>
      <c r="C31" s="1844"/>
      <c r="D31" s="1844"/>
      <c r="E31" s="1845"/>
      <c r="F31" s="136"/>
      <c r="G31" s="137"/>
      <c r="H31" s="1850"/>
      <c r="I31" s="1844"/>
      <c r="J31" s="1851"/>
      <c r="K31" s="1850"/>
      <c r="L31" s="1845"/>
    </row>
    <row r="32" spans="1:12" s="121" customFormat="1" ht="57" customHeight="1">
      <c r="A32" s="1843"/>
      <c r="B32" s="1844"/>
      <c r="C32" s="1844"/>
      <c r="D32" s="1844"/>
      <c r="E32" s="1845"/>
      <c r="F32" s="136"/>
      <c r="G32" s="137"/>
      <c r="H32" s="1850"/>
      <c r="I32" s="1844"/>
      <c r="J32" s="1851"/>
      <c r="K32" s="1850"/>
      <c r="L32" s="1845"/>
    </row>
    <row r="33" spans="1:13" s="121" customFormat="1" ht="57" customHeight="1">
      <c r="A33" s="1843"/>
      <c r="B33" s="1844"/>
      <c r="C33" s="1844"/>
      <c r="D33" s="1844"/>
      <c r="E33" s="1845"/>
      <c r="F33" s="136"/>
      <c r="G33" s="137"/>
      <c r="H33" s="1850"/>
      <c r="I33" s="1844"/>
      <c r="J33" s="1851"/>
      <c r="K33" s="1850"/>
      <c r="L33" s="1845"/>
    </row>
    <row r="34" spans="1:13" s="138" customFormat="1" ht="57" customHeight="1" thickBot="1">
      <c r="A34" s="1852"/>
      <c r="B34" s="1853"/>
      <c r="C34" s="1853"/>
      <c r="D34" s="1853"/>
      <c r="E34" s="1854"/>
      <c r="F34" s="139"/>
      <c r="G34" s="140"/>
      <c r="H34" s="1855"/>
      <c r="I34" s="1853"/>
      <c r="J34" s="1856"/>
      <c r="K34" s="1855"/>
      <c r="L34" s="1854"/>
    </row>
    <row r="35" spans="1:13" s="138" customFormat="1" ht="17.25" customHeight="1">
      <c r="A35" s="141"/>
      <c r="B35" s="141"/>
      <c r="C35" s="141"/>
      <c r="D35" s="141"/>
      <c r="E35" s="141"/>
      <c r="G35" s="141"/>
      <c r="H35" s="141"/>
      <c r="I35" s="141"/>
    </row>
    <row r="36" spans="1:13" s="138" customFormat="1" ht="6.75" hidden="1" customHeight="1">
      <c r="A36" s="141"/>
      <c r="B36" s="141"/>
      <c r="C36" s="141"/>
      <c r="D36" s="141"/>
      <c r="E36" s="141"/>
      <c r="H36" s="141"/>
      <c r="I36" s="141"/>
      <c r="L36" s="18" t="s">
        <v>615</v>
      </c>
    </row>
    <row r="37" spans="1:13" s="121" customFormat="1" ht="12" hidden="1" customHeight="1">
      <c r="B37" s="21" t="s">
        <v>737</v>
      </c>
      <c r="C37" s="9"/>
      <c r="D37" s="9"/>
      <c r="E37" s="9"/>
      <c r="F37" s="23" t="s">
        <v>738</v>
      </c>
      <c r="G37" s="18" t="s">
        <v>1167</v>
      </c>
      <c r="I37" s="18" t="s">
        <v>740</v>
      </c>
      <c r="J37" s="18"/>
      <c r="K37" s="18"/>
      <c r="L37" s="18" t="s">
        <v>741</v>
      </c>
      <c r="M37" s="18"/>
    </row>
    <row r="38" spans="1:13" s="121" customFormat="1" ht="12" hidden="1" customHeight="1">
      <c r="B38" s="9" t="s">
        <v>742</v>
      </c>
      <c r="C38" s="23"/>
      <c r="D38" s="9"/>
      <c r="E38" s="9"/>
      <c r="F38" s="23" t="s">
        <v>780</v>
      </c>
      <c r="G38" s="18" t="s">
        <v>739</v>
      </c>
      <c r="I38" s="18" t="s">
        <v>744</v>
      </c>
      <c r="J38" s="18"/>
      <c r="K38" s="18"/>
      <c r="L38" s="18" t="s">
        <v>745</v>
      </c>
      <c r="M38" s="18"/>
    </row>
    <row r="39" spans="1:13" s="121" customFormat="1" ht="12" hidden="1" customHeight="1">
      <c r="B39" s="9" t="s">
        <v>746</v>
      </c>
      <c r="C39" s="23"/>
      <c r="D39" s="9"/>
      <c r="E39" s="9"/>
      <c r="F39" s="9" t="s">
        <v>747</v>
      </c>
      <c r="G39" s="18" t="s">
        <v>743</v>
      </c>
      <c r="I39" s="18" t="s">
        <v>749</v>
      </c>
      <c r="J39" s="18"/>
      <c r="K39" s="18"/>
      <c r="L39" s="18" t="s">
        <v>750</v>
      </c>
      <c r="M39" s="18"/>
    </row>
    <row r="40" spans="1:13" s="121" customFormat="1" ht="12" hidden="1" customHeight="1">
      <c r="B40" s="9" t="s">
        <v>751</v>
      </c>
      <c r="C40" s="23"/>
      <c r="D40" s="9"/>
      <c r="E40" s="9"/>
      <c r="F40" s="9" t="s">
        <v>752</v>
      </c>
      <c r="G40" s="18" t="s">
        <v>748</v>
      </c>
      <c r="I40" s="18" t="s">
        <v>754</v>
      </c>
      <c r="J40" s="18"/>
      <c r="K40" s="18"/>
      <c r="L40" s="18" t="s">
        <v>601</v>
      </c>
      <c r="M40" s="18"/>
    </row>
    <row r="41" spans="1:13" s="121" customFormat="1" ht="12" hidden="1" customHeight="1">
      <c r="B41" s="9" t="s">
        <v>602</v>
      </c>
      <c r="C41" s="23"/>
      <c r="D41" s="23"/>
      <c r="E41" s="23"/>
      <c r="F41" s="23" t="s">
        <v>603</v>
      </c>
      <c r="G41" s="18" t="s">
        <v>753</v>
      </c>
      <c r="I41" s="18" t="s">
        <v>605</v>
      </c>
      <c r="J41" s="18"/>
      <c r="K41" s="18"/>
      <c r="L41" s="18" t="s">
        <v>606</v>
      </c>
      <c r="M41" s="18"/>
    </row>
    <row r="42" spans="1:13" s="121" customFormat="1" ht="12" hidden="1" customHeight="1">
      <c r="B42" s="9" t="s">
        <v>607</v>
      </c>
      <c r="C42" s="23"/>
      <c r="D42" s="23"/>
      <c r="E42" s="23"/>
      <c r="F42" s="23" t="s">
        <v>608</v>
      </c>
      <c r="G42" s="18" t="s">
        <v>604</v>
      </c>
      <c r="I42" s="18" t="s">
        <v>610</v>
      </c>
      <c r="J42" s="18"/>
      <c r="K42" s="18"/>
      <c r="L42" s="18" t="s">
        <v>611</v>
      </c>
      <c r="M42" s="18"/>
    </row>
    <row r="43" spans="1:13" s="121" customFormat="1" ht="12" hidden="1" customHeight="1">
      <c r="B43" s="21" t="s">
        <v>612</v>
      </c>
      <c r="C43" s="23"/>
      <c r="D43" s="23"/>
      <c r="E43" s="23"/>
      <c r="F43" s="283" t="s">
        <v>1091</v>
      </c>
      <c r="G43" s="18" t="s">
        <v>609</v>
      </c>
      <c r="I43" s="18" t="s">
        <v>380</v>
      </c>
      <c r="J43" s="18"/>
      <c r="K43" s="18"/>
      <c r="L43" s="18" t="s">
        <v>614</v>
      </c>
      <c r="M43" s="18"/>
    </row>
    <row r="44" spans="1:13" s="21" customFormat="1" ht="12" hidden="1" customHeight="1">
      <c r="B44" s="9" t="s">
        <v>381</v>
      </c>
      <c r="C44" s="23"/>
      <c r="D44" s="23"/>
      <c r="E44" s="23"/>
      <c r="F44" s="1191" t="s">
        <v>1354</v>
      </c>
      <c r="G44" s="18" t="s">
        <v>869</v>
      </c>
      <c r="I44" s="18" t="s">
        <v>735</v>
      </c>
      <c r="J44" s="18"/>
      <c r="K44" s="18"/>
      <c r="L44" s="21" t="s">
        <v>383</v>
      </c>
      <c r="M44" s="18"/>
    </row>
    <row r="45" spans="1:13" s="21" customFormat="1" ht="12" hidden="1" customHeight="1">
      <c r="B45" s="9" t="s">
        <v>384</v>
      </c>
      <c r="C45" s="9"/>
      <c r="D45" s="23"/>
      <c r="E45" s="23"/>
      <c r="F45" s="1191" t="s">
        <v>1355</v>
      </c>
      <c r="G45" s="18" t="s">
        <v>382</v>
      </c>
      <c r="I45" s="18" t="s">
        <v>386</v>
      </c>
      <c r="J45" s="18"/>
      <c r="K45" s="18"/>
      <c r="L45" s="18" t="s">
        <v>287</v>
      </c>
      <c r="M45" s="18"/>
    </row>
    <row r="46" spans="1:13" s="21" customFormat="1" ht="12" hidden="1" customHeight="1">
      <c r="B46" s="9" t="s">
        <v>1166</v>
      </c>
      <c r="C46" s="9"/>
      <c r="D46" s="23"/>
      <c r="E46" s="23"/>
      <c r="F46" s="1191" t="s">
        <v>1356</v>
      </c>
      <c r="G46" s="18" t="s">
        <v>385</v>
      </c>
      <c r="I46" s="18" t="s">
        <v>389</v>
      </c>
      <c r="J46" s="18"/>
      <c r="K46" s="18"/>
      <c r="L46" s="18" t="s">
        <v>390</v>
      </c>
      <c r="M46" s="18"/>
    </row>
    <row r="47" spans="1:13" s="21" customFormat="1" ht="12" hidden="1" customHeight="1">
      <c r="B47" s="9" t="s">
        <v>387</v>
      </c>
      <c r="C47" s="23"/>
      <c r="D47" s="23"/>
      <c r="E47" s="23"/>
      <c r="F47" s="1191" t="s">
        <v>1357</v>
      </c>
      <c r="G47" s="18" t="s">
        <v>388</v>
      </c>
      <c r="I47" s="18" t="s">
        <v>393</v>
      </c>
      <c r="J47" s="18"/>
      <c r="K47" s="18"/>
      <c r="L47" s="18" t="s">
        <v>394</v>
      </c>
      <c r="M47" s="18"/>
    </row>
    <row r="48" spans="1:13" s="21" customFormat="1" ht="12" hidden="1" customHeight="1">
      <c r="B48" s="9" t="s">
        <v>391</v>
      </c>
      <c r="C48" s="23"/>
      <c r="D48" s="23"/>
      <c r="E48" s="23"/>
      <c r="F48" s="23" t="s">
        <v>396</v>
      </c>
      <c r="G48" s="18" t="s">
        <v>392</v>
      </c>
      <c r="I48" s="18" t="s">
        <v>398</v>
      </c>
      <c r="J48" s="18"/>
      <c r="K48" s="18"/>
      <c r="L48" s="18" t="s">
        <v>736</v>
      </c>
      <c r="M48" s="142"/>
    </row>
    <row r="49" spans="2:13" s="21" customFormat="1" ht="12" hidden="1" customHeight="1">
      <c r="B49" s="9" t="s">
        <v>395</v>
      </c>
      <c r="C49" s="23"/>
      <c r="D49" s="23"/>
      <c r="E49" s="23"/>
      <c r="F49" s="9" t="s">
        <v>400</v>
      </c>
      <c r="G49" s="18" t="s">
        <v>397</v>
      </c>
      <c r="I49" s="18" t="s">
        <v>401</v>
      </c>
      <c r="J49" s="18"/>
      <c r="K49" s="18"/>
      <c r="L49" s="18" t="s">
        <v>402</v>
      </c>
      <c r="M49" s="18"/>
    </row>
    <row r="50" spans="2:13" s="21" customFormat="1" ht="12" hidden="1" customHeight="1">
      <c r="B50" s="9" t="s">
        <v>399</v>
      </c>
      <c r="C50" s="23"/>
      <c r="D50" s="23"/>
      <c r="E50" s="23"/>
      <c r="F50" s="141"/>
      <c r="I50" s="18" t="s">
        <v>404</v>
      </c>
      <c r="J50" s="18"/>
      <c r="K50" s="18"/>
      <c r="L50" s="18" t="s">
        <v>405</v>
      </c>
      <c r="M50" s="18"/>
    </row>
    <row r="51" spans="2:13" s="21" customFormat="1" ht="12" hidden="1" customHeight="1">
      <c r="B51" s="9" t="s">
        <v>403</v>
      </c>
      <c r="C51" s="23"/>
      <c r="D51" s="23"/>
      <c r="E51" s="23"/>
      <c r="F51" s="141"/>
      <c r="G51" s="143"/>
      <c r="I51" s="18" t="s">
        <v>404</v>
      </c>
      <c r="J51" s="18"/>
      <c r="K51" s="18"/>
      <c r="L51" s="18" t="s">
        <v>407</v>
      </c>
      <c r="M51" s="18"/>
    </row>
    <row r="52" spans="2:13" s="21" customFormat="1" ht="12" hidden="1" customHeight="1">
      <c r="B52" s="9" t="s">
        <v>406</v>
      </c>
      <c r="C52" s="23"/>
      <c r="D52" s="23"/>
      <c r="E52" s="23"/>
      <c r="F52" s="23"/>
      <c r="I52" s="18" t="s">
        <v>409</v>
      </c>
      <c r="J52" s="18"/>
      <c r="K52" s="18"/>
      <c r="L52" s="18" t="s">
        <v>410</v>
      </c>
      <c r="M52" s="18"/>
    </row>
    <row r="53" spans="2:13" s="21" customFormat="1" ht="12" hidden="1" customHeight="1">
      <c r="B53" s="9" t="s">
        <v>408</v>
      </c>
      <c r="C53" s="23"/>
      <c r="D53" s="9"/>
      <c r="E53" s="9"/>
      <c r="F53" s="9"/>
      <c r="I53" s="18" t="s">
        <v>412</v>
      </c>
      <c r="J53" s="18"/>
      <c r="K53" s="18"/>
      <c r="L53" s="18" t="s">
        <v>413</v>
      </c>
      <c r="M53" s="18"/>
    </row>
    <row r="54" spans="2:13" s="21" customFormat="1" ht="12" hidden="1" customHeight="1">
      <c r="B54" s="21" t="s">
        <v>411</v>
      </c>
      <c r="C54" s="23"/>
      <c r="D54" s="23"/>
      <c r="E54" s="23"/>
      <c r="F54" s="23"/>
      <c r="I54" s="18" t="s">
        <v>415</v>
      </c>
      <c r="J54" s="18"/>
      <c r="K54" s="18"/>
      <c r="L54" s="18" t="s">
        <v>416</v>
      </c>
      <c r="M54" s="18"/>
    </row>
    <row r="55" spans="2:13" s="21" customFormat="1" ht="12" hidden="1" customHeight="1">
      <c r="B55" s="9" t="s">
        <v>414</v>
      </c>
      <c r="C55" s="23"/>
      <c r="D55" s="23"/>
      <c r="E55" s="23"/>
      <c r="F55" s="23"/>
      <c r="I55" s="18" t="s">
        <v>416</v>
      </c>
      <c r="J55" s="18"/>
      <c r="K55" s="18"/>
      <c r="L55" s="138"/>
      <c r="M55" s="18"/>
    </row>
    <row r="56" spans="2:13" s="21" customFormat="1" ht="12" hidden="1" customHeight="1">
      <c r="B56" s="9" t="s">
        <v>417</v>
      </c>
      <c r="C56" s="9"/>
      <c r="D56" s="23"/>
      <c r="E56" s="23"/>
      <c r="F56" s="23"/>
      <c r="L56" s="138"/>
      <c r="M56" s="18"/>
    </row>
    <row r="57" spans="2:13" s="21" customFormat="1" ht="12" hidden="1" customHeight="1">
      <c r="B57" s="9" t="s">
        <v>418</v>
      </c>
      <c r="C57" s="23"/>
      <c r="D57" s="23"/>
      <c r="E57" s="23"/>
      <c r="F57" s="23"/>
      <c r="G57" s="144"/>
      <c r="M57" s="18"/>
    </row>
    <row r="58" spans="2:13" s="21" customFormat="1" ht="12" hidden="1" customHeight="1">
      <c r="B58" s="9" t="s">
        <v>419</v>
      </c>
      <c r="C58" s="23"/>
      <c r="D58" s="23"/>
      <c r="E58" s="23"/>
      <c r="F58" s="23"/>
      <c r="G58" s="144"/>
      <c r="L58" s="144"/>
      <c r="M58" s="18"/>
    </row>
    <row r="59" spans="2:13" s="21" customFormat="1" ht="12" hidden="1" customHeight="1">
      <c r="B59" s="9" t="s">
        <v>420</v>
      </c>
      <c r="C59" s="23"/>
      <c r="D59" s="23"/>
      <c r="E59" s="23"/>
      <c r="F59" s="23"/>
      <c r="G59" s="144"/>
      <c r="L59" s="144"/>
      <c r="M59" s="18"/>
    </row>
    <row r="60" spans="2:13" s="21" customFormat="1" ht="12" hidden="1" customHeight="1">
      <c r="B60" s="21" t="s">
        <v>136</v>
      </c>
      <c r="C60" s="23"/>
      <c r="D60" s="23"/>
      <c r="E60" s="23"/>
      <c r="F60" s="23"/>
      <c r="G60" s="144"/>
      <c r="I60" s="144"/>
      <c r="J60" s="144"/>
      <c r="K60" s="144"/>
      <c r="L60" s="144"/>
      <c r="M60" s="18"/>
    </row>
    <row r="61" spans="2:13" s="21" customFormat="1" ht="12" hidden="1" customHeight="1">
      <c r="B61" s="9" t="s">
        <v>137</v>
      </c>
      <c r="C61" s="9"/>
      <c r="D61" s="23"/>
      <c r="E61" s="23"/>
      <c r="F61" s="23"/>
      <c r="G61" s="144"/>
      <c r="I61" s="144"/>
      <c r="J61" s="144"/>
      <c r="K61" s="144"/>
      <c r="L61" s="144"/>
      <c r="M61" s="18"/>
    </row>
    <row r="62" spans="2:13" s="21" customFormat="1" ht="12" hidden="1" customHeight="1">
      <c r="B62" s="9" t="s">
        <v>138</v>
      </c>
      <c r="C62" s="23"/>
      <c r="D62" s="23"/>
      <c r="E62" s="23"/>
      <c r="F62" s="23"/>
      <c r="G62" s="144"/>
      <c r="I62" s="144"/>
      <c r="J62" s="144"/>
      <c r="K62" s="144"/>
      <c r="L62" s="144"/>
      <c r="M62" s="18"/>
    </row>
    <row r="63" spans="2:13" s="21" customFormat="1" ht="12" hidden="1" customHeight="1">
      <c r="B63" s="9" t="s">
        <v>139</v>
      </c>
      <c r="C63" s="23"/>
      <c r="D63" s="23"/>
      <c r="E63" s="23"/>
      <c r="F63" s="23"/>
      <c r="G63" s="144"/>
      <c r="I63" s="144"/>
      <c r="J63" s="144"/>
      <c r="K63" s="144"/>
      <c r="L63" s="144"/>
    </row>
    <row r="64" spans="2:13" s="21" customFormat="1" ht="12" hidden="1" customHeight="1">
      <c r="B64" s="9" t="s">
        <v>140</v>
      </c>
      <c r="C64" s="23"/>
      <c r="D64" s="23"/>
      <c r="E64" s="23"/>
      <c r="F64" s="23"/>
      <c r="G64" s="144"/>
      <c r="I64" s="144"/>
      <c r="J64" s="144"/>
      <c r="K64" s="144"/>
      <c r="L64" s="144"/>
    </row>
    <row r="65" spans="2:2" hidden="1">
      <c r="B65" s="9" t="s">
        <v>141</v>
      </c>
    </row>
    <row r="66" spans="2:2" hidden="1">
      <c r="B66" s="9" t="s">
        <v>142</v>
      </c>
    </row>
    <row r="67" spans="2:2" hidden="1">
      <c r="B67" s="9" t="s">
        <v>143</v>
      </c>
    </row>
    <row r="68" spans="2:2" hidden="1">
      <c r="B68" s="9" t="s">
        <v>144</v>
      </c>
    </row>
    <row r="69" spans="2:2" hidden="1">
      <c r="B69" s="9" t="s">
        <v>145</v>
      </c>
    </row>
    <row r="70" spans="2:2" hidden="1"/>
  </sheetData>
  <mergeCells count="59">
    <mergeCell ref="H26:J26"/>
    <mergeCell ref="K26:L26"/>
    <mergeCell ref="A27:E27"/>
    <mergeCell ref="H27:J27"/>
    <mergeCell ref="K27:L27"/>
    <mergeCell ref="A26:E26"/>
    <mergeCell ref="A34:E34"/>
    <mergeCell ref="H34:J34"/>
    <mergeCell ref="K34:L34"/>
    <mergeCell ref="A31:E31"/>
    <mergeCell ref="H31:J31"/>
    <mergeCell ref="H33:J33"/>
    <mergeCell ref="K33:L33"/>
    <mergeCell ref="A33:E33"/>
    <mergeCell ref="A32:E32"/>
    <mergeCell ref="K31:L31"/>
    <mergeCell ref="A28:E28"/>
    <mergeCell ref="H28:J28"/>
    <mergeCell ref="K28:L28"/>
    <mergeCell ref="H32:J32"/>
    <mergeCell ref="K32:L32"/>
    <mergeCell ref="A29:E29"/>
    <mergeCell ref="H29:J29"/>
    <mergeCell ref="K29:L29"/>
    <mergeCell ref="A30:E30"/>
    <mergeCell ref="H30:J30"/>
    <mergeCell ref="K30:L30"/>
    <mergeCell ref="K25:L25"/>
    <mergeCell ref="A22:E22"/>
    <mergeCell ref="H22:J22"/>
    <mergeCell ref="K22:L22"/>
    <mergeCell ref="A23:E23"/>
    <mergeCell ref="H23:J23"/>
    <mergeCell ref="K23:L23"/>
    <mergeCell ref="A24:E24"/>
    <mergeCell ref="H24:J24"/>
    <mergeCell ref="K24:L24"/>
    <mergeCell ref="A25:E25"/>
    <mergeCell ref="H25:J25"/>
    <mergeCell ref="A20:E20"/>
    <mergeCell ref="H20:J20"/>
    <mergeCell ref="K20:L20"/>
    <mergeCell ref="A21:E21"/>
    <mergeCell ref="H21:J21"/>
    <mergeCell ref="K21:L21"/>
    <mergeCell ref="A16:L16"/>
    <mergeCell ref="A18:E18"/>
    <mergeCell ref="H18:J18"/>
    <mergeCell ref="K18:L18"/>
    <mergeCell ref="A19:E19"/>
    <mergeCell ref="H19:J19"/>
    <mergeCell ref="K19:L19"/>
    <mergeCell ref="A14:L14"/>
    <mergeCell ref="A15:L15"/>
    <mergeCell ref="A1:A2"/>
    <mergeCell ref="B1:K2"/>
    <mergeCell ref="L1:L2"/>
    <mergeCell ref="D9:M9"/>
    <mergeCell ref="D11:E11"/>
  </mergeCells>
  <phoneticPr fontId="12" type="noConversion"/>
  <dataValidations count="5">
    <dataValidation type="list" allowBlank="1" showInputMessage="1" sqref="F20:F34" xr:uid="{00000000-0002-0000-3000-000000000000}">
      <formula1>$F$39:$F$51</formula1>
    </dataValidation>
    <dataValidation type="list" allowBlank="1" showInputMessage="1" sqref="G20:G34" xr:uid="{00000000-0002-0000-3000-000001000000}">
      <formula1>$G$37:$G$51</formula1>
    </dataValidation>
    <dataValidation type="list" allowBlank="1" showInputMessage="1" sqref="H20:J34" xr:uid="{00000000-0002-0000-3000-000002000000}">
      <formula1>$I$37:$I$56</formula1>
    </dataValidation>
    <dataValidation type="list" allowBlank="1" showInputMessage="1" sqref="K20:L34" xr:uid="{00000000-0002-0000-3000-000003000000}">
      <formula1>$L$36:$L$54</formula1>
    </dataValidation>
    <dataValidation type="list" allowBlank="1" showInputMessage="1" sqref="A19:E34" xr:uid="{00000000-0002-0000-3000-000004000000}">
      <formula1>$B$37:$B$69</formula1>
    </dataValidation>
  </dataValidations>
  <printOptions horizontalCentered="1" verticalCentered="1"/>
  <pageMargins left="0" right="0" top="0" bottom="0.39370078740157483" header="0" footer="0"/>
  <pageSetup paperSize="9" scale="59" fitToHeight="2" orientation="portrait" blackAndWhite="1" r:id="rId1"/>
  <headerFooter alignWithMargins="0">
    <oddFooter>&amp;LEdité le &amp;D&amp;C&amp;P/&amp;N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79">
    <tabColor indexed="42"/>
    <pageSetUpPr fitToPage="1"/>
  </sheetPr>
  <dimension ref="A1:I26"/>
  <sheetViews>
    <sheetView view="pageBreakPreview" zoomScaleNormal="100" zoomScaleSheetLayoutView="100" workbookViewId="0">
      <selection activeCell="E15" sqref="E15"/>
    </sheetView>
  </sheetViews>
  <sheetFormatPr baseColWidth="10" defaultColWidth="11.42578125" defaultRowHeight="11.25"/>
  <cols>
    <col min="1" max="1" width="2.7109375" style="612" customWidth="1"/>
    <col min="2" max="2" width="15.7109375" style="612" customWidth="1"/>
    <col min="3" max="3" width="12.7109375" style="612" customWidth="1"/>
    <col min="4" max="4" width="8.85546875" style="612" customWidth="1"/>
    <col min="5" max="5" width="15.5703125" style="612" customWidth="1"/>
    <col min="6" max="8" width="15.7109375" style="612" customWidth="1"/>
    <col min="9" max="9" width="1.7109375" style="612" customWidth="1"/>
    <col min="10" max="16384" width="11.42578125" style="612"/>
  </cols>
  <sheetData>
    <row r="1" spans="1:9" ht="50.1" customHeight="1">
      <c r="C1" s="1857" t="s">
        <v>286</v>
      </c>
      <c r="D1" s="1857"/>
      <c r="E1" s="1857"/>
      <c r="F1" s="1857"/>
      <c r="G1" s="1857"/>
      <c r="H1" s="613"/>
      <c r="I1" s="614"/>
    </row>
    <row r="2" spans="1:9" s="344" customFormat="1" ht="17.25" customHeight="1" thickBot="1">
      <c r="A2" s="615"/>
      <c r="B2" s="535"/>
      <c r="C2" s="616"/>
      <c r="D2" s="612"/>
      <c r="E2" s="535"/>
      <c r="F2" s="535"/>
      <c r="G2" s="1858"/>
      <c r="H2" s="1859"/>
    </row>
    <row r="3" spans="1:9" ht="20.100000000000001" customHeight="1" thickBot="1">
      <c r="A3" s="1860" t="s">
        <v>1038</v>
      </c>
      <c r="B3" s="1861"/>
      <c r="C3" s="1861"/>
      <c r="D3" s="1861"/>
      <c r="E3" s="1861"/>
      <c r="F3" s="1861"/>
      <c r="G3" s="1861"/>
      <c r="H3" s="1862"/>
      <c r="I3" s="614"/>
    </row>
    <row r="4" spans="1:9" ht="15" customHeight="1" thickBot="1">
      <c r="A4" s="1863" t="s">
        <v>1039</v>
      </c>
      <c r="B4" s="1864"/>
      <c r="C4" s="1864"/>
      <c r="D4" s="1864"/>
      <c r="E4" s="1864"/>
      <c r="F4" s="1864"/>
      <c r="G4" s="1864"/>
      <c r="H4" s="1865"/>
      <c r="I4" s="617"/>
    </row>
    <row r="5" spans="1:9" s="525" customFormat="1" ht="20.100000000000001" customHeight="1" thickBot="1">
      <c r="A5" s="1866" t="s">
        <v>1040</v>
      </c>
      <c r="B5" s="1867"/>
      <c r="C5" s="618" t="s">
        <v>1041</v>
      </c>
      <c r="D5" s="618"/>
      <c r="E5" s="619"/>
      <c r="F5" s="619" t="s">
        <v>798</v>
      </c>
      <c r="G5" s="1868" t="str">
        <f>IF(ISBLANK(oeOTP),"",oeOTP)</f>
        <v/>
      </c>
      <c r="H5" s="1869"/>
      <c r="I5" s="529"/>
    </row>
    <row r="6" spans="1:9" s="525" customFormat="1" ht="20.100000000000001" customHeight="1" thickBot="1">
      <c r="A6" s="620" t="s">
        <v>1042</v>
      </c>
      <c r="B6" s="527"/>
      <c r="C6" s="527"/>
      <c r="D6" s="527"/>
      <c r="E6" s="527"/>
      <c r="F6" s="527"/>
      <c r="G6" s="527"/>
      <c r="H6" s="646"/>
      <c r="I6" s="621"/>
    </row>
    <row r="7" spans="1:9" s="525" customFormat="1" ht="15" customHeight="1" thickBot="1">
      <c r="A7" s="1863" t="s">
        <v>285</v>
      </c>
      <c r="B7" s="1864"/>
      <c r="C7" s="1864"/>
      <c r="D7" s="1864"/>
      <c r="E7" s="1864"/>
      <c r="F7" s="1864"/>
      <c r="G7" s="1864"/>
      <c r="H7" s="1865"/>
      <c r="I7" s="550"/>
    </row>
    <row r="8" spans="1:9" ht="89.25" customHeight="1">
      <c r="A8" s="1870" t="s">
        <v>1043</v>
      </c>
      <c r="B8" s="1871"/>
      <c r="C8" s="1871"/>
      <c r="D8" s="1872" t="s">
        <v>1044</v>
      </c>
      <c r="E8" s="1873"/>
      <c r="F8" s="1872" t="s">
        <v>1045</v>
      </c>
      <c r="G8" s="1872"/>
      <c r="H8" s="622" t="s">
        <v>1046</v>
      </c>
      <c r="I8" s="623"/>
    </row>
    <row r="9" spans="1:9" ht="114.95" customHeight="1" thickBot="1">
      <c r="A9" s="1874" t="s">
        <v>1047</v>
      </c>
      <c r="B9" s="1875"/>
      <c r="C9" s="1875"/>
      <c r="D9" s="1875"/>
      <c r="E9" s="1875"/>
      <c r="F9" s="1875"/>
      <c r="G9" s="1875"/>
      <c r="H9" s="1876"/>
      <c r="I9" s="624"/>
    </row>
    <row r="10" spans="1:9" s="525" customFormat="1" ht="29.25" customHeight="1" thickBot="1">
      <c r="A10" s="1877" t="s">
        <v>1048</v>
      </c>
      <c r="B10" s="1878"/>
      <c r="C10" s="1878"/>
      <c r="D10" s="1878"/>
      <c r="E10" s="1878"/>
      <c r="F10" s="1878"/>
      <c r="G10" s="1878"/>
      <c r="H10" s="1879"/>
    </row>
    <row r="11" spans="1:9" ht="99.95" customHeight="1" thickBot="1">
      <c r="A11" s="1880" t="s">
        <v>1049</v>
      </c>
      <c r="B11" s="1881"/>
      <c r="C11" s="1881"/>
      <c r="D11" s="1881"/>
      <c r="E11" s="1882"/>
      <c r="F11" s="1882"/>
      <c r="G11" s="1882"/>
      <c r="H11" s="1883"/>
    </row>
    <row r="12" spans="1:9" ht="80.099999999999994" customHeight="1" thickBot="1">
      <c r="A12" s="1880" t="s">
        <v>1050</v>
      </c>
      <c r="B12" s="1881"/>
      <c r="C12" s="1881"/>
      <c r="D12" s="1881"/>
      <c r="E12" s="1881"/>
      <c r="F12" s="1881"/>
      <c r="G12" s="1881"/>
      <c r="H12" s="1884"/>
    </row>
    <row r="13" spans="1:9" s="625" customFormat="1" ht="33.75" customHeight="1" thickBot="1">
      <c r="A13" s="1877" t="s">
        <v>1051</v>
      </c>
      <c r="B13" s="1878"/>
      <c r="C13" s="1878"/>
      <c r="D13" s="1878"/>
      <c r="E13" s="1878"/>
      <c r="F13" s="1878"/>
      <c r="G13" s="1878"/>
      <c r="H13" s="1879"/>
    </row>
    <row r="14" spans="1:9" ht="15" customHeight="1" thickBot="1">
      <c r="A14" s="1863" t="s">
        <v>654</v>
      </c>
      <c r="B14" s="1864"/>
      <c r="C14" s="1864"/>
      <c r="D14" s="1864"/>
      <c r="E14" s="1864"/>
      <c r="F14" s="1864"/>
      <c r="G14" s="1864"/>
      <c r="H14" s="1865"/>
    </row>
    <row r="15" spans="1:9" ht="15" customHeight="1" thickBot="1">
      <c r="A15" s="1885" t="s">
        <v>1052</v>
      </c>
      <c r="B15" s="1886"/>
      <c r="C15" s="1886"/>
      <c r="D15" s="1886"/>
      <c r="E15" s="626" t="s">
        <v>655</v>
      </c>
      <c r="F15" s="626" t="s">
        <v>656</v>
      </c>
      <c r="G15" s="627" t="s">
        <v>657</v>
      </c>
      <c r="H15" s="628" t="s">
        <v>658</v>
      </c>
    </row>
    <row r="16" spans="1:9" ht="30" customHeight="1">
      <c r="A16" s="1887"/>
      <c r="B16" s="1888"/>
      <c r="C16" s="1888"/>
      <c r="D16" s="1889"/>
      <c r="E16" s="629"/>
      <c r="F16" s="630"/>
      <c r="G16" s="631"/>
      <c r="H16" s="632"/>
    </row>
    <row r="17" spans="1:8" ht="30" customHeight="1">
      <c r="A17" s="1900"/>
      <c r="B17" s="1901"/>
      <c r="C17" s="1901"/>
      <c r="D17" s="1902"/>
      <c r="E17" s="633"/>
      <c r="F17" s="634"/>
      <c r="G17" s="635"/>
      <c r="H17" s="636"/>
    </row>
    <row r="18" spans="1:8" s="525" customFormat="1" ht="30" customHeight="1">
      <c r="A18" s="1900"/>
      <c r="B18" s="1901"/>
      <c r="C18" s="1901"/>
      <c r="D18" s="1902"/>
      <c r="E18" s="633"/>
      <c r="F18" s="637"/>
      <c r="G18" s="635"/>
      <c r="H18" s="638"/>
    </row>
    <row r="19" spans="1:8" ht="30" customHeight="1">
      <c r="A19" s="1900"/>
      <c r="B19" s="1901"/>
      <c r="C19" s="1901"/>
      <c r="D19" s="1902"/>
      <c r="E19" s="633"/>
      <c r="F19" s="637"/>
      <c r="G19" s="635"/>
      <c r="H19" s="639"/>
    </row>
    <row r="20" spans="1:8" ht="30" customHeight="1" thickBot="1">
      <c r="A20" s="1903"/>
      <c r="B20" s="1904"/>
      <c r="C20" s="1904"/>
      <c r="D20" s="1905"/>
      <c r="E20" s="640"/>
      <c r="F20" s="641"/>
      <c r="G20" s="642"/>
      <c r="H20" s="643"/>
    </row>
    <row r="21" spans="1:8" s="525" customFormat="1" ht="30" customHeight="1">
      <c r="A21" s="1890" t="s">
        <v>1053</v>
      </c>
      <c r="B21" s="1906"/>
      <c r="C21" s="1892"/>
      <c r="D21" s="1892"/>
      <c r="E21" s="1890" t="s">
        <v>1054</v>
      </c>
      <c r="F21" s="1892" t="s">
        <v>1055</v>
      </c>
      <c r="G21" s="1892"/>
      <c r="H21" s="1893"/>
    </row>
    <row r="22" spans="1:8" s="525" customFormat="1" ht="36.75" customHeight="1" thickBot="1">
      <c r="A22" s="1907"/>
      <c r="B22" s="1908"/>
      <c r="C22" s="1894"/>
      <c r="D22" s="1894"/>
      <c r="E22" s="1891"/>
      <c r="F22" s="1894"/>
      <c r="G22" s="1894"/>
      <c r="H22" s="1895"/>
    </row>
    <row r="23" spans="1:8" ht="14.25" customHeight="1" thickBot="1">
      <c r="A23" s="1896" t="s">
        <v>1056</v>
      </c>
      <c r="B23" s="1897"/>
      <c r="C23" s="1897"/>
      <c r="D23" s="1897"/>
      <c r="E23" s="1897"/>
      <c r="F23" s="1898"/>
      <c r="G23" s="1898"/>
      <c r="H23" s="1899"/>
    </row>
    <row r="24" spans="1:8" ht="12.75" customHeight="1">
      <c r="A24" s="644"/>
      <c r="B24" s="644"/>
      <c r="C24" s="644"/>
      <c r="D24" s="644"/>
      <c r="E24" s="644"/>
      <c r="F24" s="644"/>
      <c r="G24" s="644"/>
      <c r="H24" s="644"/>
    </row>
    <row r="25" spans="1:8" ht="12.75" customHeight="1">
      <c r="A25" s="644"/>
      <c r="B25" s="644"/>
      <c r="C25" s="644"/>
      <c r="D25" s="644"/>
      <c r="E25" s="644"/>
      <c r="F25" s="644"/>
      <c r="G25" s="644"/>
      <c r="H25" s="644"/>
    </row>
    <row r="26" spans="1:8" ht="33.75" customHeight="1">
      <c r="A26" s="645"/>
      <c r="B26" s="645"/>
      <c r="C26" s="645"/>
      <c r="D26" s="645"/>
      <c r="E26" s="645"/>
      <c r="F26" s="645"/>
      <c r="G26" s="645"/>
      <c r="H26" s="645"/>
    </row>
  </sheetData>
  <mergeCells count="27">
    <mergeCell ref="A15:D15"/>
    <mergeCell ref="A16:D16"/>
    <mergeCell ref="E21:E22"/>
    <mergeCell ref="F21:H22"/>
    <mergeCell ref="A23:H23"/>
    <mergeCell ref="A17:D17"/>
    <mergeCell ref="A18:D18"/>
    <mergeCell ref="A19:D19"/>
    <mergeCell ref="A20:D20"/>
    <mergeCell ref="A21:B22"/>
    <mergeCell ref="C21:D22"/>
    <mergeCell ref="A10:H10"/>
    <mergeCell ref="A11:H11"/>
    <mergeCell ref="A12:H12"/>
    <mergeCell ref="A13:H13"/>
    <mergeCell ref="A14:H14"/>
    <mergeCell ref="A7:H7"/>
    <mergeCell ref="A8:C8"/>
    <mergeCell ref="D8:E8"/>
    <mergeCell ref="F8:G8"/>
    <mergeCell ref="A9:H9"/>
    <mergeCell ref="C1:G1"/>
    <mergeCell ref="G2:H2"/>
    <mergeCell ref="A3:H3"/>
    <mergeCell ref="A4:H4"/>
    <mergeCell ref="A5:B5"/>
    <mergeCell ref="G5:H5"/>
  </mergeCells>
  <printOptions horizontalCentered="1" verticalCentered="1"/>
  <pageMargins left="0" right="0" top="0.39370078740157483" bottom="0.39370078740157483" header="0" footer="0"/>
  <pageSetup paperSize="9" scale="92" orientation="portrait" blackAndWhite="1" verticalDpi="4294967292" r:id="rId1"/>
  <headerFooter>
    <oddFooter>&amp;LEdité le &amp;D&amp;C&amp;P/&amp;N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15">
    <tabColor indexed="42"/>
  </sheetPr>
  <dimension ref="A1:Y23"/>
  <sheetViews>
    <sheetView showGridLines="0" view="pageBreakPreview" zoomScale="85" zoomScaleNormal="100" zoomScaleSheetLayoutView="85" workbookViewId="0">
      <selection activeCell="J7" sqref="J7"/>
    </sheetView>
  </sheetViews>
  <sheetFormatPr baseColWidth="10" defaultColWidth="11.42578125" defaultRowHeight="18"/>
  <cols>
    <col min="1" max="1" width="17.42578125" style="27" customWidth="1"/>
    <col min="2" max="2" width="19.140625" style="27" customWidth="1"/>
    <col min="3" max="3" width="1.5703125" style="27" hidden="1" customWidth="1"/>
    <col min="4" max="4" width="32.85546875" style="27" customWidth="1"/>
    <col min="5" max="5" width="15.140625" style="27" customWidth="1"/>
    <col min="6" max="7" width="14.85546875" style="27" customWidth="1"/>
    <col min="8" max="8" width="13" style="27" customWidth="1"/>
    <col min="9" max="9" width="12.5703125" style="27" customWidth="1"/>
    <col min="10" max="10" width="15.42578125" style="195" customWidth="1"/>
    <col min="11" max="11" width="11.42578125" style="27"/>
    <col min="12" max="12" width="10.28515625" style="27" customWidth="1"/>
    <col min="13" max="13" width="7.85546875" style="27" customWidth="1"/>
    <col min="14" max="14" width="8.42578125" style="27" customWidth="1"/>
    <col min="15" max="16384" width="11.42578125" style="27"/>
  </cols>
  <sheetData>
    <row r="1" spans="1:25" s="26" customFormat="1" ht="23.25" customHeight="1">
      <c r="A1" s="1909"/>
      <c r="B1" s="1911" t="s">
        <v>1358</v>
      </c>
      <c r="C1" s="1912"/>
      <c r="D1" s="1912"/>
      <c r="E1" s="1912"/>
      <c r="F1" s="1912"/>
      <c r="G1" s="1912"/>
      <c r="H1" s="1912"/>
      <c r="I1" s="1912"/>
      <c r="J1" s="1912"/>
      <c r="K1" s="1913"/>
      <c r="L1" s="1915" t="s">
        <v>659</v>
      </c>
      <c r="M1" s="1915"/>
      <c r="N1" s="1916"/>
    </row>
    <row r="2" spans="1:25" s="26" customFormat="1" ht="23.25" customHeight="1" thickBot="1">
      <c r="A2" s="1910"/>
      <c r="B2" s="1708"/>
      <c r="C2" s="1709"/>
      <c r="D2" s="1709"/>
      <c r="E2" s="1709"/>
      <c r="F2" s="1709"/>
      <c r="G2" s="1709"/>
      <c r="H2" s="1709"/>
      <c r="I2" s="1709"/>
      <c r="J2" s="1709"/>
      <c r="K2" s="1914"/>
      <c r="L2" s="1917"/>
      <c r="M2" s="1917"/>
      <c r="N2" s="1918"/>
    </row>
    <row r="3" spans="1:25" s="26" customFormat="1" ht="14.25" customHeight="1" thickTop="1">
      <c r="A3" s="151"/>
      <c r="B3" s="152"/>
      <c r="C3" s="152"/>
      <c r="D3" s="152"/>
      <c r="E3" s="153"/>
      <c r="F3" s="152"/>
      <c r="G3" s="152"/>
      <c r="H3" s="153"/>
      <c r="I3" s="153"/>
      <c r="J3" s="154"/>
      <c r="K3" s="153"/>
      <c r="L3" s="153"/>
      <c r="M3" s="153"/>
      <c r="N3" s="155"/>
    </row>
    <row r="4" spans="1:25" s="26" customFormat="1" ht="32.25" customHeight="1">
      <c r="A4" s="156" t="s">
        <v>798</v>
      </c>
      <c r="B4" s="1062" t="str">
        <f>IF(ISBLANK(oeOTP),"",oeOTP)</f>
        <v/>
      </c>
      <c r="C4" s="704"/>
      <c r="D4" s="32"/>
      <c r="E4" s="32"/>
      <c r="F4" s="32"/>
      <c r="G4" s="32"/>
      <c r="H4" s="32"/>
      <c r="I4" s="28"/>
      <c r="J4" s="28" t="s">
        <v>801</v>
      </c>
      <c r="K4" s="1932" t="str">
        <f>IF(ISBLANK(oVille),"",oVille)</f>
        <v/>
      </c>
      <c r="L4" s="1932"/>
      <c r="M4" s="1932"/>
      <c r="N4" s="1933"/>
    </row>
    <row r="5" spans="1:25" s="26" customFormat="1" ht="13.5" customHeight="1">
      <c r="A5" s="156"/>
      <c r="B5" s="28"/>
      <c r="C5" s="28"/>
      <c r="D5" s="28"/>
      <c r="E5" s="28"/>
      <c r="F5" s="28"/>
      <c r="G5" s="28"/>
      <c r="H5" s="32"/>
      <c r="I5" s="32"/>
      <c r="J5" s="10"/>
      <c r="K5" s="28"/>
      <c r="L5" s="28"/>
      <c r="M5" s="32"/>
      <c r="N5" s="705"/>
    </row>
    <row r="6" spans="1:25" s="26" customFormat="1" ht="48.75" customHeight="1">
      <c r="A6" s="156" t="s">
        <v>471</v>
      </c>
      <c r="B6" s="28"/>
      <c r="C6" s="32"/>
      <c r="D6" s="1932" t="str">
        <f>IF(ISBLANK(oLibelleOTP),"",oLibelleOTP)</f>
        <v/>
      </c>
      <c r="E6" s="1932"/>
      <c r="F6" s="1932"/>
      <c r="G6" s="1932"/>
      <c r="H6" s="32"/>
      <c r="I6" s="32"/>
      <c r="J6" s="157" t="s">
        <v>1509</v>
      </c>
      <c r="K6" s="1062" t="str">
        <f>IF(ISBLANK(oRespChantier),"",oRespChantier)</f>
        <v/>
      </c>
      <c r="L6" s="28"/>
      <c r="M6" s="32"/>
      <c r="N6" s="705"/>
    </row>
    <row r="7" spans="1:25" s="26" customFormat="1">
      <c r="A7" s="156"/>
      <c r="B7" s="28"/>
      <c r="C7" s="28"/>
      <c r="D7" s="28"/>
      <c r="E7" s="28"/>
      <c r="F7" s="28"/>
      <c r="G7" s="28"/>
      <c r="H7" s="28"/>
      <c r="I7" s="28"/>
      <c r="J7" s="10"/>
      <c r="K7" s="28"/>
      <c r="L7" s="28"/>
      <c r="M7" s="32"/>
      <c r="N7" s="705"/>
    </row>
    <row r="8" spans="1:25" s="26" customFormat="1" ht="18" customHeight="1">
      <c r="A8" s="158" t="s">
        <v>800</v>
      </c>
      <c r="B8" s="1063" t="str">
        <f>IF(ISBLANK(oMOE),"",oMOE)</f>
        <v/>
      </c>
      <c r="C8" s="707"/>
      <c r="D8" s="32"/>
      <c r="E8" s="32"/>
      <c r="F8" s="706"/>
      <c r="G8" s="706"/>
      <c r="H8" s="32"/>
      <c r="I8" s="25"/>
      <c r="J8" s="159" t="s">
        <v>660</v>
      </c>
      <c r="K8" s="160"/>
      <c r="L8" s="706"/>
      <c r="M8" s="32"/>
      <c r="N8" s="705"/>
    </row>
    <row r="9" spans="1:25" s="26" customFormat="1" ht="23.25" customHeight="1" thickBot="1">
      <c r="A9" s="162"/>
      <c r="D9" s="26" t="s">
        <v>661</v>
      </c>
      <c r="J9" s="163"/>
      <c r="N9" s="161"/>
      <c r="Y9" s="164"/>
    </row>
    <row r="10" spans="1:25" s="165" customFormat="1" ht="83.25" customHeight="1">
      <c r="A10" s="1919" t="s">
        <v>648</v>
      </c>
      <c r="B10" s="1921" t="s">
        <v>264</v>
      </c>
      <c r="C10" s="1922"/>
      <c r="D10" s="1925" t="s">
        <v>662</v>
      </c>
      <c r="E10" s="1927" t="s">
        <v>663</v>
      </c>
      <c r="F10" s="1940" t="s">
        <v>664</v>
      </c>
      <c r="G10" s="1925"/>
      <c r="H10" s="1931" t="s">
        <v>781</v>
      </c>
      <c r="I10" s="1925"/>
      <c r="J10" s="1925" t="s">
        <v>665</v>
      </c>
      <c r="K10" s="1930" t="s">
        <v>666</v>
      </c>
      <c r="L10" s="1931"/>
      <c r="M10" s="1929" t="s">
        <v>667</v>
      </c>
      <c r="N10" s="1916"/>
    </row>
    <row r="11" spans="1:25" s="165" customFormat="1" ht="72.75" thickBot="1">
      <c r="A11" s="1920"/>
      <c r="B11" s="1923"/>
      <c r="C11" s="1924"/>
      <c r="D11" s="1926"/>
      <c r="E11" s="1928"/>
      <c r="F11" s="167" t="s">
        <v>668</v>
      </c>
      <c r="G11" s="166" t="s">
        <v>669</v>
      </c>
      <c r="H11" s="168" t="s">
        <v>670</v>
      </c>
      <c r="I11" s="166" t="s">
        <v>671</v>
      </c>
      <c r="J11" s="1926"/>
      <c r="K11" s="166" t="s">
        <v>672</v>
      </c>
      <c r="L11" s="166" t="s">
        <v>650</v>
      </c>
      <c r="M11" s="168" t="s">
        <v>672</v>
      </c>
      <c r="N11" s="169" t="s">
        <v>650</v>
      </c>
    </row>
    <row r="12" spans="1:25" s="171" customFormat="1" ht="62.25" customHeight="1">
      <c r="A12" s="1289"/>
      <c r="B12" s="1934"/>
      <c r="C12" s="1935"/>
      <c r="D12" s="1290"/>
      <c r="E12" s="1291"/>
      <c r="F12" s="1292"/>
      <c r="G12" s="1290"/>
      <c r="H12" s="1293"/>
      <c r="I12" s="1294"/>
      <c r="J12" s="1294"/>
      <c r="K12" s="1295"/>
      <c r="L12" s="1295"/>
      <c r="M12" s="1293"/>
      <c r="N12" s="1296"/>
      <c r="O12" s="170"/>
      <c r="P12" s="170"/>
      <c r="Q12" s="170"/>
      <c r="R12" s="170"/>
      <c r="S12" s="170"/>
      <c r="T12" s="170"/>
      <c r="U12" s="170"/>
      <c r="V12" s="170"/>
      <c r="W12" s="170"/>
      <c r="X12" s="170"/>
      <c r="Y12" s="170"/>
    </row>
    <row r="13" spans="1:25" ht="35.1" customHeight="1">
      <c r="A13" s="172"/>
      <c r="B13" s="1936"/>
      <c r="C13" s="1937"/>
      <c r="D13" s="174"/>
      <c r="E13" s="175"/>
      <c r="F13" s="173"/>
      <c r="G13" s="174"/>
      <c r="H13" s="176"/>
      <c r="I13" s="174"/>
      <c r="J13" s="177"/>
      <c r="K13" s="174"/>
      <c r="L13" s="174"/>
      <c r="M13" s="178"/>
      <c r="N13" s="179"/>
    </row>
    <row r="14" spans="1:25" ht="35.1" customHeight="1">
      <c r="A14" s="180"/>
      <c r="B14" s="1938"/>
      <c r="C14" s="1939"/>
      <c r="D14" s="182"/>
      <c r="E14" s="183"/>
      <c r="F14" s="181"/>
      <c r="G14" s="182"/>
      <c r="H14" s="184"/>
      <c r="I14" s="182"/>
      <c r="J14" s="185"/>
      <c r="K14" s="182"/>
      <c r="L14" s="182"/>
      <c r="M14" s="178"/>
      <c r="N14" s="186"/>
    </row>
    <row r="15" spans="1:25" ht="35.1" customHeight="1">
      <c r="A15" s="180"/>
      <c r="B15" s="1938"/>
      <c r="C15" s="1939"/>
      <c r="D15" s="182"/>
      <c r="E15" s="183"/>
      <c r="F15" s="181"/>
      <c r="G15" s="182"/>
      <c r="H15" s="184"/>
      <c r="I15" s="182"/>
      <c r="J15" s="185"/>
      <c r="K15" s="182"/>
      <c r="L15" s="182"/>
      <c r="M15" s="178"/>
      <c r="N15" s="186"/>
    </row>
    <row r="16" spans="1:25" ht="35.1" customHeight="1">
      <c r="A16" s="180"/>
      <c r="B16" s="1938"/>
      <c r="C16" s="1939"/>
      <c r="D16" s="182"/>
      <c r="E16" s="183"/>
      <c r="F16" s="181"/>
      <c r="G16" s="182"/>
      <c r="H16" s="184"/>
      <c r="I16" s="182"/>
      <c r="J16" s="185"/>
      <c r="K16" s="182"/>
      <c r="L16" s="182"/>
      <c r="M16" s="178"/>
      <c r="N16" s="186"/>
    </row>
    <row r="17" spans="1:14" ht="35.1" customHeight="1">
      <c r="A17" s="187"/>
      <c r="B17" s="1938"/>
      <c r="C17" s="1939"/>
      <c r="D17" s="188"/>
      <c r="E17" s="183"/>
      <c r="F17" s="181"/>
      <c r="G17" s="182"/>
      <c r="H17" s="184"/>
      <c r="I17" s="182"/>
      <c r="J17" s="185"/>
      <c r="K17" s="182"/>
      <c r="L17" s="182"/>
      <c r="M17" s="178"/>
      <c r="N17" s="186"/>
    </row>
    <row r="18" spans="1:14" ht="35.1" customHeight="1">
      <c r="A18" s="180"/>
      <c r="B18" s="1938"/>
      <c r="C18" s="1939"/>
      <c r="D18" s="182"/>
      <c r="E18" s="183"/>
      <c r="F18" s="181"/>
      <c r="G18" s="182"/>
      <c r="H18" s="184"/>
      <c r="I18" s="182"/>
      <c r="J18" s="185"/>
      <c r="K18" s="182"/>
      <c r="L18" s="182"/>
      <c r="M18" s="178"/>
      <c r="N18" s="186"/>
    </row>
    <row r="19" spans="1:14" ht="35.1" customHeight="1">
      <c r="A19" s="187"/>
      <c r="B19" s="1938"/>
      <c r="C19" s="1939"/>
      <c r="D19" s="182"/>
      <c r="E19" s="183"/>
      <c r="F19" s="181"/>
      <c r="G19" s="182"/>
      <c r="H19" s="184"/>
      <c r="I19" s="182"/>
      <c r="J19" s="185"/>
      <c r="K19" s="182"/>
      <c r="L19" s="182"/>
      <c r="M19" s="178"/>
      <c r="N19" s="186"/>
    </row>
    <row r="20" spans="1:14" ht="35.1" customHeight="1">
      <c r="A20" s="187"/>
      <c r="B20" s="1938"/>
      <c r="C20" s="1939"/>
      <c r="D20" s="182"/>
      <c r="E20" s="183"/>
      <c r="F20" s="181"/>
      <c r="G20" s="182"/>
      <c r="H20" s="184"/>
      <c r="I20" s="182"/>
      <c r="J20" s="185"/>
      <c r="K20" s="182"/>
      <c r="L20" s="182"/>
      <c r="M20" s="178"/>
      <c r="N20" s="186"/>
    </row>
    <row r="21" spans="1:14" ht="35.1" customHeight="1">
      <c r="A21" s="187"/>
      <c r="B21" s="1938"/>
      <c r="C21" s="1939"/>
      <c r="D21" s="182"/>
      <c r="E21" s="183"/>
      <c r="F21" s="181"/>
      <c r="G21" s="182"/>
      <c r="H21" s="184"/>
      <c r="I21" s="182"/>
      <c r="J21" s="185"/>
      <c r="K21" s="182"/>
      <c r="L21" s="182"/>
      <c r="M21" s="178"/>
      <c r="N21" s="186"/>
    </row>
    <row r="22" spans="1:14" ht="35.1" customHeight="1">
      <c r="A22" s="180"/>
      <c r="B22" s="1938"/>
      <c r="C22" s="1939"/>
      <c r="D22" s="182"/>
      <c r="E22" s="183"/>
      <c r="F22" s="181"/>
      <c r="G22" s="182"/>
      <c r="H22" s="184"/>
      <c r="I22" s="182"/>
      <c r="J22" s="185"/>
      <c r="K22" s="182"/>
      <c r="L22" s="182"/>
      <c r="M22" s="178"/>
      <c r="N22" s="186"/>
    </row>
    <row r="23" spans="1:14" ht="35.1" customHeight="1" thickBot="1">
      <c r="A23" s="189"/>
      <c r="B23" s="1941"/>
      <c r="C23" s="1942"/>
      <c r="D23" s="191"/>
      <c r="E23" s="192"/>
      <c r="F23" s="190"/>
      <c r="G23" s="191"/>
      <c r="H23" s="193"/>
      <c r="I23" s="191"/>
      <c r="J23" s="191"/>
      <c r="K23" s="191"/>
      <c r="L23" s="191"/>
      <c r="M23" s="193"/>
      <c r="N23" s="194"/>
    </row>
  </sheetData>
  <mergeCells count="26">
    <mergeCell ref="B21:C21"/>
    <mergeCell ref="B22:C22"/>
    <mergeCell ref="B23:C23"/>
    <mergeCell ref="B15:C15"/>
    <mergeCell ref="B16:C16"/>
    <mergeCell ref="B17:C17"/>
    <mergeCell ref="B18:C18"/>
    <mergeCell ref="B19:C19"/>
    <mergeCell ref="B20:C20"/>
    <mergeCell ref="B12:C12"/>
    <mergeCell ref="B13:C13"/>
    <mergeCell ref="B14:C14"/>
    <mergeCell ref="F10:G10"/>
    <mergeCell ref="H10:I10"/>
    <mergeCell ref="A1:A2"/>
    <mergeCell ref="B1:K2"/>
    <mergeCell ref="L1:N2"/>
    <mergeCell ref="A10:A11"/>
    <mergeCell ref="B10:C11"/>
    <mergeCell ref="D10:D11"/>
    <mergeCell ref="E10:E11"/>
    <mergeCell ref="M10:N10"/>
    <mergeCell ref="K10:L10"/>
    <mergeCell ref="J10:J11"/>
    <mergeCell ref="D6:G6"/>
    <mergeCell ref="K4:N4"/>
  </mergeCells>
  <phoneticPr fontId="12" type="noConversion"/>
  <printOptions horizontalCentered="1" verticalCentered="1"/>
  <pageMargins left="0" right="0" top="0" bottom="0.39370078740157483" header="0" footer="0"/>
  <pageSetup paperSize="9" scale="71" fitToHeight="2" orientation="landscape" blackAndWhite="1" r:id="rId1"/>
  <headerFooter alignWithMargins="0">
    <oddFooter>&amp;LEdité le &amp;D&amp;C&amp;P/&amp;N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161">
    <tabColor indexed="42"/>
    <pageSetUpPr fitToPage="1"/>
  </sheetPr>
  <dimension ref="A1:L47"/>
  <sheetViews>
    <sheetView showGridLines="0" view="pageBreakPreview" zoomScale="90" zoomScaleNormal="100" zoomScaleSheetLayoutView="90" workbookViewId="0">
      <selection activeCell="F11" sqref="F11"/>
    </sheetView>
  </sheetViews>
  <sheetFormatPr baseColWidth="10" defaultColWidth="11.42578125" defaultRowHeight="12.75"/>
  <cols>
    <col min="1" max="1" width="13.7109375" style="21" customWidth="1"/>
    <col min="2" max="2" width="12.85546875" style="21" customWidth="1"/>
    <col min="3" max="5" width="22.7109375" style="21" customWidth="1"/>
    <col min="6" max="6" width="22.7109375" style="121" customWidth="1"/>
    <col min="7" max="11" width="17.7109375" style="20" customWidth="1"/>
    <col min="12" max="12" width="3.85546875" style="21" customWidth="1"/>
    <col min="13" max="17" width="4.7109375" style="21" customWidth="1"/>
    <col min="18" max="18" width="9.5703125" style="21" customWidth="1"/>
    <col min="19" max="35" width="5.7109375" style="21" customWidth="1"/>
    <col min="36" max="16384" width="11.42578125" style="21"/>
  </cols>
  <sheetData>
    <row r="1" spans="1:12" ht="18" customHeight="1">
      <c r="B1" s="1720" t="s">
        <v>673</v>
      </c>
      <c r="C1" s="1720"/>
      <c r="D1" s="1720"/>
      <c r="E1" s="1720"/>
      <c r="F1" s="1720"/>
      <c r="G1" s="1720"/>
      <c r="H1" s="1720"/>
      <c r="I1" s="1720"/>
      <c r="J1" s="1720"/>
      <c r="K1" s="1943" t="s">
        <v>674</v>
      </c>
      <c r="L1" s="23"/>
    </row>
    <row r="2" spans="1:12" ht="18" customHeight="1">
      <c r="A2" s="32"/>
      <c r="B2" s="1720"/>
      <c r="C2" s="1720"/>
      <c r="D2" s="1720"/>
      <c r="E2" s="1720"/>
      <c r="F2" s="1720"/>
      <c r="G2" s="1720"/>
      <c r="H2" s="1720"/>
      <c r="I2" s="1720"/>
      <c r="J2" s="1720"/>
      <c r="K2" s="1943"/>
      <c r="L2" s="23"/>
    </row>
    <row r="3" spans="1:12" ht="18" customHeight="1">
      <c r="A3" s="32"/>
      <c r="B3" s="32"/>
      <c r="C3" s="32"/>
      <c r="E3" s="32"/>
      <c r="F3" s="25"/>
      <c r="G3" s="164"/>
      <c r="H3" s="164"/>
      <c r="I3" s="164"/>
      <c r="J3" s="2"/>
      <c r="K3" s="2"/>
      <c r="L3" s="145"/>
    </row>
    <row r="4" spans="1:12" ht="10.5" customHeight="1">
      <c r="B4" s="121"/>
      <c r="C4" s="121"/>
      <c r="E4" s="121"/>
    </row>
    <row r="5" spans="1:12" s="9" customFormat="1" ht="15.75">
      <c r="A5" s="14" t="s">
        <v>247</v>
      </c>
      <c r="B5" s="721" t="str">
        <f>IF(ISBLANK(oMOE),"",oMOE)</f>
        <v/>
      </c>
      <c r="C5" s="701"/>
      <c r="D5" s="5"/>
      <c r="E5" s="14" t="s">
        <v>1373</v>
      </c>
      <c r="F5" s="721" t="str">
        <f>IF(ISBLANK(oVille),"",oVille)</f>
        <v/>
      </c>
      <c r="G5" s="701"/>
      <c r="H5" s="5"/>
      <c r="I5" s="131" t="s">
        <v>1374</v>
      </c>
      <c r="J5" s="720" t="str">
        <f>IF(ISBLANK(oeOTP),"",oeOTP)</f>
        <v/>
      </c>
      <c r="K5" s="5"/>
    </row>
    <row r="6" spans="1:12" s="9" customFormat="1" ht="19.5" customHeight="1">
      <c r="A6" s="538" t="s">
        <v>1372</v>
      </c>
      <c r="B6" s="538"/>
      <c r="C6" s="729" t="str">
        <f>IF(ISBLANK(oLibelleOTP),"",oLibelleOTP)</f>
        <v/>
      </c>
      <c r="D6" s="702"/>
      <c r="E6" s="708"/>
      <c r="F6" s="708"/>
      <c r="G6" s="708"/>
      <c r="I6" s="538"/>
      <c r="J6" s="129"/>
      <c r="L6" s="14"/>
    </row>
    <row r="7" spans="1:12" s="9" customFormat="1" ht="16.5" customHeight="1">
      <c r="A7" s="281" t="s">
        <v>1126</v>
      </c>
      <c r="B7" s="538"/>
      <c r="C7" s="729" t="str">
        <f>IF(ISBLANK(oAdresseChantier),"",oAdresseChantier)</f>
        <v/>
      </c>
      <c r="D7" s="702"/>
      <c r="E7" s="18"/>
      <c r="F7" s="538"/>
      <c r="I7" s="538"/>
      <c r="J7" s="122"/>
      <c r="L7" s="14"/>
    </row>
    <row r="8" spans="1:12">
      <c r="E8" s="121"/>
      <c r="I8" s="121"/>
    </row>
    <row r="9" spans="1:12" s="30" customFormat="1" ht="27.75" customHeight="1">
      <c r="A9" s="196" t="s">
        <v>676</v>
      </c>
      <c r="B9" s="24"/>
      <c r="C9" s="24"/>
      <c r="E9" s="197" t="s">
        <v>677</v>
      </c>
      <c r="I9" s="197" t="s">
        <v>678</v>
      </c>
      <c r="J9" s="198"/>
      <c r="K9" s="198"/>
      <c r="L9" s="24"/>
    </row>
    <row r="10" spans="1:12" s="116" customFormat="1" ht="20.100000000000001" customHeight="1" thickBot="1">
      <c r="F10" s="199"/>
      <c r="G10" s="146"/>
      <c r="H10" s="146"/>
      <c r="I10" s="146"/>
      <c r="J10" s="146"/>
      <c r="K10" s="146"/>
    </row>
    <row r="11" spans="1:12" s="23" customFormat="1" ht="39" thickBot="1">
      <c r="A11" s="200" t="s">
        <v>679</v>
      </c>
      <c r="B11" s="201" t="s">
        <v>680</v>
      </c>
      <c r="C11" s="200" t="s">
        <v>681</v>
      </c>
      <c r="D11" s="202" t="s">
        <v>682</v>
      </c>
      <c r="E11" s="202" t="s">
        <v>683</v>
      </c>
      <c r="F11" s="201" t="s">
        <v>684</v>
      </c>
      <c r="G11" s="200" t="s">
        <v>685</v>
      </c>
      <c r="H11" s="203" t="s">
        <v>686</v>
      </c>
      <c r="I11" s="202" t="s">
        <v>687</v>
      </c>
      <c r="J11" s="1192" t="s">
        <v>1359</v>
      </c>
      <c r="K11" s="201" t="s">
        <v>688</v>
      </c>
    </row>
    <row r="12" spans="1:12" s="24" customFormat="1" ht="15.95" customHeight="1">
      <c r="A12" s="1944" t="s">
        <v>689</v>
      </c>
      <c r="B12" s="1946"/>
      <c r="C12" s="204" t="s">
        <v>690</v>
      </c>
      <c r="D12" s="205" t="s">
        <v>690</v>
      </c>
      <c r="E12" s="205" t="s">
        <v>690</v>
      </c>
      <c r="F12" s="206" t="s">
        <v>690</v>
      </c>
      <c r="G12" s="1948"/>
      <c r="H12" s="207"/>
      <c r="I12" s="1950"/>
      <c r="J12" s="1950"/>
      <c r="K12" s="1952"/>
    </row>
    <row r="13" spans="1:12" s="24" customFormat="1" ht="15.95" customHeight="1">
      <c r="A13" s="1945"/>
      <c r="B13" s="1947"/>
      <c r="C13" s="208" t="s">
        <v>691</v>
      </c>
      <c r="D13" s="209" t="s">
        <v>691</v>
      </c>
      <c r="E13" s="209" t="s">
        <v>691</v>
      </c>
      <c r="F13" s="210" t="s">
        <v>691</v>
      </c>
      <c r="G13" s="1949"/>
      <c r="H13" s="211"/>
      <c r="I13" s="1951"/>
      <c r="J13" s="1951"/>
      <c r="K13" s="1953"/>
    </row>
    <row r="14" spans="1:12" s="24" customFormat="1" ht="15.95" customHeight="1">
      <c r="A14" s="1954" t="s">
        <v>512</v>
      </c>
      <c r="B14" s="1955"/>
      <c r="C14" s="212" t="s">
        <v>690</v>
      </c>
      <c r="D14" s="213" t="s">
        <v>690</v>
      </c>
      <c r="E14" s="213" t="s">
        <v>690</v>
      </c>
      <c r="F14" s="214" t="s">
        <v>690</v>
      </c>
      <c r="G14" s="1956"/>
      <c r="H14" s="215"/>
      <c r="I14" s="1957"/>
      <c r="J14" s="1957"/>
      <c r="K14" s="1958"/>
    </row>
    <row r="15" spans="1:12" s="24" customFormat="1" ht="15.95" customHeight="1">
      <c r="A15" s="1945"/>
      <c r="B15" s="1947"/>
      <c r="C15" s="208" t="s">
        <v>691</v>
      </c>
      <c r="D15" s="209" t="s">
        <v>691</v>
      </c>
      <c r="E15" s="209" t="s">
        <v>691</v>
      </c>
      <c r="F15" s="210" t="s">
        <v>691</v>
      </c>
      <c r="G15" s="1949"/>
      <c r="H15" s="211"/>
      <c r="I15" s="1951"/>
      <c r="J15" s="1951"/>
      <c r="K15" s="1953"/>
    </row>
    <row r="16" spans="1:12" s="24" customFormat="1" ht="15.95" customHeight="1">
      <c r="A16" s="1954" t="s">
        <v>692</v>
      </c>
      <c r="B16" s="1955"/>
      <c r="C16" s="212" t="s">
        <v>690</v>
      </c>
      <c r="D16" s="213" t="s">
        <v>690</v>
      </c>
      <c r="E16" s="213" t="s">
        <v>690</v>
      </c>
      <c r="F16" s="214" t="s">
        <v>690</v>
      </c>
      <c r="G16" s="1956"/>
      <c r="H16" s="215"/>
      <c r="I16" s="1957"/>
      <c r="J16" s="1957"/>
      <c r="K16" s="1958"/>
    </row>
    <row r="17" spans="1:11" s="24" customFormat="1" ht="15.95" customHeight="1">
      <c r="A17" s="1945"/>
      <c r="B17" s="1947"/>
      <c r="C17" s="208" t="s">
        <v>691</v>
      </c>
      <c r="D17" s="209" t="s">
        <v>691</v>
      </c>
      <c r="E17" s="209" t="s">
        <v>691</v>
      </c>
      <c r="F17" s="210" t="s">
        <v>691</v>
      </c>
      <c r="G17" s="1949"/>
      <c r="H17" s="211"/>
      <c r="I17" s="1951"/>
      <c r="J17" s="1951"/>
      <c r="K17" s="1953"/>
    </row>
    <row r="18" spans="1:11" s="24" customFormat="1" ht="15.95" customHeight="1">
      <c r="A18" s="1954" t="s">
        <v>693</v>
      </c>
      <c r="B18" s="1955"/>
      <c r="C18" s="212" t="s">
        <v>690</v>
      </c>
      <c r="D18" s="213" t="s">
        <v>690</v>
      </c>
      <c r="E18" s="213" t="s">
        <v>690</v>
      </c>
      <c r="F18" s="214" t="s">
        <v>690</v>
      </c>
      <c r="G18" s="1956"/>
      <c r="H18" s="215"/>
      <c r="I18" s="1957"/>
      <c r="J18" s="1957"/>
      <c r="K18" s="1958"/>
    </row>
    <row r="19" spans="1:11" s="24" customFormat="1" ht="15.95" customHeight="1">
      <c r="A19" s="1945"/>
      <c r="B19" s="1947"/>
      <c r="C19" s="208" t="s">
        <v>691</v>
      </c>
      <c r="D19" s="209" t="s">
        <v>691</v>
      </c>
      <c r="E19" s="209" t="s">
        <v>691</v>
      </c>
      <c r="F19" s="210" t="s">
        <v>691</v>
      </c>
      <c r="G19" s="1949"/>
      <c r="H19" s="211"/>
      <c r="I19" s="1951"/>
      <c r="J19" s="1951"/>
      <c r="K19" s="1953"/>
    </row>
    <row r="20" spans="1:11" s="24" customFormat="1" ht="15.95" customHeight="1">
      <c r="A20" s="1954" t="s">
        <v>693</v>
      </c>
      <c r="B20" s="1955"/>
      <c r="C20" s="212" t="s">
        <v>690</v>
      </c>
      <c r="D20" s="213" t="s">
        <v>690</v>
      </c>
      <c r="E20" s="213" t="s">
        <v>690</v>
      </c>
      <c r="F20" s="214" t="s">
        <v>690</v>
      </c>
      <c r="G20" s="1956"/>
      <c r="H20" s="215"/>
      <c r="I20" s="1957"/>
      <c r="J20" s="1957"/>
      <c r="K20" s="1958"/>
    </row>
    <row r="21" spans="1:11" s="24" customFormat="1" ht="15.95" customHeight="1">
      <c r="A21" s="1945"/>
      <c r="B21" s="1947"/>
      <c r="C21" s="208" t="s">
        <v>691</v>
      </c>
      <c r="D21" s="209" t="s">
        <v>691</v>
      </c>
      <c r="E21" s="209" t="s">
        <v>691</v>
      </c>
      <c r="F21" s="210" t="s">
        <v>691</v>
      </c>
      <c r="G21" s="1949"/>
      <c r="H21" s="211"/>
      <c r="I21" s="1951"/>
      <c r="J21" s="1951"/>
      <c r="K21" s="1953"/>
    </row>
    <row r="22" spans="1:11" s="24" customFormat="1" ht="15.95" customHeight="1">
      <c r="A22" s="1954"/>
      <c r="B22" s="1955"/>
      <c r="C22" s="212" t="s">
        <v>690</v>
      </c>
      <c r="D22" s="213" t="s">
        <v>690</v>
      </c>
      <c r="E22" s="213" t="s">
        <v>690</v>
      </c>
      <c r="F22" s="214" t="s">
        <v>690</v>
      </c>
      <c r="G22" s="1956"/>
      <c r="H22" s="215"/>
      <c r="I22" s="1957"/>
      <c r="J22" s="1957"/>
      <c r="K22" s="1958"/>
    </row>
    <row r="23" spans="1:11" s="24" customFormat="1" ht="15.95" customHeight="1">
      <c r="A23" s="1945"/>
      <c r="B23" s="1947"/>
      <c r="C23" s="208" t="s">
        <v>691</v>
      </c>
      <c r="D23" s="209" t="s">
        <v>691</v>
      </c>
      <c r="E23" s="209" t="s">
        <v>691</v>
      </c>
      <c r="F23" s="210" t="s">
        <v>691</v>
      </c>
      <c r="G23" s="1949"/>
      <c r="H23" s="211"/>
      <c r="I23" s="1951"/>
      <c r="J23" s="1951"/>
      <c r="K23" s="1953"/>
    </row>
    <row r="24" spans="1:11" s="24" customFormat="1" ht="15.95" customHeight="1">
      <c r="A24" s="1954"/>
      <c r="B24" s="1955"/>
      <c r="C24" s="212" t="s">
        <v>690</v>
      </c>
      <c r="D24" s="213" t="s">
        <v>690</v>
      </c>
      <c r="E24" s="213" t="s">
        <v>690</v>
      </c>
      <c r="F24" s="214" t="s">
        <v>690</v>
      </c>
      <c r="G24" s="1956"/>
      <c r="H24" s="215"/>
      <c r="I24" s="1957"/>
      <c r="J24" s="1957"/>
      <c r="K24" s="1958"/>
    </row>
    <row r="25" spans="1:11" s="24" customFormat="1" ht="15.95" customHeight="1">
      <c r="A25" s="1945"/>
      <c r="B25" s="1947"/>
      <c r="C25" s="208" t="s">
        <v>691</v>
      </c>
      <c r="D25" s="209" t="s">
        <v>691</v>
      </c>
      <c r="E25" s="209" t="s">
        <v>691</v>
      </c>
      <c r="F25" s="210" t="s">
        <v>691</v>
      </c>
      <c r="G25" s="1949"/>
      <c r="H25" s="211"/>
      <c r="I25" s="1951"/>
      <c r="J25" s="1951"/>
      <c r="K25" s="1953"/>
    </row>
    <row r="26" spans="1:11" s="24" customFormat="1" ht="15.95" customHeight="1">
      <c r="A26" s="1954"/>
      <c r="B26" s="1955"/>
      <c r="C26" s="212" t="s">
        <v>690</v>
      </c>
      <c r="D26" s="213" t="s">
        <v>690</v>
      </c>
      <c r="E26" s="213" t="s">
        <v>690</v>
      </c>
      <c r="F26" s="214" t="s">
        <v>690</v>
      </c>
      <c r="G26" s="1956"/>
      <c r="H26" s="215"/>
      <c r="I26" s="1957"/>
      <c r="J26" s="1957"/>
      <c r="K26" s="1958"/>
    </row>
    <row r="27" spans="1:11" s="24" customFormat="1" ht="15.95" customHeight="1">
      <c r="A27" s="1945"/>
      <c r="B27" s="1947"/>
      <c r="C27" s="208" t="s">
        <v>691</v>
      </c>
      <c r="D27" s="209" t="s">
        <v>691</v>
      </c>
      <c r="E27" s="209" t="s">
        <v>691</v>
      </c>
      <c r="F27" s="210" t="s">
        <v>691</v>
      </c>
      <c r="G27" s="1949"/>
      <c r="H27" s="211"/>
      <c r="I27" s="1951"/>
      <c r="J27" s="1951"/>
      <c r="K27" s="1953"/>
    </row>
    <row r="28" spans="1:11" s="24" customFormat="1" ht="15.95" customHeight="1">
      <c r="A28" s="1954"/>
      <c r="B28" s="1955"/>
      <c r="C28" s="212" t="s">
        <v>690</v>
      </c>
      <c r="D28" s="213" t="s">
        <v>690</v>
      </c>
      <c r="E28" s="213" t="s">
        <v>690</v>
      </c>
      <c r="F28" s="214" t="s">
        <v>690</v>
      </c>
      <c r="G28" s="1956"/>
      <c r="H28" s="215"/>
      <c r="I28" s="1957"/>
      <c r="J28" s="1957"/>
      <c r="K28" s="1958"/>
    </row>
    <row r="29" spans="1:11" s="24" customFormat="1" ht="15.95" customHeight="1">
      <c r="A29" s="1945"/>
      <c r="B29" s="1947"/>
      <c r="C29" s="208" t="s">
        <v>691</v>
      </c>
      <c r="D29" s="209" t="s">
        <v>691</v>
      </c>
      <c r="E29" s="209" t="s">
        <v>691</v>
      </c>
      <c r="F29" s="210" t="s">
        <v>691</v>
      </c>
      <c r="G29" s="1949"/>
      <c r="H29" s="211"/>
      <c r="I29" s="1951"/>
      <c r="J29" s="1951"/>
      <c r="K29" s="1953"/>
    </row>
    <row r="30" spans="1:11" s="24" customFormat="1" ht="15.95" customHeight="1">
      <c r="A30" s="1954"/>
      <c r="B30" s="1955"/>
      <c r="C30" s="212" t="s">
        <v>690</v>
      </c>
      <c r="D30" s="213" t="s">
        <v>690</v>
      </c>
      <c r="E30" s="213" t="s">
        <v>690</v>
      </c>
      <c r="F30" s="214" t="s">
        <v>690</v>
      </c>
      <c r="G30" s="1956"/>
      <c r="H30" s="215"/>
      <c r="I30" s="1957"/>
      <c r="J30" s="1957"/>
      <c r="K30" s="1958"/>
    </row>
    <row r="31" spans="1:11" s="24" customFormat="1" ht="15.95" customHeight="1">
      <c r="A31" s="1945"/>
      <c r="B31" s="1947"/>
      <c r="C31" s="208" t="s">
        <v>691</v>
      </c>
      <c r="D31" s="209" t="s">
        <v>691</v>
      </c>
      <c r="E31" s="209" t="s">
        <v>691</v>
      </c>
      <c r="F31" s="210" t="s">
        <v>691</v>
      </c>
      <c r="G31" s="1949"/>
      <c r="H31" s="211"/>
      <c r="I31" s="1951"/>
      <c r="J31" s="1951"/>
      <c r="K31" s="1953"/>
    </row>
    <row r="32" spans="1:11" s="24" customFormat="1" ht="15.95" customHeight="1">
      <c r="A32" s="1954"/>
      <c r="B32" s="1955"/>
      <c r="C32" s="212" t="s">
        <v>690</v>
      </c>
      <c r="D32" s="213" t="s">
        <v>690</v>
      </c>
      <c r="E32" s="213" t="s">
        <v>690</v>
      </c>
      <c r="F32" s="214" t="s">
        <v>690</v>
      </c>
      <c r="G32" s="1956"/>
      <c r="H32" s="215"/>
      <c r="I32" s="1957"/>
      <c r="J32" s="1957"/>
      <c r="K32" s="1958"/>
    </row>
    <row r="33" spans="1:11" s="24" customFormat="1" ht="15.95" customHeight="1">
      <c r="A33" s="1945"/>
      <c r="B33" s="1947"/>
      <c r="C33" s="208" t="s">
        <v>691</v>
      </c>
      <c r="D33" s="209" t="s">
        <v>691</v>
      </c>
      <c r="E33" s="209" t="s">
        <v>691</v>
      </c>
      <c r="F33" s="210" t="s">
        <v>691</v>
      </c>
      <c r="G33" s="1949"/>
      <c r="H33" s="211"/>
      <c r="I33" s="1951"/>
      <c r="J33" s="1951"/>
      <c r="K33" s="1953"/>
    </row>
    <row r="34" spans="1:11" s="24" customFormat="1" ht="15.95" customHeight="1">
      <c r="A34" s="1954"/>
      <c r="B34" s="1955"/>
      <c r="C34" s="212" t="s">
        <v>690</v>
      </c>
      <c r="D34" s="213" t="s">
        <v>690</v>
      </c>
      <c r="E34" s="213" t="s">
        <v>690</v>
      </c>
      <c r="F34" s="214" t="s">
        <v>690</v>
      </c>
      <c r="G34" s="1956"/>
      <c r="H34" s="215"/>
      <c r="I34" s="1957"/>
      <c r="J34" s="1957"/>
      <c r="K34" s="1958"/>
    </row>
    <row r="35" spans="1:11" s="24" customFormat="1" ht="15.95" customHeight="1">
      <c r="A35" s="1945"/>
      <c r="B35" s="1947"/>
      <c r="C35" s="208" t="s">
        <v>691</v>
      </c>
      <c r="D35" s="209" t="s">
        <v>691</v>
      </c>
      <c r="E35" s="209" t="s">
        <v>691</v>
      </c>
      <c r="F35" s="210" t="s">
        <v>691</v>
      </c>
      <c r="G35" s="1949"/>
      <c r="H35" s="211"/>
      <c r="I35" s="1951"/>
      <c r="J35" s="1951"/>
      <c r="K35" s="1953"/>
    </row>
    <row r="36" spans="1:11" s="24" customFormat="1" ht="15.95" customHeight="1">
      <c r="A36" s="1954"/>
      <c r="B36" s="1955"/>
      <c r="C36" s="212" t="s">
        <v>690</v>
      </c>
      <c r="D36" s="213" t="s">
        <v>690</v>
      </c>
      <c r="E36" s="213" t="s">
        <v>690</v>
      </c>
      <c r="F36" s="214" t="s">
        <v>690</v>
      </c>
      <c r="G36" s="1956"/>
      <c r="H36" s="215"/>
      <c r="I36" s="1957"/>
      <c r="J36" s="1957"/>
      <c r="K36" s="1958"/>
    </row>
    <row r="37" spans="1:11" s="24" customFormat="1" ht="15.95" customHeight="1">
      <c r="A37" s="1945"/>
      <c r="B37" s="1947"/>
      <c r="C37" s="208" t="s">
        <v>691</v>
      </c>
      <c r="D37" s="209" t="s">
        <v>691</v>
      </c>
      <c r="E37" s="209" t="s">
        <v>691</v>
      </c>
      <c r="F37" s="210" t="s">
        <v>691</v>
      </c>
      <c r="G37" s="1949"/>
      <c r="H37" s="211"/>
      <c r="I37" s="1951"/>
      <c r="J37" s="1951"/>
      <c r="K37" s="1953"/>
    </row>
    <row r="38" spans="1:11" s="24" customFormat="1" ht="15.95" customHeight="1">
      <c r="A38" s="1954"/>
      <c r="B38" s="1955"/>
      <c r="C38" s="212" t="s">
        <v>690</v>
      </c>
      <c r="D38" s="213" t="s">
        <v>690</v>
      </c>
      <c r="E38" s="213" t="s">
        <v>690</v>
      </c>
      <c r="F38" s="214" t="s">
        <v>690</v>
      </c>
      <c r="G38" s="1956"/>
      <c r="H38" s="215"/>
      <c r="I38" s="1957"/>
      <c r="J38" s="1957"/>
      <c r="K38" s="1958"/>
    </row>
    <row r="39" spans="1:11" s="24" customFormat="1" ht="15.95" customHeight="1" thickBot="1">
      <c r="A39" s="1961"/>
      <c r="B39" s="1962"/>
      <c r="C39" s="216" t="s">
        <v>691</v>
      </c>
      <c r="D39" s="217" t="s">
        <v>691</v>
      </c>
      <c r="E39" s="217" t="s">
        <v>691</v>
      </c>
      <c r="F39" s="218" t="s">
        <v>691</v>
      </c>
      <c r="G39" s="1963"/>
      <c r="H39" s="219"/>
      <c r="I39" s="1959"/>
      <c r="J39" s="1959"/>
      <c r="K39" s="1960"/>
    </row>
    <row r="40" spans="1:11" s="223" customFormat="1" ht="24.95" customHeight="1">
      <c r="A40" s="121" t="s">
        <v>567</v>
      </c>
      <c r="B40" s="220"/>
      <c r="C40" s="221"/>
      <c r="D40" s="221"/>
      <c r="E40" s="221"/>
      <c r="F40" s="221"/>
      <c r="G40" s="222"/>
      <c r="H40" s="222"/>
      <c r="I40" s="222"/>
      <c r="J40" s="222"/>
      <c r="K40" s="222"/>
    </row>
    <row r="41" spans="1:11" ht="18.75" customHeight="1">
      <c r="A41" s="121" t="s">
        <v>568</v>
      </c>
      <c r="B41" s="20"/>
      <c r="C41" s="224"/>
      <c r="D41" s="224"/>
      <c r="E41" s="224"/>
      <c r="F41" s="224"/>
      <c r="G41" s="225"/>
      <c r="H41" s="225"/>
      <c r="I41" s="225"/>
      <c r="J41" s="225"/>
      <c r="K41" s="225"/>
    </row>
    <row r="42" spans="1:11" s="9" customFormat="1" ht="15" hidden="1">
      <c r="F42" s="226"/>
      <c r="G42" s="122"/>
      <c r="H42" s="122"/>
      <c r="I42" s="122"/>
      <c r="J42" s="122"/>
      <c r="K42" s="122"/>
    </row>
    <row r="43" spans="1:11" ht="15">
      <c r="A43" s="227" t="s">
        <v>569</v>
      </c>
    </row>
    <row r="44" spans="1:11" ht="13.5" customHeight="1">
      <c r="A44" s="116"/>
      <c r="B44" s="116"/>
      <c r="C44" s="116"/>
      <c r="D44" s="116"/>
      <c r="E44" s="116"/>
      <c r="F44" s="116"/>
      <c r="G44" s="146"/>
      <c r="H44" s="146"/>
      <c r="I44" s="228" t="s">
        <v>570</v>
      </c>
    </row>
    <row r="45" spans="1:11">
      <c r="A45" s="116"/>
      <c r="B45" s="116"/>
      <c r="C45" s="116"/>
      <c r="D45" s="116"/>
      <c r="E45" s="116"/>
      <c r="F45" s="116"/>
      <c r="G45" s="146"/>
      <c r="H45" s="146"/>
      <c r="I45" s="1297" t="s">
        <v>1361</v>
      </c>
    </row>
    <row r="46" spans="1:11" ht="35.25" customHeight="1">
      <c r="A46" s="116"/>
      <c r="B46" s="116"/>
      <c r="C46" s="116"/>
      <c r="D46" s="116"/>
      <c r="E46" s="116"/>
      <c r="F46" s="199"/>
      <c r="G46" s="146"/>
      <c r="H46" s="146"/>
    </row>
    <row r="47" spans="1:11" ht="23.25" customHeight="1"/>
  </sheetData>
  <mergeCells count="86">
    <mergeCell ref="J38:J39"/>
    <mergeCell ref="K38:K39"/>
    <mergeCell ref="A38:A39"/>
    <mergeCell ref="B38:B39"/>
    <mergeCell ref="G38:G39"/>
    <mergeCell ref="I38:I39"/>
    <mergeCell ref="A36:A37"/>
    <mergeCell ref="B36:B37"/>
    <mergeCell ref="G36:G37"/>
    <mergeCell ref="I36:I37"/>
    <mergeCell ref="G34:G35"/>
    <mergeCell ref="I34:I35"/>
    <mergeCell ref="K30:K31"/>
    <mergeCell ref="J32:J33"/>
    <mergeCell ref="K32:K33"/>
    <mergeCell ref="J36:J37"/>
    <mergeCell ref="K36:K37"/>
    <mergeCell ref="K34:K35"/>
    <mergeCell ref="A30:A31"/>
    <mergeCell ref="B30:B31"/>
    <mergeCell ref="G30:G31"/>
    <mergeCell ref="I30:I31"/>
    <mergeCell ref="J34:J35"/>
    <mergeCell ref="J30:J31"/>
    <mergeCell ref="A32:A33"/>
    <mergeCell ref="B32:B33"/>
    <mergeCell ref="G32:G33"/>
    <mergeCell ref="I32:I33"/>
    <mergeCell ref="A34:A35"/>
    <mergeCell ref="B34:B35"/>
    <mergeCell ref="A28:A29"/>
    <mergeCell ref="B28:B29"/>
    <mergeCell ref="G28:G29"/>
    <mergeCell ref="I28:I29"/>
    <mergeCell ref="G26:G27"/>
    <mergeCell ref="I26:I27"/>
    <mergeCell ref="K22:K23"/>
    <mergeCell ref="J24:J25"/>
    <mergeCell ref="K24:K25"/>
    <mergeCell ref="J28:J29"/>
    <mergeCell ref="K28:K29"/>
    <mergeCell ref="K26:K27"/>
    <mergeCell ref="A22:A23"/>
    <mergeCell ref="B22:B23"/>
    <mergeCell ref="G22:G23"/>
    <mergeCell ref="I22:I23"/>
    <mergeCell ref="J26:J27"/>
    <mergeCell ref="J22:J23"/>
    <mergeCell ref="A24:A25"/>
    <mergeCell ref="B24:B25"/>
    <mergeCell ref="G24:G25"/>
    <mergeCell ref="I24:I25"/>
    <mergeCell ref="A26:A27"/>
    <mergeCell ref="B26:B27"/>
    <mergeCell ref="A20:A21"/>
    <mergeCell ref="B20:B21"/>
    <mergeCell ref="G20:G21"/>
    <mergeCell ref="I20:I21"/>
    <mergeCell ref="G18:G19"/>
    <mergeCell ref="I18:I19"/>
    <mergeCell ref="K14:K15"/>
    <mergeCell ref="J16:J17"/>
    <mergeCell ref="K16:K17"/>
    <mergeCell ref="J20:J21"/>
    <mergeCell ref="K20:K21"/>
    <mergeCell ref="K18:K19"/>
    <mergeCell ref="A14:A15"/>
    <mergeCell ref="B14:B15"/>
    <mergeCell ref="G14:G15"/>
    <mergeCell ref="I14:I15"/>
    <mergeCell ref="J18:J19"/>
    <mergeCell ref="J14:J15"/>
    <mergeCell ref="A16:A17"/>
    <mergeCell ref="B16:B17"/>
    <mergeCell ref="G16:G17"/>
    <mergeCell ref="I16:I17"/>
    <mergeCell ref="A18:A19"/>
    <mergeCell ref="B18:B19"/>
    <mergeCell ref="B1:J2"/>
    <mergeCell ref="K1:K2"/>
    <mergeCell ref="A12:A13"/>
    <mergeCell ref="B12:B13"/>
    <mergeCell ref="G12:G13"/>
    <mergeCell ref="I12:I13"/>
    <mergeCell ref="J12:J13"/>
    <mergeCell ref="K12:K13"/>
  </mergeCells>
  <phoneticPr fontId="12" type="noConversion"/>
  <printOptions horizontalCentered="1" verticalCentered="1"/>
  <pageMargins left="0" right="0" top="0" bottom="0.39370078740157483" header="0" footer="0"/>
  <pageSetup paperSize="9" scale="71" orientation="landscape" blackAndWhite="1" r:id="rId1"/>
  <headerFooter alignWithMargins="0">
    <oddFooter>&amp;LEdité le &amp;D&amp;C&amp;P/&amp;N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18">
    <tabColor indexed="42"/>
    <pageSetUpPr fitToPage="1"/>
  </sheetPr>
  <dimension ref="A1:W46"/>
  <sheetViews>
    <sheetView showGridLines="0" view="pageBreakPreview" zoomScaleNormal="90" zoomScaleSheetLayoutView="100" workbookViewId="0">
      <selection activeCell="A29" sqref="A29"/>
    </sheetView>
  </sheetViews>
  <sheetFormatPr baseColWidth="10" defaultColWidth="11.42578125" defaultRowHeight="15"/>
  <cols>
    <col min="1" max="1" width="14.28515625" style="5" customWidth="1"/>
    <col min="2" max="2" width="5.5703125" style="5" customWidth="1"/>
    <col min="3" max="3" width="5.42578125" style="5" customWidth="1"/>
    <col min="4" max="4" width="62.5703125" style="5" customWidth="1"/>
    <col min="5" max="5" width="8.7109375" style="233" customWidth="1"/>
    <col min="6" max="6" width="8.42578125" style="233" customWidth="1"/>
    <col min="7" max="7" width="8.7109375" style="233" customWidth="1"/>
    <col min="8" max="8" width="13" style="5" customWidth="1"/>
    <col min="9" max="9" width="4.85546875" style="5" customWidth="1"/>
    <col min="10" max="10" width="13.7109375" style="5" customWidth="1"/>
    <col min="11" max="11" width="21.7109375" style="5" customWidth="1"/>
    <col min="12" max="16384" width="11.42578125" style="5"/>
  </cols>
  <sheetData>
    <row r="1" spans="1:23" ht="15" customHeight="1">
      <c r="A1" s="1966"/>
      <c r="B1" s="1966"/>
      <c r="C1" s="1576" t="s">
        <v>1376</v>
      </c>
      <c r="D1" s="1576"/>
      <c r="E1" s="1576"/>
      <c r="F1" s="1576"/>
      <c r="G1" s="1576"/>
      <c r="H1" s="1576"/>
      <c r="I1" s="1576"/>
      <c r="J1" s="1576"/>
      <c r="K1" s="1967" t="s">
        <v>571</v>
      </c>
    </row>
    <row r="2" spans="1:23" ht="28.5" customHeight="1">
      <c r="A2" s="1966"/>
      <c r="B2" s="1966"/>
      <c r="C2" s="1576"/>
      <c r="D2" s="1576"/>
      <c r="E2" s="1576"/>
      <c r="F2" s="1576"/>
      <c r="G2" s="1576"/>
      <c r="H2" s="1576"/>
      <c r="I2" s="1576"/>
      <c r="J2" s="1576"/>
      <c r="K2" s="1967"/>
    </row>
    <row r="3" spans="1:23">
      <c r="D3" s="233"/>
    </row>
    <row r="4" spans="1:23" s="9" customFormat="1" ht="12.75">
      <c r="E4" s="122"/>
      <c r="F4" s="122"/>
      <c r="G4" s="122"/>
    </row>
    <row r="5" spans="1:23" s="9" customFormat="1" ht="20.100000000000001" customHeight="1">
      <c r="A5" s="14" t="s">
        <v>462</v>
      </c>
      <c r="B5" s="721" t="str">
        <f>IF(ISBLANK(oMOE),"",oMOE)</f>
        <v/>
      </c>
      <c r="C5" s="701"/>
      <c r="D5" s="5"/>
      <c r="E5" s="131" t="s">
        <v>572</v>
      </c>
      <c r="F5" s="721" t="str">
        <f>IF(ISBLANK(oN°MARCHE),"",oN°MARCHE)</f>
        <v/>
      </c>
      <c r="G5" s="5"/>
      <c r="H5" s="5"/>
      <c r="I5" s="5"/>
      <c r="J5" s="131" t="s">
        <v>798</v>
      </c>
      <c r="K5" s="720" t="str">
        <f>IF(ISBLANK(oeOTP),"",oeOTP)</f>
        <v/>
      </c>
    </row>
    <row r="6" spans="1:23" s="122" customFormat="1" ht="43.5" customHeight="1">
      <c r="A6" s="14" t="s">
        <v>802</v>
      </c>
      <c r="B6" s="1838" t="str">
        <f>IF(ISBLANK(oLibelleOTP),"",oLibelleOTP)</f>
        <v/>
      </c>
      <c r="C6" s="1838"/>
      <c r="D6" s="1838"/>
      <c r="E6" s="1838"/>
      <c r="F6" s="1838"/>
      <c r="G6" s="1838"/>
      <c r="H6" s="1838"/>
      <c r="I6" s="1838"/>
      <c r="J6" s="1838"/>
      <c r="K6" s="1838"/>
      <c r="N6" s="233"/>
    </row>
    <row r="7" spans="1:23" s="122" customFormat="1" ht="21.95" customHeight="1">
      <c r="A7" s="29" t="s">
        <v>573</v>
      </c>
      <c r="B7" s="29"/>
      <c r="C7" s="720" t="str">
        <f>IF(ISBLANK(oRespAffaire),"",oRespAffaire)</f>
        <v/>
      </c>
      <c r="D7" s="233"/>
      <c r="E7" s="131" t="s">
        <v>1509</v>
      </c>
      <c r="F7" s="720" t="str">
        <f>IF(ISBLANK(oRespChantier),"",oRespChantier)</f>
        <v/>
      </c>
      <c r="G7" s="720"/>
      <c r="H7" s="233"/>
      <c r="J7" s="131" t="s">
        <v>801</v>
      </c>
      <c r="K7" s="720" t="str">
        <f>IF(ISBLANK(oVille),"",oVille)</f>
        <v/>
      </c>
      <c r="L7" s="610"/>
      <c r="N7" s="233"/>
      <c r="P7" s="377"/>
      <c r="Q7" s="377"/>
      <c r="R7" s="377"/>
      <c r="S7" s="377"/>
      <c r="T7" s="377"/>
      <c r="U7" s="377"/>
      <c r="V7" s="377"/>
      <c r="W7" s="377"/>
    </row>
    <row r="8" spans="1:23" s="122" customFormat="1" ht="21.95" customHeight="1">
      <c r="A8" s="233"/>
      <c r="B8" s="233"/>
      <c r="C8" s="14"/>
      <c r="D8" s="12"/>
      <c r="E8" s="233"/>
      <c r="F8" s="233"/>
      <c r="G8" s="233"/>
      <c r="H8" s="233"/>
      <c r="I8" s="233"/>
      <c r="J8" s="233"/>
      <c r="K8" s="128"/>
      <c r="N8" s="233"/>
    </row>
    <row r="9" spans="1:23" ht="15" customHeight="1">
      <c r="A9" s="1966"/>
      <c r="B9" s="1966"/>
      <c r="C9" s="1966"/>
      <c r="D9" s="235" t="s">
        <v>574</v>
      </c>
      <c r="E9" s="235" t="s">
        <v>563</v>
      </c>
      <c r="F9" s="235" t="s">
        <v>672</v>
      </c>
      <c r="G9" s="235" t="s">
        <v>650</v>
      </c>
      <c r="H9" s="1968" t="s">
        <v>575</v>
      </c>
      <c r="I9" s="1968"/>
      <c r="J9" s="1968"/>
      <c r="K9" s="235" t="s">
        <v>576</v>
      </c>
    </row>
    <row r="10" spans="1:23" ht="30" customHeight="1">
      <c r="A10" s="1964" t="s">
        <v>577</v>
      </c>
      <c r="B10" s="1964"/>
      <c r="C10" s="1964"/>
      <c r="D10" s="236"/>
      <c r="E10" s="237"/>
      <c r="F10" s="237"/>
      <c r="G10" s="237"/>
      <c r="H10" s="1965"/>
      <c r="I10" s="1965"/>
      <c r="J10" s="1965"/>
      <c r="K10" s="238"/>
    </row>
    <row r="11" spans="1:23" s="17" customFormat="1" ht="30" customHeight="1">
      <c r="A11" s="1969" t="s">
        <v>578</v>
      </c>
      <c r="B11" s="1969"/>
      <c r="C11" s="1969"/>
      <c r="D11" s="236"/>
      <c r="E11" s="237"/>
      <c r="F11" s="237"/>
      <c r="G11" s="237"/>
      <c r="H11" s="1965"/>
      <c r="I11" s="1965"/>
      <c r="J11" s="1965"/>
      <c r="K11" s="238"/>
    </row>
    <row r="12" spans="1:23" ht="30" customHeight="1">
      <c r="A12" s="1964" t="s">
        <v>579</v>
      </c>
      <c r="B12" s="1964"/>
      <c r="C12" s="1964"/>
      <c r="D12" s="236"/>
      <c r="E12" s="237"/>
      <c r="F12" s="237"/>
      <c r="G12" s="237"/>
      <c r="H12" s="1965"/>
      <c r="I12" s="1965"/>
      <c r="J12" s="1965"/>
      <c r="K12" s="238"/>
    </row>
    <row r="13" spans="1:23" ht="30" customHeight="1">
      <c r="A13" s="1970" t="s">
        <v>580</v>
      </c>
      <c r="B13" s="1971"/>
      <c r="C13" s="1972"/>
      <c r="D13" s="236"/>
      <c r="E13" s="237"/>
      <c r="F13" s="237"/>
      <c r="G13" s="237"/>
      <c r="H13" s="1973"/>
      <c r="I13" s="1974"/>
      <c r="J13" s="1975"/>
      <c r="K13" s="238"/>
    </row>
    <row r="14" spans="1:23" ht="30" customHeight="1">
      <c r="A14" s="1964" t="s">
        <v>581</v>
      </c>
      <c r="B14" s="1964"/>
      <c r="C14" s="1964"/>
      <c r="D14" s="236"/>
      <c r="E14" s="237"/>
      <c r="F14" s="237"/>
      <c r="G14" s="237"/>
      <c r="H14" s="1965"/>
      <c r="I14" s="1965"/>
      <c r="J14" s="1965"/>
      <c r="K14" s="238"/>
    </row>
    <row r="15" spans="1:23" ht="30" customHeight="1">
      <c r="A15" s="1964" t="s">
        <v>582</v>
      </c>
      <c r="B15" s="1964"/>
      <c r="C15" s="1964"/>
      <c r="D15" s="236"/>
      <c r="E15" s="237"/>
      <c r="F15" s="237"/>
      <c r="G15" s="237"/>
      <c r="H15" s="1965"/>
      <c r="I15" s="1965"/>
      <c r="J15" s="1965"/>
      <c r="K15" s="238"/>
    </row>
    <row r="16" spans="1:23" ht="30" customHeight="1">
      <c r="A16" s="1964" t="s">
        <v>522</v>
      </c>
      <c r="B16" s="1964"/>
      <c r="C16" s="1964"/>
      <c r="D16" s="236"/>
      <c r="E16" s="237"/>
      <c r="F16" s="237"/>
      <c r="G16" s="237"/>
      <c r="H16" s="1965"/>
      <c r="I16" s="1965"/>
      <c r="J16" s="1965"/>
      <c r="K16" s="238"/>
    </row>
    <row r="17" spans="1:12" ht="30" customHeight="1">
      <c r="A17" s="1970" t="s">
        <v>583</v>
      </c>
      <c r="B17" s="1971"/>
      <c r="C17" s="1972"/>
      <c r="D17" s="236"/>
      <c r="E17" s="237"/>
      <c r="F17" s="237"/>
      <c r="G17" s="237"/>
      <c r="H17" s="1973"/>
      <c r="I17" s="1974"/>
      <c r="J17" s="1975"/>
      <c r="K17" s="238"/>
    </row>
    <row r="18" spans="1:12" ht="30" customHeight="1">
      <c r="A18" s="1976" t="s">
        <v>584</v>
      </c>
      <c r="B18" s="1977"/>
      <c r="C18" s="1978"/>
      <c r="D18" s="239"/>
      <c r="E18" s="240"/>
      <c r="F18" s="240"/>
      <c r="G18" s="240"/>
      <c r="H18" s="1965"/>
      <c r="I18" s="1965"/>
      <c r="J18" s="1965"/>
      <c r="K18" s="241"/>
    </row>
    <row r="19" spans="1:12" ht="30" customHeight="1">
      <c r="A19" s="1976" t="s">
        <v>584</v>
      </c>
      <c r="B19" s="1977"/>
      <c r="C19" s="1978"/>
      <c r="D19" s="239"/>
      <c r="E19" s="240"/>
      <c r="F19" s="240"/>
      <c r="G19" s="240"/>
      <c r="H19" s="1965"/>
      <c r="I19" s="1965"/>
      <c r="J19" s="1965"/>
      <c r="K19" s="241"/>
    </row>
    <row r="20" spans="1:12" ht="30" customHeight="1">
      <c r="A20" s="1976" t="s">
        <v>584</v>
      </c>
      <c r="B20" s="1977"/>
      <c r="C20" s="1978"/>
      <c r="D20" s="239"/>
      <c r="E20" s="240"/>
      <c r="F20" s="240"/>
      <c r="G20" s="240"/>
      <c r="H20" s="1965"/>
      <c r="I20" s="1965"/>
      <c r="J20" s="1965"/>
      <c r="K20" s="241"/>
    </row>
    <row r="21" spans="1:12" s="233" customFormat="1" ht="21.75" customHeight="1">
      <c r="A21" s="1966" t="s">
        <v>585</v>
      </c>
      <c r="B21" s="1966"/>
      <c r="C21" s="1966"/>
      <c r="D21" s="1966"/>
      <c r="E21" s="1966"/>
      <c r="F21" s="1966"/>
      <c r="G21" s="1966"/>
      <c r="H21" s="1966"/>
      <c r="I21" s="1966"/>
      <c r="J21" s="1966"/>
      <c r="K21" s="1966"/>
    </row>
    <row r="22" spans="1:12" s="233" customFormat="1"/>
    <row r="23" spans="1:12" s="9" customFormat="1" ht="21.95" customHeight="1">
      <c r="A23" s="29" t="s">
        <v>586</v>
      </c>
      <c r="C23" s="30"/>
      <c r="D23" s="24"/>
      <c r="E23" s="143"/>
      <c r="F23" s="143"/>
      <c r="G23" s="143"/>
      <c r="H23" s="23"/>
      <c r="I23" s="23"/>
      <c r="J23" s="23"/>
      <c r="K23" s="23"/>
    </row>
    <row r="24" spans="1:12" s="9" customFormat="1" ht="21.95" customHeight="1">
      <c r="A24" s="29"/>
      <c r="D24" s="23"/>
      <c r="E24" s="143"/>
      <c r="F24" s="143"/>
      <c r="G24" s="143"/>
      <c r="H24" s="23"/>
      <c r="I24" s="23"/>
      <c r="J24" s="23"/>
      <c r="K24" s="23"/>
    </row>
    <row r="25" spans="1:12" ht="17.100000000000001" customHeight="1">
      <c r="A25" s="1980" t="s">
        <v>587</v>
      </c>
      <c r="B25" s="1980"/>
      <c r="C25" s="1980"/>
      <c r="D25" s="1980"/>
      <c r="E25" s="1980" t="s">
        <v>588</v>
      </c>
      <c r="F25" s="1980"/>
      <c r="G25" s="1980"/>
      <c r="H25" s="1980"/>
      <c r="I25" s="1980"/>
      <c r="J25" s="1980"/>
      <c r="K25" s="1980"/>
      <c r="L25" s="29"/>
    </row>
    <row r="26" spans="1:12" ht="17.100000000000001" customHeight="1">
      <c r="A26" s="1979" t="s">
        <v>1360</v>
      </c>
      <c r="B26" s="1979"/>
      <c r="C26" s="1979"/>
      <c r="D26" s="1979"/>
      <c r="E26" s="1979" t="s">
        <v>589</v>
      </c>
      <c r="F26" s="1979"/>
      <c r="G26" s="1979"/>
      <c r="H26" s="1979"/>
      <c r="I26" s="1979"/>
      <c r="J26" s="1979"/>
      <c r="K26" s="1979"/>
    </row>
    <row r="27" spans="1:12" ht="17.100000000000001" customHeight="1">
      <c r="A27" s="229"/>
      <c r="B27" s="229"/>
      <c r="C27" s="229"/>
      <c r="D27" s="229"/>
      <c r="E27" s="1979"/>
      <c r="F27" s="1979"/>
      <c r="G27" s="1979"/>
      <c r="H27" s="1979"/>
      <c r="I27" s="1979"/>
      <c r="J27" s="1979"/>
      <c r="K27" s="1979"/>
    </row>
    <row r="28" spans="1:12" ht="17.100000000000001" customHeight="1">
      <c r="A28" s="1979" t="s">
        <v>590</v>
      </c>
      <c r="B28" s="1979"/>
      <c r="C28" s="1979"/>
      <c r="D28" s="1979"/>
      <c r="E28" s="1979" t="s">
        <v>590</v>
      </c>
      <c r="F28" s="1979"/>
      <c r="G28" s="1979"/>
      <c r="H28" s="1979"/>
      <c r="I28" s="1979"/>
      <c r="J28" s="1979"/>
      <c r="K28" s="1979"/>
    </row>
    <row r="29" spans="1:12" s="9" customFormat="1" ht="12.75">
      <c r="A29" s="30"/>
      <c r="B29" s="30"/>
      <c r="C29" s="30"/>
      <c r="D29" s="197"/>
      <c r="E29" s="130"/>
      <c r="F29" s="130"/>
      <c r="G29" s="130"/>
      <c r="H29" s="197"/>
      <c r="I29" s="197"/>
      <c r="J29" s="197"/>
      <c r="K29" s="197"/>
    </row>
    <row r="30" spans="1:12" ht="6.75" customHeight="1">
      <c r="D30" s="12"/>
      <c r="H30" s="12"/>
      <c r="I30" s="12"/>
      <c r="J30" s="12"/>
      <c r="K30" s="12"/>
    </row>
    <row r="31" spans="1:12" ht="21.95" customHeight="1">
      <c r="D31" s="12"/>
      <c r="F31" s="128"/>
      <c r="H31" s="12"/>
      <c r="I31" s="12"/>
      <c r="J31" s="12"/>
      <c r="K31" s="12"/>
    </row>
    <row r="32" spans="1:12">
      <c r="D32" s="12"/>
      <c r="H32" s="12"/>
      <c r="I32" s="12"/>
      <c r="J32" s="12"/>
      <c r="K32" s="12"/>
    </row>
    <row r="33" spans="4:11" ht="6.75" customHeight="1">
      <c r="D33" s="12"/>
      <c r="H33" s="12"/>
      <c r="I33" s="12"/>
      <c r="J33" s="12"/>
      <c r="K33" s="12"/>
    </row>
    <row r="34" spans="4:11">
      <c r="D34" s="12"/>
      <c r="H34" s="12"/>
      <c r="I34" s="12"/>
      <c r="J34" s="12"/>
      <c r="K34" s="12"/>
    </row>
    <row r="35" spans="4:11">
      <c r="D35" s="12"/>
      <c r="H35" s="12"/>
      <c r="I35" s="12"/>
      <c r="J35" s="12"/>
      <c r="K35" s="12"/>
    </row>
    <row r="36" spans="4:11" ht="6.75" customHeight="1">
      <c r="D36" s="12"/>
      <c r="H36" s="12"/>
      <c r="I36" s="12"/>
      <c r="J36" s="12"/>
      <c r="K36" s="12"/>
    </row>
    <row r="37" spans="4:11" ht="15.75" customHeight="1">
      <c r="D37" s="12"/>
      <c r="H37" s="12"/>
      <c r="I37" s="12"/>
      <c r="J37" s="12"/>
      <c r="K37" s="12"/>
    </row>
    <row r="38" spans="4:11">
      <c r="D38" s="12"/>
      <c r="H38" s="12"/>
      <c r="I38" s="12"/>
      <c r="J38" s="12"/>
      <c r="K38" s="12"/>
    </row>
    <row r="39" spans="4:11" ht="6.75" customHeight="1">
      <c r="D39" s="12"/>
      <c r="H39" s="12"/>
      <c r="I39" s="12"/>
      <c r="J39" s="12"/>
      <c r="K39" s="12"/>
    </row>
    <row r="40" spans="4:11">
      <c r="D40" s="12"/>
      <c r="H40" s="12"/>
      <c r="I40" s="12"/>
      <c r="J40" s="12"/>
      <c r="K40" s="12"/>
    </row>
    <row r="41" spans="4:11">
      <c r="D41" s="12"/>
      <c r="H41" s="12"/>
      <c r="I41" s="12"/>
      <c r="J41" s="12"/>
      <c r="K41" s="12"/>
    </row>
    <row r="42" spans="4:11" ht="6.75" customHeight="1">
      <c r="D42" s="12"/>
      <c r="H42" s="12"/>
      <c r="I42" s="12"/>
      <c r="J42" s="12"/>
      <c r="K42" s="12"/>
    </row>
    <row r="43" spans="4:11">
      <c r="D43" s="12"/>
      <c r="H43" s="12"/>
      <c r="I43" s="12"/>
      <c r="J43" s="12"/>
      <c r="K43" s="12"/>
    </row>
    <row r="44" spans="4:11">
      <c r="D44" s="12"/>
      <c r="H44" s="12"/>
      <c r="I44" s="12"/>
      <c r="J44" s="12"/>
      <c r="K44" s="12"/>
    </row>
    <row r="45" spans="4:11" ht="6.75" customHeight="1">
      <c r="D45" s="12"/>
      <c r="H45" s="12"/>
      <c r="I45" s="12"/>
      <c r="J45" s="12"/>
      <c r="K45" s="12"/>
    </row>
    <row r="46" spans="4:11">
      <c r="D46" s="12"/>
      <c r="H46" s="12"/>
      <c r="I46" s="12"/>
      <c r="J46" s="12"/>
      <c r="K46" s="12"/>
    </row>
  </sheetData>
  <mergeCells count="36">
    <mergeCell ref="E27:K27"/>
    <mergeCell ref="A28:D28"/>
    <mergeCell ref="E28:K28"/>
    <mergeCell ref="A21:K21"/>
    <mergeCell ref="A25:D25"/>
    <mergeCell ref="E25:K25"/>
    <mergeCell ref="A26:D26"/>
    <mergeCell ref="E26:K26"/>
    <mergeCell ref="A18:C18"/>
    <mergeCell ref="H18:J18"/>
    <mergeCell ref="A20:C20"/>
    <mergeCell ref="H20:J20"/>
    <mergeCell ref="A19:C19"/>
    <mergeCell ref="H19:J19"/>
    <mergeCell ref="A15:C15"/>
    <mergeCell ref="H15:J15"/>
    <mergeCell ref="A17:C17"/>
    <mergeCell ref="H17:J17"/>
    <mergeCell ref="A16:C16"/>
    <mergeCell ref="H16:J16"/>
    <mergeCell ref="A11:C11"/>
    <mergeCell ref="H11:J11"/>
    <mergeCell ref="A12:C12"/>
    <mergeCell ref="H12:J12"/>
    <mergeCell ref="A14:C14"/>
    <mergeCell ref="H14:J14"/>
    <mergeCell ref="A13:C13"/>
    <mergeCell ref="H13:J13"/>
    <mergeCell ref="A10:C10"/>
    <mergeCell ref="H10:J10"/>
    <mergeCell ref="A1:B2"/>
    <mergeCell ref="C1:J2"/>
    <mergeCell ref="K1:K2"/>
    <mergeCell ref="A9:C9"/>
    <mergeCell ref="H9:J9"/>
    <mergeCell ref="B6:K6"/>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&amp;LEdité le &amp;D&amp;C&amp;P/&amp;N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17"/>
  <dimension ref="A1:AJ62"/>
  <sheetViews>
    <sheetView showGridLines="0" view="pageBreakPreview" topLeftCell="S1" zoomScale="85" zoomScaleNormal="85" zoomScaleSheetLayoutView="85" workbookViewId="0">
      <selection activeCell="AG3" sqref="AG3:AJ4"/>
    </sheetView>
  </sheetViews>
  <sheetFormatPr baseColWidth="10" defaultColWidth="11.42578125" defaultRowHeight="12.75"/>
  <cols>
    <col min="1" max="12" width="3.7109375" style="945" customWidth="1"/>
    <col min="13" max="13" width="16" style="945" customWidth="1"/>
    <col min="14" max="14" width="11.42578125" style="945"/>
    <col min="15" max="15" width="7.42578125" style="945" customWidth="1"/>
    <col min="16" max="18" width="11.42578125" style="945"/>
    <col min="19" max="30" width="3.7109375" style="945" customWidth="1"/>
    <col min="31" max="31" width="16" style="945" customWidth="1"/>
    <col min="32" max="32" width="11.42578125" style="945"/>
    <col min="33" max="33" width="7.42578125" style="945" customWidth="1"/>
    <col min="34" max="16384" width="11.42578125" style="945"/>
  </cols>
  <sheetData>
    <row r="1" spans="1:36" ht="12.75" customHeight="1">
      <c r="A1" s="1204"/>
      <c r="B1" s="1205"/>
      <c r="C1" s="1205"/>
      <c r="D1" s="1205"/>
      <c r="E1" s="1995" t="s">
        <v>1362</v>
      </c>
      <c r="F1" s="1995"/>
      <c r="G1" s="1995"/>
      <c r="H1" s="1995"/>
      <c r="I1" s="1995"/>
      <c r="J1" s="1995"/>
      <c r="K1" s="1995"/>
      <c r="L1" s="1995"/>
      <c r="M1" s="1995"/>
      <c r="N1" s="1995"/>
      <c r="O1" s="1995"/>
      <c r="P1" s="1995"/>
      <c r="Q1" s="1205"/>
      <c r="R1" s="1206"/>
      <c r="S1" s="1204"/>
      <c r="T1" s="1205"/>
      <c r="U1" s="1205"/>
      <c r="V1" s="1205"/>
      <c r="W1" s="1995" t="s">
        <v>1363</v>
      </c>
      <c r="X1" s="1995"/>
      <c r="Y1" s="1995"/>
      <c r="Z1" s="1995"/>
      <c r="AA1" s="1995"/>
      <c r="AB1" s="1995"/>
      <c r="AC1" s="1995"/>
      <c r="AD1" s="1995"/>
      <c r="AE1" s="1995"/>
      <c r="AF1" s="1995"/>
      <c r="AG1" s="1995"/>
      <c r="AH1" s="1995"/>
      <c r="AI1" s="1205"/>
      <c r="AJ1" s="1206"/>
    </row>
    <row r="2" spans="1:36" ht="30.75" customHeight="1">
      <c r="A2" s="1207"/>
      <c r="C2" s="1208"/>
      <c r="D2" s="1208"/>
      <c r="E2" s="1996"/>
      <c r="F2" s="1996"/>
      <c r="G2" s="1996"/>
      <c r="H2" s="1996"/>
      <c r="I2" s="1996"/>
      <c r="J2" s="1996"/>
      <c r="K2" s="1996"/>
      <c r="L2" s="1996"/>
      <c r="M2" s="1996"/>
      <c r="N2" s="1996"/>
      <c r="O2" s="1996"/>
      <c r="P2" s="1996"/>
      <c r="Q2" s="1997" t="s">
        <v>1492</v>
      </c>
      <c r="R2" s="1998"/>
      <c r="S2" s="1207"/>
      <c r="U2" s="1208"/>
      <c r="V2" s="1208"/>
      <c r="W2" s="1996"/>
      <c r="X2" s="1996"/>
      <c r="Y2" s="1996"/>
      <c r="Z2" s="1996"/>
      <c r="AA2" s="1996"/>
      <c r="AB2" s="1996"/>
      <c r="AC2" s="1996"/>
      <c r="AD2" s="1996"/>
      <c r="AE2" s="1996"/>
      <c r="AF2" s="1996"/>
      <c r="AG2" s="1996"/>
      <c r="AH2" s="1996"/>
      <c r="AI2" s="1997" t="str">
        <f>Q2</f>
        <v>DATRAV002 B Indice a</v>
      </c>
      <c r="AJ2" s="1998"/>
    </row>
    <row r="3" spans="1:36" ht="12.75" customHeight="1">
      <c r="A3" s="1981" t="s">
        <v>247</v>
      </c>
      <c r="B3" s="1982"/>
      <c r="C3" s="972"/>
      <c r="D3" s="1985" t="str">
        <f>IF(ISBLANK(oMOE),"",oMOE)</f>
        <v/>
      </c>
      <c r="E3" s="1985"/>
      <c r="F3" s="1985"/>
      <c r="G3" s="1985"/>
      <c r="H3" s="1985"/>
      <c r="I3" s="1985"/>
      <c r="J3" s="1985"/>
      <c r="K3" s="1985"/>
      <c r="L3" s="1985"/>
      <c r="M3" s="1986"/>
      <c r="N3" s="1981" t="s">
        <v>1351</v>
      </c>
      <c r="O3" s="1985" t="str">
        <f>IF(ISBLANK(oRespAffaire),"",oRespAffaire)</f>
        <v/>
      </c>
      <c r="P3" s="1985"/>
      <c r="Q3" s="1985"/>
      <c r="R3" s="1986"/>
      <c r="S3" s="1981" t="s">
        <v>247</v>
      </c>
      <c r="T3" s="1982"/>
      <c r="U3" s="972"/>
      <c r="V3" s="1985" t="str">
        <f>IF(ISBLANK(oMOE),"",oMOE)</f>
        <v/>
      </c>
      <c r="W3" s="1985"/>
      <c r="X3" s="1985"/>
      <c r="Y3" s="1985"/>
      <c r="Z3" s="1985"/>
      <c r="AA3" s="1985"/>
      <c r="AB3" s="1985"/>
      <c r="AC3" s="1985"/>
      <c r="AD3" s="1985"/>
      <c r="AE3" s="1986"/>
      <c r="AF3" s="1981" t="s">
        <v>1351</v>
      </c>
      <c r="AG3" s="1985" t="str">
        <f>IF(ISBLANK(oRespAffaire),"",oRespAffaire)</f>
        <v/>
      </c>
      <c r="AH3" s="1985"/>
      <c r="AI3" s="1985"/>
      <c r="AJ3" s="1986"/>
    </row>
    <row r="4" spans="1:36" ht="12.75" customHeight="1">
      <c r="A4" s="1983"/>
      <c r="B4" s="1984"/>
      <c r="C4" s="1209"/>
      <c r="D4" s="1987"/>
      <c r="E4" s="1987"/>
      <c r="F4" s="1987"/>
      <c r="G4" s="1987"/>
      <c r="H4" s="1987"/>
      <c r="I4" s="1987"/>
      <c r="J4" s="1987"/>
      <c r="K4" s="1987"/>
      <c r="L4" s="1987"/>
      <c r="M4" s="1988"/>
      <c r="N4" s="1983"/>
      <c r="O4" s="1987"/>
      <c r="P4" s="1987"/>
      <c r="Q4" s="1987"/>
      <c r="R4" s="1988"/>
      <c r="S4" s="1983"/>
      <c r="T4" s="1984"/>
      <c r="U4" s="1209"/>
      <c r="V4" s="1987"/>
      <c r="W4" s="1987"/>
      <c r="X4" s="1987"/>
      <c r="Y4" s="1987"/>
      <c r="Z4" s="1987"/>
      <c r="AA4" s="1987"/>
      <c r="AB4" s="1987"/>
      <c r="AC4" s="1987"/>
      <c r="AD4" s="1987"/>
      <c r="AE4" s="1988"/>
      <c r="AF4" s="1983"/>
      <c r="AG4" s="1987"/>
      <c r="AH4" s="1987"/>
      <c r="AI4" s="1987"/>
      <c r="AJ4" s="1988"/>
    </row>
    <row r="5" spans="1:36" ht="18" customHeight="1">
      <c r="A5" s="1210" t="s">
        <v>801</v>
      </c>
      <c r="C5" s="1211"/>
      <c r="D5" s="1123" t="str">
        <f>IF(ISBLANK(oVille),"",oVille)</f>
        <v/>
      </c>
      <c r="F5" s="1211"/>
      <c r="G5" s="1211"/>
      <c r="H5" s="1211"/>
      <c r="I5" s="1211"/>
      <c r="J5" s="1211"/>
      <c r="K5" s="1211"/>
      <c r="L5" s="1211"/>
      <c r="M5" s="1212"/>
      <c r="N5" s="1989" t="s">
        <v>248</v>
      </c>
      <c r="O5" s="1990"/>
      <c r="P5" s="1990"/>
      <c r="Q5" s="1990"/>
      <c r="R5" s="1991"/>
      <c r="S5" s="1213" t="s">
        <v>264</v>
      </c>
      <c r="T5" s="950"/>
      <c r="U5" s="950"/>
      <c r="V5" s="950"/>
      <c r="W5" s="950"/>
      <c r="X5" s="950"/>
      <c r="Y5" s="950"/>
      <c r="Z5" s="950"/>
      <c r="AA5" s="950"/>
      <c r="AB5" s="950"/>
      <c r="AC5" s="950"/>
      <c r="AD5" s="950"/>
      <c r="AE5" s="1200" t="s">
        <v>265</v>
      </c>
      <c r="AF5" s="1999" t="s">
        <v>266</v>
      </c>
      <c r="AG5" s="2000"/>
      <c r="AH5" s="2000"/>
      <c r="AI5" s="2000"/>
      <c r="AJ5" s="2001"/>
    </row>
    <row r="6" spans="1:36" ht="18" customHeight="1">
      <c r="A6" s="960" t="s">
        <v>1076</v>
      </c>
      <c r="B6" s="1214"/>
      <c r="C6" s="1214"/>
      <c r="D6" s="1211"/>
      <c r="E6" s="1211"/>
      <c r="F6" s="1211"/>
      <c r="G6" s="1211"/>
      <c r="H6" s="1211"/>
      <c r="I6" s="1211"/>
      <c r="K6" s="1211" t="s">
        <v>250</v>
      </c>
      <c r="L6" s="1123" t="str">
        <f>IF(ISBLANK(oeOTP),"",oeOTP)</f>
        <v/>
      </c>
      <c r="N6" s="1989" t="s">
        <v>249</v>
      </c>
      <c r="O6" s="1990"/>
      <c r="P6" s="1990"/>
      <c r="Q6" s="1990"/>
      <c r="R6" s="1991"/>
      <c r="S6" s="1213" t="s">
        <v>267</v>
      </c>
      <c r="T6" s="950"/>
      <c r="U6" s="950"/>
      <c r="V6" s="950"/>
      <c r="W6" s="950"/>
      <c r="X6" s="950"/>
      <c r="Y6" s="950"/>
      <c r="Z6" s="950"/>
      <c r="AA6" s="950"/>
      <c r="AB6" s="950"/>
      <c r="AC6" s="950"/>
      <c r="AD6" s="950"/>
      <c r="AE6" s="950"/>
      <c r="AF6" s="1992"/>
      <c r="AG6" s="1993"/>
      <c r="AH6" s="1993"/>
      <c r="AI6" s="1993"/>
      <c r="AJ6" s="1994"/>
    </row>
    <row r="7" spans="1:36" ht="18" customHeight="1">
      <c r="A7" s="1215"/>
      <c r="B7" s="1214"/>
      <c r="C7" s="1214"/>
      <c r="D7" s="1211"/>
      <c r="E7" s="1211"/>
      <c r="F7" s="1211"/>
      <c r="G7" s="1211"/>
      <c r="H7" s="1211"/>
      <c r="I7" s="1211"/>
      <c r="J7" s="1211"/>
      <c r="K7" s="1211"/>
      <c r="L7" s="1214"/>
      <c r="N7" s="1989" t="s">
        <v>251</v>
      </c>
      <c r="O7" s="1990"/>
      <c r="P7" s="1990"/>
      <c r="Q7" s="1990"/>
      <c r="R7" s="1991"/>
      <c r="S7" s="1213" t="s">
        <v>672</v>
      </c>
      <c r="T7" s="950"/>
      <c r="U7" s="950"/>
      <c r="V7" s="950"/>
      <c r="W7" s="950"/>
      <c r="X7" s="950"/>
      <c r="Y7" s="950"/>
      <c r="Z7" s="950"/>
      <c r="AA7" s="950"/>
      <c r="AB7" s="950"/>
      <c r="AC7" s="950"/>
      <c r="AD7" s="950"/>
      <c r="AE7" s="950"/>
      <c r="AF7" s="1992"/>
      <c r="AG7" s="1993"/>
      <c r="AH7" s="1993"/>
      <c r="AI7" s="1993"/>
      <c r="AJ7" s="1994"/>
    </row>
    <row r="8" spans="1:36" ht="18" customHeight="1">
      <c r="A8" s="2002" t="s">
        <v>252</v>
      </c>
      <c r="B8" s="2003"/>
      <c r="C8" s="2003"/>
      <c r="D8" s="1211"/>
      <c r="E8" s="1211"/>
      <c r="F8" s="1211"/>
      <c r="G8" s="1211"/>
      <c r="H8" s="1211"/>
      <c r="I8" s="1211"/>
      <c r="J8" s="1211"/>
      <c r="K8" s="1211"/>
      <c r="L8" s="1211"/>
      <c r="M8" s="1212"/>
      <c r="N8" s="1989" t="s">
        <v>253</v>
      </c>
      <c r="O8" s="1990"/>
      <c r="P8" s="1990"/>
      <c r="Q8" s="1990"/>
      <c r="R8" s="1991"/>
      <c r="S8" s="1213" t="s">
        <v>268</v>
      </c>
      <c r="T8" s="950"/>
      <c r="U8" s="950"/>
      <c r="V8" s="950"/>
      <c r="W8" s="950"/>
      <c r="X8" s="950"/>
      <c r="Y8" s="950"/>
      <c r="Z8" s="950"/>
      <c r="AA8" s="950"/>
      <c r="AB8" s="950"/>
      <c r="AC8" s="950"/>
      <c r="AD8" s="950"/>
      <c r="AE8" s="950"/>
      <c r="AF8" s="1992"/>
      <c r="AG8" s="1993"/>
      <c r="AH8" s="1993"/>
      <c r="AI8" s="1993"/>
      <c r="AJ8" s="1994"/>
    </row>
    <row r="9" spans="1:36" ht="18" customHeight="1">
      <c r="A9" s="1216"/>
      <c r="B9" s="1217"/>
      <c r="C9" s="1217"/>
      <c r="D9" s="1217"/>
      <c r="E9" s="1217"/>
      <c r="F9" s="1217"/>
      <c r="G9" s="1217"/>
      <c r="H9" s="1217"/>
      <c r="I9" s="1217"/>
      <c r="J9" s="1217"/>
      <c r="K9" s="1217"/>
      <c r="L9" s="1217"/>
      <c r="M9" s="1218"/>
      <c r="N9" s="2007" t="s">
        <v>254</v>
      </c>
      <c r="O9" s="2008"/>
      <c r="P9" s="2008"/>
      <c r="Q9" s="2008"/>
      <c r="R9" s="2009"/>
      <c r="S9" s="1213" t="s">
        <v>269</v>
      </c>
      <c r="T9" s="950"/>
      <c r="U9" s="950"/>
      <c r="V9" s="950"/>
      <c r="W9" s="950"/>
      <c r="X9" s="950"/>
      <c r="Y9" s="950"/>
      <c r="Z9" s="950"/>
      <c r="AA9" s="950"/>
      <c r="AB9" s="950"/>
      <c r="AC9" s="950"/>
      <c r="AD9" s="950"/>
      <c r="AE9" s="950"/>
      <c r="AF9" s="1992"/>
      <c r="AG9" s="1993"/>
      <c r="AH9" s="1993"/>
      <c r="AI9" s="1993"/>
      <c r="AJ9" s="1994"/>
    </row>
    <row r="10" spans="1:36" s="947" customFormat="1" ht="18" customHeight="1">
      <c r="A10" s="2004" t="s">
        <v>255</v>
      </c>
      <c r="B10" s="2005"/>
      <c r="C10" s="2005"/>
      <c r="D10" s="2005"/>
      <c r="E10" s="2005"/>
      <c r="F10" s="2005"/>
      <c r="G10" s="2005"/>
      <c r="H10" s="2005"/>
      <c r="I10" s="2005"/>
      <c r="J10" s="2005"/>
      <c r="K10" s="2006"/>
      <c r="L10" s="2004" t="s">
        <v>256</v>
      </c>
      <c r="M10" s="2005"/>
      <c r="N10" s="2005"/>
      <c r="O10" s="2006"/>
      <c r="P10" s="2004" t="s">
        <v>257</v>
      </c>
      <c r="Q10" s="2005"/>
      <c r="R10" s="2006"/>
      <c r="S10" s="1213" t="s">
        <v>270</v>
      </c>
      <c r="T10" s="950"/>
      <c r="U10" s="950"/>
      <c r="V10" s="950"/>
      <c r="W10" s="950"/>
      <c r="X10" s="950"/>
      <c r="Y10" s="950"/>
      <c r="Z10" s="950"/>
      <c r="AA10" s="950"/>
      <c r="AB10" s="950"/>
      <c r="AC10" s="950"/>
      <c r="AD10" s="950"/>
      <c r="AE10" s="950"/>
      <c r="AF10" s="1992"/>
      <c r="AG10" s="1993"/>
      <c r="AH10" s="1993"/>
      <c r="AI10" s="1993"/>
      <c r="AJ10" s="1994"/>
    </row>
    <row r="11" spans="1:36" ht="22.5" customHeight="1">
      <c r="A11" s="2010" t="s">
        <v>598</v>
      </c>
      <c r="B11" s="2011"/>
      <c r="C11" s="2011"/>
      <c r="D11" s="2011"/>
      <c r="E11" s="2011"/>
      <c r="F11" s="2011"/>
      <c r="G11" s="2011"/>
      <c r="H11" s="2011"/>
      <c r="I11" s="2011"/>
      <c r="J11" s="2011"/>
      <c r="K11" s="2011"/>
      <c r="L11" s="2011"/>
      <c r="M11" s="2011"/>
      <c r="N11" s="2011"/>
      <c r="O11" s="2011"/>
      <c r="P11" s="2011"/>
      <c r="Q11" s="2011"/>
      <c r="R11" s="2012"/>
      <c r="S11" s="1213" t="s">
        <v>271</v>
      </c>
      <c r="T11" s="950"/>
      <c r="U11" s="950"/>
      <c r="V11" s="950"/>
      <c r="W11" s="950"/>
      <c r="X11" s="950"/>
      <c r="Y11" s="950"/>
      <c r="Z11" s="950"/>
      <c r="AA11" s="950"/>
      <c r="AB11" s="950"/>
      <c r="AC11" s="950"/>
      <c r="AD11" s="950"/>
      <c r="AE11" s="950"/>
      <c r="AF11" s="1992"/>
      <c r="AG11" s="1993"/>
      <c r="AH11" s="1993"/>
      <c r="AI11" s="1993"/>
      <c r="AJ11" s="1994"/>
    </row>
    <row r="12" spans="1:36" s="947" customFormat="1" ht="18" customHeight="1">
      <c r="A12" s="2013" t="s">
        <v>258</v>
      </c>
      <c r="B12" s="2014"/>
      <c r="C12" s="2014"/>
      <c r="D12" s="2014"/>
      <c r="E12" s="2014"/>
      <c r="F12" s="2014"/>
      <c r="G12" s="2014"/>
      <c r="H12" s="2014"/>
      <c r="I12" s="2014"/>
      <c r="J12" s="2014"/>
      <c r="K12" s="2014"/>
      <c r="L12" s="2014"/>
      <c r="M12" s="2015"/>
      <c r="N12" s="2016" t="s">
        <v>259</v>
      </c>
      <c r="O12" s="2017"/>
      <c r="P12" s="2017"/>
      <c r="Q12" s="2017"/>
      <c r="R12" s="2018"/>
      <c r="S12" s="1213" t="s">
        <v>272</v>
      </c>
      <c r="T12" s="950"/>
      <c r="U12" s="950"/>
      <c r="V12" s="950"/>
      <c r="W12" s="950"/>
      <c r="X12" s="950"/>
      <c r="Y12" s="950"/>
      <c r="Z12" s="950"/>
      <c r="AA12" s="950"/>
      <c r="AB12" s="950"/>
      <c r="AC12" s="950"/>
      <c r="AD12" s="950"/>
      <c r="AE12" s="950"/>
      <c r="AF12" s="1992"/>
      <c r="AG12" s="1993"/>
      <c r="AH12" s="1993"/>
      <c r="AI12" s="1993"/>
      <c r="AJ12" s="1994"/>
    </row>
    <row r="13" spans="1:36" s="947" customFormat="1" ht="18" customHeight="1">
      <c r="A13" s="2004" t="s">
        <v>260</v>
      </c>
      <c r="B13" s="2005"/>
      <c r="C13" s="2005"/>
      <c r="D13" s="2005"/>
      <c r="E13" s="2005"/>
      <c r="F13" s="2005"/>
      <c r="G13" s="2005"/>
      <c r="H13" s="2005"/>
      <c r="I13" s="2005"/>
      <c r="J13" s="2005"/>
      <c r="K13" s="2005"/>
      <c r="L13" s="2005"/>
      <c r="M13" s="2006"/>
      <c r="N13" s="2004" t="s">
        <v>261</v>
      </c>
      <c r="O13" s="2005"/>
      <c r="P13" s="2005"/>
      <c r="Q13" s="2005"/>
      <c r="R13" s="2006"/>
      <c r="S13" s="1213" t="s">
        <v>273</v>
      </c>
      <c r="T13" s="950"/>
      <c r="U13" s="950"/>
      <c r="V13" s="950"/>
      <c r="W13" s="950"/>
      <c r="X13" s="950"/>
      <c r="Y13" s="950"/>
      <c r="Z13" s="950"/>
      <c r="AA13" s="950"/>
      <c r="AB13" s="950"/>
      <c r="AC13" s="950"/>
      <c r="AD13" s="950"/>
      <c r="AE13" s="950"/>
      <c r="AF13" s="1992"/>
      <c r="AG13" s="1993"/>
      <c r="AH13" s="1993"/>
      <c r="AI13" s="1993"/>
      <c r="AJ13" s="1994"/>
    </row>
    <row r="14" spans="1:36" s="947" customFormat="1" ht="18" customHeight="1">
      <c r="A14" s="2019" t="s">
        <v>1364</v>
      </c>
      <c r="B14" s="2020"/>
      <c r="C14" s="2020"/>
      <c r="D14" s="2020"/>
      <c r="E14" s="2020"/>
      <c r="F14" s="2020"/>
      <c r="G14" s="2020"/>
      <c r="H14" s="2020"/>
      <c r="I14" s="2020"/>
      <c r="J14" s="2020"/>
      <c r="K14" s="2020"/>
      <c r="L14" s="2020"/>
      <c r="M14" s="2021"/>
      <c r="N14" s="2013" t="s">
        <v>262</v>
      </c>
      <c r="O14" s="2014"/>
      <c r="P14" s="2014"/>
      <c r="Q14" s="2014"/>
      <c r="R14" s="2015"/>
      <c r="S14" s="1213" t="s">
        <v>274</v>
      </c>
      <c r="T14" s="950"/>
      <c r="U14" s="950"/>
      <c r="V14" s="950"/>
      <c r="W14" s="950"/>
      <c r="X14" s="950"/>
      <c r="Y14" s="950"/>
      <c r="Z14" s="950"/>
      <c r="AA14" s="950"/>
      <c r="AB14" s="950"/>
      <c r="AC14" s="950"/>
      <c r="AD14" s="950"/>
      <c r="AE14" s="950"/>
      <c r="AF14" s="1992"/>
      <c r="AG14" s="1993"/>
      <c r="AH14" s="1993"/>
      <c r="AI14" s="1993"/>
      <c r="AJ14" s="1994"/>
    </row>
    <row r="15" spans="1:36" s="947" customFormat="1" ht="18" customHeight="1">
      <c r="A15" s="2022" t="s">
        <v>1365</v>
      </c>
      <c r="B15" s="2023"/>
      <c r="C15" s="2023"/>
      <c r="D15" s="2023"/>
      <c r="E15" s="2023"/>
      <c r="F15" s="2023"/>
      <c r="G15" s="2023"/>
      <c r="H15" s="2023"/>
      <c r="I15" s="2023"/>
      <c r="J15" s="2023"/>
      <c r="K15" s="2023"/>
      <c r="L15" s="2023"/>
      <c r="M15" s="2023"/>
      <c r="N15" s="2023"/>
      <c r="O15" s="2023"/>
      <c r="P15" s="2023"/>
      <c r="Q15" s="2023"/>
      <c r="R15" s="2024"/>
      <c r="S15" s="1213" t="s">
        <v>275</v>
      </c>
      <c r="T15" s="950"/>
      <c r="U15" s="950"/>
      <c r="V15" s="950"/>
      <c r="W15" s="950"/>
      <c r="X15" s="950"/>
      <c r="Y15" s="950"/>
      <c r="Z15" s="950"/>
      <c r="AA15" s="950"/>
      <c r="AB15" s="950"/>
      <c r="AC15" s="950"/>
      <c r="AD15" s="950"/>
      <c r="AE15" s="950"/>
      <c r="AF15" s="1992"/>
      <c r="AG15" s="1993"/>
      <c r="AH15" s="1993"/>
      <c r="AI15" s="1993"/>
      <c r="AJ15" s="1994"/>
    </row>
    <row r="16" spans="1:36" ht="18" customHeight="1">
      <c r="A16" s="971" t="s">
        <v>263</v>
      </c>
      <c r="B16" s="972"/>
      <c r="C16" s="972"/>
      <c r="D16" s="972"/>
      <c r="E16" s="972"/>
      <c r="F16" s="972"/>
      <c r="G16" s="972"/>
      <c r="H16" s="972"/>
      <c r="I16" s="972"/>
      <c r="J16" s="972"/>
      <c r="K16" s="972"/>
      <c r="L16" s="972"/>
      <c r="M16" s="973"/>
      <c r="N16" s="971"/>
      <c r="O16" s="972"/>
      <c r="P16" s="972"/>
      <c r="Q16" s="972"/>
      <c r="R16" s="973"/>
      <c r="S16" s="1213" t="s">
        <v>276</v>
      </c>
      <c r="T16" s="950"/>
      <c r="U16" s="950"/>
      <c r="V16" s="950"/>
      <c r="W16" s="950"/>
      <c r="X16" s="950"/>
      <c r="Y16" s="950"/>
      <c r="Z16" s="950"/>
      <c r="AA16" s="950"/>
      <c r="AB16" s="950"/>
      <c r="AC16" s="950"/>
      <c r="AD16" s="950"/>
      <c r="AE16" s="950"/>
      <c r="AF16" s="1992"/>
      <c r="AG16" s="1993"/>
      <c r="AH16" s="1993"/>
      <c r="AI16" s="1993"/>
      <c r="AJ16" s="1994"/>
    </row>
    <row r="17" spans="1:36" ht="18" customHeight="1">
      <c r="A17" s="1219" t="s">
        <v>1366</v>
      </c>
      <c r="B17" s="1220"/>
      <c r="C17" s="1220"/>
      <c r="D17" s="1220"/>
      <c r="E17" s="1220"/>
      <c r="F17" s="1220"/>
      <c r="G17" s="1220"/>
      <c r="H17" s="1220"/>
      <c r="I17" s="1220"/>
      <c r="J17" s="1220"/>
      <c r="K17" s="1220"/>
      <c r="L17" s="1220"/>
      <c r="M17" s="1221"/>
      <c r="N17" s="1219" t="s">
        <v>1367</v>
      </c>
      <c r="O17" s="1220"/>
      <c r="P17" s="1220"/>
      <c r="Q17" s="1220"/>
      <c r="R17" s="1221"/>
      <c r="S17" s="1213" t="s">
        <v>277</v>
      </c>
      <c r="T17" s="950"/>
      <c r="U17" s="950"/>
      <c r="V17" s="950"/>
      <c r="W17" s="950"/>
      <c r="X17" s="950"/>
      <c r="Y17" s="950"/>
      <c r="Z17" s="950"/>
      <c r="AA17" s="950"/>
      <c r="AB17" s="950"/>
      <c r="AC17" s="950"/>
      <c r="AD17" s="950"/>
      <c r="AE17" s="950"/>
      <c r="AF17" s="1992"/>
      <c r="AG17" s="1993"/>
      <c r="AH17" s="1993"/>
      <c r="AI17" s="1993"/>
      <c r="AJ17" s="1994"/>
    </row>
    <row r="18" spans="1:36" ht="18" customHeight="1">
      <c r="A18" s="1219" t="s">
        <v>1368</v>
      </c>
      <c r="B18" s="1220"/>
      <c r="C18" s="1220"/>
      <c r="D18" s="1220"/>
      <c r="E18" s="1220"/>
      <c r="F18" s="1220"/>
      <c r="G18" s="1220"/>
      <c r="H18" s="1220"/>
      <c r="I18" s="1220"/>
      <c r="J18" s="1220"/>
      <c r="K18" s="1220"/>
      <c r="L18" s="1220"/>
      <c r="M18" s="1221"/>
      <c r="N18" s="1219" t="s">
        <v>1369</v>
      </c>
      <c r="O18" s="1220"/>
      <c r="P18" s="1220"/>
      <c r="Q18" s="1220"/>
      <c r="R18" s="1221"/>
      <c r="S18" s="1213" t="s">
        <v>278</v>
      </c>
      <c r="T18" s="950"/>
      <c r="U18" s="950"/>
      <c r="V18" s="950"/>
      <c r="W18" s="950"/>
      <c r="X18" s="950"/>
      <c r="Y18" s="950"/>
      <c r="Z18" s="950"/>
      <c r="AA18" s="950"/>
      <c r="AB18" s="950"/>
      <c r="AC18" s="950"/>
      <c r="AD18" s="950"/>
      <c r="AE18" s="950"/>
      <c r="AF18" s="1992"/>
      <c r="AG18" s="1993"/>
      <c r="AH18" s="1993"/>
      <c r="AI18" s="1993"/>
      <c r="AJ18" s="1994"/>
    </row>
    <row r="19" spans="1:36" ht="18" customHeight="1">
      <c r="A19" s="1222" t="s">
        <v>1370</v>
      </c>
      <c r="B19" s="1223"/>
      <c r="C19" s="1223"/>
      <c r="D19" s="1223"/>
      <c r="E19" s="1223"/>
      <c r="F19" s="1223"/>
      <c r="G19" s="1223"/>
      <c r="H19" s="1223"/>
      <c r="I19" s="1223"/>
      <c r="J19" s="1223"/>
      <c r="K19" s="1223"/>
      <c r="L19" s="1223"/>
      <c r="M19" s="1224"/>
      <c r="N19" s="1222" t="s">
        <v>1371</v>
      </c>
      <c r="O19" s="1223"/>
      <c r="P19" s="1223"/>
      <c r="Q19" s="1223"/>
      <c r="R19" s="1224"/>
      <c r="S19" s="1213" t="s">
        <v>653</v>
      </c>
      <c r="T19" s="950"/>
      <c r="U19" s="950"/>
      <c r="V19" s="950"/>
      <c r="W19" s="950"/>
      <c r="X19" s="950"/>
      <c r="Y19" s="950"/>
      <c r="Z19" s="950"/>
      <c r="AA19" s="950"/>
      <c r="AB19" s="950"/>
      <c r="AC19" s="950"/>
      <c r="AD19" s="950"/>
      <c r="AE19" s="950"/>
      <c r="AF19" s="1992"/>
      <c r="AG19" s="1993"/>
      <c r="AH19" s="1993"/>
      <c r="AI19" s="1993"/>
      <c r="AJ19" s="1994"/>
    </row>
    <row r="20" spans="1:36" ht="15">
      <c r="A20" s="1225" t="s">
        <v>591</v>
      </c>
      <c r="B20" s="974"/>
      <c r="C20" s="974"/>
      <c r="D20" s="974"/>
      <c r="E20" s="974"/>
      <c r="F20" s="974"/>
      <c r="G20" s="974"/>
      <c r="H20" s="974"/>
      <c r="I20" s="974"/>
      <c r="J20" s="974"/>
      <c r="K20" s="974"/>
      <c r="L20" s="974"/>
      <c r="M20" s="974"/>
      <c r="N20" s="974"/>
      <c r="O20" s="974"/>
      <c r="P20" s="974"/>
      <c r="Q20" s="974"/>
      <c r="R20" s="975"/>
      <c r="S20" s="1202"/>
      <c r="T20" s="972">
        <v>1</v>
      </c>
      <c r="U20" s="972">
        <v>2</v>
      </c>
      <c r="V20" s="972">
        <v>3</v>
      </c>
      <c r="W20" s="972">
        <v>4</v>
      </c>
      <c r="X20" s="972">
        <v>5</v>
      </c>
      <c r="Y20" s="972">
        <v>6</v>
      </c>
      <c r="Z20" s="972">
        <v>7</v>
      </c>
      <c r="AA20" s="972">
        <v>8</v>
      </c>
      <c r="AB20" s="972">
        <v>9</v>
      </c>
      <c r="AC20" s="972">
        <v>10</v>
      </c>
      <c r="AD20" s="973">
        <v>11</v>
      </c>
      <c r="AE20" s="1201" t="s">
        <v>476</v>
      </c>
      <c r="AF20" s="2025" t="s">
        <v>279</v>
      </c>
      <c r="AG20" s="2026"/>
      <c r="AH20" s="2027"/>
      <c r="AI20" s="1226" t="s">
        <v>280</v>
      </c>
      <c r="AJ20" s="1227"/>
    </row>
    <row r="21" spans="1:36" ht="12.75" customHeight="1">
      <c r="A21" s="961"/>
      <c r="R21" s="976"/>
      <c r="S21" s="1207"/>
      <c r="AD21" s="976"/>
      <c r="AE21" s="2028"/>
      <c r="AF21" s="2031" t="s">
        <v>1510</v>
      </c>
      <c r="AG21" s="2032"/>
      <c r="AH21" s="2033"/>
      <c r="AI21" s="2037" t="s">
        <v>281</v>
      </c>
      <c r="AJ21" s="2038"/>
    </row>
    <row r="22" spans="1:36">
      <c r="A22" s="961"/>
      <c r="R22" s="976"/>
      <c r="S22" s="2043" t="s">
        <v>282</v>
      </c>
      <c r="T22" s="1647"/>
      <c r="U22" s="1647"/>
      <c r="V22" s="1647"/>
      <c r="W22" s="1647"/>
      <c r="X22" s="1647"/>
      <c r="Y22" s="1647"/>
      <c r="Z22" s="1647"/>
      <c r="AA22" s="1647"/>
      <c r="AB22" s="1647"/>
      <c r="AC22" s="1647"/>
      <c r="AD22" s="2044"/>
      <c r="AE22" s="2029"/>
      <c r="AF22" s="2031"/>
      <c r="AG22" s="2032"/>
      <c r="AH22" s="2033"/>
      <c r="AI22" s="2039"/>
      <c r="AJ22" s="2040"/>
    </row>
    <row r="23" spans="1:36">
      <c r="A23" s="961"/>
      <c r="R23" s="976"/>
      <c r="S23" s="2045" t="s">
        <v>755</v>
      </c>
      <c r="T23" s="1630"/>
      <c r="U23" s="1630"/>
      <c r="V23" s="1630"/>
      <c r="W23" s="1630"/>
      <c r="X23" s="1630"/>
      <c r="Y23" s="1630"/>
      <c r="Z23" s="1630"/>
      <c r="AA23" s="1630"/>
      <c r="AB23" s="1630"/>
      <c r="AC23" s="1630"/>
      <c r="AD23" s="2046"/>
      <c r="AE23" s="2029"/>
      <c r="AF23" s="2031"/>
      <c r="AG23" s="2032"/>
      <c r="AH23" s="2033"/>
      <c r="AI23" s="2039"/>
      <c r="AJ23" s="2040"/>
    </row>
    <row r="24" spans="1:36">
      <c r="A24" s="961"/>
      <c r="R24" s="976"/>
      <c r="S24" s="1207"/>
      <c r="V24" s="945" t="s">
        <v>756</v>
      </c>
      <c r="W24" s="951"/>
      <c r="X24" s="951"/>
      <c r="Y24" s="951"/>
      <c r="Z24" s="951"/>
      <c r="AA24" s="951"/>
      <c r="AB24" s="951"/>
      <c r="AC24" s="951"/>
      <c r="AD24" s="1197"/>
      <c r="AE24" s="2029"/>
      <c r="AF24" s="2031"/>
      <c r="AG24" s="2032"/>
      <c r="AH24" s="2033"/>
      <c r="AI24" s="2039"/>
      <c r="AJ24" s="2040"/>
    </row>
    <row r="25" spans="1:36">
      <c r="A25" s="961"/>
      <c r="R25" s="976"/>
      <c r="S25" s="1207"/>
      <c r="V25" s="945" t="s">
        <v>756</v>
      </c>
      <c r="W25" s="951"/>
      <c r="X25" s="951"/>
      <c r="Y25" s="951"/>
      <c r="Z25" s="951"/>
      <c r="AA25" s="951"/>
      <c r="AB25" s="951"/>
      <c r="AC25" s="951"/>
      <c r="AD25" s="1197"/>
      <c r="AE25" s="2030"/>
      <c r="AF25" s="2034"/>
      <c r="AG25" s="2035"/>
      <c r="AH25" s="2036"/>
      <c r="AI25" s="2041"/>
      <c r="AJ25" s="2042"/>
    </row>
    <row r="26" spans="1:36">
      <c r="A26" s="961"/>
      <c r="R26" s="976"/>
      <c r="S26" s="1198"/>
      <c r="T26" s="951"/>
      <c r="U26" s="951"/>
      <c r="V26" s="951"/>
      <c r="W26" s="951"/>
      <c r="X26" s="951"/>
      <c r="Y26" s="951"/>
      <c r="Z26" s="951"/>
      <c r="AA26" s="951"/>
      <c r="AB26" s="951"/>
      <c r="AC26" s="951"/>
      <c r="AD26" s="1197"/>
      <c r="AE26" s="1199" t="s">
        <v>648</v>
      </c>
      <c r="AF26" s="1999"/>
      <c r="AG26" s="2000"/>
      <c r="AH26" s="2000"/>
      <c r="AI26" s="2000"/>
      <c r="AJ26" s="2001"/>
    </row>
    <row r="27" spans="1:36">
      <c r="A27" s="961"/>
      <c r="R27" s="976"/>
      <c r="S27" s="1198"/>
      <c r="T27" s="951"/>
      <c r="U27" s="951"/>
      <c r="V27" s="951"/>
      <c r="W27" s="951"/>
      <c r="X27" s="951"/>
      <c r="Y27" s="951"/>
      <c r="Z27" s="951"/>
      <c r="AA27" s="951"/>
      <c r="AB27" s="951"/>
      <c r="AC27" s="951"/>
      <c r="AD27" s="1197"/>
      <c r="AE27" s="2047" t="s">
        <v>757</v>
      </c>
      <c r="AF27" s="2050"/>
      <c r="AG27" s="2051"/>
      <c r="AH27" s="2052"/>
      <c r="AI27" s="2059"/>
      <c r="AJ27" s="2060"/>
    </row>
    <row r="28" spans="1:36">
      <c r="A28" s="961"/>
      <c r="R28" s="976"/>
      <c r="S28" s="2045" t="s">
        <v>758</v>
      </c>
      <c r="T28" s="1630"/>
      <c r="U28" s="1630"/>
      <c r="V28" s="1630"/>
      <c r="W28" s="1630"/>
      <c r="X28" s="1630"/>
      <c r="Y28" s="1630"/>
      <c r="Z28" s="1630"/>
      <c r="AA28" s="1630"/>
      <c r="AB28" s="1630"/>
      <c r="AC28" s="1630"/>
      <c r="AD28" s="2046"/>
      <c r="AE28" s="2048"/>
      <c r="AF28" s="2053"/>
      <c r="AG28" s="2054"/>
      <c r="AH28" s="2055"/>
      <c r="AI28" s="2061"/>
      <c r="AJ28" s="2062"/>
    </row>
    <row r="29" spans="1:36">
      <c r="A29" s="961"/>
      <c r="R29" s="976"/>
      <c r="S29" s="962" t="s">
        <v>759</v>
      </c>
      <c r="T29" s="1228" t="s">
        <v>764</v>
      </c>
      <c r="U29" s="1229"/>
      <c r="V29" s="1229" t="s">
        <v>760</v>
      </c>
      <c r="W29" s="1228" t="s">
        <v>764</v>
      </c>
      <c r="X29" s="1229"/>
      <c r="Y29" s="1229" t="s">
        <v>761</v>
      </c>
      <c r="Z29" s="1229"/>
      <c r="AA29" s="1229"/>
      <c r="AB29" s="2065" t="s">
        <v>762</v>
      </c>
      <c r="AC29" s="2065"/>
      <c r="AD29" s="1230" t="s">
        <v>764</v>
      </c>
      <c r="AE29" s="2049"/>
      <c r="AF29" s="2056"/>
      <c r="AG29" s="2057"/>
      <c r="AH29" s="2058"/>
      <c r="AI29" s="2063"/>
      <c r="AJ29" s="2064"/>
    </row>
    <row r="30" spans="1:36">
      <c r="A30" s="961"/>
      <c r="R30" s="976"/>
      <c r="S30" s="1231"/>
      <c r="T30" s="974"/>
      <c r="U30" s="974"/>
      <c r="V30" s="974"/>
      <c r="W30" s="974"/>
      <c r="X30" s="974"/>
      <c r="Y30" s="974"/>
      <c r="Z30" s="974"/>
      <c r="AA30" s="974"/>
      <c r="AB30" s="1205"/>
      <c r="AC30" s="1205"/>
      <c r="AD30" s="974"/>
      <c r="AE30" s="1203"/>
      <c r="AF30" s="1232"/>
      <c r="AG30" s="1232"/>
      <c r="AH30" s="1232"/>
      <c r="AI30" s="1233"/>
      <c r="AJ30" s="1234"/>
    </row>
    <row r="31" spans="1:36">
      <c r="A31" s="961"/>
      <c r="R31" s="976"/>
      <c r="S31" s="1235" t="s">
        <v>763</v>
      </c>
      <c r="T31" s="1236"/>
      <c r="U31" s="1236"/>
      <c r="V31" s="1236"/>
      <c r="W31" s="1236"/>
      <c r="X31" s="1236"/>
      <c r="Y31" s="1236"/>
      <c r="Z31" s="1236"/>
      <c r="AA31" s="1236"/>
      <c r="AB31" s="1236"/>
      <c r="AC31" s="1236"/>
      <c r="AD31" s="1236"/>
      <c r="AE31" s="1236"/>
      <c r="AF31" s="1236"/>
      <c r="AG31" s="1236"/>
      <c r="AH31" s="1236"/>
      <c r="AI31" s="1236"/>
      <c r="AJ31" s="1237"/>
    </row>
    <row r="32" spans="1:36">
      <c r="A32" s="961"/>
      <c r="R32" s="976"/>
      <c r="S32" s="1238"/>
      <c r="T32" s="1239"/>
      <c r="U32" s="1239"/>
      <c r="V32" s="1239"/>
      <c r="W32" s="1239"/>
      <c r="X32" s="1239"/>
      <c r="Y32" s="1239"/>
      <c r="Z32" s="1239"/>
      <c r="AA32" s="1239"/>
      <c r="AB32" s="1239"/>
      <c r="AC32" s="1239"/>
      <c r="AD32" s="1239"/>
      <c r="AE32" s="1239"/>
      <c r="AF32" s="1239"/>
      <c r="AG32" s="1239"/>
      <c r="AH32" s="1239"/>
      <c r="AI32" s="1239"/>
      <c r="AJ32" s="1240"/>
    </row>
    <row r="33" spans="1:36">
      <c r="A33" s="961"/>
      <c r="R33" s="976"/>
      <c r="S33" s="1238"/>
      <c r="T33" s="1239"/>
      <c r="U33" s="1239"/>
      <c r="V33" s="1239"/>
      <c r="W33" s="1239"/>
      <c r="X33" s="1239"/>
      <c r="Y33" s="1239"/>
      <c r="Z33" s="1239"/>
      <c r="AA33" s="1239"/>
      <c r="AB33" s="1239"/>
      <c r="AC33" s="1239"/>
      <c r="AD33" s="1239"/>
      <c r="AE33" s="1239"/>
      <c r="AF33" s="1239"/>
      <c r="AG33" s="1239"/>
      <c r="AH33" s="1239"/>
      <c r="AI33" s="1239"/>
      <c r="AJ33" s="1240"/>
    </row>
    <row r="34" spans="1:36">
      <c r="A34" s="961"/>
      <c r="R34" s="976"/>
      <c r="S34" s="1238"/>
      <c r="T34" s="1239"/>
      <c r="U34" s="1239"/>
      <c r="V34" s="1239"/>
      <c r="W34" s="1239"/>
      <c r="X34" s="1239"/>
      <c r="Y34" s="1239"/>
      <c r="Z34" s="1239"/>
      <c r="AA34" s="1239"/>
      <c r="AB34" s="1239"/>
      <c r="AC34" s="1239"/>
      <c r="AD34" s="1239"/>
      <c r="AE34" s="1239"/>
      <c r="AF34" s="1239"/>
      <c r="AG34" s="1239"/>
      <c r="AH34" s="1239"/>
      <c r="AI34" s="1239"/>
      <c r="AJ34" s="1240"/>
    </row>
    <row r="35" spans="1:36">
      <c r="A35" s="961"/>
      <c r="R35" s="976"/>
      <c r="S35" s="961"/>
      <c r="AJ35" s="976"/>
    </row>
    <row r="36" spans="1:36">
      <c r="A36" s="961"/>
      <c r="R36" s="976"/>
      <c r="S36" s="961"/>
      <c r="AJ36" s="976"/>
    </row>
    <row r="37" spans="1:36">
      <c r="A37" s="961"/>
      <c r="R37" s="976"/>
      <c r="S37" s="961"/>
      <c r="AJ37" s="976"/>
    </row>
    <row r="38" spans="1:36">
      <c r="A38" s="961"/>
      <c r="R38" s="976"/>
      <c r="S38" s="961"/>
      <c r="AJ38" s="976"/>
    </row>
    <row r="39" spans="1:36" ht="15">
      <c r="A39" s="1241" t="s">
        <v>592</v>
      </c>
      <c r="R39" s="976"/>
      <c r="S39" s="961"/>
      <c r="AJ39" s="976"/>
    </row>
    <row r="40" spans="1:36">
      <c r="A40" s="961"/>
      <c r="R40" s="976"/>
      <c r="S40" s="961"/>
      <c r="AJ40" s="976"/>
    </row>
    <row r="41" spans="1:36">
      <c r="A41" s="961"/>
      <c r="R41" s="976"/>
      <c r="S41" s="961"/>
      <c r="AJ41" s="976"/>
    </row>
    <row r="42" spans="1:36">
      <c r="A42" s="961"/>
      <c r="R42" s="976"/>
      <c r="S42" s="961"/>
      <c r="AJ42" s="976"/>
    </row>
    <row r="43" spans="1:36">
      <c r="A43" s="961"/>
      <c r="R43" s="976"/>
      <c r="S43" s="961"/>
      <c r="AJ43" s="976"/>
    </row>
    <row r="44" spans="1:36">
      <c r="A44" s="961"/>
      <c r="R44" s="976"/>
      <c r="S44" s="961"/>
      <c r="AJ44" s="976"/>
    </row>
    <row r="45" spans="1:36">
      <c r="A45" s="961"/>
      <c r="R45" s="976"/>
      <c r="S45" s="961"/>
      <c r="AJ45" s="976"/>
    </row>
    <row r="46" spans="1:36">
      <c r="A46" s="961"/>
      <c r="R46" s="976"/>
      <c r="S46" s="961"/>
      <c r="AJ46" s="976"/>
    </row>
    <row r="47" spans="1:36">
      <c r="A47" s="961"/>
      <c r="R47" s="976"/>
      <c r="S47" s="961"/>
      <c r="AJ47" s="976"/>
    </row>
    <row r="48" spans="1:36">
      <c r="A48" s="961"/>
      <c r="R48" s="976"/>
      <c r="S48" s="961"/>
      <c r="AJ48" s="976"/>
    </row>
    <row r="49" spans="1:36">
      <c r="A49" s="961"/>
      <c r="R49" s="976"/>
      <c r="S49" s="961"/>
      <c r="AJ49" s="976"/>
    </row>
    <row r="50" spans="1:36">
      <c r="A50" s="961"/>
      <c r="R50" s="976"/>
      <c r="S50" s="961"/>
      <c r="AJ50" s="976"/>
    </row>
    <row r="51" spans="1:36">
      <c r="A51" s="961"/>
      <c r="R51" s="976"/>
      <c r="S51" s="961"/>
      <c r="AJ51" s="976"/>
    </row>
    <row r="52" spans="1:36">
      <c r="A52" s="961"/>
      <c r="R52" s="976"/>
      <c r="S52" s="961"/>
      <c r="AJ52" s="976"/>
    </row>
    <row r="53" spans="1:36">
      <c r="A53" s="961"/>
      <c r="R53" s="976"/>
      <c r="S53" s="961"/>
      <c r="AJ53" s="976"/>
    </row>
    <row r="54" spans="1:36">
      <c r="A54" s="961"/>
      <c r="R54" s="976"/>
      <c r="S54" s="961"/>
      <c r="AJ54" s="976"/>
    </row>
    <row r="55" spans="1:36">
      <c r="A55" s="961"/>
      <c r="R55" s="976"/>
      <c r="S55" s="961"/>
      <c r="AJ55" s="976"/>
    </row>
    <row r="56" spans="1:36">
      <c r="A56" s="961"/>
      <c r="R56" s="976"/>
      <c r="S56" s="961"/>
      <c r="AJ56" s="976"/>
    </row>
    <row r="57" spans="1:36">
      <c r="A57" s="961"/>
      <c r="R57" s="976"/>
      <c r="S57" s="961"/>
      <c r="AJ57" s="976"/>
    </row>
    <row r="58" spans="1:36">
      <c r="A58" s="961"/>
      <c r="R58" s="976"/>
      <c r="S58" s="961"/>
      <c r="AJ58" s="976"/>
    </row>
    <row r="59" spans="1:36">
      <c r="A59" s="961"/>
      <c r="R59" s="976"/>
      <c r="S59" s="961"/>
      <c r="AJ59" s="976"/>
    </row>
    <row r="60" spans="1:36">
      <c r="A60" s="961"/>
      <c r="R60" s="976"/>
      <c r="S60" s="961"/>
      <c r="AJ60" s="976"/>
    </row>
    <row r="61" spans="1:36">
      <c r="A61" s="961"/>
      <c r="R61" s="976"/>
      <c r="S61" s="961"/>
      <c r="AJ61" s="976"/>
    </row>
    <row r="62" spans="1:36">
      <c r="A62" s="962"/>
      <c r="B62" s="1229"/>
      <c r="C62" s="1229"/>
      <c r="D62" s="1229"/>
      <c r="E62" s="1229"/>
      <c r="F62" s="1229"/>
      <c r="G62" s="1229"/>
      <c r="H62" s="1229"/>
      <c r="I62" s="1229"/>
      <c r="J62" s="1229"/>
      <c r="K62" s="1229"/>
      <c r="L62" s="1229"/>
      <c r="M62" s="1229"/>
      <c r="N62" s="1229"/>
      <c r="O62" s="1229"/>
      <c r="P62" s="1229"/>
      <c r="Q62" s="1229"/>
      <c r="R62" s="977"/>
      <c r="S62" s="962"/>
      <c r="T62" s="1229"/>
      <c r="U62" s="1229"/>
      <c r="V62" s="1229"/>
      <c r="W62" s="1229"/>
      <c r="X62" s="1229"/>
      <c r="Y62" s="1229"/>
      <c r="Z62" s="1229"/>
      <c r="AA62" s="1229"/>
      <c r="AB62" s="1229"/>
      <c r="AC62" s="1229"/>
      <c r="AD62" s="1229"/>
      <c r="AE62" s="1229"/>
      <c r="AF62" s="1229"/>
      <c r="AG62" s="1229"/>
      <c r="AH62" s="1229"/>
      <c r="AI62" s="1229"/>
      <c r="AJ62" s="977"/>
    </row>
  </sheetData>
  <mergeCells count="56">
    <mergeCell ref="S22:AD22"/>
    <mergeCell ref="S23:AD23"/>
    <mergeCell ref="AF26:AJ26"/>
    <mergeCell ref="AE27:AE29"/>
    <mergeCell ref="AF27:AH29"/>
    <mergeCell ref="AI27:AJ29"/>
    <mergeCell ref="S28:AD28"/>
    <mergeCell ref="AB29:AC29"/>
    <mergeCell ref="AF17:AJ17"/>
    <mergeCell ref="AF18:AJ18"/>
    <mergeCell ref="AF19:AJ19"/>
    <mergeCell ref="AF20:AH20"/>
    <mergeCell ref="AE21:AE25"/>
    <mergeCell ref="AF21:AH25"/>
    <mergeCell ref="AI21:AJ25"/>
    <mergeCell ref="A11:R11"/>
    <mergeCell ref="AF11:AJ11"/>
    <mergeCell ref="AF16:AJ16"/>
    <mergeCell ref="A12:M12"/>
    <mergeCell ref="N12:R12"/>
    <mergeCell ref="AF12:AJ12"/>
    <mergeCell ref="A13:M13"/>
    <mergeCell ref="N13:R13"/>
    <mergeCell ref="AF13:AJ13"/>
    <mergeCell ref="A14:M14"/>
    <mergeCell ref="N14:R14"/>
    <mergeCell ref="AF14:AJ14"/>
    <mergeCell ref="A15:R15"/>
    <mergeCell ref="AF15:AJ15"/>
    <mergeCell ref="A8:C8"/>
    <mergeCell ref="N8:R8"/>
    <mergeCell ref="AF8:AJ8"/>
    <mergeCell ref="A10:K10"/>
    <mergeCell ref="L10:O10"/>
    <mergeCell ref="P10:R10"/>
    <mergeCell ref="AF10:AJ10"/>
    <mergeCell ref="N9:R9"/>
    <mergeCell ref="AF9:AJ9"/>
    <mergeCell ref="N7:R7"/>
    <mergeCell ref="AF7:AJ7"/>
    <mergeCell ref="E1:P2"/>
    <mergeCell ref="W1:AH2"/>
    <mergeCell ref="Q2:R2"/>
    <mergeCell ref="AI2:AJ2"/>
    <mergeCell ref="V3:AE4"/>
    <mergeCell ref="AF3:AF4"/>
    <mergeCell ref="AG3:AJ4"/>
    <mergeCell ref="N5:R5"/>
    <mergeCell ref="AF5:AJ5"/>
    <mergeCell ref="N6:R6"/>
    <mergeCell ref="AF6:AJ6"/>
    <mergeCell ref="A3:B4"/>
    <mergeCell ref="D3:M4"/>
    <mergeCell ref="N3:N4"/>
    <mergeCell ref="O3:R4"/>
    <mergeCell ref="S3:T4"/>
  </mergeCells>
  <pageMargins left="0" right="0" top="0" bottom="0" header="0" footer="0"/>
  <pageSetup paperSize="9" scale="89" fitToHeight="0" orientation="portrait" r:id="rId1"/>
  <headerFooter>
    <oddFooter>&amp;LEdité le &amp;D&amp;CPage &amp;P/&amp;N</oddFooter>
  </headerFooter>
  <colBreaks count="1" manualBreakCount="1">
    <brk id="18" max="1048575" man="1"/>
  </colBreak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80">
    <pageSetUpPr fitToPage="1"/>
  </sheetPr>
  <dimension ref="A1:N42"/>
  <sheetViews>
    <sheetView showGridLines="0" view="pageBreakPreview" zoomScale="90" zoomScaleNormal="100" zoomScaleSheetLayoutView="90" workbookViewId="0">
      <selection activeCell="G41" sqref="G41"/>
    </sheetView>
  </sheetViews>
  <sheetFormatPr baseColWidth="10" defaultColWidth="11.42578125" defaultRowHeight="15"/>
  <cols>
    <col min="1" max="1" width="5.42578125" style="608" customWidth="1"/>
    <col min="2" max="2" width="8.42578125" style="608" customWidth="1"/>
    <col min="3" max="12" width="12.5703125" style="608" customWidth="1"/>
    <col min="13" max="13" width="11.42578125" style="608"/>
    <col min="14" max="14" width="20.28515625" style="608" customWidth="1"/>
    <col min="15" max="16384" width="11.42578125" style="608"/>
  </cols>
  <sheetData>
    <row r="1" spans="1:14" ht="21" customHeight="1">
      <c r="A1" s="2092" t="s">
        <v>1122</v>
      </c>
      <c r="B1" s="2093"/>
      <c r="C1" s="2093"/>
      <c r="D1" s="2093"/>
      <c r="E1" s="2093"/>
      <c r="F1" s="2093"/>
      <c r="G1" s="2093"/>
      <c r="H1" s="2093"/>
      <c r="I1" s="2093"/>
      <c r="J1" s="2093"/>
      <c r="K1" s="2093"/>
      <c r="L1" s="2094"/>
      <c r="M1" s="2098" t="s">
        <v>1123</v>
      </c>
      <c r="N1" s="2099"/>
    </row>
    <row r="2" spans="1:14" ht="21" customHeight="1" thickBot="1">
      <c r="A2" s="2095"/>
      <c r="B2" s="2096"/>
      <c r="C2" s="2096"/>
      <c r="D2" s="2096"/>
      <c r="E2" s="2096"/>
      <c r="F2" s="2096"/>
      <c r="G2" s="2096"/>
      <c r="H2" s="2096"/>
      <c r="I2" s="2096"/>
      <c r="J2" s="2096"/>
      <c r="K2" s="2096"/>
      <c r="L2" s="2097"/>
      <c r="M2" s="2100"/>
      <c r="N2" s="2101"/>
    </row>
    <row r="3" spans="1:14" ht="9" customHeight="1" thickTop="1">
      <c r="B3" s="814"/>
      <c r="C3" s="814"/>
      <c r="D3" s="814"/>
      <c r="E3" s="814"/>
      <c r="F3" s="814"/>
      <c r="G3" s="814"/>
      <c r="H3" s="814"/>
      <c r="I3" s="814"/>
      <c r="J3" s="814"/>
      <c r="K3" s="815"/>
      <c r="L3" s="815"/>
      <c r="M3" s="815"/>
      <c r="N3" s="816"/>
    </row>
    <row r="4" spans="1:14" s="820" customFormat="1" ht="12.75">
      <c r="A4" s="817" t="s">
        <v>800</v>
      </c>
      <c r="B4" s="818"/>
      <c r="C4" s="819" t="str">
        <f>IF(ISBLANK(oMOE),"",oMOE)</f>
        <v/>
      </c>
      <c r="E4" s="821"/>
      <c r="F4" s="821"/>
      <c r="G4" s="821"/>
      <c r="H4" s="822"/>
      <c r="I4" s="823"/>
      <c r="J4" s="823"/>
      <c r="K4" s="823"/>
      <c r="L4" s="823"/>
      <c r="N4" s="824"/>
    </row>
    <row r="5" spans="1:14" s="820" customFormat="1" ht="12.75">
      <c r="A5" s="817" t="s">
        <v>1124</v>
      </c>
      <c r="B5" s="818"/>
      <c r="C5" s="818"/>
      <c r="D5" s="825" t="str">
        <f>IF(ISBLANK(oeOTP),"",oeOTP)</f>
        <v/>
      </c>
      <c r="I5" s="822"/>
      <c r="J5" s="822"/>
      <c r="K5" s="822"/>
      <c r="L5" s="822"/>
      <c r="N5" s="824"/>
    </row>
    <row r="6" spans="1:14" s="820" customFormat="1" ht="12.75">
      <c r="A6" s="817" t="s">
        <v>1125</v>
      </c>
      <c r="B6" s="818"/>
      <c r="C6" s="818"/>
      <c r="D6" s="889"/>
      <c r="E6" s="890"/>
      <c r="F6" s="823"/>
      <c r="G6" s="822"/>
      <c r="H6" s="822"/>
      <c r="I6" s="822"/>
      <c r="J6" s="822"/>
      <c r="K6" s="822"/>
      <c r="L6" s="822"/>
      <c r="N6" s="824"/>
    </row>
    <row r="7" spans="1:14" s="820" customFormat="1" ht="12.75">
      <c r="A7" s="817" t="s">
        <v>1126</v>
      </c>
      <c r="B7" s="818"/>
      <c r="C7" s="818"/>
      <c r="D7" s="2103" t="str">
        <f>IF(ISBLANK(oAdresseChantier),"",oAdresseChantier)</f>
        <v/>
      </c>
      <c r="E7" s="2103"/>
      <c r="F7" s="2103"/>
      <c r="G7" s="2103"/>
      <c r="H7" s="2103"/>
      <c r="I7" s="1243" t="str">
        <f>IF(ISBLANK(oVille),"",oVille)</f>
        <v/>
      </c>
      <c r="J7" s="1243"/>
      <c r="K7" s="1243"/>
      <c r="L7" s="1243"/>
      <c r="N7" s="823"/>
    </row>
    <row r="8" spans="1:14" s="820" customFormat="1" ht="12.75">
      <c r="A8" s="817" t="s">
        <v>1127</v>
      </c>
      <c r="B8" s="818"/>
      <c r="C8" s="818"/>
      <c r="D8" s="2066" t="str">
        <f>IF(ISBLANK(oLibelleOTP),"",oLibelleOTP)</f>
        <v/>
      </c>
      <c r="E8" s="2066"/>
      <c r="F8" s="2066"/>
      <c r="G8" s="2066"/>
      <c r="H8" s="2066"/>
      <c r="I8" s="2066"/>
      <c r="J8" s="2066"/>
      <c r="K8" s="2066"/>
      <c r="L8" s="2066"/>
      <c r="N8" s="823"/>
    </row>
    <row r="9" spans="1:14" s="820" customFormat="1" ht="12.75">
      <c r="A9" s="817"/>
      <c r="B9" s="818"/>
      <c r="C9" s="818"/>
      <c r="D9" s="2066"/>
      <c r="E9" s="2066"/>
      <c r="F9" s="2066"/>
      <c r="G9" s="2066"/>
      <c r="H9" s="2066"/>
      <c r="I9" s="2066"/>
      <c r="J9" s="2066"/>
      <c r="K9" s="2066"/>
      <c r="L9" s="2066"/>
      <c r="N9" s="823"/>
    </row>
    <row r="10" spans="1:14" ht="14.25" customHeight="1">
      <c r="A10" s="817" t="s">
        <v>1128</v>
      </c>
      <c r="C10" s="2102" t="s">
        <v>1129</v>
      </c>
      <c r="D10" s="2102"/>
      <c r="E10" s="2102"/>
      <c r="F10" s="2102"/>
      <c r="G10" s="2102"/>
      <c r="H10" s="2102"/>
      <c r="I10" s="2102"/>
      <c r="J10" s="2102"/>
      <c r="K10" s="2102"/>
      <c r="L10" s="2102"/>
      <c r="M10" s="2102"/>
      <c r="N10" s="815"/>
    </row>
    <row r="11" spans="1:14" ht="32.25" customHeight="1">
      <c r="B11" s="826"/>
      <c r="C11" s="2102"/>
      <c r="D11" s="2102"/>
      <c r="E11" s="2102"/>
      <c r="F11" s="2102"/>
      <c r="G11" s="2102"/>
      <c r="H11" s="2102"/>
      <c r="I11" s="2102"/>
      <c r="J11" s="2102"/>
      <c r="K11" s="2102"/>
      <c r="L11" s="2102"/>
      <c r="M11" s="2102"/>
      <c r="N11" s="815"/>
    </row>
    <row r="12" spans="1:14" ht="9" customHeight="1" thickBot="1">
      <c r="B12" s="827"/>
      <c r="C12" s="815"/>
      <c r="D12" s="815"/>
      <c r="E12" s="815"/>
      <c r="F12" s="828"/>
      <c r="G12" s="828"/>
      <c r="H12" s="828"/>
      <c r="I12" s="828"/>
      <c r="J12" s="829"/>
      <c r="K12" s="829"/>
      <c r="L12" s="815"/>
      <c r="M12" s="815"/>
      <c r="N12" s="815"/>
    </row>
    <row r="13" spans="1:14">
      <c r="A13" s="2067" t="s">
        <v>1130</v>
      </c>
      <c r="B13" s="830" t="s">
        <v>1131</v>
      </c>
      <c r="C13" s="831"/>
      <c r="D13" s="830" t="s">
        <v>1132</v>
      </c>
      <c r="E13" s="831"/>
      <c r="F13" s="830" t="s">
        <v>1133</v>
      </c>
      <c r="G13" s="831"/>
      <c r="H13" s="832" t="s">
        <v>1134</v>
      </c>
      <c r="I13" s="2070" t="s">
        <v>1135</v>
      </c>
      <c r="J13" s="2071"/>
      <c r="K13" s="2071"/>
      <c r="L13" s="2071"/>
      <c r="M13" s="2071"/>
      <c r="N13" s="2072"/>
    </row>
    <row r="14" spans="1:14">
      <c r="A14" s="2068"/>
      <c r="B14" s="833"/>
      <c r="C14" s="834"/>
      <c r="D14" s="833"/>
      <c r="E14" s="834"/>
      <c r="F14" s="833"/>
      <c r="G14" s="834"/>
      <c r="H14" s="835"/>
      <c r="I14" s="836" t="s">
        <v>1136</v>
      </c>
      <c r="J14" s="836"/>
      <c r="K14" s="837" t="s">
        <v>1137</v>
      </c>
      <c r="L14" s="837"/>
      <c r="M14" s="837" t="s">
        <v>1138</v>
      </c>
      <c r="N14" s="838"/>
    </row>
    <row r="15" spans="1:14">
      <c r="A15" s="2068"/>
      <c r="B15" s="2073" t="s">
        <v>1139</v>
      </c>
      <c r="C15" s="2076" t="s">
        <v>1140</v>
      </c>
      <c r="D15" s="2077"/>
      <c r="E15" s="2077"/>
      <c r="F15" s="2077"/>
      <c r="G15" s="2077"/>
      <c r="H15" s="2077"/>
      <c r="I15" s="2078"/>
      <c r="J15" s="2076" t="s">
        <v>1141</v>
      </c>
      <c r="K15" s="2077"/>
      <c r="L15" s="2078"/>
      <c r="M15" s="2079" t="s">
        <v>1142</v>
      </c>
      <c r="N15" s="2080"/>
    </row>
    <row r="16" spans="1:14">
      <c r="A16" s="2068"/>
      <c r="B16" s="2074"/>
      <c r="C16" s="2085" t="s">
        <v>642</v>
      </c>
      <c r="D16" s="2086"/>
      <c r="E16" s="2086"/>
      <c r="F16" s="2085" t="s">
        <v>1143</v>
      </c>
      <c r="G16" s="2086"/>
      <c r="H16" s="2087"/>
      <c r="I16" s="2073" t="s">
        <v>13</v>
      </c>
      <c r="J16" s="2079" t="s">
        <v>1144</v>
      </c>
      <c r="K16" s="2088" t="s">
        <v>1145</v>
      </c>
      <c r="L16" s="2090" t="s">
        <v>1146</v>
      </c>
      <c r="M16" s="2081"/>
      <c r="N16" s="2082"/>
    </row>
    <row r="17" spans="1:14">
      <c r="A17" s="2068"/>
      <c r="B17" s="2075"/>
      <c r="C17" s="839" t="s">
        <v>1147</v>
      </c>
      <c r="D17" s="840" t="s">
        <v>1148</v>
      </c>
      <c r="E17" s="840" t="s">
        <v>1149</v>
      </c>
      <c r="F17" s="839" t="s">
        <v>1150</v>
      </c>
      <c r="G17" s="840" t="s">
        <v>1151</v>
      </c>
      <c r="H17" s="841" t="s">
        <v>1152</v>
      </c>
      <c r="I17" s="2075"/>
      <c r="J17" s="2083"/>
      <c r="K17" s="2089"/>
      <c r="L17" s="2091"/>
      <c r="M17" s="2083"/>
      <c r="N17" s="2084"/>
    </row>
    <row r="18" spans="1:14">
      <c r="A18" s="2068"/>
      <c r="B18" s="842">
        <v>1</v>
      </c>
      <c r="C18" s="843"/>
      <c r="D18" s="844"/>
      <c r="E18" s="845"/>
      <c r="F18" s="843"/>
      <c r="G18" s="844"/>
      <c r="H18" s="845"/>
      <c r="I18" s="846"/>
      <c r="J18" s="843"/>
      <c r="K18" s="844"/>
      <c r="L18" s="845"/>
      <c r="M18" s="847"/>
      <c r="N18" s="848"/>
    </row>
    <row r="19" spans="1:14">
      <c r="A19" s="2068"/>
      <c r="B19" s="849">
        <v>2</v>
      </c>
      <c r="C19" s="850"/>
      <c r="D19" s="851"/>
      <c r="E19" s="852"/>
      <c r="F19" s="850"/>
      <c r="G19" s="851"/>
      <c r="H19" s="852"/>
      <c r="I19" s="853"/>
      <c r="J19" s="850"/>
      <c r="K19" s="851"/>
      <c r="L19" s="852"/>
      <c r="M19" s="854"/>
      <c r="N19" s="855"/>
    </row>
    <row r="20" spans="1:14">
      <c r="A20" s="2068"/>
      <c r="B20" s="849">
        <v>3</v>
      </c>
      <c r="C20" s="850"/>
      <c r="D20" s="851"/>
      <c r="E20" s="852"/>
      <c r="F20" s="850"/>
      <c r="G20" s="851"/>
      <c r="H20" s="852"/>
      <c r="I20" s="853"/>
      <c r="J20" s="850"/>
      <c r="K20" s="851"/>
      <c r="L20" s="852"/>
      <c r="M20" s="854"/>
      <c r="N20" s="855"/>
    </row>
    <row r="21" spans="1:14">
      <c r="A21" s="2068"/>
      <c r="B21" s="849">
        <v>4</v>
      </c>
      <c r="C21" s="850"/>
      <c r="D21" s="851"/>
      <c r="E21" s="852"/>
      <c r="F21" s="850"/>
      <c r="G21" s="851"/>
      <c r="H21" s="852"/>
      <c r="I21" s="853"/>
      <c r="J21" s="850"/>
      <c r="K21" s="851"/>
      <c r="L21" s="852"/>
      <c r="M21" s="854"/>
      <c r="N21" s="855"/>
    </row>
    <row r="22" spans="1:14">
      <c r="A22" s="2068"/>
      <c r="B22" s="849">
        <v>5</v>
      </c>
      <c r="C22" s="850"/>
      <c r="D22" s="851"/>
      <c r="E22" s="852"/>
      <c r="F22" s="850"/>
      <c r="G22" s="851"/>
      <c r="H22" s="852"/>
      <c r="I22" s="853"/>
      <c r="J22" s="850"/>
      <c r="K22" s="851"/>
      <c r="L22" s="852"/>
      <c r="M22" s="854"/>
      <c r="N22" s="855"/>
    </row>
    <row r="23" spans="1:14" ht="15.75" thickBot="1">
      <c r="A23" s="2069"/>
      <c r="B23" s="856">
        <v>6</v>
      </c>
      <c r="C23" s="857"/>
      <c r="D23" s="858"/>
      <c r="E23" s="859"/>
      <c r="F23" s="857"/>
      <c r="G23" s="858"/>
      <c r="H23" s="859"/>
      <c r="I23" s="860"/>
      <c r="J23" s="857"/>
      <c r="K23" s="858"/>
      <c r="L23" s="859"/>
      <c r="M23" s="861"/>
      <c r="N23" s="862"/>
    </row>
    <row r="24" spans="1:14">
      <c r="A24" s="2067" t="s">
        <v>1153</v>
      </c>
      <c r="B24" s="830" t="s">
        <v>1131</v>
      </c>
      <c r="C24" s="831"/>
      <c r="D24" s="830" t="s">
        <v>1132</v>
      </c>
      <c r="E24" s="831"/>
      <c r="F24" s="830" t="s">
        <v>1133</v>
      </c>
      <c r="G24" s="831"/>
      <c r="H24" s="832" t="s">
        <v>1134</v>
      </c>
      <c r="I24" s="2070" t="s">
        <v>1135</v>
      </c>
      <c r="J24" s="2071"/>
      <c r="K24" s="2071"/>
      <c r="L24" s="2071"/>
      <c r="M24" s="2071"/>
      <c r="N24" s="2072"/>
    </row>
    <row r="25" spans="1:14">
      <c r="A25" s="2068"/>
      <c r="B25" s="833"/>
      <c r="C25" s="834"/>
      <c r="D25" s="833"/>
      <c r="E25" s="834"/>
      <c r="F25" s="833"/>
      <c r="G25" s="834"/>
      <c r="H25" s="835"/>
      <c r="I25" s="836" t="s">
        <v>1136</v>
      </c>
      <c r="J25" s="836"/>
      <c r="K25" s="837" t="s">
        <v>1137</v>
      </c>
      <c r="L25" s="837"/>
      <c r="M25" s="837" t="s">
        <v>1138</v>
      </c>
      <c r="N25" s="838"/>
    </row>
    <row r="26" spans="1:14">
      <c r="A26" s="2068"/>
      <c r="B26" s="2073" t="s">
        <v>1139</v>
      </c>
      <c r="C26" s="2076" t="s">
        <v>1140</v>
      </c>
      <c r="D26" s="2077"/>
      <c r="E26" s="2077"/>
      <c r="F26" s="2077"/>
      <c r="G26" s="2077"/>
      <c r="H26" s="2077"/>
      <c r="I26" s="2078"/>
      <c r="J26" s="2076" t="s">
        <v>1141</v>
      </c>
      <c r="K26" s="2077"/>
      <c r="L26" s="2078"/>
      <c r="M26" s="2079" t="s">
        <v>1142</v>
      </c>
      <c r="N26" s="2080"/>
    </row>
    <row r="27" spans="1:14">
      <c r="A27" s="2068"/>
      <c r="B27" s="2074"/>
      <c r="C27" s="2085" t="s">
        <v>642</v>
      </c>
      <c r="D27" s="2086"/>
      <c r="E27" s="2086"/>
      <c r="F27" s="2085" t="s">
        <v>1143</v>
      </c>
      <c r="G27" s="2086"/>
      <c r="H27" s="2087"/>
      <c r="I27" s="2073" t="s">
        <v>13</v>
      </c>
      <c r="J27" s="2079" t="s">
        <v>1144</v>
      </c>
      <c r="K27" s="2088" t="s">
        <v>1145</v>
      </c>
      <c r="L27" s="2090" t="s">
        <v>1146</v>
      </c>
      <c r="M27" s="2081"/>
      <c r="N27" s="2082"/>
    </row>
    <row r="28" spans="1:14">
      <c r="A28" s="2068"/>
      <c r="B28" s="2075"/>
      <c r="C28" s="839" t="s">
        <v>1147</v>
      </c>
      <c r="D28" s="840" t="s">
        <v>1148</v>
      </c>
      <c r="E28" s="840" t="s">
        <v>1149</v>
      </c>
      <c r="F28" s="839" t="s">
        <v>1150</v>
      </c>
      <c r="G28" s="840" t="s">
        <v>1151</v>
      </c>
      <c r="H28" s="841" t="s">
        <v>1152</v>
      </c>
      <c r="I28" s="2075"/>
      <c r="J28" s="2083"/>
      <c r="K28" s="2089"/>
      <c r="L28" s="2091"/>
      <c r="M28" s="2083"/>
      <c r="N28" s="2084"/>
    </row>
    <row r="29" spans="1:14">
      <c r="A29" s="2068"/>
      <c r="B29" s="842">
        <v>1</v>
      </c>
      <c r="C29" s="843"/>
      <c r="D29" s="844"/>
      <c r="E29" s="845"/>
      <c r="F29" s="843"/>
      <c r="G29" s="844"/>
      <c r="H29" s="845"/>
      <c r="I29" s="846"/>
      <c r="J29" s="843"/>
      <c r="K29" s="844"/>
      <c r="L29" s="845"/>
      <c r="M29" s="847"/>
      <c r="N29" s="848"/>
    </row>
    <row r="30" spans="1:14">
      <c r="A30" s="2068"/>
      <c r="B30" s="849">
        <v>2</v>
      </c>
      <c r="C30" s="850"/>
      <c r="D30" s="851"/>
      <c r="E30" s="852"/>
      <c r="F30" s="850"/>
      <c r="G30" s="851"/>
      <c r="H30" s="852"/>
      <c r="I30" s="853"/>
      <c r="J30" s="850"/>
      <c r="K30" s="851"/>
      <c r="L30" s="852"/>
      <c r="M30" s="854"/>
      <c r="N30" s="855"/>
    </row>
    <row r="31" spans="1:14">
      <c r="A31" s="2068"/>
      <c r="B31" s="849">
        <v>3</v>
      </c>
      <c r="C31" s="850"/>
      <c r="D31" s="851"/>
      <c r="E31" s="852"/>
      <c r="F31" s="850"/>
      <c r="G31" s="851"/>
      <c r="H31" s="852"/>
      <c r="I31" s="853"/>
      <c r="J31" s="850"/>
      <c r="K31" s="851"/>
      <c r="L31" s="852"/>
      <c r="M31" s="854"/>
      <c r="N31" s="855"/>
    </row>
    <row r="32" spans="1:14">
      <c r="A32" s="2068"/>
      <c r="B32" s="849">
        <v>4</v>
      </c>
      <c r="C32" s="850"/>
      <c r="D32" s="851"/>
      <c r="E32" s="852"/>
      <c r="F32" s="850"/>
      <c r="G32" s="851"/>
      <c r="H32" s="852"/>
      <c r="I32" s="853"/>
      <c r="J32" s="850"/>
      <c r="K32" s="851"/>
      <c r="L32" s="852"/>
      <c r="M32" s="854"/>
      <c r="N32" s="855"/>
    </row>
    <row r="33" spans="1:14">
      <c r="A33" s="2068"/>
      <c r="B33" s="849">
        <v>5</v>
      </c>
      <c r="C33" s="850"/>
      <c r="D33" s="851"/>
      <c r="E33" s="852"/>
      <c r="F33" s="850"/>
      <c r="G33" s="851"/>
      <c r="H33" s="852"/>
      <c r="I33" s="853"/>
      <c r="J33" s="850"/>
      <c r="K33" s="851"/>
      <c r="L33" s="852"/>
      <c r="M33" s="854"/>
      <c r="N33" s="855"/>
    </row>
    <row r="34" spans="1:14" ht="15.75" thickBot="1">
      <c r="A34" s="2069"/>
      <c r="B34" s="856">
        <v>6</v>
      </c>
      <c r="C34" s="857"/>
      <c r="D34" s="858"/>
      <c r="E34" s="859"/>
      <c r="F34" s="857"/>
      <c r="G34" s="858"/>
      <c r="H34" s="859"/>
      <c r="I34" s="860"/>
      <c r="J34" s="857"/>
      <c r="K34" s="858"/>
      <c r="L34" s="859"/>
      <c r="M34" s="861"/>
      <c r="N34" s="862"/>
    </row>
    <row r="35" spans="1:14">
      <c r="A35" s="891"/>
      <c r="B35" s="687"/>
    </row>
    <row r="36" spans="1:14">
      <c r="M36" s="892"/>
      <c r="N36" s="885"/>
    </row>
    <row r="37" spans="1:14" ht="14.25" customHeight="1">
      <c r="M37" s="893"/>
      <c r="N37" s="885"/>
    </row>
    <row r="38" spans="1:14" ht="15" customHeight="1" thickBot="1">
      <c r="M38" s="894"/>
      <c r="N38" s="885"/>
    </row>
    <row r="39" spans="1:14" ht="15.75">
      <c r="A39" s="1190" t="s">
        <v>1351</v>
      </c>
      <c r="B39" s="688"/>
      <c r="C39" s="866"/>
      <c r="D39" s="865"/>
      <c r="E39" s="865"/>
      <c r="F39" s="865"/>
      <c r="G39" s="865"/>
      <c r="H39" s="868"/>
      <c r="I39" s="897" t="s">
        <v>155</v>
      </c>
      <c r="J39" s="865"/>
      <c r="K39" s="865"/>
      <c r="L39" s="866"/>
      <c r="M39" s="867"/>
      <c r="N39" s="868"/>
    </row>
    <row r="40" spans="1:14" ht="20.25" customHeight="1">
      <c r="A40" s="1244" t="str">
        <f>IF(ISBLANK(oRespAffaire),"",oRespAffaire)</f>
        <v/>
      </c>
      <c r="B40" s="895"/>
      <c r="C40" s="869"/>
      <c r="D40" s="869"/>
      <c r="E40" s="863"/>
      <c r="F40" s="863"/>
      <c r="G40" s="863"/>
      <c r="H40" s="870"/>
      <c r="I40" s="871" t="s">
        <v>1154</v>
      </c>
      <c r="J40" s="864"/>
      <c r="K40" s="872"/>
      <c r="L40" s="872"/>
      <c r="M40" s="872"/>
      <c r="N40" s="870"/>
    </row>
    <row r="41" spans="1:14" s="879" customFormat="1" ht="25.5" customHeight="1">
      <c r="A41" s="873" t="s">
        <v>105</v>
      </c>
      <c r="C41" s="874"/>
      <c r="D41" s="875"/>
      <c r="E41" s="876"/>
      <c r="F41" s="876"/>
      <c r="G41" s="876"/>
      <c r="H41" s="877"/>
      <c r="I41" s="878" t="s">
        <v>105</v>
      </c>
      <c r="J41" s="876"/>
      <c r="K41" s="876"/>
      <c r="L41" s="876"/>
      <c r="M41" s="876"/>
      <c r="N41" s="877"/>
    </row>
    <row r="42" spans="1:14" ht="15.75" thickBot="1">
      <c r="A42" s="880"/>
      <c r="B42" s="896"/>
      <c r="C42" s="881"/>
      <c r="D42" s="882"/>
      <c r="E42" s="882"/>
      <c r="F42" s="882"/>
      <c r="G42" s="882"/>
      <c r="H42" s="883"/>
      <c r="I42" s="884"/>
      <c r="J42" s="882"/>
      <c r="K42" s="882"/>
      <c r="L42" s="882"/>
      <c r="M42" s="882"/>
      <c r="N42" s="883"/>
    </row>
  </sheetData>
  <mergeCells count="29">
    <mergeCell ref="A1:L2"/>
    <mergeCell ref="M1:N2"/>
    <mergeCell ref="C10:M11"/>
    <mergeCell ref="M15:N17"/>
    <mergeCell ref="C16:E16"/>
    <mergeCell ref="F16:H16"/>
    <mergeCell ref="I16:I17"/>
    <mergeCell ref="J16:J17"/>
    <mergeCell ref="K16:K17"/>
    <mergeCell ref="L16:L17"/>
    <mergeCell ref="C15:I15"/>
    <mergeCell ref="J15:L15"/>
    <mergeCell ref="A13:A23"/>
    <mergeCell ref="I13:N13"/>
    <mergeCell ref="B15:B17"/>
    <mergeCell ref="D7:H7"/>
    <mergeCell ref="D8:L9"/>
    <mergeCell ref="A24:A34"/>
    <mergeCell ref="I24:N24"/>
    <mergeCell ref="B26:B28"/>
    <mergeCell ref="C26:I26"/>
    <mergeCell ref="J26:L26"/>
    <mergeCell ref="M26:N28"/>
    <mergeCell ref="C27:E27"/>
    <mergeCell ref="F27:H27"/>
    <mergeCell ref="I27:I28"/>
    <mergeCell ref="J27:J28"/>
    <mergeCell ref="K27:K28"/>
    <mergeCell ref="L27:L28"/>
  </mergeCells>
  <printOptions horizontalCentered="1" verticalCentered="1"/>
  <pageMargins left="0" right="0" top="0.39370078740157483" bottom="0.39370078740157483" header="0" footer="0"/>
  <pageSetup paperSize="9" scale="84" orientation="landscape" blackAndWhite="1" horizontalDpi="4294967292" verticalDpi="4294967292" r:id="rId1"/>
  <headerFooter>
    <oddFooter>&amp;LEdité le &amp;D&amp;C&amp;P/&amp;N</oddFooter>
  </headerFooter>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22">
    <tabColor indexed="42"/>
    <pageSetUpPr fitToPage="1"/>
  </sheetPr>
  <dimension ref="A1:AG57"/>
  <sheetViews>
    <sheetView showGridLines="0" view="pageBreakPreview" zoomScale="90" zoomScaleNormal="100" zoomScaleSheetLayoutView="90" workbookViewId="0">
      <selection activeCell="AA2" sqref="AA2"/>
    </sheetView>
  </sheetViews>
  <sheetFormatPr baseColWidth="10" defaultColWidth="11.42578125" defaultRowHeight="12.75"/>
  <cols>
    <col min="1" max="2" width="1.140625" style="533" customWidth="1"/>
    <col min="3" max="3" width="3.28515625" style="560" customWidth="1"/>
    <col min="4" max="4" width="11.42578125" style="533"/>
    <col min="5" max="5" width="3.28515625" style="533" customWidth="1"/>
    <col min="6" max="6" width="1.7109375" style="533" customWidth="1"/>
    <col min="7" max="7" width="3.28515625" style="533" customWidth="1"/>
    <col min="8" max="8" width="1.7109375" style="533" customWidth="1"/>
    <col min="9" max="9" width="3.28515625" style="533" customWidth="1"/>
    <col min="10" max="10" width="8.5703125" style="533" customWidth="1"/>
    <col min="11" max="11" width="11.7109375" style="533" customWidth="1"/>
    <col min="12" max="12" width="3.28515625" style="533" customWidth="1"/>
    <col min="13" max="13" width="1.7109375" style="533" customWidth="1"/>
    <col min="14" max="14" width="3.28515625" style="533" customWidth="1"/>
    <col min="15" max="15" width="1.7109375" style="533" customWidth="1"/>
    <col min="16" max="16" width="3.28515625" style="533" customWidth="1"/>
    <col min="17" max="17" width="19.28515625" style="533" customWidth="1"/>
    <col min="18" max="18" width="0.85546875" style="533" customWidth="1"/>
    <col min="19" max="19" width="3.42578125" style="533" customWidth="1"/>
    <col min="20" max="20" width="1" style="533" customWidth="1"/>
    <col min="21" max="21" width="0.85546875" style="533" customWidth="1"/>
    <col min="22" max="22" width="7.28515625" style="533" customWidth="1"/>
    <col min="23" max="24" width="18.5703125" style="533" customWidth="1"/>
    <col min="25" max="26" width="11.42578125" style="533"/>
    <col min="27" max="27" width="16.85546875" style="533" bestFit="1" customWidth="1"/>
    <col min="28" max="28" width="1.7109375" style="533" customWidth="1"/>
    <col min="29" max="29" width="3.28515625" style="533" customWidth="1"/>
    <col min="30" max="30" width="1.7109375" style="533" customWidth="1"/>
    <col min="31" max="31" width="3.28515625" style="533" customWidth="1"/>
    <col min="32" max="32" width="11.42578125" style="533"/>
    <col min="33" max="33" width="0.7109375" style="533" customWidth="1"/>
    <col min="34" max="16384" width="11.42578125" style="533"/>
  </cols>
  <sheetData>
    <row r="1" spans="1:33" ht="43.5" customHeight="1">
      <c r="D1" s="561"/>
      <c r="E1" s="2124" t="s">
        <v>991</v>
      </c>
      <c r="F1" s="2124"/>
      <c r="G1" s="2124"/>
      <c r="H1" s="2124"/>
      <c r="I1" s="2124"/>
      <c r="J1" s="2124"/>
      <c r="K1" s="2124"/>
      <c r="L1" s="2124"/>
      <c r="M1" s="2124"/>
      <c r="N1" s="2124"/>
      <c r="O1" s="2124"/>
      <c r="P1" s="2124"/>
      <c r="Q1" s="2124"/>
      <c r="R1" s="2124"/>
      <c r="S1" s="2124"/>
      <c r="T1" s="2124"/>
      <c r="U1" s="2124"/>
      <c r="V1" s="2124"/>
      <c r="W1" s="2124"/>
      <c r="X1" s="2124"/>
      <c r="Y1" s="2124"/>
      <c r="Z1" s="2124"/>
      <c r="AA1" s="2124"/>
      <c r="AB1" s="2124"/>
      <c r="AC1" s="2125" t="s">
        <v>992</v>
      </c>
      <c r="AD1" s="2125"/>
      <c r="AE1" s="2125"/>
      <c r="AF1" s="2125"/>
    </row>
    <row r="2" spans="1:33" s="710" customFormat="1" ht="24.75" customHeight="1">
      <c r="B2" s="710" t="s">
        <v>802</v>
      </c>
      <c r="C2" s="711"/>
      <c r="E2" s="1792" t="str">
        <f>IF(ISBLANK(oLibelleOTP),"",oLibelleOTP)</f>
        <v/>
      </c>
      <c r="F2" s="1792"/>
      <c r="G2" s="1792"/>
      <c r="H2" s="1792"/>
      <c r="I2" s="1792"/>
      <c r="J2" s="1792"/>
      <c r="K2" s="1792"/>
      <c r="L2" s="1792"/>
      <c r="M2" s="1792"/>
      <c r="N2" s="1792"/>
      <c r="O2" s="1792"/>
      <c r="P2" s="1792"/>
      <c r="Q2" s="1792"/>
      <c r="R2" s="548"/>
      <c r="S2" s="712"/>
      <c r="V2" s="713" t="s">
        <v>801</v>
      </c>
      <c r="W2" s="549" t="str">
        <f>IF(ISBLANK(oVille),"",oVille)</f>
        <v/>
      </c>
      <c r="Z2" s="713" t="s">
        <v>675</v>
      </c>
      <c r="AA2" s="549" t="str">
        <f>IF(ISBLANK(oeOTP),"",oeOTP)</f>
        <v/>
      </c>
    </row>
    <row r="3" spans="1:33" ht="3.75" customHeight="1" thickBot="1"/>
    <row r="4" spans="1:33" ht="4.5" customHeight="1">
      <c r="A4" s="562"/>
      <c r="B4" s="563"/>
      <c r="C4" s="564"/>
      <c r="D4" s="563"/>
      <c r="E4" s="565"/>
      <c r="F4" s="563"/>
      <c r="G4" s="563"/>
      <c r="H4" s="563"/>
      <c r="I4" s="563"/>
      <c r="J4" s="563"/>
      <c r="K4" s="563"/>
      <c r="L4" s="563"/>
      <c r="M4" s="563"/>
      <c r="N4" s="563"/>
      <c r="O4" s="563"/>
      <c r="P4" s="563"/>
      <c r="Q4" s="563"/>
      <c r="R4" s="566"/>
      <c r="T4" s="562"/>
      <c r="U4" s="563"/>
      <c r="V4" s="563"/>
      <c r="W4" s="563"/>
      <c r="X4" s="563"/>
      <c r="Y4" s="563"/>
      <c r="Z4" s="563"/>
      <c r="AA4" s="563"/>
      <c r="AB4" s="563"/>
      <c r="AC4" s="563"/>
      <c r="AD4" s="563"/>
      <c r="AE4" s="563"/>
      <c r="AF4" s="563"/>
      <c r="AG4" s="566"/>
    </row>
    <row r="5" spans="1:33">
      <c r="A5" s="567"/>
      <c r="B5" s="2126" t="s">
        <v>765</v>
      </c>
      <c r="C5" s="2127"/>
      <c r="D5" s="2127"/>
      <c r="E5" s="2127"/>
      <c r="F5" s="2127"/>
      <c r="G5" s="2127"/>
      <c r="H5" s="2127"/>
      <c r="I5" s="2127"/>
      <c r="J5" s="2127"/>
      <c r="K5" s="2127"/>
      <c r="L5" s="2127"/>
      <c r="M5" s="2127"/>
      <c r="N5" s="2127"/>
      <c r="O5" s="2127"/>
      <c r="P5" s="2127"/>
      <c r="Q5" s="2128"/>
      <c r="R5" s="568"/>
      <c r="T5" s="567"/>
      <c r="U5" s="569"/>
      <c r="V5" s="2122" t="s">
        <v>993</v>
      </c>
      <c r="W5" s="2122"/>
      <c r="X5" s="2122"/>
      <c r="Y5" s="2122"/>
      <c r="Z5" s="2122"/>
      <c r="AA5" s="2122"/>
      <c r="AB5" s="2122"/>
      <c r="AC5" s="2122"/>
      <c r="AD5" s="2122"/>
      <c r="AE5" s="2122"/>
      <c r="AF5" s="2123"/>
      <c r="AG5" s="568"/>
    </row>
    <row r="6" spans="1:33">
      <c r="A6" s="567"/>
      <c r="B6" s="570"/>
      <c r="C6" s="571" t="s">
        <v>766</v>
      </c>
      <c r="Q6" s="572"/>
      <c r="R6" s="568"/>
      <c r="T6" s="567"/>
      <c r="U6" s="570"/>
      <c r="AF6" s="572"/>
      <c r="AG6" s="568"/>
    </row>
    <row r="7" spans="1:33" ht="4.5" customHeight="1">
      <c r="A7" s="567"/>
      <c r="B7" s="570"/>
      <c r="Q7" s="572"/>
      <c r="R7" s="568"/>
      <c r="T7" s="567"/>
      <c r="U7" s="570"/>
      <c r="AF7" s="572"/>
      <c r="AG7" s="568"/>
    </row>
    <row r="8" spans="1:33" ht="12.75" customHeight="1">
      <c r="A8" s="567"/>
      <c r="B8" s="570"/>
      <c r="C8" s="573" t="s">
        <v>563</v>
      </c>
      <c r="D8" s="533" t="s">
        <v>994</v>
      </c>
      <c r="Q8" s="572"/>
      <c r="R8" s="568"/>
      <c r="T8" s="567"/>
      <c r="U8" s="570"/>
      <c r="V8" s="574" t="s">
        <v>767</v>
      </c>
      <c r="AA8" s="575" t="s">
        <v>995</v>
      </c>
      <c r="AB8" s="576"/>
      <c r="AC8" s="576"/>
      <c r="AD8" s="576"/>
      <c r="AE8" s="576"/>
      <c r="AF8" s="577"/>
      <c r="AG8" s="568"/>
    </row>
    <row r="9" spans="1:33" ht="5.0999999999999996" customHeight="1">
      <c r="A9" s="567"/>
      <c r="B9" s="570"/>
      <c r="C9" s="578"/>
      <c r="Q9" s="572"/>
      <c r="R9" s="568"/>
      <c r="T9" s="567"/>
      <c r="U9" s="570"/>
      <c r="AB9" s="579"/>
      <c r="AC9" s="579"/>
      <c r="AD9" s="579"/>
      <c r="AE9" s="579"/>
      <c r="AF9" s="580"/>
      <c r="AG9" s="568"/>
    </row>
    <row r="10" spans="1:33">
      <c r="A10" s="567"/>
      <c r="B10" s="570"/>
      <c r="C10" s="573" t="s">
        <v>672</v>
      </c>
      <c r="D10" s="533" t="s">
        <v>996</v>
      </c>
      <c r="Q10" s="572"/>
      <c r="R10" s="568"/>
      <c r="T10" s="567"/>
      <c r="U10" s="570"/>
      <c r="V10" s="574" t="s">
        <v>997</v>
      </c>
      <c r="AA10" s="575" t="s">
        <v>995</v>
      </c>
      <c r="AB10" s="576"/>
      <c r="AC10" s="576"/>
      <c r="AD10" s="576"/>
      <c r="AE10" s="576"/>
      <c r="AF10" s="577"/>
      <c r="AG10" s="568"/>
    </row>
    <row r="11" spans="1:33" ht="5.0999999999999996" customHeight="1">
      <c r="A11" s="567"/>
      <c r="B11" s="570"/>
      <c r="C11" s="578"/>
      <c r="Q11" s="572"/>
      <c r="R11" s="568"/>
      <c r="T11" s="567"/>
      <c r="U11" s="570"/>
      <c r="AF11" s="572"/>
      <c r="AG11" s="568"/>
    </row>
    <row r="12" spans="1:33">
      <c r="A12" s="567"/>
      <c r="B12" s="570"/>
      <c r="C12" s="573" t="s">
        <v>650</v>
      </c>
      <c r="D12" s="533" t="s">
        <v>998</v>
      </c>
      <c r="Q12" s="572"/>
      <c r="R12" s="568"/>
      <c r="T12" s="567"/>
      <c r="U12" s="570"/>
      <c r="AF12" s="572"/>
      <c r="AG12" s="568"/>
    </row>
    <row r="13" spans="1:33">
      <c r="A13" s="567"/>
      <c r="B13" s="570"/>
      <c r="Q13" s="572"/>
      <c r="R13" s="568"/>
      <c r="T13" s="567"/>
      <c r="U13" s="570"/>
      <c r="V13" s="2105" t="s">
        <v>999</v>
      </c>
      <c r="W13" s="2105"/>
      <c r="X13" s="2105"/>
      <c r="Y13" s="2105"/>
      <c r="Z13" s="2105"/>
      <c r="AA13" s="2105"/>
      <c r="AB13" s="2105"/>
      <c r="AC13" s="2105"/>
      <c r="AD13" s="2105"/>
      <c r="AE13" s="2105"/>
      <c r="AF13" s="2106"/>
      <c r="AG13" s="568"/>
    </row>
    <row r="14" spans="1:33">
      <c r="A14" s="567"/>
      <c r="B14" s="570"/>
      <c r="E14" s="573" t="s">
        <v>563</v>
      </c>
      <c r="F14" s="578"/>
      <c r="G14" s="573" t="s">
        <v>672</v>
      </c>
      <c r="H14" s="578"/>
      <c r="I14" s="573" t="s">
        <v>650</v>
      </c>
      <c r="J14" s="583"/>
      <c r="K14" s="584" t="s">
        <v>1000</v>
      </c>
      <c r="Q14" s="572"/>
      <c r="R14" s="568"/>
      <c r="T14" s="567"/>
      <c r="U14" s="570"/>
      <c r="AF14" s="572"/>
      <c r="AG14" s="568"/>
    </row>
    <row r="15" spans="1:33">
      <c r="A15" s="567"/>
      <c r="B15" s="570"/>
      <c r="Q15" s="572"/>
      <c r="R15" s="568"/>
      <c r="T15" s="567"/>
      <c r="U15" s="570"/>
      <c r="V15" s="585" t="s">
        <v>1001</v>
      </c>
      <c r="Z15" s="533" t="s">
        <v>1002</v>
      </c>
      <c r="AB15" s="576"/>
      <c r="AC15" s="576"/>
      <c r="AD15" s="576"/>
      <c r="AE15" s="576"/>
      <c r="AF15" s="577"/>
      <c r="AG15" s="568"/>
    </row>
    <row r="16" spans="1:33">
      <c r="A16" s="567"/>
      <c r="B16" s="570"/>
      <c r="C16" s="2129" t="s">
        <v>1003</v>
      </c>
      <c r="D16" s="2129"/>
      <c r="E16" s="2129"/>
      <c r="F16" s="2129"/>
      <c r="G16" s="2129"/>
      <c r="H16" s="2129"/>
      <c r="I16" s="2129"/>
      <c r="J16" s="2129"/>
      <c r="K16" s="2129"/>
      <c r="L16" s="2129"/>
      <c r="M16" s="2129"/>
      <c r="N16" s="2129"/>
      <c r="O16" s="2129"/>
      <c r="P16" s="2129"/>
      <c r="Q16" s="2130"/>
      <c r="R16" s="568"/>
      <c r="T16" s="567"/>
      <c r="U16" s="570"/>
      <c r="V16" s="585"/>
      <c r="AF16" s="572"/>
      <c r="AG16" s="568"/>
    </row>
    <row r="17" spans="1:33">
      <c r="A17" s="567"/>
      <c r="B17" s="570"/>
      <c r="C17" s="2114" t="s">
        <v>1004</v>
      </c>
      <c r="D17" s="2114"/>
      <c r="E17" s="2114"/>
      <c r="F17" s="2114"/>
      <c r="G17" s="2114"/>
      <c r="H17" s="2114"/>
      <c r="I17" s="2114"/>
      <c r="J17" s="2114"/>
      <c r="K17" s="2114"/>
      <c r="L17" s="2114"/>
      <c r="M17" s="2114"/>
      <c r="N17" s="2114"/>
      <c r="O17" s="2114"/>
      <c r="P17" s="2114"/>
      <c r="Q17" s="2115"/>
      <c r="R17" s="568"/>
      <c r="T17" s="567"/>
      <c r="U17" s="570"/>
      <c r="V17" s="571"/>
      <c r="W17" s="533" t="s">
        <v>1005</v>
      </c>
      <c r="Z17" s="533" t="s">
        <v>1006</v>
      </c>
      <c r="AA17" s="586" t="s">
        <v>563</v>
      </c>
      <c r="AB17" s="560"/>
      <c r="AC17" s="586" t="s">
        <v>672</v>
      </c>
      <c r="AD17" s="560"/>
      <c r="AE17" s="586" t="s">
        <v>650</v>
      </c>
      <c r="AF17" s="587"/>
      <c r="AG17" s="568"/>
    </row>
    <row r="18" spans="1:33">
      <c r="A18" s="567"/>
      <c r="B18" s="570"/>
      <c r="C18" s="2116" t="s">
        <v>1007</v>
      </c>
      <c r="D18" s="2117"/>
      <c r="E18" s="2117"/>
      <c r="F18" s="2117"/>
      <c r="G18" s="2117"/>
      <c r="H18" s="2117"/>
      <c r="I18" s="2117"/>
      <c r="J18" s="2117"/>
      <c r="K18" s="2117"/>
      <c r="L18" s="2117"/>
      <c r="M18" s="2117"/>
      <c r="N18" s="2117"/>
      <c r="O18" s="2117"/>
      <c r="P18" s="2117"/>
      <c r="Q18" s="2118"/>
      <c r="R18" s="568"/>
      <c r="T18" s="567"/>
      <c r="U18" s="570"/>
      <c r="V18" s="571"/>
      <c r="W18" s="533" t="s">
        <v>1008</v>
      </c>
      <c r="Z18" s="533" t="s">
        <v>1006</v>
      </c>
      <c r="AA18" s="586" t="s">
        <v>563</v>
      </c>
      <c r="AB18" s="560"/>
      <c r="AC18" s="586" t="s">
        <v>672</v>
      </c>
      <c r="AD18" s="560"/>
      <c r="AE18" s="586" t="s">
        <v>650</v>
      </c>
      <c r="AF18" s="587"/>
      <c r="AG18" s="568"/>
    </row>
    <row r="19" spans="1:33">
      <c r="A19" s="567"/>
      <c r="B19" s="588"/>
      <c r="C19" s="2119" t="s">
        <v>1009</v>
      </c>
      <c r="D19" s="2119"/>
      <c r="E19" s="2119"/>
      <c r="F19" s="2119"/>
      <c r="G19" s="2119"/>
      <c r="H19" s="2119"/>
      <c r="I19" s="2119"/>
      <c r="J19" s="2119"/>
      <c r="K19" s="2119"/>
      <c r="L19" s="2119"/>
      <c r="M19" s="2119"/>
      <c r="N19" s="2119"/>
      <c r="O19" s="2119"/>
      <c r="P19" s="2119"/>
      <c r="Q19" s="2120"/>
      <c r="R19" s="568"/>
      <c r="T19" s="567"/>
      <c r="U19" s="570"/>
      <c r="V19" s="571"/>
      <c r="W19" s="533" t="s">
        <v>768</v>
      </c>
      <c r="Z19" s="533" t="s">
        <v>1006</v>
      </c>
      <c r="AA19" s="586" t="s">
        <v>563</v>
      </c>
      <c r="AB19" s="560"/>
      <c r="AC19" s="586" t="s">
        <v>672</v>
      </c>
      <c r="AD19" s="560"/>
      <c r="AE19" s="586" t="s">
        <v>650</v>
      </c>
      <c r="AF19" s="587"/>
      <c r="AG19" s="568"/>
    </row>
    <row r="20" spans="1:33">
      <c r="A20" s="567"/>
      <c r="R20" s="568"/>
      <c r="T20" s="567"/>
      <c r="U20" s="570"/>
      <c r="V20" s="571"/>
      <c r="W20" s="533" t="s">
        <v>1010</v>
      </c>
      <c r="Z20" s="533" t="s">
        <v>1006</v>
      </c>
      <c r="AA20" s="586" t="s">
        <v>563</v>
      </c>
      <c r="AB20" s="560"/>
      <c r="AC20" s="586" t="s">
        <v>672</v>
      </c>
      <c r="AD20" s="560"/>
      <c r="AE20" s="586" t="s">
        <v>650</v>
      </c>
      <c r="AF20" s="577"/>
      <c r="AG20" s="568"/>
    </row>
    <row r="21" spans="1:33">
      <c r="A21" s="567"/>
      <c r="B21" s="589" t="s">
        <v>613</v>
      </c>
      <c r="R21" s="568"/>
      <c r="T21" s="567"/>
      <c r="U21" s="570"/>
      <c r="V21" s="571"/>
      <c r="AA21" s="560"/>
      <c r="AB21" s="560"/>
      <c r="AC21" s="560"/>
      <c r="AD21" s="560"/>
      <c r="AE21" s="560"/>
      <c r="AF21" s="572"/>
      <c r="AG21" s="568"/>
    </row>
    <row r="22" spans="1:33" ht="6.75" customHeight="1">
      <c r="A22" s="567"/>
      <c r="B22" s="589"/>
      <c r="R22" s="568"/>
      <c r="T22" s="567"/>
      <c r="U22" s="570"/>
      <c r="V22" s="571"/>
      <c r="AF22" s="572"/>
      <c r="AG22" s="568"/>
    </row>
    <row r="23" spans="1:33">
      <c r="A23" s="567"/>
      <c r="D23" s="533" t="s">
        <v>1011</v>
      </c>
      <c r="R23" s="568"/>
      <c r="T23" s="567"/>
      <c r="U23" s="570"/>
      <c r="AF23" s="572"/>
      <c r="AG23" s="568"/>
    </row>
    <row r="24" spans="1:33" ht="18.75" customHeight="1">
      <c r="A24" s="567"/>
      <c r="D24" s="533" t="s">
        <v>1012</v>
      </c>
      <c r="R24" s="568"/>
      <c r="T24" s="567"/>
      <c r="U24" s="570"/>
      <c r="V24" s="2105" t="s">
        <v>1013</v>
      </c>
      <c r="W24" s="2105"/>
      <c r="X24" s="2105"/>
      <c r="Y24" s="2105"/>
      <c r="Z24" s="2105"/>
      <c r="AA24" s="2105"/>
      <c r="AB24" s="2105"/>
      <c r="AC24" s="2105"/>
      <c r="AD24" s="2105"/>
      <c r="AE24" s="2105"/>
      <c r="AF24" s="2106"/>
      <c r="AG24" s="568"/>
    </row>
    <row r="25" spans="1:33" ht="7.5" customHeight="1">
      <c r="A25" s="567"/>
      <c r="R25" s="568"/>
      <c r="T25" s="567"/>
      <c r="U25" s="570"/>
      <c r="AF25" s="572"/>
      <c r="AG25" s="568"/>
    </row>
    <row r="26" spans="1:33">
      <c r="A26" s="567"/>
      <c r="R26" s="568"/>
      <c r="T26" s="567"/>
      <c r="U26" s="570"/>
      <c r="V26" s="585" t="s">
        <v>1001</v>
      </c>
      <c r="AF26" s="572"/>
      <c r="AG26" s="568"/>
    </row>
    <row r="27" spans="1:33">
      <c r="A27" s="567"/>
      <c r="B27" s="2121" t="s">
        <v>1014</v>
      </c>
      <c r="C27" s="2122"/>
      <c r="D27" s="2122"/>
      <c r="E27" s="2122"/>
      <c r="F27" s="2122"/>
      <c r="G27" s="2122"/>
      <c r="H27" s="2122"/>
      <c r="I27" s="2122"/>
      <c r="J27" s="2122"/>
      <c r="K27" s="2122"/>
      <c r="L27" s="2122"/>
      <c r="M27" s="2122"/>
      <c r="N27" s="2122"/>
      <c r="O27" s="2122"/>
      <c r="P27" s="2122"/>
      <c r="Q27" s="2123"/>
      <c r="R27" s="568"/>
      <c r="T27" s="567"/>
      <c r="U27" s="570"/>
      <c r="V27" s="571" t="s">
        <v>1015</v>
      </c>
      <c r="AA27" s="560"/>
      <c r="AB27" s="560"/>
      <c r="AC27" s="560"/>
      <c r="AD27" s="560"/>
      <c r="AE27" s="560"/>
      <c r="AF27" s="572"/>
      <c r="AG27" s="568"/>
    </row>
    <row r="28" spans="1:33" ht="5.25" customHeight="1">
      <c r="A28" s="567"/>
      <c r="B28" s="570"/>
      <c r="C28" s="571"/>
      <c r="Q28" s="572"/>
      <c r="R28" s="568"/>
      <c r="T28" s="567"/>
      <c r="U28" s="570"/>
      <c r="AF28" s="572"/>
      <c r="AG28" s="568"/>
    </row>
    <row r="29" spans="1:33">
      <c r="A29" s="567"/>
      <c r="B29" s="570"/>
      <c r="C29" s="585" t="s">
        <v>1001</v>
      </c>
      <c r="K29" s="533" t="s">
        <v>295</v>
      </c>
      <c r="M29" s="590"/>
      <c r="N29" s="590"/>
      <c r="O29" s="590"/>
      <c r="P29" s="590"/>
      <c r="Q29" s="577"/>
      <c r="R29" s="568"/>
      <c r="T29" s="567"/>
      <c r="U29" s="570"/>
      <c r="W29" s="574" t="s">
        <v>1016</v>
      </c>
      <c r="AA29" s="586" t="s">
        <v>563</v>
      </c>
      <c r="AB29" s="560"/>
      <c r="AC29" s="586" t="s">
        <v>672</v>
      </c>
      <c r="AD29" s="560"/>
      <c r="AE29" s="586" t="s">
        <v>650</v>
      </c>
      <c r="AF29" s="587"/>
      <c r="AG29" s="568"/>
    </row>
    <row r="30" spans="1:33">
      <c r="A30" s="567"/>
      <c r="B30" s="570"/>
      <c r="C30" s="571"/>
      <c r="D30" s="533" t="s">
        <v>1017</v>
      </c>
      <c r="L30" s="586" t="s">
        <v>563</v>
      </c>
      <c r="M30" s="560"/>
      <c r="N30" s="586" t="s">
        <v>672</v>
      </c>
      <c r="O30" s="560"/>
      <c r="P30" s="586" t="s">
        <v>650</v>
      </c>
      <c r="Q30" s="587"/>
      <c r="R30" s="568"/>
      <c r="T30" s="567"/>
      <c r="U30" s="570"/>
      <c r="W30" s="574" t="s">
        <v>1018</v>
      </c>
      <c r="AA30" s="586" t="s">
        <v>563</v>
      </c>
      <c r="AB30" s="560"/>
      <c r="AC30" s="586" t="s">
        <v>672</v>
      </c>
      <c r="AD30" s="560"/>
      <c r="AE30" s="586" t="s">
        <v>650</v>
      </c>
      <c r="AF30" s="587"/>
      <c r="AG30" s="568"/>
    </row>
    <row r="31" spans="1:33">
      <c r="A31" s="567"/>
      <c r="B31" s="570"/>
      <c r="C31" s="571"/>
      <c r="D31" s="533" t="s">
        <v>1019</v>
      </c>
      <c r="L31" s="586" t="s">
        <v>563</v>
      </c>
      <c r="M31" s="560"/>
      <c r="N31" s="586" t="s">
        <v>672</v>
      </c>
      <c r="O31" s="560"/>
      <c r="P31" s="586" t="s">
        <v>650</v>
      </c>
      <c r="Q31" s="587"/>
      <c r="R31" s="568"/>
      <c r="T31" s="567"/>
      <c r="U31" s="570"/>
      <c r="V31" s="533" t="s">
        <v>1020</v>
      </c>
      <c r="AF31" s="580"/>
      <c r="AG31" s="568"/>
    </row>
    <row r="32" spans="1:33">
      <c r="A32" s="567"/>
      <c r="B32" s="570"/>
      <c r="C32" s="571"/>
      <c r="D32" s="533" t="s">
        <v>1021</v>
      </c>
      <c r="L32" s="586" t="s">
        <v>563</v>
      </c>
      <c r="M32" s="560"/>
      <c r="N32" s="586" t="s">
        <v>672</v>
      </c>
      <c r="O32" s="560"/>
      <c r="P32" s="586" t="s">
        <v>650</v>
      </c>
      <c r="Q32" s="587"/>
      <c r="R32" s="568"/>
      <c r="T32" s="567"/>
      <c r="U32" s="570"/>
      <c r="W32" s="574" t="s">
        <v>1016</v>
      </c>
      <c r="AA32" s="586" t="s">
        <v>563</v>
      </c>
      <c r="AB32" s="560"/>
      <c r="AC32" s="586" t="s">
        <v>672</v>
      </c>
      <c r="AD32" s="560"/>
      <c r="AE32" s="586" t="s">
        <v>650</v>
      </c>
      <c r="AF32" s="587"/>
      <c r="AG32" s="568"/>
    </row>
    <row r="33" spans="1:33">
      <c r="A33" s="567"/>
      <c r="B33" s="570"/>
      <c r="C33" s="571"/>
      <c r="D33" s="533" t="s">
        <v>1022</v>
      </c>
      <c r="L33" s="586" t="s">
        <v>563</v>
      </c>
      <c r="M33" s="560"/>
      <c r="N33" s="586" t="s">
        <v>672</v>
      </c>
      <c r="O33" s="560"/>
      <c r="P33" s="586" t="s">
        <v>650</v>
      </c>
      <c r="Q33" s="587"/>
      <c r="R33" s="568"/>
      <c r="T33" s="567"/>
      <c r="U33" s="570"/>
      <c r="W33" s="574" t="s">
        <v>1023</v>
      </c>
      <c r="AA33" s="586" t="s">
        <v>563</v>
      </c>
      <c r="AB33" s="560"/>
      <c r="AC33" s="586" t="s">
        <v>672</v>
      </c>
      <c r="AD33" s="560"/>
      <c r="AE33" s="586" t="s">
        <v>650</v>
      </c>
      <c r="AF33" s="587"/>
      <c r="AG33" s="568"/>
    </row>
    <row r="34" spans="1:33">
      <c r="A34" s="567"/>
      <c r="B34" s="570"/>
      <c r="C34" s="571"/>
      <c r="D34" s="533" t="s">
        <v>296</v>
      </c>
      <c r="L34" s="586" t="s">
        <v>563</v>
      </c>
      <c r="M34" s="560"/>
      <c r="N34" s="586" t="s">
        <v>672</v>
      </c>
      <c r="O34" s="560"/>
      <c r="P34" s="586" t="s">
        <v>650</v>
      </c>
      <c r="Q34" s="587"/>
      <c r="R34" s="568"/>
      <c r="T34" s="567"/>
      <c r="U34" s="570"/>
      <c r="W34" s="574" t="s">
        <v>297</v>
      </c>
      <c r="AA34" s="586" t="s">
        <v>563</v>
      </c>
      <c r="AB34" s="560"/>
      <c r="AC34" s="586" t="s">
        <v>672</v>
      </c>
      <c r="AD34" s="560"/>
      <c r="AE34" s="586" t="s">
        <v>650</v>
      </c>
      <c r="AF34" s="587"/>
      <c r="AG34" s="568"/>
    </row>
    <row r="35" spans="1:33">
      <c r="A35" s="567"/>
      <c r="B35" s="570"/>
      <c r="C35" s="571"/>
      <c r="D35" s="2109" t="s">
        <v>1024</v>
      </c>
      <c r="E35" s="2109"/>
      <c r="F35" s="2109"/>
      <c r="G35" s="2109"/>
      <c r="H35" s="2109"/>
      <c r="I35" s="2109"/>
      <c r="J35" s="2109"/>
      <c r="K35" s="2109"/>
      <c r="L35" s="586" t="s">
        <v>563</v>
      </c>
      <c r="M35" s="560"/>
      <c r="N35" s="586" t="s">
        <v>672</v>
      </c>
      <c r="O35" s="560"/>
      <c r="P35" s="586" t="s">
        <v>650</v>
      </c>
      <c r="Q35" s="587"/>
      <c r="R35" s="568"/>
      <c r="T35" s="567"/>
      <c r="AF35" s="579"/>
      <c r="AG35" s="568"/>
    </row>
    <row r="36" spans="1:33">
      <c r="A36" s="567"/>
      <c r="B36" s="570"/>
      <c r="C36" s="571"/>
      <c r="D36" s="2109"/>
      <c r="E36" s="2109"/>
      <c r="F36" s="2109"/>
      <c r="G36" s="2109"/>
      <c r="H36" s="2109"/>
      <c r="I36" s="2109"/>
      <c r="J36" s="2109"/>
      <c r="K36" s="2109"/>
      <c r="L36" s="560"/>
      <c r="M36" s="560"/>
      <c r="N36" s="560"/>
      <c r="O36" s="560"/>
      <c r="P36" s="560"/>
      <c r="Q36" s="572"/>
      <c r="R36" s="568"/>
      <c r="T36" s="567"/>
      <c r="U36" s="569"/>
      <c r="V36" s="2122" t="s">
        <v>1025</v>
      </c>
      <c r="W36" s="2122"/>
      <c r="X36" s="2122"/>
      <c r="Y36" s="2122"/>
      <c r="Z36" s="2122"/>
      <c r="AA36" s="2122"/>
      <c r="AB36" s="2122"/>
      <c r="AC36" s="2122"/>
      <c r="AD36" s="2122"/>
      <c r="AE36" s="2122"/>
      <c r="AF36" s="2123"/>
      <c r="AG36" s="568"/>
    </row>
    <row r="37" spans="1:33" ht="6.75" customHeight="1">
      <c r="A37" s="567"/>
      <c r="B37" s="570"/>
      <c r="Q37" s="572"/>
      <c r="R37" s="568"/>
      <c r="T37" s="567"/>
      <c r="U37" s="570"/>
      <c r="AF37" s="572"/>
      <c r="AG37" s="568"/>
    </row>
    <row r="38" spans="1:33">
      <c r="A38" s="567"/>
      <c r="B38" s="2104" t="s">
        <v>1026</v>
      </c>
      <c r="C38" s="2105"/>
      <c r="D38" s="2105"/>
      <c r="E38" s="2105"/>
      <c r="F38" s="2105"/>
      <c r="G38" s="2105"/>
      <c r="H38" s="2105"/>
      <c r="I38" s="2105"/>
      <c r="J38" s="2105"/>
      <c r="K38" s="2105"/>
      <c r="L38" s="2105"/>
      <c r="M38" s="2105"/>
      <c r="N38" s="2105"/>
      <c r="O38" s="2105"/>
      <c r="P38" s="2105"/>
      <c r="Q38" s="2106"/>
      <c r="R38" s="568"/>
      <c r="T38" s="567"/>
      <c r="U38" s="570"/>
      <c r="V38" s="2107" t="s">
        <v>1027</v>
      </c>
      <c r="W38" s="2107"/>
      <c r="X38" s="2107"/>
      <c r="Y38" s="2107"/>
      <c r="Z38" s="2107"/>
      <c r="AA38" s="2107"/>
      <c r="AB38" s="2107"/>
      <c r="AC38" s="2107"/>
      <c r="AD38" s="2107"/>
      <c r="AE38" s="2107"/>
      <c r="AF38" s="2108"/>
      <c r="AG38" s="568"/>
    </row>
    <row r="39" spans="1:33" ht="3.75" customHeight="1">
      <c r="A39" s="567"/>
      <c r="B39" s="591"/>
      <c r="C39" s="581"/>
      <c r="D39" s="581"/>
      <c r="E39" s="581"/>
      <c r="F39" s="581"/>
      <c r="G39" s="581"/>
      <c r="H39" s="581"/>
      <c r="I39" s="581"/>
      <c r="J39" s="581"/>
      <c r="K39" s="581"/>
      <c r="L39" s="581"/>
      <c r="M39" s="581"/>
      <c r="N39" s="581"/>
      <c r="O39" s="581"/>
      <c r="P39" s="581"/>
      <c r="Q39" s="582"/>
      <c r="R39" s="568"/>
      <c r="T39" s="567"/>
      <c r="U39" s="570"/>
      <c r="V39" s="578"/>
      <c r="W39" s="578"/>
      <c r="X39" s="578"/>
      <c r="Y39" s="578"/>
      <c r="Z39" s="578"/>
      <c r="AA39" s="578"/>
      <c r="AB39" s="578"/>
      <c r="AC39" s="578"/>
      <c r="AD39" s="578"/>
      <c r="AE39" s="578"/>
      <c r="AF39" s="592"/>
      <c r="AG39" s="568"/>
    </row>
    <row r="40" spans="1:33">
      <c r="A40" s="567"/>
      <c r="B40" s="570"/>
      <c r="Q40" s="572"/>
      <c r="R40" s="568"/>
      <c r="T40" s="567"/>
      <c r="U40" s="570"/>
      <c r="V40" s="593" t="s">
        <v>1001</v>
      </c>
      <c r="Y40" s="533" t="s">
        <v>1028</v>
      </c>
      <c r="AA40" s="576"/>
      <c r="AB40" s="576"/>
      <c r="AC40" s="576"/>
      <c r="AD40" s="576"/>
      <c r="AE40" s="576"/>
      <c r="AF40" s="577"/>
      <c r="AG40" s="568"/>
    </row>
    <row r="41" spans="1:33" ht="4.5" customHeight="1">
      <c r="A41" s="567"/>
      <c r="B41" s="570"/>
      <c r="Q41" s="572"/>
      <c r="R41" s="568"/>
      <c r="T41" s="567"/>
      <c r="U41" s="570"/>
      <c r="V41" s="593"/>
      <c r="AF41" s="580"/>
      <c r="AG41" s="568"/>
    </row>
    <row r="42" spans="1:33">
      <c r="A42" s="567"/>
      <c r="B42" s="570"/>
      <c r="C42" s="585" t="s">
        <v>1001</v>
      </c>
      <c r="Q42" s="572"/>
      <c r="R42" s="568"/>
      <c r="T42" s="567"/>
      <c r="U42" s="570"/>
      <c r="W42" s="533" t="s">
        <v>1029</v>
      </c>
      <c r="AA42" s="586" t="s">
        <v>563</v>
      </c>
      <c r="AB42" s="560"/>
      <c r="AC42" s="586" t="s">
        <v>672</v>
      </c>
      <c r="AD42" s="560"/>
      <c r="AE42" s="586" t="s">
        <v>650</v>
      </c>
      <c r="AF42" s="587"/>
      <c r="AG42" s="568"/>
    </row>
    <row r="43" spans="1:33">
      <c r="A43" s="567"/>
      <c r="B43" s="570"/>
      <c r="C43" s="571"/>
      <c r="D43" s="533" t="s">
        <v>1030</v>
      </c>
      <c r="H43" s="579"/>
      <c r="I43" s="579"/>
      <c r="J43" s="579"/>
      <c r="L43" s="586" t="s">
        <v>563</v>
      </c>
      <c r="M43" s="560"/>
      <c r="N43" s="586" t="s">
        <v>672</v>
      </c>
      <c r="O43" s="560"/>
      <c r="P43" s="586" t="s">
        <v>650</v>
      </c>
      <c r="Q43" s="587"/>
      <c r="R43" s="568"/>
      <c r="T43" s="567"/>
      <c r="U43" s="570"/>
      <c r="W43" s="533" t="s">
        <v>1031</v>
      </c>
      <c r="AA43" s="586" t="s">
        <v>563</v>
      </c>
      <c r="AB43" s="560"/>
      <c r="AC43" s="586" t="s">
        <v>672</v>
      </c>
      <c r="AD43" s="560"/>
      <c r="AE43" s="586" t="s">
        <v>650</v>
      </c>
      <c r="AF43" s="587"/>
      <c r="AG43" s="568"/>
    </row>
    <row r="44" spans="1:33">
      <c r="A44" s="567"/>
      <c r="B44" s="570"/>
      <c r="C44" s="571"/>
      <c r="D44" s="2109" t="s">
        <v>1032</v>
      </c>
      <c r="E44" s="2109"/>
      <c r="F44" s="2109"/>
      <c r="G44" s="2109"/>
      <c r="H44" s="2109"/>
      <c r="I44" s="2109"/>
      <c r="J44" s="2109"/>
      <c r="K44" s="2109"/>
      <c r="L44" s="586" t="s">
        <v>563</v>
      </c>
      <c r="M44" s="560"/>
      <c r="N44" s="586" t="s">
        <v>672</v>
      </c>
      <c r="O44" s="560"/>
      <c r="P44" s="586" t="s">
        <v>650</v>
      </c>
      <c r="Q44" s="587"/>
      <c r="R44" s="568"/>
      <c r="T44" s="567"/>
      <c r="U44" s="570"/>
      <c r="W44" s="533" t="s">
        <v>1033</v>
      </c>
      <c r="AA44" s="586" t="s">
        <v>563</v>
      </c>
      <c r="AB44" s="560"/>
      <c r="AC44" s="586" t="s">
        <v>672</v>
      </c>
      <c r="AD44" s="560"/>
      <c r="AE44" s="586" t="s">
        <v>650</v>
      </c>
      <c r="AF44" s="594"/>
      <c r="AG44" s="568"/>
    </row>
    <row r="45" spans="1:33">
      <c r="A45" s="567"/>
      <c r="B45" s="588"/>
      <c r="C45" s="595"/>
      <c r="D45" s="2110"/>
      <c r="E45" s="2110"/>
      <c r="F45" s="2110"/>
      <c r="G45" s="2110"/>
      <c r="H45" s="2110"/>
      <c r="I45" s="2110"/>
      <c r="J45" s="2110"/>
      <c r="K45" s="2110"/>
      <c r="L45" s="596"/>
      <c r="M45" s="596"/>
      <c r="N45" s="596"/>
      <c r="O45" s="596"/>
      <c r="P45" s="596"/>
      <c r="Q45" s="597"/>
      <c r="R45" s="568"/>
      <c r="T45" s="567"/>
      <c r="U45" s="588"/>
      <c r="V45" s="596"/>
      <c r="W45" s="596"/>
      <c r="X45" s="596"/>
      <c r="Y45" s="596"/>
      <c r="Z45" s="596"/>
      <c r="AA45" s="596"/>
      <c r="AB45" s="596"/>
      <c r="AC45" s="596"/>
      <c r="AD45" s="596"/>
      <c r="AE45" s="596"/>
      <c r="AF45" s="597"/>
      <c r="AG45" s="568"/>
    </row>
    <row r="46" spans="1:33" ht="6" customHeight="1">
      <c r="A46" s="567"/>
      <c r="R46" s="568"/>
      <c r="T46" s="567"/>
      <c r="AG46" s="568"/>
    </row>
    <row r="47" spans="1:33">
      <c r="A47" s="567"/>
      <c r="R47" s="568"/>
      <c r="T47" s="567"/>
      <c r="V47" s="574" t="s">
        <v>1034</v>
      </c>
      <c r="Z47" s="575" t="s">
        <v>1035</v>
      </c>
      <c r="AA47" s="576"/>
      <c r="AB47" s="576"/>
      <c r="AC47" s="576"/>
      <c r="AD47" s="576"/>
      <c r="AE47" s="576"/>
      <c r="AF47" s="576"/>
      <c r="AG47" s="568"/>
    </row>
    <row r="48" spans="1:33">
      <c r="A48" s="567"/>
      <c r="B48" s="2111" t="s">
        <v>2</v>
      </c>
      <c r="C48" s="2112"/>
      <c r="D48" s="2112"/>
      <c r="E48" s="2112"/>
      <c r="F48" s="2112"/>
      <c r="G48" s="2112"/>
      <c r="H48" s="2112"/>
      <c r="I48" s="2112"/>
      <c r="J48" s="2112"/>
      <c r="K48" s="2112"/>
      <c r="L48" s="2112"/>
      <c r="M48" s="2112"/>
      <c r="N48" s="2112"/>
      <c r="O48" s="2112"/>
      <c r="P48" s="2112"/>
      <c r="Q48" s="2113"/>
      <c r="R48" s="568"/>
      <c r="T48" s="567"/>
      <c r="AG48" s="568"/>
    </row>
    <row r="49" spans="1:33" ht="3.75" customHeight="1">
      <c r="A49" s="567"/>
      <c r="B49" s="598"/>
      <c r="C49" s="589"/>
      <c r="D49" s="589"/>
      <c r="E49" s="589"/>
      <c r="F49" s="589"/>
      <c r="G49" s="589"/>
      <c r="H49" s="589"/>
      <c r="I49" s="589"/>
      <c r="J49" s="589"/>
      <c r="K49" s="589"/>
      <c r="L49" s="589"/>
      <c r="M49" s="589"/>
      <c r="N49" s="589"/>
      <c r="O49" s="589"/>
      <c r="P49" s="589"/>
      <c r="Q49" s="599"/>
      <c r="R49" s="568"/>
      <c r="T49" s="567"/>
      <c r="U49" s="569"/>
      <c r="V49" s="600"/>
      <c r="W49" s="600"/>
      <c r="X49" s="600"/>
      <c r="Y49" s="600"/>
      <c r="Z49" s="600"/>
      <c r="AA49" s="600"/>
      <c r="AB49" s="600"/>
      <c r="AC49" s="600"/>
      <c r="AD49" s="600"/>
      <c r="AE49" s="600"/>
      <c r="AF49" s="601"/>
      <c r="AG49" s="568"/>
    </row>
    <row r="50" spans="1:33">
      <c r="A50" s="567"/>
      <c r="B50" s="570"/>
      <c r="C50" s="571"/>
      <c r="Q50" s="572"/>
      <c r="R50" s="568"/>
      <c r="T50" s="567"/>
      <c r="U50" s="570"/>
      <c r="V50" s="574" t="s">
        <v>3</v>
      </c>
      <c r="AF50" s="572"/>
      <c r="AG50" s="568"/>
    </row>
    <row r="51" spans="1:33">
      <c r="A51" s="567"/>
      <c r="B51" s="570"/>
      <c r="C51" s="571"/>
      <c r="D51" s="533" t="s">
        <v>4</v>
      </c>
      <c r="I51" s="576"/>
      <c r="J51" s="576"/>
      <c r="K51" s="576"/>
      <c r="M51" s="533" t="s">
        <v>762</v>
      </c>
      <c r="P51" s="602"/>
      <c r="Q51" s="572"/>
      <c r="R51" s="568"/>
      <c r="T51" s="567"/>
      <c r="U51" s="570"/>
      <c r="AF51" s="572"/>
      <c r="AG51" s="568"/>
    </row>
    <row r="52" spans="1:33">
      <c r="A52" s="567"/>
      <c r="B52" s="570"/>
      <c r="C52" s="571"/>
      <c r="I52" s="576"/>
      <c r="J52" s="576"/>
      <c r="K52" s="576"/>
      <c r="M52" s="533" t="s">
        <v>762</v>
      </c>
      <c r="P52" s="602"/>
      <c r="Q52" s="572"/>
      <c r="R52" s="568"/>
      <c r="T52" s="567"/>
      <c r="U52" s="570"/>
      <c r="V52" s="533" t="s">
        <v>5</v>
      </c>
      <c r="Y52" s="533" t="s">
        <v>6</v>
      </c>
      <c r="AC52" s="1193" t="s">
        <v>1091</v>
      </c>
      <c r="AF52" s="572"/>
      <c r="AG52" s="568"/>
    </row>
    <row r="53" spans="1:33">
      <c r="A53" s="567"/>
      <c r="B53" s="570"/>
      <c r="C53" s="571"/>
      <c r="I53" s="576"/>
      <c r="J53" s="576"/>
      <c r="K53" s="576"/>
      <c r="M53" s="533" t="s">
        <v>762</v>
      </c>
      <c r="P53" s="602"/>
      <c r="Q53" s="572"/>
      <c r="R53" s="568"/>
      <c r="T53" s="567"/>
      <c r="U53" s="570"/>
      <c r="AF53" s="572"/>
      <c r="AG53" s="568"/>
    </row>
    <row r="54" spans="1:33">
      <c r="A54" s="567"/>
      <c r="B54" s="570"/>
      <c r="C54" s="571"/>
      <c r="I54" s="576"/>
      <c r="J54" s="576"/>
      <c r="K54" s="576"/>
      <c r="M54" s="533" t="s">
        <v>762</v>
      </c>
      <c r="P54" s="602"/>
      <c r="Q54" s="572"/>
      <c r="R54" s="568"/>
      <c r="T54" s="567"/>
      <c r="U54" s="570"/>
      <c r="Y54" s="533" t="s">
        <v>6</v>
      </c>
      <c r="AC54" s="1193" t="s">
        <v>1348</v>
      </c>
      <c r="AF54" s="572"/>
      <c r="AG54" s="568"/>
    </row>
    <row r="55" spans="1:33">
      <c r="A55" s="567"/>
      <c r="B55" s="570"/>
      <c r="C55" s="571"/>
      <c r="I55" s="576"/>
      <c r="J55" s="576"/>
      <c r="K55" s="576"/>
      <c r="M55" s="533" t="s">
        <v>762</v>
      </c>
      <c r="P55" s="602"/>
      <c r="Q55" s="572"/>
      <c r="R55" s="568"/>
      <c r="T55" s="567"/>
      <c r="U55" s="570"/>
      <c r="AF55" s="572"/>
      <c r="AG55" s="568"/>
    </row>
    <row r="56" spans="1:33" ht="6" customHeight="1">
      <c r="A56" s="567"/>
      <c r="B56" s="588"/>
      <c r="C56" s="603"/>
      <c r="D56" s="596"/>
      <c r="E56" s="596"/>
      <c r="F56" s="596"/>
      <c r="G56" s="596"/>
      <c r="H56" s="596"/>
      <c r="I56" s="596"/>
      <c r="J56" s="596"/>
      <c r="K56" s="596"/>
      <c r="L56" s="596"/>
      <c r="M56" s="596"/>
      <c r="N56" s="596"/>
      <c r="O56" s="596"/>
      <c r="P56" s="596"/>
      <c r="Q56" s="597"/>
      <c r="R56" s="568"/>
      <c r="T56" s="567"/>
      <c r="U56" s="588"/>
      <c r="V56" s="596"/>
      <c r="W56" s="596"/>
      <c r="X56" s="596"/>
      <c r="Y56" s="596"/>
      <c r="Z56" s="596"/>
      <c r="AA56" s="596"/>
      <c r="AB56" s="596"/>
      <c r="AC56" s="596"/>
      <c r="AD56" s="596"/>
      <c r="AE56" s="596"/>
      <c r="AF56" s="597"/>
      <c r="AG56" s="568"/>
    </row>
    <row r="57" spans="1:33" ht="5.25" customHeight="1" thickBot="1">
      <c r="A57" s="604"/>
      <c r="B57" s="605"/>
      <c r="C57" s="606"/>
      <c r="D57" s="605"/>
      <c r="E57" s="605"/>
      <c r="F57" s="605"/>
      <c r="G57" s="605"/>
      <c r="H57" s="605"/>
      <c r="I57" s="605"/>
      <c r="J57" s="605"/>
      <c r="K57" s="605"/>
      <c r="L57" s="605"/>
      <c r="M57" s="605"/>
      <c r="N57" s="605"/>
      <c r="O57" s="605"/>
      <c r="P57" s="605"/>
      <c r="Q57" s="605"/>
      <c r="R57" s="607"/>
      <c r="T57" s="604"/>
      <c r="U57" s="605"/>
      <c r="V57" s="605"/>
      <c r="W57" s="605"/>
      <c r="X57" s="605"/>
      <c r="Y57" s="605"/>
      <c r="Z57" s="605"/>
      <c r="AA57" s="605"/>
      <c r="AB57" s="605"/>
      <c r="AC57" s="605"/>
      <c r="AD57" s="605"/>
      <c r="AE57" s="605"/>
      <c r="AF57" s="605"/>
      <c r="AG57" s="607"/>
    </row>
  </sheetData>
  <mergeCells count="18">
    <mergeCell ref="E1:AB1"/>
    <mergeCell ref="AC1:AF1"/>
    <mergeCell ref="B5:Q5"/>
    <mergeCell ref="V5:AF5"/>
    <mergeCell ref="V36:AF36"/>
    <mergeCell ref="V13:AF13"/>
    <mergeCell ref="C16:Q16"/>
    <mergeCell ref="E2:Q2"/>
    <mergeCell ref="B38:Q38"/>
    <mergeCell ref="V38:AF38"/>
    <mergeCell ref="D44:K45"/>
    <mergeCell ref="B48:Q48"/>
    <mergeCell ref="C17:Q17"/>
    <mergeCell ref="C18:Q18"/>
    <mergeCell ref="C19:Q19"/>
    <mergeCell ref="V24:AF24"/>
    <mergeCell ref="B27:Q27"/>
    <mergeCell ref="D35:K36"/>
  </mergeCells>
  <printOptions horizontalCentered="1" verticalCentered="1"/>
  <pageMargins left="0" right="0" top="0" bottom="0.39370078740157483" header="0" footer="0"/>
  <pageSetup paperSize="9" scale="75" orientation="landscape" blackAndWhite="1" r:id="rId1"/>
  <headerFooter alignWithMargins="0">
    <oddFooter>&amp;LEdité le &amp;D&amp;C&amp;P/&amp;N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23">
    <tabColor indexed="42"/>
    <pageSetUpPr fitToPage="1"/>
  </sheetPr>
  <dimension ref="A1:H37"/>
  <sheetViews>
    <sheetView showGridLines="0" view="pageBreakPreview" topLeftCell="A25" zoomScaleNormal="100" zoomScaleSheetLayoutView="100" workbookViewId="0">
      <selection activeCell="C36" sqref="C36"/>
    </sheetView>
  </sheetViews>
  <sheetFormatPr baseColWidth="10" defaultColWidth="11.42578125" defaultRowHeight="12.75"/>
  <cols>
    <col min="1" max="1" width="6.7109375" style="33" customWidth="1"/>
    <col min="2" max="2" width="13.85546875" style="33" customWidth="1"/>
    <col min="3" max="3" width="23.7109375" style="33" customWidth="1"/>
    <col min="4" max="4" width="9.28515625" style="33" customWidth="1"/>
    <col min="5" max="5" width="5.28515625" style="33" customWidth="1"/>
    <col min="6" max="7" width="4.7109375" style="33" customWidth="1"/>
    <col min="8" max="8" width="30" style="33" customWidth="1"/>
    <col min="9" max="16384" width="11.42578125" style="33"/>
  </cols>
  <sheetData>
    <row r="1" spans="1:8">
      <c r="C1" s="2136" t="s">
        <v>769</v>
      </c>
      <c r="D1" s="2136"/>
      <c r="E1" s="2136"/>
      <c r="F1" s="2137"/>
      <c r="G1" s="2137"/>
      <c r="H1" s="2131" t="s">
        <v>10</v>
      </c>
    </row>
    <row r="2" spans="1:8">
      <c r="C2" s="2136"/>
      <c r="D2" s="2136"/>
      <c r="E2" s="2136"/>
      <c r="F2" s="2137"/>
      <c r="G2" s="2137"/>
      <c r="H2" s="2131"/>
    </row>
    <row r="3" spans="1:8">
      <c r="C3" s="2137"/>
      <c r="D3" s="2137"/>
      <c r="E3" s="2137"/>
      <c r="F3" s="2137"/>
      <c r="G3" s="2137"/>
      <c r="H3" s="532"/>
    </row>
    <row r="4" spans="1:8" ht="43.5" customHeight="1"/>
    <row r="5" spans="1:8" s="714" customFormat="1">
      <c r="A5" s="281" t="s">
        <v>782</v>
      </c>
      <c r="B5" s="21"/>
      <c r="C5" s="549" t="str">
        <f>IF(ISBLANK(oeOTP),"",oeOTP)</f>
        <v/>
      </c>
      <c r="D5" s="21"/>
      <c r="E5" s="21"/>
      <c r="F5" s="129" t="s">
        <v>801</v>
      </c>
      <c r="G5" s="21"/>
      <c r="H5" s="549" t="str">
        <f>IF(ISBLANK(oVille),"",oVille)</f>
        <v/>
      </c>
    </row>
    <row r="6" spans="1:8" s="714" customFormat="1" ht="12.75" customHeight="1">
      <c r="A6" s="281" t="s">
        <v>802</v>
      </c>
      <c r="B6" s="122"/>
      <c r="C6" s="729" t="str">
        <f>IF(ISBLANK(oLibelleOTP),"",oLibelleOTP)</f>
        <v/>
      </c>
      <c r="D6" s="702"/>
      <c r="E6" s="709"/>
      <c r="F6" s="709"/>
      <c r="G6" s="709"/>
      <c r="H6" s="709"/>
    </row>
    <row r="7" spans="1:8" ht="15.75">
      <c r="A7" s="282" t="s">
        <v>11</v>
      </c>
      <c r="B7" s="283"/>
      <c r="C7" s="283"/>
      <c r="D7" s="283"/>
      <c r="E7" s="283"/>
      <c r="F7" s="283"/>
      <c r="G7" s="283"/>
      <c r="H7" s="283"/>
    </row>
    <row r="9" spans="1:8" ht="68.25">
      <c r="D9" s="2132" t="s">
        <v>12</v>
      </c>
      <c r="E9" s="2133"/>
      <c r="F9" s="284" t="s">
        <v>13</v>
      </c>
      <c r="G9" s="284" t="s">
        <v>14</v>
      </c>
      <c r="H9" s="285" t="s">
        <v>15</v>
      </c>
    </row>
    <row r="10" spans="1:8" ht="15" customHeight="1">
      <c r="A10" s="286" t="s">
        <v>16</v>
      </c>
      <c r="B10" s="287"/>
      <c r="C10" s="288"/>
      <c r="D10" s="2134"/>
      <c r="E10" s="2135"/>
      <c r="F10" s="289"/>
      <c r="G10" s="289"/>
      <c r="H10" s="289"/>
    </row>
    <row r="11" spans="1:8" ht="15" customHeight="1">
      <c r="A11" s="290" t="s">
        <v>17</v>
      </c>
      <c r="B11" s="291"/>
      <c r="C11" s="292"/>
      <c r="D11" s="2134"/>
      <c r="E11" s="2135"/>
      <c r="F11" s="289"/>
      <c r="G11" s="289"/>
      <c r="H11" s="289"/>
    </row>
    <row r="12" spans="1:8" ht="15" customHeight="1">
      <c r="A12" s="293" t="s">
        <v>18</v>
      </c>
      <c r="B12" s="283"/>
      <c r="C12" s="294"/>
      <c r="D12" s="2134"/>
      <c r="E12" s="2135"/>
      <c r="F12" s="289"/>
      <c r="G12" s="289"/>
      <c r="H12" s="289"/>
    </row>
    <row r="13" spans="1:8" ht="15" customHeight="1">
      <c r="A13" s="290" t="s">
        <v>19</v>
      </c>
      <c r="B13" s="291"/>
      <c r="C13" s="292"/>
      <c r="D13" s="2134"/>
      <c r="E13" s="2135"/>
      <c r="F13" s="289"/>
      <c r="G13" s="289"/>
      <c r="H13" s="289"/>
    </row>
    <row r="14" spans="1:8" ht="15" customHeight="1">
      <c r="A14" s="293" t="s">
        <v>20</v>
      </c>
      <c r="B14" s="283"/>
      <c r="C14" s="294"/>
      <c r="D14" s="2134"/>
      <c r="E14" s="2135"/>
      <c r="F14" s="289"/>
      <c r="G14" s="289"/>
      <c r="H14" s="289"/>
    </row>
    <row r="15" spans="1:8" ht="15" customHeight="1">
      <c r="A15" s="290" t="s">
        <v>21</v>
      </c>
      <c r="B15" s="291"/>
      <c r="C15" s="292"/>
      <c r="D15" s="2134"/>
      <c r="E15" s="2135"/>
      <c r="F15" s="289"/>
      <c r="G15" s="289"/>
      <c r="H15" s="289"/>
    </row>
    <row r="17" spans="1:8" ht="15.75">
      <c r="A17" s="282" t="s">
        <v>22</v>
      </c>
      <c r="B17" s="283"/>
      <c r="C17" s="283"/>
      <c r="D17" s="283"/>
      <c r="E17" s="283"/>
      <c r="F17" s="283"/>
      <c r="G17" s="283"/>
      <c r="H17" s="283"/>
    </row>
    <row r="19" spans="1:8" ht="68.25">
      <c r="E19" s="295" t="s">
        <v>23</v>
      </c>
      <c r="F19" s="296" t="s">
        <v>13</v>
      </c>
      <c r="G19" s="296" t="s">
        <v>14</v>
      </c>
      <c r="H19" s="295" t="s">
        <v>15</v>
      </c>
    </row>
    <row r="20" spans="1:8" ht="30" customHeight="1">
      <c r="A20" s="1703" t="s">
        <v>24</v>
      </c>
      <c r="B20" s="1703"/>
      <c r="C20" s="1703"/>
      <c r="D20" s="1703"/>
      <c r="E20" s="289"/>
      <c r="F20" s="289"/>
      <c r="G20" s="289"/>
      <c r="H20" s="289"/>
    </row>
    <row r="21" spans="1:8" ht="30" customHeight="1">
      <c r="A21" s="1703" t="s">
        <v>25</v>
      </c>
      <c r="B21" s="1703"/>
      <c r="C21" s="1703"/>
      <c r="D21" s="1703"/>
      <c r="E21" s="289"/>
      <c r="F21" s="289"/>
      <c r="G21" s="289"/>
      <c r="H21" s="289"/>
    </row>
    <row r="22" spans="1:8" ht="15" customHeight="1">
      <c r="A22" s="1703" t="s">
        <v>26</v>
      </c>
      <c r="B22" s="1703"/>
      <c r="C22" s="1703"/>
      <c r="D22" s="1703"/>
      <c r="E22" s="289"/>
      <c r="F22" s="289"/>
      <c r="G22" s="289"/>
      <c r="H22" s="289"/>
    </row>
    <row r="23" spans="1:8" ht="15" customHeight="1">
      <c r="A23" s="1703" t="s">
        <v>27</v>
      </c>
      <c r="B23" s="1703"/>
      <c r="C23" s="1703"/>
      <c r="D23" s="1703"/>
      <c r="E23" s="289"/>
      <c r="F23" s="289"/>
      <c r="G23" s="289"/>
      <c r="H23" s="289"/>
    </row>
    <row r="24" spans="1:8" ht="15" customHeight="1">
      <c r="A24" s="2138" t="s">
        <v>28</v>
      </c>
      <c r="B24" s="2139"/>
      <c r="C24" s="2139"/>
      <c r="D24" s="2140"/>
      <c r="E24" s="289"/>
      <c r="F24" s="289"/>
      <c r="G24" s="289"/>
      <c r="H24" s="289"/>
    </row>
    <row r="25" spans="1:8" ht="45" customHeight="1">
      <c r="A25" s="1703" t="s">
        <v>29</v>
      </c>
      <c r="B25" s="1703"/>
      <c r="C25" s="1703"/>
      <c r="D25" s="1703"/>
      <c r="E25" s="289"/>
      <c r="F25" s="289"/>
      <c r="G25" s="289"/>
      <c r="H25" s="289"/>
    </row>
    <row r="26" spans="1:8">
      <c r="A26" s="283"/>
      <c r="B26" s="283"/>
      <c r="C26" s="283"/>
      <c r="D26" s="283"/>
      <c r="E26" s="283"/>
      <c r="F26" s="283"/>
      <c r="G26" s="283"/>
      <c r="H26" s="283"/>
    </row>
    <row r="27" spans="1:8" ht="15.75">
      <c r="A27" s="282" t="s">
        <v>30</v>
      </c>
      <c r="B27" s="283"/>
      <c r="C27" s="283"/>
      <c r="D27" s="283"/>
      <c r="E27" s="283"/>
      <c r="F27" s="283"/>
      <c r="G27" s="283"/>
      <c r="H27" s="283"/>
    </row>
    <row r="29" spans="1:8" ht="68.25">
      <c r="E29" s="295" t="s">
        <v>23</v>
      </c>
      <c r="F29" s="296" t="s">
        <v>13</v>
      </c>
      <c r="G29" s="296" t="s">
        <v>14</v>
      </c>
      <c r="H29" s="295" t="s">
        <v>15</v>
      </c>
    </row>
    <row r="30" spans="1:8" ht="15" customHeight="1">
      <c r="A30" s="1703" t="s">
        <v>31</v>
      </c>
      <c r="B30" s="1703"/>
      <c r="C30" s="1703"/>
      <c r="D30" s="1703"/>
      <c r="E30" s="289"/>
      <c r="F30" s="289"/>
      <c r="G30" s="289"/>
      <c r="H30" s="289"/>
    </row>
    <row r="31" spans="1:8" ht="15" customHeight="1">
      <c r="A31" s="1703" t="s">
        <v>32</v>
      </c>
      <c r="B31" s="1703"/>
      <c r="C31" s="1703"/>
      <c r="D31" s="1703"/>
      <c r="E31" s="289"/>
      <c r="F31" s="289"/>
      <c r="G31" s="289"/>
      <c r="H31" s="289"/>
    </row>
    <row r="32" spans="1:8" ht="15" customHeight="1">
      <c r="A32" s="1703" t="s">
        <v>33</v>
      </c>
      <c r="B32" s="1703"/>
      <c r="C32" s="1703"/>
      <c r="D32" s="1703"/>
      <c r="E32" s="289"/>
      <c r="F32" s="289"/>
      <c r="G32" s="289"/>
      <c r="H32" s="289"/>
    </row>
    <row r="33" spans="1:8" ht="15" customHeight="1">
      <c r="A33" s="1703" t="s">
        <v>34</v>
      </c>
      <c r="B33" s="1703"/>
      <c r="C33" s="1703"/>
      <c r="D33" s="1703"/>
      <c r="E33" s="289"/>
      <c r="F33" s="289"/>
      <c r="G33" s="289"/>
      <c r="H33" s="289"/>
    </row>
    <row r="35" spans="1:8" ht="20.100000000000001" customHeight="1">
      <c r="A35" s="33" t="s">
        <v>649</v>
      </c>
      <c r="B35" s="297"/>
      <c r="E35" s="33" t="s">
        <v>36</v>
      </c>
    </row>
    <row r="36" spans="1:8" ht="20.100000000000001" customHeight="1">
      <c r="A36" s="33" t="s">
        <v>35</v>
      </c>
      <c r="C36" s="297"/>
      <c r="E36" s="33" t="s">
        <v>37</v>
      </c>
      <c r="G36" s="298"/>
      <c r="H36" s="298"/>
    </row>
    <row r="37" spans="1:8" ht="20.100000000000001" customHeight="1">
      <c r="G37" s="298"/>
      <c r="H37" s="298"/>
    </row>
  </sheetData>
  <mergeCells count="19">
    <mergeCell ref="A21:D21"/>
    <mergeCell ref="A22:D22"/>
    <mergeCell ref="A23:D23"/>
    <mergeCell ref="A32:D32"/>
    <mergeCell ref="A33:D33"/>
    <mergeCell ref="A24:D24"/>
    <mergeCell ref="A25:D25"/>
    <mergeCell ref="A30:D30"/>
    <mergeCell ref="A31:D31"/>
    <mergeCell ref="D12:E12"/>
    <mergeCell ref="D13:E13"/>
    <mergeCell ref="D14:E14"/>
    <mergeCell ref="D15:E15"/>
    <mergeCell ref="A20:D20"/>
    <mergeCell ref="H1:H2"/>
    <mergeCell ref="D9:E9"/>
    <mergeCell ref="D10:E10"/>
    <mergeCell ref="D11:E11"/>
    <mergeCell ref="C1:G3"/>
  </mergeCells>
  <phoneticPr fontId="12" type="noConversion"/>
  <printOptions horizontalCentered="1" verticalCentered="1"/>
  <pageMargins left="0" right="0" top="0" bottom="0.39370078740157483" header="0" footer="0"/>
  <pageSetup paperSize="9" orientation="portrait" blackAndWhite="1" r:id="rId1"/>
  <headerFooter alignWithMargins="0">
    <oddFooter>&amp;LEdité le &amp;D&amp;C&amp;P/&amp;N</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83">
    <tabColor rgb="FFCCFFCC"/>
    <pageSetUpPr fitToPage="1"/>
  </sheetPr>
  <dimension ref="A1:U63"/>
  <sheetViews>
    <sheetView view="pageBreakPreview" zoomScaleNormal="100" zoomScaleSheetLayoutView="100" workbookViewId="0">
      <selection activeCell="I9" sqref="I9"/>
    </sheetView>
  </sheetViews>
  <sheetFormatPr baseColWidth="10" defaultColWidth="11.42578125" defaultRowHeight="12.75"/>
  <cols>
    <col min="1" max="1" width="3" style="647" customWidth="1"/>
    <col min="2" max="2" width="5.5703125" style="647" customWidth="1"/>
    <col min="3" max="3" width="5.7109375" style="647" customWidth="1"/>
    <col min="4" max="4" width="5" style="647" customWidth="1"/>
    <col min="5" max="5" width="13.85546875" style="647" customWidth="1"/>
    <col min="6" max="6" width="7.5703125" style="647" customWidth="1"/>
    <col min="7" max="7" width="3.5703125" style="647" customWidth="1"/>
    <col min="8" max="8" width="13.28515625" style="647" customWidth="1"/>
    <col min="9" max="9" width="6.28515625" style="647" customWidth="1"/>
    <col min="10" max="10" width="5.7109375" style="647" customWidth="1"/>
    <col min="11" max="11" width="6" style="647" customWidth="1"/>
    <col min="12" max="12" width="10.28515625" style="647" customWidth="1"/>
    <col min="13" max="13" width="10.7109375" style="647" customWidth="1"/>
    <col min="14" max="14" width="11.28515625" style="647" customWidth="1"/>
    <col min="15" max="15" width="2.5703125" style="647" customWidth="1"/>
    <col min="16" max="16" width="8.28515625" style="647" customWidth="1"/>
    <col min="17" max="16384" width="11.42578125" style="647"/>
  </cols>
  <sheetData>
    <row r="1" spans="1:21" ht="12.75" customHeight="1">
      <c r="B1" s="537"/>
      <c r="D1" s="2153" t="s">
        <v>38</v>
      </c>
      <c r="E1" s="2153"/>
      <c r="F1" s="2153"/>
      <c r="G1" s="2153"/>
      <c r="H1" s="2153"/>
      <c r="I1" s="2153"/>
      <c r="J1" s="2153"/>
      <c r="K1" s="2153"/>
      <c r="L1" s="2153"/>
      <c r="M1" s="2153"/>
      <c r="N1" s="2154" t="s">
        <v>1057</v>
      </c>
      <c r="O1" s="2154"/>
      <c r="P1" s="648"/>
    </row>
    <row r="2" spans="1:21" ht="18" customHeight="1">
      <c r="B2" s="537"/>
      <c r="D2" s="2153"/>
      <c r="E2" s="2153"/>
      <c r="F2" s="2153"/>
      <c r="G2" s="2153"/>
      <c r="H2" s="2153"/>
      <c r="I2" s="2153"/>
      <c r="J2" s="2153"/>
      <c r="K2" s="2153"/>
      <c r="L2" s="2153"/>
      <c r="M2" s="2153"/>
      <c r="N2" s="2154"/>
      <c r="O2" s="2154"/>
      <c r="P2" s="648"/>
      <c r="Q2" s="535"/>
      <c r="R2" s="535"/>
      <c r="S2" s="535"/>
      <c r="T2" s="535"/>
      <c r="U2" s="535"/>
    </row>
    <row r="3" spans="1:21" ht="18" customHeight="1">
      <c r="B3" s="537"/>
      <c r="G3" s="537"/>
      <c r="H3" s="537"/>
      <c r="L3" s="537"/>
      <c r="N3" s="648"/>
      <c r="O3" s="648"/>
      <c r="P3" s="648"/>
      <c r="Q3" s="535"/>
      <c r="R3" s="535"/>
      <c r="S3" s="535"/>
      <c r="T3" s="535"/>
      <c r="U3" s="535"/>
    </row>
    <row r="4" spans="1:21" s="528" customFormat="1" ht="27.75" customHeight="1">
      <c r="B4" s="535" t="s">
        <v>782</v>
      </c>
      <c r="C4" s="525"/>
      <c r="E4" s="666" t="str">
        <f>IF(ISBLANK(oeOTP),"",oeOTP)</f>
        <v/>
      </c>
      <c r="K4" s="649" t="s">
        <v>801</v>
      </c>
      <c r="L4" s="727" t="str">
        <f>IF(ISBLANK(oVille),"",oVille)</f>
        <v/>
      </c>
      <c r="M4" s="715"/>
      <c r="N4" s="715"/>
      <c r="O4" s="525"/>
      <c r="P4" s="525"/>
      <c r="Q4" s="535"/>
      <c r="R4" s="535"/>
      <c r="S4" s="535"/>
      <c r="T4" s="535"/>
      <c r="U4" s="535"/>
    </row>
    <row r="5" spans="1:21" s="525" customFormat="1">
      <c r="A5" s="535"/>
      <c r="E5" s="621"/>
      <c r="F5" s="621"/>
      <c r="G5" s="621"/>
      <c r="L5" s="534"/>
    </row>
    <row r="6" spans="1:21" s="525" customFormat="1" ht="26.25" customHeight="1">
      <c r="B6" s="535" t="s">
        <v>802</v>
      </c>
      <c r="E6" s="2157" t="str">
        <f>IF(ISBLANK(oLibelleOTP),"",oLibelleOTP)</f>
        <v/>
      </c>
      <c r="F6" s="2157"/>
      <c r="G6" s="2157"/>
      <c r="H6" s="2157"/>
      <c r="I6" s="2157"/>
      <c r="J6" s="2157"/>
      <c r="K6" s="2157"/>
      <c r="L6" s="2157"/>
      <c r="M6" s="2157"/>
      <c r="N6" s="2157"/>
    </row>
    <row r="7" spans="1:21" ht="20.100000000000001" customHeight="1">
      <c r="B7" s="647" t="s">
        <v>649</v>
      </c>
      <c r="C7" s="2155"/>
      <c r="D7" s="2155"/>
      <c r="E7" s="667"/>
      <c r="H7" s="615" t="s">
        <v>39</v>
      </c>
      <c r="I7" s="668"/>
      <c r="J7" s="669"/>
      <c r="K7" s="669"/>
      <c r="L7" s="670"/>
      <c r="M7" s="667"/>
      <c r="N7" s="615"/>
      <c r="O7" s="615"/>
      <c r="P7" s="615"/>
      <c r="Q7" s="615"/>
      <c r="R7" s="615"/>
      <c r="S7" s="615"/>
      <c r="T7" s="615"/>
      <c r="U7" s="615"/>
    </row>
    <row r="8" spans="1:21" ht="20.100000000000001" customHeight="1">
      <c r="B8" s="647" t="s">
        <v>40</v>
      </c>
      <c r="C8" s="668"/>
      <c r="D8" s="647" t="s">
        <v>41</v>
      </c>
      <c r="E8" s="668"/>
      <c r="F8" s="668"/>
      <c r="G8" s="668"/>
      <c r="H8" s="668"/>
      <c r="I8" s="668"/>
      <c r="J8" s="669"/>
      <c r="K8" s="668"/>
      <c r="L8" s="647" t="s">
        <v>801</v>
      </c>
      <c r="M8" s="668"/>
      <c r="N8" s="669"/>
      <c r="O8" s="615"/>
      <c r="P8" s="615"/>
      <c r="Q8" s="615"/>
      <c r="R8" s="615"/>
      <c r="S8" s="615"/>
      <c r="T8" s="615"/>
      <c r="U8" s="615"/>
    </row>
    <row r="9" spans="1:21" ht="15.95" customHeight="1">
      <c r="E9" s="615"/>
    </row>
    <row r="10" spans="1:21" ht="15.95" customHeight="1">
      <c r="A10" s="615" t="s">
        <v>42</v>
      </c>
      <c r="B10" s="615"/>
      <c r="E10" s="615"/>
    </row>
    <row r="11" spans="1:21">
      <c r="B11" s="667"/>
      <c r="C11" s="667"/>
      <c r="D11" s="667"/>
      <c r="E11" s="671"/>
      <c r="F11" s="667"/>
      <c r="G11" s="667"/>
      <c r="H11" s="667"/>
      <c r="I11" s="667"/>
      <c r="J11" s="667"/>
      <c r="K11" s="667"/>
      <c r="L11" s="667"/>
      <c r="M11" s="672" t="s">
        <v>703</v>
      </c>
    </row>
    <row r="12" spans="1:21" ht="15.95" customHeight="1">
      <c r="B12" s="667"/>
      <c r="C12" s="667" t="s">
        <v>43</v>
      </c>
      <c r="D12" s="667"/>
      <c r="E12" s="667"/>
      <c r="F12" s="667"/>
      <c r="G12" s="667"/>
      <c r="H12" s="667" t="s">
        <v>44</v>
      </c>
      <c r="I12" s="667"/>
      <c r="J12" s="667"/>
      <c r="K12" s="667"/>
      <c r="L12" s="667"/>
      <c r="M12" s="672" t="s">
        <v>45</v>
      </c>
    </row>
    <row r="13" spans="1:21" ht="15.95" customHeight="1">
      <c r="B13" s="673"/>
      <c r="C13" s="667" t="s">
        <v>46</v>
      </c>
      <c r="D13" s="667"/>
      <c r="E13" s="667"/>
      <c r="F13" s="667"/>
      <c r="G13" s="667"/>
      <c r="H13" s="667" t="s">
        <v>47</v>
      </c>
      <c r="I13" s="667"/>
      <c r="J13" s="667"/>
      <c r="K13" s="667"/>
      <c r="L13" s="667"/>
      <c r="M13" s="672" t="s">
        <v>48</v>
      </c>
    </row>
    <row r="14" spans="1:21" ht="15.95" customHeight="1">
      <c r="B14" s="667"/>
      <c r="C14" s="667"/>
      <c r="D14" s="667"/>
      <c r="E14" s="667"/>
      <c r="F14" s="667"/>
      <c r="G14" s="667"/>
      <c r="H14" s="667"/>
      <c r="I14" s="667"/>
      <c r="J14" s="667"/>
      <c r="K14" s="667"/>
      <c r="L14" s="667"/>
      <c r="M14" s="667" t="s">
        <v>49</v>
      </c>
    </row>
    <row r="15" spans="1:21" ht="15.95" customHeight="1">
      <c r="B15" s="667"/>
      <c r="C15" s="667"/>
      <c r="D15" s="667"/>
      <c r="E15" s="667"/>
      <c r="F15" s="667"/>
      <c r="G15" s="667"/>
      <c r="H15" s="667"/>
      <c r="I15" s="667"/>
      <c r="J15" s="667"/>
      <c r="K15" s="667"/>
      <c r="L15" s="667"/>
      <c r="M15" s="667" t="s">
        <v>50</v>
      </c>
    </row>
    <row r="16" spans="1:21" ht="15.95" customHeight="1">
      <c r="A16" s="615" t="s">
        <v>51</v>
      </c>
      <c r="E16" s="615"/>
    </row>
    <row r="17" spans="1:16" ht="7.5" customHeight="1">
      <c r="E17" s="615"/>
    </row>
    <row r="18" spans="1:16" ht="15.95" customHeight="1">
      <c r="B18" s="667"/>
      <c r="C18" s="667" t="s">
        <v>52</v>
      </c>
      <c r="D18" s="667"/>
      <c r="E18" s="667"/>
      <c r="F18" s="667"/>
      <c r="G18" s="667"/>
      <c r="H18" s="667"/>
      <c r="I18" s="667"/>
      <c r="J18" s="667" t="s">
        <v>53</v>
      </c>
      <c r="K18" s="667"/>
      <c r="L18" s="667"/>
      <c r="M18" s="667"/>
      <c r="N18" s="667"/>
    </row>
    <row r="19" spans="1:16" ht="15.95" customHeight="1">
      <c r="B19" s="673"/>
      <c r="C19" s="667" t="s">
        <v>54</v>
      </c>
      <c r="D19" s="667"/>
      <c r="E19" s="667"/>
      <c r="F19" s="667"/>
      <c r="G19" s="667"/>
      <c r="H19" s="667"/>
      <c r="I19" s="673"/>
      <c r="J19" s="667" t="s">
        <v>55</v>
      </c>
      <c r="K19" s="667"/>
      <c r="L19" s="667"/>
      <c r="M19" s="667"/>
      <c r="N19" s="667"/>
    </row>
    <row r="20" spans="1:16" ht="15.95" customHeight="1"/>
    <row r="21" spans="1:16" ht="15.95" customHeight="1">
      <c r="B21" s="647" t="s">
        <v>56</v>
      </c>
      <c r="E21" s="667"/>
      <c r="F21" s="667" t="s">
        <v>760</v>
      </c>
      <c r="G21" s="667"/>
      <c r="H21" s="667" t="s">
        <v>759</v>
      </c>
      <c r="I21" s="667"/>
      <c r="J21" s="667" t="s">
        <v>57</v>
      </c>
      <c r="K21" s="667"/>
      <c r="L21" s="667"/>
      <c r="M21" s="667" t="s">
        <v>760</v>
      </c>
      <c r="N21" s="667" t="s">
        <v>759</v>
      </c>
    </row>
    <row r="22" spans="1:16" ht="15.95" customHeight="1"/>
    <row r="23" spans="1:16" ht="15.95" customHeight="1">
      <c r="A23" s="615" t="s">
        <v>58</v>
      </c>
      <c r="E23" s="615"/>
    </row>
    <row r="24" spans="1:16" ht="7.5" customHeight="1">
      <c r="E24" s="615"/>
    </row>
    <row r="25" spans="1:16" ht="15.95" customHeight="1">
      <c r="A25" s="667"/>
      <c r="B25" s="667"/>
      <c r="C25" s="667" t="s">
        <v>59</v>
      </c>
      <c r="D25" s="667"/>
      <c r="E25" s="667"/>
      <c r="F25" s="667"/>
      <c r="G25" s="667" t="s">
        <v>60</v>
      </c>
      <c r="H25" s="667"/>
      <c r="I25" s="667"/>
      <c r="J25" s="667"/>
      <c r="K25" s="672" t="s">
        <v>61</v>
      </c>
      <c r="L25" s="667"/>
      <c r="M25" s="667"/>
      <c r="N25" s="667"/>
    </row>
    <row r="26" spans="1:16" ht="15.95" customHeight="1">
      <c r="A26" s="667"/>
      <c r="B26" s="673"/>
      <c r="C26" s="667" t="s">
        <v>62</v>
      </c>
      <c r="D26" s="667"/>
      <c r="E26" s="667"/>
      <c r="F26" s="667"/>
      <c r="G26" s="667" t="s">
        <v>63</v>
      </c>
      <c r="H26" s="673"/>
      <c r="I26" s="667"/>
      <c r="J26" s="667"/>
      <c r="K26" s="672" t="s">
        <v>64</v>
      </c>
      <c r="L26" s="667"/>
      <c r="M26" s="667"/>
      <c r="N26" s="667"/>
    </row>
    <row r="27" spans="1:16" ht="15.95" customHeight="1">
      <c r="A27" s="667"/>
      <c r="B27" s="667"/>
      <c r="C27" s="667"/>
      <c r="D27" s="667"/>
      <c r="E27" s="667"/>
      <c r="F27" s="667"/>
      <c r="G27" s="667"/>
      <c r="H27" s="667"/>
      <c r="I27" s="667"/>
      <c r="J27" s="667"/>
      <c r="K27" s="667"/>
      <c r="L27" s="672"/>
      <c r="M27" s="667"/>
      <c r="N27" s="667"/>
    </row>
    <row r="28" spans="1:16" ht="15.95" customHeight="1">
      <c r="A28" s="652"/>
      <c r="B28" s="2156" t="s">
        <v>65</v>
      </c>
      <c r="C28" s="2156"/>
      <c r="D28" s="2156"/>
      <c r="E28" s="2156"/>
      <c r="F28" s="2156"/>
      <c r="G28" s="2156"/>
      <c r="H28" s="2156"/>
      <c r="I28" s="2156"/>
      <c r="J28" s="2156"/>
      <c r="K28" s="2156"/>
      <c r="L28" s="2156"/>
      <c r="M28" s="2156"/>
      <c r="N28" s="2156"/>
      <c r="O28" s="653"/>
    </row>
    <row r="29" spans="1:16" s="648" customFormat="1" ht="15.95" customHeight="1">
      <c r="A29" s="654"/>
      <c r="E29" s="535"/>
      <c r="F29" s="647"/>
      <c r="G29" s="647"/>
      <c r="H29" s="647"/>
      <c r="I29" s="647"/>
      <c r="J29" s="647"/>
      <c r="K29" s="647"/>
      <c r="L29" s="650"/>
      <c r="M29" s="647"/>
      <c r="N29" s="647"/>
      <c r="O29" s="655"/>
      <c r="P29" s="647"/>
    </row>
    <row r="30" spans="1:16" s="648" customFormat="1" ht="15.95" customHeight="1">
      <c r="A30" s="654"/>
      <c r="B30" s="536" t="s">
        <v>66</v>
      </c>
      <c r="I30" s="534"/>
      <c r="J30" s="647"/>
      <c r="K30" s="647"/>
      <c r="L30" s="647"/>
      <c r="M30" s="534"/>
      <c r="N30" s="534"/>
      <c r="O30" s="656"/>
    </row>
    <row r="31" spans="1:16" s="648" customFormat="1" ht="5.25" customHeight="1">
      <c r="A31" s="654"/>
      <c r="B31" s="536"/>
      <c r="I31" s="534"/>
      <c r="J31" s="647"/>
      <c r="K31" s="647"/>
      <c r="L31" s="647"/>
      <c r="M31" s="534"/>
      <c r="N31" s="534"/>
      <c r="O31" s="656"/>
    </row>
    <row r="32" spans="1:16" s="648" customFormat="1">
      <c r="A32" s="654"/>
      <c r="B32" s="2149" t="s">
        <v>67</v>
      </c>
      <c r="C32" s="2149"/>
      <c r="D32" s="2149"/>
      <c r="E32" s="2149"/>
      <c r="G32" s="2149" t="s">
        <v>68</v>
      </c>
      <c r="H32" s="2149"/>
      <c r="I32" s="2149"/>
      <c r="J32" s="2149"/>
      <c r="K32" s="2149"/>
      <c r="L32" s="2149"/>
      <c r="M32" s="2149"/>
      <c r="N32" s="2149"/>
      <c r="O32" s="657"/>
    </row>
    <row r="33" spans="1:15" s="648" customFormat="1" ht="6" customHeight="1">
      <c r="A33" s="654"/>
      <c r="O33" s="657"/>
    </row>
    <row r="34" spans="1:15" s="648" customFormat="1" ht="30" customHeight="1">
      <c r="A34" s="654"/>
      <c r="B34" s="2150" t="s">
        <v>69</v>
      </c>
      <c r="C34" s="2151"/>
      <c r="D34" s="2151"/>
      <c r="E34" s="2152"/>
      <c r="G34" s="2142" t="s">
        <v>70</v>
      </c>
      <c r="H34" s="2143"/>
      <c r="I34" s="2144"/>
      <c r="J34" s="2142" t="s">
        <v>71</v>
      </c>
      <c r="K34" s="2143"/>
      <c r="L34" s="2143"/>
      <c r="M34" s="2142" t="s">
        <v>72</v>
      </c>
      <c r="N34" s="2144"/>
      <c r="O34" s="657"/>
    </row>
    <row r="35" spans="1:15" s="648" customFormat="1">
      <c r="A35" s="654"/>
      <c r="G35" s="674"/>
      <c r="H35" s="674"/>
      <c r="I35" s="674"/>
      <c r="J35" s="674"/>
      <c r="K35" s="674"/>
      <c r="L35" s="674"/>
      <c r="M35" s="674"/>
      <c r="N35" s="674"/>
      <c r="O35" s="657"/>
    </row>
    <row r="36" spans="1:15" s="648" customFormat="1" ht="30" customHeight="1">
      <c r="A36" s="654"/>
      <c r="G36" s="2142" t="s">
        <v>73</v>
      </c>
      <c r="H36" s="2143"/>
      <c r="I36" s="2144"/>
      <c r="J36" s="2142" t="s">
        <v>74</v>
      </c>
      <c r="K36" s="2143"/>
      <c r="L36" s="2143"/>
      <c r="M36" s="2142" t="s">
        <v>75</v>
      </c>
      <c r="N36" s="2144"/>
      <c r="O36" s="657"/>
    </row>
    <row r="37" spans="1:15" s="648" customFormat="1">
      <c r="A37" s="654"/>
      <c r="O37" s="657"/>
    </row>
    <row r="38" spans="1:15" s="648" customFormat="1" ht="30" customHeight="1">
      <c r="A38" s="654"/>
      <c r="B38" s="648" t="s">
        <v>76</v>
      </c>
      <c r="F38" s="2145"/>
      <c r="G38" s="2146"/>
      <c r="H38" s="2146"/>
      <c r="I38" s="2146"/>
      <c r="J38" s="2146"/>
      <c r="K38" s="2146"/>
      <c r="L38" s="2147"/>
      <c r="O38" s="657"/>
    </row>
    <row r="39" spans="1:15" s="648" customFormat="1">
      <c r="A39" s="654"/>
      <c r="O39" s="657"/>
    </row>
    <row r="40" spans="1:15" s="648" customFormat="1">
      <c r="A40" s="654"/>
      <c r="O40" s="657"/>
    </row>
    <row r="41" spans="1:15" s="648" customFormat="1" ht="15">
      <c r="A41" s="654"/>
      <c r="B41" s="536" t="s">
        <v>77</v>
      </c>
      <c r="O41" s="657"/>
    </row>
    <row r="42" spans="1:15" s="648" customFormat="1" ht="5.25" customHeight="1">
      <c r="A42" s="654"/>
      <c r="B42" s="536"/>
      <c r="O42" s="657"/>
    </row>
    <row r="43" spans="1:15" s="648" customFormat="1">
      <c r="A43" s="654"/>
      <c r="B43" s="2149" t="s">
        <v>67</v>
      </c>
      <c r="C43" s="2149"/>
      <c r="D43" s="2149"/>
      <c r="E43" s="2149"/>
      <c r="G43" s="2149" t="s">
        <v>68</v>
      </c>
      <c r="H43" s="2149"/>
      <c r="I43" s="2149"/>
      <c r="J43" s="2149"/>
      <c r="K43" s="2149"/>
      <c r="L43" s="2149"/>
      <c r="M43" s="2149"/>
      <c r="N43" s="2149"/>
      <c r="O43" s="657"/>
    </row>
    <row r="44" spans="1:15" s="648" customFormat="1" ht="6" customHeight="1">
      <c r="A44" s="654"/>
      <c r="O44" s="657"/>
    </row>
    <row r="45" spans="1:15" s="648" customFormat="1" ht="30" customHeight="1">
      <c r="A45" s="654"/>
      <c r="B45" s="2150" t="s">
        <v>69</v>
      </c>
      <c r="C45" s="2151"/>
      <c r="D45" s="2151"/>
      <c r="E45" s="2152"/>
      <c r="G45" s="2142" t="s">
        <v>70</v>
      </c>
      <c r="H45" s="2143"/>
      <c r="I45" s="2144"/>
      <c r="J45" s="2142" t="s">
        <v>71</v>
      </c>
      <c r="K45" s="2143"/>
      <c r="L45" s="2143"/>
      <c r="M45" s="2142" t="s">
        <v>72</v>
      </c>
      <c r="N45" s="2144"/>
      <c r="O45" s="657"/>
    </row>
    <row r="46" spans="1:15" s="648" customFormat="1">
      <c r="A46" s="654"/>
      <c r="G46" s="674"/>
      <c r="H46" s="674"/>
      <c r="I46" s="674"/>
      <c r="J46" s="674"/>
      <c r="K46" s="674"/>
      <c r="L46" s="674"/>
      <c r="M46" s="674"/>
      <c r="N46" s="674"/>
      <c r="O46" s="657"/>
    </row>
    <row r="47" spans="1:15" s="648" customFormat="1" ht="30" customHeight="1">
      <c r="A47" s="654"/>
      <c r="G47" s="2142" t="s">
        <v>73</v>
      </c>
      <c r="H47" s="2143"/>
      <c r="I47" s="2144"/>
      <c r="J47" s="2142" t="s">
        <v>74</v>
      </c>
      <c r="K47" s="2143"/>
      <c r="L47" s="2143"/>
      <c r="M47" s="2142" t="s">
        <v>75</v>
      </c>
      <c r="N47" s="2144"/>
      <c r="O47" s="657"/>
    </row>
    <row r="48" spans="1:15" s="648" customFormat="1">
      <c r="A48" s="654"/>
      <c r="O48" s="657"/>
    </row>
    <row r="49" spans="1:20" s="648" customFormat="1" ht="30" customHeight="1">
      <c r="A49" s="654"/>
      <c r="B49" s="648" t="s">
        <v>76</v>
      </c>
      <c r="F49" s="2145"/>
      <c r="G49" s="2146"/>
      <c r="H49" s="2146"/>
      <c r="I49" s="2146"/>
      <c r="J49" s="2146"/>
      <c r="K49" s="2146"/>
      <c r="L49" s="2147"/>
      <c r="O49" s="657"/>
    </row>
    <row r="50" spans="1:20" s="648" customFormat="1">
      <c r="A50" s="658"/>
      <c r="B50" s="659"/>
      <c r="C50" s="659"/>
      <c r="D50" s="659"/>
      <c r="E50" s="659"/>
      <c r="F50" s="659"/>
      <c r="G50" s="659"/>
      <c r="H50" s="659"/>
      <c r="I50" s="659"/>
      <c r="J50" s="659"/>
      <c r="K50" s="659"/>
      <c r="L50" s="659"/>
      <c r="M50" s="659"/>
      <c r="N50" s="659"/>
      <c r="O50" s="660"/>
    </row>
    <row r="51" spans="1:20" s="648" customFormat="1"/>
    <row r="52" spans="1:20" s="648" customFormat="1"/>
    <row r="53" spans="1:20">
      <c r="A53" s="2148" t="s">
        <v>78</v>
      </c>
      <c r="B53" s="2148"/>
      <c r="C53" s="2148"/>
      <c r="D53" s="2148"/>
      <c r="E53" s="2148"/>
      <c r="F53" s="2148"/>
      <c r="G53" s="2148"/>
      <c r="H53" s="651"/>
      <c r="I53" s="651"/>
      <c r="J53" s="651"/>
      <c r="K53" s="651"/>
      <c r="L53" s="651"/>
      <c r="M53" s="651"/>
      <c r="N53" s="651"/>
      <c r="O53" s="651"/>
      <c r="P53" s="651"/>
    </row>
    <row r="54" spans="1:20" ht="20.100000000000001" customHeight="1">
      <c r="A54" s="2141"/>
      <c r="B54" s="2141"/>
      <c r="C54" s="2141"/>
      <c r="D54" s="2141"/>
      <c r="E54" s="2141"/>
      <c r="F54" s="2141"/>
      <c r="G54" s="2141"/>
      <c r="H54" s="2141"/>
      <c r="I54" s="2141"/>
      <c r="J54" s="2141"/>
      <c r="K54" s="2141"/>
      <c r="L54" s="2141"/>
      <c r="M54" s="2141"/>
      <c r="N54" s="2141"/>
      <c r="O54" s="2141"/>
    </row>
    <row r="55" spans="1:20" ht="20.100000000000001" customHeight="1">
      <c r="A55" s="2141"/>
      <c r="B55" s="2141"/>
      <c r="C55" s="2141"/>
      <c r="D55" s="2141"/>
      <c r="E55" s="2141"/>
      <c r="F55" s="2141"/>
      <c r="G55" s="2141"/>
      <c r="H55" s="2141"/>
      <c r="I55" s="2141"/>
      <c r="J55" s="2141"/>
      <c r="K55" s="2141"/>
      <c r="L55" s="2141"/>
      <c r="M55" s="2141"/>
      <c r="N55" s="2141"/>
      <c r="O55" s="2141"/>
    </row>
    <row r="56" spans="1:20" ht="13.5" thickBot="1">
      <c r="A56" s="675"/>
      <c r="B56" s="675"/>
      <c r="C56" s="675"/>
      <c r="D56" s="675"/>
      <c r="E56" s="675"/>
      <c r="F56" s="675"/>
      <c r="G56" s="675"/>
      <c r="H56" s="675"/>
      <c r="I56" s="675"/>
      <c r="J56" s="667"/>
      <c r="K56" s="667"/>
      <c r="L56" s="676"/>
      <c r="M56" s="676"/>
      <c r="N56" s="676"/>
      <c r="O56" s="676"/>
      <c r="P56" s="661"/>
      <c r="Q56" s="661"/>
      <c r="R56" s="661"/>
      <c r="S56" s="661"/>
      <c r="T56" s="661"/>
    </row>
    <row r="57" spans="1:20" ht="18" customHeight="1">
      <c r="A57" s="662" t="s">
        <v>1058</v>
      </c>
      <c r="B57" s="663"/>
      <c r="C57" s="663"/>
      <c r="D57" s="664"/>
      <c r="E57" s="663"/>
      <c r="F57" s="663"/>
      <c r="G57" s="663"/>
      <c r="H57" s="663"/>
      <c r="I57" s="663"/>
      <c r="J57" s="663"/>
      <c r="K57" s="663"/>
      <c r="L57" s="665"/>
      <c r="M57" s="663"/>
      <c r="N57" s="663"/>
      <c r="O57" s="664"/>
    </row>
    <row r="58" spans="1:20">
      <c r="A58" s="677"/>
      <c r="B58" s="667"/>
      <c r="C58" s="667"/>
      <c r="D58" s="667"/>
      <c r="E58" s="667"/>
      <c r="F58" s="667"/>
      <c r="G58" s="667"/>
      <c r="H58" s="667"/>
      <c r="I58" s="667"/>
      <c r="J58" s="667"/>
      <c r="K58" s="667"/>
      <c r="L58" s="667"/>
      <c r="M58" s="667"/>
      <c r="N58" s="667"/>
      <c r="O58" s="678"/>
    </row>
    <row r="59" spans="1:20">
      <c r="A59" s="677"/>
      <c r="B59" s="667"/>
      <c r="C59" s="667"/>
      <c r="D59" s="667"/>
      <c r="E59" s="667"/>
      <c r="F59" s="667"/>
      <c r="G59" s="667"/>
      <c r="H59" s="667"/>
      <c r="I59" s="667"/>
      <c r="J59" s="667"/>
      <c r="K59" s="667"/>
      <c r="L59" s="667"/>
      <c r="M59" s="667"/>
      <c r="N59" s="667"/>
      <c r="O59" s="678"/>
    </row>
    <row r="60" spans="1:20">
      <c r="A60" s="677"/>
      <c r="B60" s="667"/>
      <c r="C60" s="667"/>
      <c r="D60" s="667"/>
      <c r="E60" s="667"/>
      <c r="F60" s="667"/>
      <c r="G60" s="667"/>
      <c r="H60" s="667"/>
      <c r="I60" s="667"/>
      <c r="J60" s="667"/>
      <c r="K60" s="667"/>
      <c r="L60" s="667"/>
      <c r="M60" s="667"/>
      <c r="N60" s="667"/>
      <c r="O60" s="678"/>
    </row>
    <row r="61" spans="1:20">
      <c r="A61" s="677"/>
      <c r="B61" s="667"/>
      <c r="C61" s="667"/>
      <c r="D61" s="667"/>
      <c r="E61" s="667"/>
      <c r="F61" s="667"/>
      <c r="G61" s="667"/>
      <c r="H61" s="667"/>
      <c r="I61" s="667"/>
      <c r="J61" s="667"/>
      <c r="K61" s="667"/>
      <c r="L61" s="667"/>
      <c r="M61" s="667"/>
      <c r="N61" s="667"/>
      <c r="O61" s="678"/>
    </row>
    <row r="62" spans="1:20">
      <c r="A62" s="677"/>
      <c r="B62" s="667"/>
      <c r="C62" s="667"/>
      <c r="D62" s="667"/>
      <c r="E62" s="667"/>
      <c r="F62" s="667"/>
      <c r="G62" s="667"/>
      <c r="H62" s="667"/>
      <c r="I62" s="667"/>
      <c r="J62" s="667"/>
      <c r="K62" s="667"/>
      <c r="L62" s="667"/>
      <c r="M62" s="667"/>
      <c r="N62" s="667"/>
      <c r="O62" s="678"/>
    </row>
    <row r="63" spans="1:20" ht="13.5" thickBot="1">
      <c r="A63" s="679"/>
      <c r="B63" s="680"/>
      <c r="C63" s="680"/>
      <c r="D63" s="680"/>
      <c r="E63" s="680"/>
      <c r="F63" s="680"/>
      <c r="G63" s="680"/>
      <c r="H63" s="680"/>
      <c r="I63" s="680"/>
      <c r="J63" s="680"/>
      <c r="K63" s="680"/>
      <c r="L63" s="680"/>
      <c r="M63" s="680"/>
      <c r="N63" s="680"/>
      <c r="O63" s="681"/>
    </row>
  </sheetData>
  <mergeCells count="28">
    <mergeCell ref="D1:M2"/>
    <mergeCell ref="N1:O2"/>
    <mergeCell ref="C7:D7"/>
    <mergeCell ref="B28:N28"/>
    <mergeCell ref="B32:E32"/>
    <mergeCell ref="G32:N32"/>
    <mergeCell ref="E6:N6"/>
    <mergeCell ref="B34:E34"/>
    <mergeCell ref="G34:I34"/>
    <mergeCell ref="J34:L34"/>
    <mergeCell ref="M34:N34"/>
    <mergeCell ref="G36:I36"/>
    <mergeCell ref="J36:L36"/>
    <mergeCell ref="M36:N36"/>
    <mergeCell ref="F38:L38"/>
    <mergeCell ref="B43:E43"/>
    <mergeCell ref="G43:N43"/>
    <mergeCell ref="B45:E45"/>
    <mergeCell ref="G45:I45"/>
    <mergeCell ref="J45:L45"/>
    <mergeCell ref="M45:N45"/>
    <mergeCell ref="A55:O55"/>
    <mergeCell ref="G47:I47"/>
    <mergeCell ref="J47:L47"/>
    <mergeCell ref="M47:N47"/>
    <mergeCell ref="F49:L49"/>
    <mergeCell ref="A53:G53"/>
    <mergeCell ref="A54:O54"/>
  </mergeCells>
  <pageMargins left="0.70866141732283472" right="0.70866141732283472" top="0.74803149606299213" bottom="0.74803149606299213" header="0.31496062992125984" footer="0.31496062992125984"/>
  <pageSetup paperSize="9" scale="75" orientation="portrait" blackAndWhite="1" verticalDpi="4294967292" r:id="rId1"/>
  <headerFooter>
    <oddFooter>&amp;LEdité le &amp;D&amp;C&amp;P/&amp;N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5</xdr:col>
                    <xdr:colOff>495300</xdr:colOff>
                    <xdr:row>11</xdr:row>
                    <xdr:rowOff>0</xdr:rowOff>
                  </from>
                  <to>
                    <xdr:col>7</xdr:col>
                    <xdr:colOff>19050</xdr:colOff>
                    <xdr:row>12</xdr:row>
                    <xdr:rowOff>19050</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1</xdr:col>
                    <xdr:colOff>104775</xdr:colOff>
                    <xdr:row>11</xdr:row>
                    <xdr:rowOff>9525</xdr:rowOff>
                  </from>
                  <to>
                    <xdr:col>2</xdr:col>
                    <xdr:colOff>266700</xdr:colOff>
                    <xdr:row>12</xdr:row>
                    <xdr:rowOff>28575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6</xdr:col>
                    <xdr:colOff>19050</xdr:colOff>
                    <xdr:row>20</xdr:row>
                    <xdr:rowOff>19050</xdr:rowOff>
                  </from>
                  <to>
                    <xdr:col>7</xdr:col>
                    <xdr:colOff>9525</xdr:colOff>
                    <xdr:row>21</xdr:row>
                    <xdr:rowOff>9525</xdr:rowOff>
                  </to>
                </anchor>
              </controlPr>
            </control>
          </mc:Choice>
        </mc:AlternateContent>
        <mc:AlternateContent xmlns:mc="http://schemas.openxmlformats.org/markup-compatibility/2006">
          <mc:Choice Requires="x14">
            <control shapeId="83973" r:id="rId7" name="Check Box 5">
              <controlPr defaultSize="0" autoFill="0" autoLine="0" autoPict="0">
                <anchor moveWithCells="1">
                  <from>
                    <xdr:col>5</xdr:col>
                    <xdr:colOff>495300</xdr:colOff>
                    <xdr:row>12</xdr:row>
                    <xdr:rowOff>19050</xdr:rowOff>
                  </from>
                  <to>
                    <xdr:col>7</xdr:col>
                    <xdr:colOff>9525</xdr:colOff>
                    <xdr:row>13</xdr:row>
                    <xdr:rowOff>0</xdr:rowOff>
                  </to>
                </anchor>
              </controlPr>
            </control>
          </mc:Choice>
        </mc:AlternateContent>
        <mc:AlternateContent xmlns:mc="http://schemas.openxmlformats.org/markup-compatibility/2006">
          <mc:Choice Requires="x14">
            <control shapeId="83974" r:id="rId8" name="Check Box 6">
              <controlPr defaultSize="0" autoFill="0" autoLine="0" autoPict="0">
                <anchor moveWithCells="1">
                  <from>
                    <xdr:col>1</xdr:col>
                    <xdr:colOff>104775</xdr:colOff>
                    <xdr:row>12</xdr:row>
                    <xdr:rowOff>28575</xdr:rowOff>
                  </from>
                  <to>
                    <xdr:col>2</xdr:col>
                    <xdr:colOff>266700</xdr:colOff>
                    <xdr:row>12</xdr:row>
                    <xdr:rowOff>190500</xdr:rowOff>
                  </to>
                </anchor>
              </controlPr>
            </control>
          </mc:Choice>
        </mc:AlternateContent>
        <mc:AlternateContent xmlns:mc="http://schemas.openxmlformats.org/markup-compatibility/2006">
          <mc:Choice Requires="x14">
            <control shapeId="83975" r:id="rId9" name="Check Box 7">
              <controlPr defaultSize="0" autoFill="0" autoLine="0" autoPict="0">
                <anchor moveWithCells="1">
                  <from>
                    <xdr:col>11</xdr:col>
                    <xdr:colOff>342900</xdr:colOff>
                    <xdr:row>12</xdr:row>
                    <xdr:rowOff>19050</xdr:rowOff>
                  </from>
                  <to>
                    <xdr:col>11</xdr:col>
                    <xdr:colOff>628650</xdr:colOff>
                    <xdr:row>13</xdr:row>
                    <xdr:rowOff>47625</xdr:rowOff>
                  </to>
                </anchor>
              </controlPr>
            </control>
          </mc:Choice>
        </mc:AlternateContent>
        <mc:AlternateContent xmlns:mc="http://schemas.openxmlformats.org/markup-compatibility/2006">
          <mc:Choice Requires="x14">
            <control shapeId="83976" r:id="rId10" name="Check Box 8">
              <controlPr defaultSize="0" autoFill="0" autoLine="0" autoPict="0">
                <anchor moveWithCells="1">
                  <from>
                    <xdr:col>11</xdr:col>
                    <xdr:colOff>342900</xdr:colOff>
                    <xdr:row>10</xdr:row>
                    <xdr:rowOff>0</xdr:rowOff>
                  </from>
                  <to>
                    <xdr:col>11</xdr:col>
                    <xdr:colOff>628650</xdr:colOff>
                    <xdr:row>11</xdr:row>
                    <xdr:rowOff>57150</xdr:rowOff>
                  </to>
                </anchor>
              </controlPr>
            </control>
          </mc:Choice>
        </mc:AlternateContent>
        <mc:AlternateContent xmlns:mc="http://schemas.openxmlformats.org/markup-compatibility/2006">
          <mc:Choice Requires="x14">
            <control shapeId="83977" r:id="rId11" name="Check Box 9">
              <controlPr defaultSize="0" autoFill="0" autoLine="0" autoPict="0">
                <anchor moveWithCells="1">
                  <from>
                    <xdr:col>11</xdr:col>
                    <xdr:colOff>342900</xdr:colOff>
                    <xdr:row>11</xdr:row>
                    <xdr:rowOff>47625</xdr:rowOff>
                  </from>
                  <to>
                    <xdr:col>11</xdr:col>
                    <xdr:colOff>628650</xdr:colOff>
                    <xdr:row>12</xdr:row>
                    <xdr:rowOff>9525</xdr:rowOff>
                  </to>
                </anchor>
              </controlPr>
            </control>
          </mc:Choice>
        </mc:AlternateContent>
        <mc:AlternateContent xmlns:mc="http://schemas.openxmlformats.org/markup-compatibility/2006">
          <mc:Choice Requires="x14">
            <control shapeId="83978" r:id="rId12" name="Check Box 10">
              <controlPr defaultSize="0" autoFill="0" autoLine="0" autoPict="0">
                <anchor moveWithCells="1">
                  <from>
                    <xdr:col>11</xdr:col>
                    <xdr:colOff>342900</xdr:colOff>
                    <xdr:row>13</xdr:row>
                    <xdr:rowOff>9525</xdr:rowOff>
                  </from>
                  <to>
                    <xdr:col>11</xdr:col>
                    <xdr:colOff>628650</xdr:colOff>
                    <xdr:row>14</xdr:row>
                    <xdr:rowOff>28575</xdr:rowOff>
                  </to>
                </anchor>
              </controlPr>
            </control>
          </mc:Choice>
        </mc:AlternateContent>
        <mc:AlternateContent xmlns:mc="http://schemas.openxmlformats.org/markup-compatibility/2006">
          <mc:Choice Requires="x14">
            <control shapeId="83979" r:id="rId13" name="Check Box 11">
              <controlPr defaultSize="0" autoFill="0" autoLine="0" autoPict="0">
                <anchor moveWithCells="1">
                  <from>
                    <xdr:col>1</xdr:col>
                    <xdr:colOff>133350</xdr:colOff>
                    <xdr:row>17</xdr:row>
                    <xdr:rowOff>19050</xdr:rowOff>
                  </from>
                  <to>
                    <xdr:col>2</xdr:col>
                    <xdr:colOff>295275</xdr:colOff>
                    <xdr:row>18</xdr:row>
                    <xdr:rowOff>38100</xdr:rowOff>
                  </to>
                </anchor>
              </controlPr>
            </control>
          </mc:Choice>
        </mc:AlternateContent>
        <mc:AlternateContent xmlns:mc="http://schemas.openxmlformats.org/markup-compatibility/2006">
          <mc:Choice Requires="x14">
            <control shapeId="83980" r:id="rId14" name="Check Box 12">
              <controlPr defaultSize="0" autoFill="0" autoLine="0" autoPict="0">
                <anchor moveWithCells="1">
                  <from>
                    <xdr:col>1</xdr:col>
                    <xdr:colOff>133350</xdr:colOff>
                    <xdr:row>17</xdr:row>
                    <xdr:rowOff>190500</xdr:rowOff>
                  </from>
                  <to>
                    <xdr:col>2</xdr:col>
                    <xdr:colOff>295275</xdr:colOff>
                    <xdr:row>18</xdr:row>
                    <xdr:rowOff>152400</xdr:rowOff>
                  </to>
                </anchor>
              </controlPr>
            </control>
          </mc:Choice>
        </mc:AlternateContent>
        <mc:AlternateContent xmlns:mc="http://schemas.openxmlformats.org/markup-compatibility/2006">
          <mc:Choice Requires="x14">
            <control shapeId="83981" r:id="rId15" name="Check Box 13">
              <controlPr defaultSize="0" autoFill="0" autoLine="0" autoPict="0">
                <anchor moveWithCells="1">
                  <from>
                    <xdr:col>11</xdr:col>
                    <xdr:colOff>476250</xdr:colOff>
                    <xdr:row>20</xdr:row>
                    <xdr:rowOff>9525</xdr:rowOff>
                  </from>
                  <to>
                    <xdr:col>12</xdr:col>
                    <xdr:colOff>9525</xdr:colOff>
                    <xdr:row>21</xdr:row>
                    <xdr:rowOff>19050</xdr:rowOff>
                  </to>
                </anchor>
              </controlPr>
            </control>
          </mc:Choice>
        </mc:AlternateContent>
        <mc:AlternateContent xmlns:mc="http://schemas.openxmlformats.org/markup-compatibility/2006">
          <mc:Choice Requires="x14">
            <control shapeId="83982" r:id="rId16" name="Check Box 14">
              <controlPr defaultSize="0" autoFill="0" autoLine="0" autoPict="0">
                <anchor moveWithCells="1">
                  <from>
                    <xdr:col>12</xdr:col>
                    <xdr:colOff>457200</xdr:colOff>
                    <xdr:row>20</xdr:row>
                    <xdr:rowOff>38100</xdr:rowOff>
                  </from>
                  <to>
                    <xdr:col>13</xdr:col>
                    <xdr:colOff>9525</xdr:colOff>
                    <xdr:row>21</xdr:row>
                    <xdr:rowOff>0</xdr:rowOff>
                  </to>
                </anchor>
              </controlPr>
            </control>
          </mc:Choice>
        </mc:AlternateContent>
        <mc:AlternateContent xmlns:mc="http://schemas.openxmlformats.org/markup-compatibility/2006">
          <mc:Choice Requires="x14">
            <control shapeId="83983" r:id="rId17" name="Check Box 15">
              <controlPr defaultSize="0" autoFill="0" autoLine="0" autoPict="0">
                <anchor moveWithCells="1">
                  <from>
                    <xdr:col>8</xdr:col>
                    <xdr:colOff>152400</xdr:colOff>
                    <xdr:row>17</xdr:row>
                    <xdr:rowOff>0</xdr:rowOff>
                  </from>
                  <to>
                    <xdr:col>8</xdr:col>
                    <xdr:colOff>400050</xdr:colOff>
                    <xdr:row>18</xdr:row>
                    <xdr:rowOff>38100</xdr:rowOff>
                  </to>
                </anchor>
              </controlPr>
            </control>
          </mc:Choice>
        </mc:AlternateContent>
        <mc:AlternateContent xmlns:mc="http://schemas.openxmlformats.org/markup-compatibility/2006">
          <mc:Choice Requires="x14">
            <control shapeId="83985" r:id="rId18" name="Check Box 17">
              <controlPr defaultSize="0" autoFill="0" autoLine="0" autoPict="0">
                <anchor moveWithCells="1">
                  <from>
                    <xdr:col>8</xdr:col>
                    <xdr:colOff>152400</xdr:colOff>
                    <xdr:row>18</xdr:row>
                    <xdr:rowOff>0</xdr:rowOff>
                  </from>
                  <to>
                    <xdr:col>8</xdr:col>
                    <xdr:colOff>400050</xdr:colOff>
                    <xdr:row>19</xdr:row>
                    <xdr:rowOff>38100</xdr:rowOff>
                  </to>
                </anchor>
              </controlPr>
            </control>
          </mc:Choice>
        </mc:AlternateContent>
        <mc:AlternateContent xmlns:mc="http://schemas.openxmlformats.org/markup-compatibility/2006">
          <mc:Choice Requires="x14">
            <control shapeId="83986" r:id="rId19" name="Check Box 18">
              <controlPr defaultSize="0" autoFill="0" autoLine="0" autoPict="0">
                <anchor moveWithCells="1">
                  <from>
                    <xdr:col>1</xdr:col>
                    <xdr:colOff>161925</xdr:colOff>
                    <xdr:row>24</xdr:row>
                    <xdr:rowOff>9525</xdr:rowOff>
                  </from>
                  <to>
                    <xdr:col>2</xdr:col>
                    <xdr:colOff>76200</xdr:colOff>
                    <xdr:row>25</xdr:row>
                    <xdr:rowOff>9525</xdr:rowOff>
                  </to>
                </anchor>
              </controlPr>
            </control>
          </mc:Choice>
        </mc:AlternateContent>
        <mc:AlternateContent xmlns:mc="http://schemas.openxmlformats.org/markup-compatibility/2006">
          <mc:Choice Requires="x14">
            <control shapeId="83987" r:id="rId20" name="Check Box 19">
              <controlPr defaultSize="0" autoFill="0" autoLine="0" autoPict="0">
                <anchor moveWithCells="1">
                  <from>
                    <xdr:col>5</xdr:col>
                    <xdr:colOff>247650</xdr:colOff>
                    <xdr:row>24</xdr:row>
                    <xdr:rowOff>9525</xdr:rowOff>
                  </from>
                  <to>
                    <xdr:col>5</xdr:col>
                    <xdr:colOff>495300</xdr:colOff>
                    <xdr:row>25</xdr:row>
                    <xdr:rowOff>38100</xdr:rowOff>
                  </to>
                </anchor>
              </controlPr>
            </control>
          </mc:Choice>
        </mc:AlternateContent>
        <mc:AlternateContent xmlns:mc="http://schemas.openxmlformats.org/markup-compatibility/2006">
          <mc:Choice Requires="x14">
            <control shapeId="83988" r:id="rId21" name="Check Box 20">
              <controlPr defaultSize="0" autoFill="0" autoLine="0" autoPict="0">
                <anchor moveWithCells="1">
                  <from>
                    <xdr:col>1</xdr:col>
                    <xdr:colOff>161925</xdr:colOff>
                    <xdr:row>25</xdr:row>
                    <xdr:rowOff>38100</xdr:rowOff>
                  </from>
                  <to>
                    <xdr:col>2</xdr:col>
                    <xdr:colOff>76200</xdr:colOff>
                    <xdr:row>25</xdr:row>
                    <xdr:rowOff>180975</xdr:rowOff>
                  </to>
                </anchor>
              </controlPr>
            </control>
          </mc:Choice>
        </mc:AlternateContent>
        <mc:AlternateContent xmlns:mc="http://schemas.openxmlformats.org/markup-compatibility/2006">
          <mc:Choice Requires="x14">
            <control shapeId="83989" r:id="rId22" name="Check Box 21">
              <controlPr defaultSize="0" autoFill="0" autoLine="0" autoPict="0">
                <anchor moveWithCells="1">
                  <from>
                    <xdr:col>9</xdr:col>
                    <xdr:colOff>133350</xdr:colOff>
                    <xdr:row>24</xdr:row>
                    <xdr:rowOff>0</xdr:rowOff>
                  </from>
                  <to>
                    <xdr:col>10</xdr:col>
                    <xdr:colOff>28575</xdr:colOff>
                    <xdr:row>25</xdr:row>
                    <xdr:rowOff>28575</xdr:rowOff>
                  </to>
                </anchor>
              </controlPr>
            </control>
          </mc:Choice>
        </mc:AlternateContent>
        <mc:AlternateContent xmlns:mc="http://schemas.openxmlformats.org/markup-compatibility/2006">
          <mc:Choice Requires="x14">
            <control shapeId="83990" r:id="rId23" name="Check Box 22">
              <controlPr defaultSize="0" autoFill="0" autoLine="0" autoPict="0">
                <anchor moveWithCells="1">
                  <from>
                    <xdr:col>9</xdr:col>
                    <xdr:colOff>133350</xdr:colOff>
                    <xdr:row>25</xdr:row>
                    <xdr:rowOff>47625</xdr:rowOff>
                  </from>
                  <to>
                    <xdr:col>10</xdr:col>
                    <xdr:colOff>28575</xdr:colOff>
                    <xdr:row>26</xdr:row>
                    <xdr:rowOff>9525</xdr:rowOff>
                  </to>
                </anchor>
              </controlPr>
            </control>
          </mc:Choice>
        </mc:AlternateContent>
        <mc:AlternateContent xmlns:mc="http://schemas.openxmlformats.org/markup-compatibility/2006">
          <mc:Choice Requires="x14">
            <control shapeId="83991" r:id="rId24" name="Check Box 23">
              <controlPr defaultSize="0" autoFill="0" autoLine="0" autoPict="0">
                <anchor moveWithCells="1">
                  <from>
                    <xdr:col>4</xdr:col>
                    <xdr:colOff>704850</xdr:colOff>
                    <xdr:row>20</xdr:row>
                    <xdr:rowOff>0</xdr:rowOff>
                  </from>
                  <to>
                    <xdr:col>5</xdr:col>
                    <xdr:colOff>0</xdr:colOff>
                    <xdr:row>21</xdr:row>
                    <xdr:rowOff>28575</xdr:rowOff>
                  </to>
                </anchor>
              </controlPr>
            </control>
          </mc:Choice>
        </mc:AlternateContent>
        <mc:AlternateContent xmlns:mc="http://schemas.openxmlformats.org/markup-compatibility/2006">
          <mc:Choice Requires="x14">
            <control shapeId="83992" r:id="rId25" name="Check Box 24">
              <controlPr defaultSize="0" autoFill="0" autoLine="0" autoPict="0">
                <anchor moveWithCells="1">
                  <from>
                    <xdr:col>11</xdr:col>
                    <xdr:colOff>342900</xdr:colOff>
                    <xdr:row>14</xdr:row>
                    <xdr:rowOff>19050</xdr:rowOff>
                  </from>
                  <to>
                    <xdr:col>11</xdr:col>
                    <xdr:colOff>628650</xdr:colOff>
                    <xdr:row>15</xdr:row>
                    <xdr:rowOff>47625</xdr:rowOff>
                  </to>
                </anchor>
              </controlPr>
            </control>
          </mc:Choice>
        </mc:AlternateContent>
        <mc:AlternateContent xmlns:mc="http://schemas.openxmlformats.org/markup-compatibility/2006">
          <mc:Choice Requires="x14">
            <control shapeId="83993" r:id="rId26" name="Check Box 25">
              <controlPr defaultSize="0" autoFill="0" autoLine="0" autoPict="0">
                <anchor moveWithCells="1">
                  <from>
                    <xdr:col>5</xdr:col>
                    <xdr:colOff>247650</xdr:colOff>
                    <xdr:row>25</xdr:row>
                    <xdr:rowOff>0</xdr:rowOff>
                  </from>
                  <to>
                    <xdr:col>5</xdr:col>
                    <xdr:colOff>495300</xdr:colOff>
                    <xdr:row>26</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25">
    <tabColor indexed="42"/>
  </sheetPr>
  <dimension ref="A1:G51"/>
  <sheetViews>
    <sheetView showGridLines="0" view="pageBreakPreview" zoomScaleNormal="100" zoomScaleSheetLayoutView="100" workbookViewId="0">
      <selection activeCell="G18" sqref="G18"/>
    </sheetView>
  </sheetViews>
  <sheetFormatPr baseColWidth="10" defaultColWidth="11.42578125" defaultRowHeight="12.75"/>
  <cols>
    <col min="1" max="1" width="6.7109375" style="33" customWidth="1"/>
    <col min="2" max="2" width="13.85546875" style="33" customWidth="1"/>
    <col min="3" max="3" width="21.28515625" style="33" customWidth="1"/>
    <col min="4" max="4" width="5.28515625" style="33" customWidth="1"/>
    <col min="5" max="6" width="4.7109375" style="33" customWidth="1"/>
    <col min="7" max="7" width="41" style="33" customWidth="1"/>
    <col min="8" max="16384" width="11.42578125" style="33"/>
  </cols>
  <sheetData>
    <row r="1" spans="1:7">
      <c r="C1" s="1720" t="s">
        <v>770</v>
      </c>
      <c r="D1" s="1720"/>
      <c r="E1" s="1720"/>
      <c r="F1" s="1720"/>
      <c r="G1" s="2131" t="s">
        <v>79</v>
      </c>
    </row>
    <row r="2" spans="1:7">
      <c r="C2" s="1720"/>
      <c r="D2" s="1720"/>
      <c r="E2" s="1720"/>
      <c r="F2" s="1720"/>
      <c r="G2" s="2131"/>
    </row>
    <row r="3" spans="1:7">
      <c r="C3" s="1745"/>
      <c r="D3" s="1745"/>
      <c r="E3" s="1745"/>
      <c r="F3" s="1745"/>
      <c r="G3" s="532"/>
    </row>
    <row r="4" spans="1:7" ht="39.75" customHeight="1"/>
    <row r="5" spans="1:7">
      <c r="A5" s="281" t="s">
        <v>782</v>
      </c>
      <c r="B5" s="21"/>
      <c r="C5" s="549" t="str">
        <f>IF(ISBLANK(oeOTP),"",oeOTP)</f>
        <v/>
      </c>
      <c r="D5" s="21"/>
      <c r="E5" s="21"/>
      <c r="F5" s="299" t="s">
        <v>801</v>
      </c>
      <c r="G5" s="549" t="str">
        <f>IF(ISBLANK(oVille),"",oVille)</f>
        <v/>
      </c>
    </row>
    <row r="6" spans="1:7" ht="24" customHeight="1">
      <c r="A6" s="281" t="s">
        <v>802</v>
      </c>
      <c r="B6" s="9"/>
      <c r="C6" s="1792" t="str">
        <f>IF(ISBLANK(oLibelleOTP),"",oLibelleOTP)</f>
        <v/>
      </c>
      <c r="D6" s="1792"/>
      <c r="E6" s="1792"/>
      <c r="F6" s="1792"/>
      <c r="G6" s="1792"/>
    </row>
    <row r="7" spans="1:7" ht="18">
      <c r="A7" s="281"/>
      <c r="B7" s="283"/>
      <c r="C7" s="283"/>
      <c r="D7" s="300"/>
    </row>
    <row r="8" spans="1:7" ht="33.75" customHeight="1">
      <c r="A8" s="2158" t="s">
        <v>80</v>
      </c>
      <c r="B8" s="2158"/>
      <c r="C8" s="2158"/>
      <c r="D8" s="2158"/>
      <c r="E8" s="2158"/>
      <c r="F8" s="2158"/>
      <c r="G8" s="2158"/>
    </row>
    <row r="10" spans="1:7" ht="68.25">
      <c r="D10" s="295" t="s">
        <v>23</v>
      </c>
      <c r="E10" s="296" t="s">
        <v>13</v>
      </c>
      <c r="F10" s="296" t="s">
        <v>14</v>
      </c>
      <c r="G10" s="295" t="s">
        <v>15</v>
      </c>
    </row>
    <row r="11" spans="1:7">
      <c r="A11" s="301" t="s">
        <v>81</v>
      </c>
      <c r="B11" s="302"/>
      <c r="C11" s="303"/>
      <c r="D11" s="295"/>
      <c r="E11" s="296"/>
      <c r="F11" s="296"/>
      <c r="G11" s="295"/>
    </row>
    <row r="12" spans="1:7">
      <c r="A12" s="1703" t="s">
        <v>82</v>
      </c>
      <c r="B12" s="1703"/>
      <c r="C12" s="1703"/>
      <c r="D12" s="289"/>
      <c r="E12" s="289"/>
      <c r="F12" s="289"/>
      <c r="G12" s="289"/>
    </row>
    <row r="13" spans="1:7" ht="25.5" customHeight="1">
      <c r="A13" s="1703" t="s">
        <v>83</v>
      </c>
      <c r="B13" s="1703"/>
      <c r="C13" s="1703"/>
      <c r="D13" s="289"/>
      <c r="E13" s="289"/>
      <c r="F13" s="289"/>
      <c r="G13" s="289"/>
    </row>
    <row r="14" spans="1:7" ht="25.5" customHeight="1">
      <c r="A14" s="1703" t="s">
        <v>84</v>
      </c>
      <c r="B14" s="1703"/>
      <c r="C14" s="1703"/>
      <c r="D14" s="289"/>
      <c r="E14" s="289"/>
      <c r="F14" s="289"/>
      <c r="G14" s="289"/>
    </row>
    <row r="15" spans="1:7" ht="39" customHeight="1">
      <c r="A15" s="1703" t="s">
        <v>85</v>
      </c>
      <c r="B15" s="1703"/>
      <c r="C15" s="1703"/>
      <c r="D15" s="289"/>
      <c r="E15" s="289"/>
      <c r="F15" s="289"/>
      <c r="G15" s="289"/>
    </row>
    <row r="16" spans="1:7" ht="38.25" customHeight="1">
      <c r="A16" s="1703" t="s">
        <v>86</v>
      </c>
      <c r="B16" s="1703"/>
      <c r="C16" s="1703"/>
      <c r="D16" s="289"/>
      <c r="E16" s="289"/>
      <c r="F16" s="289"/>
      <c r="G16" s="289"/>
    </row>
    <row r="17" spans="1:7" ht="63.75" customHeight="1">
      <c r="A17" s="1703" t="s">
        <v>87</v>
      </c>
      <c r="B17" s="1703"/>
      <c r="C17" s="1703"/>
      <c r="D17" s="289"/>
      <c r="E17" s="289"/>
      <c r="F17" s="289"/>
      <c r="G17" s="289"/>
    </row>
    <row r="18" spans="1:7" ht="38.25" customHeight="1">
      <c r="A18" s="1703" t="s">
        <v>88</v>
      </c>
      <c r="B18" s="1703"/>
      <c r="C18" s="1703"/>
      <c r="D18" s="289"/>
      <c r="E18" s="289"/>
      <c r="F18" s="289"/>
      <c r="G18" s="289"/>
    </row>
    <row r="19" spans="1:7" ht="31.5" customHeight="1">
      <c r="A19" s="1703" t="s">
        <v>89</v>
      </c>
      <c r="B19" s="1703"/>
      <c r="C19" s="1703"/>
      <c r="D19" s="289"/>
      <c r="E19" s="289"/>
      <c r="F19" s="289"/>
      <c r="G19" s="289"/>
    </row>
    <row r="20" spans="1:7" ht="25.5" customHeight="1">
      <c r="A20" s="1703" t="s">
        <v>90</v>
      </c>
      <c r="B20" s="1703"/>
      <c r="C20" s="1703"/>
      <c r="D20" s="289"/>
      <c r="E20" s="289"/>
      <c r="F20" s="289"/>
      <c r="G20" s="289"/>
    </row>
    <row r="21" spans="1:7">
      <c r="A21" s="2138" t="s">
        <v>91</v>
      </c>
      <c r="B21" s="2139"/>
      <c r="C21" s="2140"/>
      <c r="D21" s="289"/>
      <c r="E21" s="289"/>
      <c r="F21" s="289"/>
      <c r="G21" s="289"/>
    </row>
    <row r="22" spans="1:7">
      <c r="A22" s="1703" t="s">
        <v>92</v>
      </c>
      <c r="B22" s="1703"/>
      <c r="C22" s="1703"/>
      <c r="D22" s="289"/>
      <c r="E22" s="289"/>
      <c r="F22" s="289"/>
      <c r="G22" s="289"/>
    </row>
    <row r="23" spans="1:7" ht="39" customHeight="1">
      <c r="A23" s="1703" t="s">
        <v>93</v>
      </c>
      <c r="B23" s="1703"/>
      <c r="C23" s="1703"/>
      <c r="D23" s="289"/>
      <c r="E23" s="289"/>
      <c r="F23" s="289"/>
      <c r="G23" s="289"/>
    </row>
    <row r="24" spans="1:7" ht="27" customHeight="1">
      <c r="A24" s="2138" t="s">
        <v>94</v>
      </c>
      <c r="B24" s="2139"/>
      <c r="C24" s="2140"/>
      <c r="D24" s="289"/>
      <c r="E24" s="289"/>
      <c r="F24" s="289"/>
      <c r="G24" s="289"/>
    </row>
    <row r="25" spans="1:7" ht="24.75" customHeight="1">
      <c r="A25" s="2138" t="s">
        <v>95</v>
      </c>
      <c r="B25" s="2139"/>
      <c r="C25" s="2140"/>
      <c r="D25" s="289"/>
      <c r="E25" s="289"/>
      <c r="F25" s="289"/>
      <c r="G25" s="289"/>
    </row>
    <row r="26" spans="1:7">
      <c r="A26" s="2138" t="s">
        <v>96</v>
      </c>
      <c r="B26" s="2139"/>
      <c r="C26" s="2140"/>
      <c r="D26" s="289"/>
      <c r="E26" s="289"/>
      <c r="F26" s="289"/>
      <c r="G26" s="289"/>
    </row>
    <row r="27" spans="1:7">
      <c r="A27" s="2138" t="s">
        <v>97</v>
      </c>
      <c r="B27" s="2139"/>
      <c r="C27" s="2140"/>
      <c r="D27" s="289"/>
      <c r="E27" s="289"/>
      <c r="F27" s="289"/>
      <c r="G27" s="289"/>
    </row>
    <row r="28" spans="1:7">
      <c r="A28" s="2138" t="s">
        <v>98</v>
      </c>
      <c r="B28" s="2139"/>
      <c r="C28" s="2140"/>
      <c r="D28" s="289"/>
      <c r="E28" s="289"/>
      <c r="F28" s="289"/>
      <c r="G28" s="289"/>
    </row>
    <row r="29" spans="1:7">
      <c r="A29" s="1703" t="s">
        <v>99</v>
      </c>
      <c r="B29" s="1703"/>
      <c r="C29" s="1703"/>
      <c r="D29" s="289"/>
      <c r="E29" s="289"/>
      <c r="F29" s="289"/>
      <c r="G29" s="289"/>
    </row>
    <row r="30" spans="1:7">
      <c r="A30" s="304"/>
      <c r="B30" s="304"/>
      <c r="C30" s="304"/>
      <c r="D30" s="305"/>
      <c r="E30" s="305"/>
      <c r="F30" s="305"/>
      <c r="G30" s="305"/>
    </row>
    <row r="31" spans="1:7">
      <c r="A31" s="283"/>
      <c r="B31" s="283"/>
      <c r="C31" s="283"/>
      <c r="D31" s="283"/>
      <c r="E31" s="283"/>
      <c r="F31" s="283"/>
      <c r="G31" s="283"/>
    </row>
    <row r="32" spans="1:7" ht="40.5" customHeight="1">
      <c r="A32" s="283"/>
      <c r="B32" s="283"/>
      <c r="C32" s="283"/>
      <c r="D32" s="283"/>
      <c r="E32" s="283"/>
      <c r="F32" s="283"/>
      <c r="G32" s="283"/>
    </row>
    <row r="33" spans="1:7">
      <c r="A33" s="283"/>
      <c r="B33" s="283"/>
      <c r="C33" s="283"/>
      <c r="D33" s="283"/>
      <c r="E33" s="283"/>
      <c r="F33" s="283"/>
      <c r="G33" s="283"/>
    </row>
    <row r="34" spans="1:7" ht="15.75">
      <c r="A34" s="282" t="s">
        <v>100</v>
      </c>
      <c r="B34" s="283"/>
      <c r="C34" s="283"/>
      <c r="D34" s="283"/>
      <c r="E34" s="283"/>
      <c r="F34" s="283"/>
      <c r="G34" s="283"/>
    </row>
    <row r="36" spans="1:7" ht="68.25">
      <c r="D36" s="285" t="s">
        <v>23</v>
      </c>
      <c r="E36" s="284" t="s">
        <v>13</v>
      </c>
      <c r="F36" s="284" t="s">
        <v>14</v>
      </c>
      <c r="G36" s="285" t="s">
        <v>15</v>
      </c>
    </row>
    <row r="37" spans="1:7">
      <c r="A37" s="290" t="s">
        <v>101</v>
      </c>
      <c r="B37" s="291"/>
      <c r="C37" s="292"/>
      <c r="D37" s="306"/>
      <c r="E37" s="306"/>
      <c r="F37" s="306"/>
      <c r="G37" s="306"/>
    </row>
    <row r="38" spans="1:7">
      <c r="A38" s="290" t="s">
        <v>102</v>
      </c>
      <c r="B38" s="291"/>
      <c r="C38" s="292"/>
      <c r="D38" s="306"/>
      <c r="E38" s="306"/>
      <c r="F38" s="306"/>
      <c r="G38" s="306"/>
    </row>
    <row r="39" spans="1:7">
      <c r="A39" s="290" t="s">
        <v>103</v>
      </c>
      <c r="B39" s="291"/>
      <c r="C39" s="292"/>
      <c r="D39" s="306"/>
      <c r="E39" s="306"/>
      <c r="F39" s="306"/>
      <c r="G39" s="306"/>
    </row>
    <row r="40" spans="1:7">
      <c r="A40" s="283"/>
      <c r="B40" s="283"/>
      <c r="C40" s="283"/>
      <c r="D40" s="283"/>
      <c r="E40" s="283"/>
      <c r="F40" s="283"/>
      <c r="G40" s="283"/>
    </row>
    <row r="41" spans="1:7">
      <c r="A41" s="283"/>
      <c r="B41" s="283"/>
      <c r="C41" s="283"/>
      <c r="D41" s="283"/>
      <c r="E41" s="283"/>
      <c r="F41" s="283"/>
      <c r="G41" s="283"/>
    </row>
    <row r="42" spans="1:7" ht="15.75">
      <c r="A42" s="282" t="s">
        <v>104</v>
      </c>
      <c r="B42" s="283"/>
      <c r="C42" s="283"/>
      <c r="D42" s="283"/>
      <c r="E42" s="283"/>
      <c r="F42" s="283"/>
      <c r="G42" s="283"/>
    </row>
    <row r="44" spans="1:7" ht="68.25">
      <c r="D44" s="295" t="s">
        <v>23</v>
      </c>
      <c r="E44" s="296" t="s">
        <v>13</v>
      </c>
      <c r="F44" s="296" t="s">
        <v>14</v>
      </c>
      <c r="G44" s="295" t="s">
        <v>15</v>
      </c>
    </row>
    <row r="45" spans="1:7" ht="51" customHeight="1">
      <c r="A45" s="1703" t="s">
        <v>805</v>
      </c>
      <c r="B45" s="1703"/>
      <c r="C45" s="1703"/>
      <c r="D45" s="289"/>
      <c r="E45" s="289"/>
      <c r="F45" s="289"/>
      <c r="G45" s="289"/>
    </row>
    <row r="46" spans="1:7">
      <c r="A46" s="1703" t="s">
        <v>806</v>
      </c>
      <c r="B46" s="1703"/>
      <c r="C46" s="1703"/>
      <c r="D46" s="289"/>
      <c r="E46" s="289"/>
      <c r="F46" s="289"/>
      <c r="G46" s="289"/>
    </row>
    <row r="47" spans="1:7" ht="26.25" customHeight="1">
      <c r="A47" s="1703" t="s">
        <v>807</v>
      </c>
      <c r="B47" s="1703"/>
      <c r="C47" s="1703"/>
      <c r="D47" s="289"/>
      <c r="E47" s="289"/>
      <c r="F47" s="289"/>
      <c r="G47" s="289"/>
    </row>
    <row r="48" spans="1:7" ht="39.75" customHeight="1">
      <c r="A48" s="2138" t="s">
        <v>808</v>
      </c>
      <c r="B48" s="2139"/>
      <c r="C48" s="2140"/>
      <c r="D48" s="289"/>
      <c r="E48" s="289"/>
      <c r="F48" s="289"/>
      <c r="G48" s="289"/>
    </row>
    <row r="49" spans="1:7">
      <c r="A49" s="2138" t="s">
        <v>809</v>
      </c>
      <c r="B49" s="2139"/>
      <c r="C49" s="2140"/>
      <c r="D49" s="289"/>
      <c r="E49" s="289"/>
      <c r="F49" s="289"/>
      <c r="G49" s="289"/>
    </row>
    <row r="50" spans="1:7" ht="30.75" customHeight="1">
      <c r="A50" s="2138" t="s">
        <v>810</v>
      </c>
      <c r="B50" s="2139"/>
      <c r="C50" s="2140"/>
      <c r="D50" s="289"/>
      <c r="E50" s="289"/>
      <c r="F50" s="289"/>
      <c r="G50" s="289"/>
    </row>
    <row r="51" spans="1:7">
      <c r="A51" s="1703" t="s">
        <v>811</v>
      </c>
      <c r="B51" s="1703"/>
      <c r="C51" s="1703"/>
      <c r="D51" s="289"/>
      <c r="E51" s="289"/>
      <c r="F51" s="289"/>
      <c r="G51" s="289"/>
    </row>
  </sheetData>
  <mergeCells count="29">
    <mergeCell ref="A25:C25"/>
    <mergeCell ref="A51:C51"/>
    <mergeCell ref="A45:C45"/>
    <mergeCell ref="A46:C46"/>
    <mergeCell ref="A47:C47"/>
    <mergeCell ref="A48:C48"/>
    <mergeCell ref="A26:C26"/>
    <mergeCell ref="G1:G2"/>
    <mergeCell ref="A8:G8"/>
    <mergeCell ref="A12:C12"/>
    <mergeCell ref="A13:C13"/>
    <mergeCell ref="C1:F3"/>
    <mergeCell ref="C6:G6"/>
    <mergeCell ref="A14:C14"/>
    <mergeCell ref="A50:C50"/>
    <mergeCell ref="A20:C20"/>
    <mergeCell ref="A21:C21"/>
    <mergeCell ref="A22:C22"/>
    <mergeCell ref="A23:C23"/>
    <mergeCell ref="A28:C28"/>
    <mergeCell ref="A19:C19"/>
    <mergeCell ref="A29:C29"/>
    <mergeCell ref="A49:C49"/>
    <mergeCell ref="A27:C27"/>
    <mergeCell ref="A15:C15"/>
    <mergeCell ref="A16:C16"/>
    <mergeCell ref="A17:C17"/>
    <mergeCell ref="A18:C18"/>
    <mergeCell ref="A24:C24"/>
  </mergeCells>
  <phoneticPr fontId="12" type="noConversion"/>
  <printOptions horizontalCentered="1" verticalCentered="1"/>
  <pageMargins left="0" right="0" top="0" bottom="0.39370078740157483" header="0" footer="0"/>
  <pageSetup paperSize="9" scale="92" fitToHeight="2" orientation="portrait" blackAndWhite="1" r:id="rId1"/>
  <headerFooter alignWithMargins="0">
    <oddFooter>&amp;LEdité le &amp;D&amp;C&amp;P/&amp;N</oddFooter>
  </headerFooter>
  <rowBreaks count="1" manualBreakCount="1">
    <brk id="33" max="7"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27">
    <tabColor indexed="42"/>
    <pageSetUpPr fitToPage="1"/>
  </sheetPr>
  <dimension ref="A1:AN89"/>
  <sheetViews>
    <sheetView showGridLines="0" view="pageBreakPreview" zoomScale="115" zoomScaleNormal="100" zoomScaleSheetLayoutView="115" workbookViewId="0">
      <selection activeCell="D43" sqref="D43"/>
    </sheetView>
  </sheetViews>
  <sheetFormatPr baseColWidth="10" defaultRowHeight="12.75"/>
  <cols>
    <col min="1" max="2" width="1.140625" customWidth="1"/>
    <col min="3" max="3" width="3.28515625" style="243" customWidth="1"/>
    <col min="5" max="5" width="25.140625" bestFit="1" customWidth="1"/>
    <col min="6" max="6" width="1.7109375" customWidth="1"/>
    <col min="7" max="7" width="3.28515625" customWidth="1"/>
    <col min="8" max="8" width="3.5703125" customWidth="1"/>
    <col min="9" max="9" width="4.28515625" customWidth="1"/>
    <col min="10" max="10" width="3.42578125" customWidth="1"/>
    <col min="11" max="11" width="1.7109375" customWidth="1"/>
    <col min="12" max="12" width="3.28515625" customWidth="1"/>
    <col min="13" max="13" width="1.7109375" customWidth="1"/>
    <col min="14" max="14" width="3.28515625" customWidth="1"/>
    <col min="15" max="15" width="1.7109375" customWidth="1"/>
    <col min="16" max="16" width="3.28515625" customWidth="1"/>
    <col min="17" max="17" width="14" customWidth="1"/>
    <col min="18" max="18" width="0.85546875" customWidth="1"/>
    <col min="19" max="20" width="1.140625" customWidth="1"/>
    <col min="21" max="21" width="3.28515625" style="243" customWidth="1"/>
    <col min="22" max="22" width="6.7109375" customWidth="1"/>
    <col min="23" max="23" width="5.140625" customWidth="1"/>
    <col min="24" max="24" width="2.7109375" customWidth="1"/>
    <col min="25" max="25" width="6.5703125" customWidth="1"/>
    <col min="26" max="26" width="6.140625" customWidth="1"/>
    <col min="27" max="27" width="3.28515625" customWidth="1"/>
    <col min="28" max="28" width="1.7109375" customWidth="1"/>
    <col min="29" max="29" width="3.28515625" customWidth="1"/>
    <col min="30" max="30" width="1.7109375" customWidth="1"/>
    <col min="31" max="31" width="3.28515625" customWidth="1"/>
    <col min="32" max="32" width="1.7109375" customWidth="1"/>
    <col min="33" max="33" width="3.28515625" customWidth="1"/>
    <col min="34" max="34" width="1.7109375" customWidth="1"/>
    <col min="35" max="35" width="3.28515625" customWidth="1"/>
    <col min="36" max="36" width="1.7109375" customWidth="1"/>
    <col min="37" max="37" width="3.28515625" customWidth="1"/>
    <col min="38" max="38" width="7.42578125" customWidth="1"/>
    <col min="39" max="39" width="4.28515625" customWidth="1"/>
    <col min="40" max="40" width="0.85546875" customWidth="1"/>
  </cols>
  <sheetData>
    <row r="1" spans="1:40" ht="43.5" customHeight="1">
      <c r="A1" s="2165" t="s">
        <v>812</v>
      </c>
      <c r="B1" s="2165"/>
      <c r="C1" s="2165"/>
      <c r="D1" s="2165"/>
      <c r="E1" s="2165"/>
      <c r="F1" s="2165"/>
      <c r="G1" s="2165"/>
      <c r="H1" s="2165"/>
      <c r="I1" s="2165"/>
      <c r="J1" s="2165"/>
      <c r="K1" s="2165"/>
      <c r="L1" s="2165"/>
      <c r="M1" s="2165"/>
      <c r="N1" s="2165"/>
      <c r="O1" s="2165"/>
      <c r="P1" s="2165"/>
      <c r="Q1" s="2165"/>
      <c r="R1" s="2165"/>
      <c r="S1" s="2165"/>
      <c r="T1" s="2165"/>
      <c r="U1" s="2165"/>
      <c r="V1" s="2165"/>
      <c r="W1" s="2165"/>
      <c r="X1" s="2165"/>
      <c r="Y1" s="2165"/>
      <c r="Z1" s="2165"/>
      <c r="AA1" s="2165"/>
      <c r="AB1" s="2165"/>
      <c r="AC1" s="2165"/>
      <c r="AD1" s="2165"/>
      <c r="AE1" s="2165"/>
      <c r="AF1" s="2165"/>
      <c r="AG1" s="2165"/>
      <c r="AH1" s="2165"/>
      <c r="AI1" s="2165"/>
      <c r="AJ1" s="2165"/>
      <c r="AK1" s="2165"/>
      <c r="AL1" s="1943" t="s">
        <v>813</v>
      </c>
      <c r="AM1" s="1943"/>
      <c r="AN1" s="1943"/>
    </row>
    <row r="2" spans="1:40" ht="20.100000000000001"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c r="AE2" s="307"/>
      <c r="AF2" s="307"/>
      <c r="AG2" s="307"/>
      <c r="AH2" s="307"/>
      <c r="AI2" s="307"/>
      <c r="AJ2" s="307"/>
      <c r="AK2" s="307"/>
      <c r="AL2" s="307"/>
      <c r="AM2" s="308"/>
      <c r="AN2" s="23"/>
    </row>
    <row r="3" spans="1:40" s="13" customFormat="1" ht="18" customHeight="1">
      <c r="A3" s="538" t="s">
        <v>675</v>
      </c>
      <c r="B3" s="18"/>
      <c r="C3" s="538"/>
      <c r="D3" s="18"/>
      <c r="E3" s="729" t="str">
        <f>IF(ISBLANK(oeOTP),"",oeOTP)</f>
        <v/>
      </c>
      <c r="F3" s="716"/>
      <c r="G3" s="716"/>
      <c r="H3" s="716"/>
      <c r="I3" s="716"/>
      <c r="J3" s="716"/>
      <c r="K3" s="18"/>
      <c r="L3" s="18"/>
      <c r="M3" s="18"/>
      <c r="N3" s="18"/>
      <c r="O3" s="18"/>
      <c r="P3" s="18"/>
      <c r="Q3" s="18"/>
      <c r="R3" s="18"/>
      <c r="S3" s="18"/>
      <c r="T3" s="18"/>
      <c r="U3" s="18"/>
      <c r="V3" s="299" t="s">
        <v>802</v>
      </c>
      <c r="W3" s="1792" t="str">
        <f>IF(ISBLANK(oLibelleOTP),"",oLibelleOTP)</f>
        <v/>
      </c>
      <c r="X3" s="1792"/>
      <c r="Y3" s="1792"/>
      <c r="Z3" s="1792"/>
      <c r="AA3" s="1792"/>
      <c r="AB3" s="1792"/>
      <c r="AC3" s="1792"/>
      <c r="AD3" s="1792"/>
      <c r="AE3" s="1792"/>
      <c r="AF3" s="1792"/>
      <c r="AG3" s="1792"/>
      <c r="AH3" s="1792"/>
      <c r="AI3" s="1792"/>
      <c r="AJ3" s="1792"/>
      <c r="AK3" s="1792"/>
      <c r="AL3" s="1792"/>
      <c r="AM3" s="1792"/>
    </row>
    <row r="4" spans="1:40" s="13" customFormat="1" ht="20.100000000000001" customHeight="1" thickBot="1">
      <c r="A4" s="538" t="s">
        <v>801</v>
      </c>
      <c r="B4" s="18"/>
      <c r="C4" s="18"/>
      <c r="D4" s="18"/>
      <c r="E4" s="729" t="str">
        <f>IF(ISBLANK(oVille),"",oVille)</f>
        <v/>
      </c>
      <c r="F4" s="717"/>
      <c r="G4" s="717"/>
      <c r="H4" s="717"/>
      <c r="I4" s="717"/>
      <c r="J4" s="717"/>
      <c r="K4" s="18"/>
      <c r="L4" s="18"/>
      <c r="M4" s="18"/>
      <c r="N4" s="18"/>
      <c r="O4" s="18"/>
      <c r="P4" s="18"/>
      <c r="Q4" s="18"/>
      <c r="R4" s="18"/>
      <c r="S4" s="18"/>
      <c r="T4" s="18"/>
      <c r="U4" s="18"/>
      <c r="V4" s="18"/>
      <c r="W4" s="2173"/>
      <c r="X4" s="2173"/>
      <c r="Y4" s="2173"/>
      <c r="Z4" s="2173"/>
      <c r="AA4" s="2173"/>
      <c r="AB4" s="2173"/>
      <c r="AC4" s="2173"/>
      <c r="AD4" s="2173"/>
      <c r="AE4" s="2173"/>
      <c r="AF4" s="2173"/>
      <c r="AG4" s="2173"/>
      <c r="AH4" s="2173"/>
      <c r="AI4" s="2173"/>
      <c r="AJ4" s="2173"/>
      <c r="AK4" s="2173"/>
      <c r="AL4" s="2173"/>
      <c r="AM4" s="2173"/>
    </row>
    <row r="5" spans="1:40" ht="8.1" customHeight="1">
      <c r="A5" s="253"/>
      <c r="B5" s="254"/>
      <c r="C5" s="255"/>
      <c r="D5" s="254"/>
      <c r="E5" s="256"/>
      <c r="F5" s="254"/>
      <c r="G5" s="254"/>
      <c r="H5" s="254"/>
      <c r="I5" s="254"/>
      <c r="J5" s="254"/>
      <c r="K5" s="254"/>
      <c r="L5" s="254"/>
      <c r="M5" s="254"/>
      <c r="N5" s="254"/>
      <c r="O5" s="254"/>
      <c r="P5" s="254"/>
      <c r="Q5" s="254"/>
      <c r="R5" s="254"/>
      <c r="S5" s="253"/>
      <c r="T5" s="254"/>
      <c r="U5" s="255"/>
      <c r="V5" s="254"/>
      <c r="W5" s="256"/>
      <c r="X5" s="254"/>
      <c r="Y5" s="254"/>
      <c r="Z5" s="254"/>
      <c r="AA5" s="254"/>
      <c r="AB5" s="254"/>
      <c r="AC5" s="254"/>
      <c r="AD5" s="254"/>
      <c r="AE5" s="254"/>
      <c r="AF5" s="254"/>
      <c r="AG5" s="254"/>
      <c r="AH5" s="254"/>
      <c r="AI5" s="254"/>
      <c r="AJ5" s="254"/>
      <c r="AK5" s="254"/>
      <c r="AL5" s="254"/>
      <c r="AM5" s="254"/>
      <c r="AN5" s="257"/>
    </row>
    <row r="6" spans="1:40">
      <c r="A6" s="258"/>
      <c r="B6" s="2166" t="s">
        <v>765</v>
      </c>
      <c r="C6" s="2167"/>
      <c r="D6" s="2167"/>
      <c r="E6" s="2167"/>
      <c r="F6" s="2167"/>
      <c r="G6" s="2167"/>
      <c r="H6" s="2167"/>
      <c r="I6" s="2167"/>
      <c r="J6" s="2167"/>
      <c r="K6" s="2167"/>
      <c r="L6" s="2167"/>
      <c r="M6" s="2167"/>
      <c r="N6" s="2167"/>
      <c r="O6" s="2167"/>
      <c r="P6" s="2167"/>
      <c r="Q6" s="2168"/>
      <c r="S6" s="258"/>
      <c r="T6" s="231"/>
      <c r="U6" s="310"/>
      <c r="V6" s="274"/>
      <c r="W6" s="274"/>
      <c r="X6" s="274"/>
      <c r="Y6" s="274"/>
      <c r="Z6" s="274"/>
      <c r="AA6" s="274"/>
      <c r="AB6" s="274"/>
      <c r="AC6" s="274"/>
      <c r="AD6" s="274"/>
      <c r="AE6" s="274"/>
      <c r="AF6" s="274"/>
      <c r="AG6" s="274"/>
      <c r="AH6" s="274"/>
      <c r="AI6" s="274"/>
      <c r="AJ6" s="274"/>
      <c r="AK6" s="274"/>
      <c r="AL6" s="274"/>
      <c r="AM6" s="275"/>
      <c r="AN6" s="259"/>
    </row>
    <row r="7" spans="1:40">
      <c r="A7" s="258"/>
      <c r="B7" s="110"/>
      <c r="C7" s="41" t="s">
        <v>766</v>
      </c>
      <c r="Q7" s="244"/>
      <c r="S7" s="258"/>
      <c r="T7" s="110"/>
      <c r="U7" s="43" t="s">
        <v>814</v>
      </c>
      <c r="W7" s="311"/>
      <c r="X7" s="311"/>
      <c r="Y7" s="311"/>
      <c r="Z7" s="311"/>
      <c r="AA7" s="311"/>
      <c r="AB7" s="311"/>
      <c r="AC7" s="311"/>
      <c r="AD7" s="311"/>
      <c r="AE7" s="311"/>
      <c r="AF7" s="311"/>
      <c r="AG7" s="311"/>
      <c r="AH7" s="311"/>
      <c r="AI7" s="311"/>
      <c r="AJ7" s="311"/>
      <c r="AK7" s="311"/>
      <c r="AL7" s="311"/>
      <c r="AM7" s="312"/>
      <c r="AN7" s="259"/>
    </row>
    <row r="8" spans="1:40" ht="8.1" customHeight="1">
      <c r="A8" s="258"/>
      <c r="B8" s="110"/>
      <c r="Q8" s="244"/>
      <c r="S8" s="258"/>
      <c r="T8" s="110"/>
      <c r="U8" s="311"/>
      <c r="W8" s="311"/>
      <c r="X8" s="311"/>
      <c r="Y8" s="311"/>
      <c r="Z8" s="311"/>
      <c r="AA8" s="311"/>
      <c r="AB8" s="311"/>
      <c r="AC8" s="311"/>
      <c r="AD8" s="311"/>
      <c r="AE8" s="311"/>
      <c r="AF8" s="311"/>
      <c r="AG8" s="311"/>
      <c r="AH8" s="311"/>
      <c r="AI8" s="311"/>
      <c r="AJ8" s="311"/>
      <c r="AK8" s="311"/>
      <c r="AL8" s="311"/>
      <c r="AM8" s="312"/>
      <c r="AN8" s="259"/>
    </row>
    <row r="9" spans="1:40">
      <c r="A9" s="258"/>
      <c r="B9" s="110"/>
      <c r="C9" s="260" t="s">
        <v>563</v>
      </c>
      <c r="D9" t="s">
        <v>7</v>
      </c>
      <c r="Q9" s="244"/>
      <c r="S9" s="258"/>
      <c r="T9" s="110"/>
      <c r="U9" s="21" t="s">
        <v>815</v>
      </c>
      <c r="W9" s="311"/>
      <c r="X9" s="311"/>
      <c r="Y9" s="311"/>
      <c r="Z9" s="311"/>
      <c r="AA9" s="311"/>
      <c r="AB9" s="311"/>
      <c r="AC9" s="311"/>
      <c r="AD9" s="311"/>
      <c r="AE9" s="311"/>
      <c r="AF9" s="311"/>
      <c r="AG9" s="311"/>
      <c r="AH9" s="311"/>
      <c r="AI9" s="311"/>
      <c r="AJ9" s="311"/>
      <c r="AK9" s="311"/>
      <c r="AL9" s="311"/>
      <c r="AM9" s="312"/>
      <c r="AN9" s="259"/>
    </row>
    <row r="10" spans="1:40" ht="8.1" customHeight="1">
      <c r="A10" s="258"/>
      <c r="B10" s="110"/>
      <c r="C10" s="40"/>
      <c r="Q10" s="244"/>
      <c r="S10" s="258"/>
      <c r="T10" s="110"/>
      <c r="U10" s="311"/>
      <c r="W10" s="311"/>
      <c r="X10" s="311"/>
      <c r="Y10" s="311"/>
      <c r="Z10" s="311"/>
      <c r="AA10" s="311"/>
      <c r="AB10" s="311"/>
      <c r="AC10" s="311"/>
      <c r="AD10" s="311"/>
      <c r="AE10" s="311"/>
      <c r="AF10" s="311"/>
      <c r="AG10" s="311"/>
      <c r="AH10" s="311"/>
      <c r="AI10" s="311"/>
      <c r="AJ10" s="311"/>
      <c r="AK10" s="311"/>
      <c r="AL10" s="311"/>
      <c r="AM10" s="312"/>
      <c r="AN10" s="259"/>
    </row>
    <row r="11" spans="1:40">
      <c r="A11" s="258"/>
      <c r="B11" s="110"/>
      <c r="C11" s="260" t="s">
        <v>672</v>
      </c>
      <c r="D11" t="s">
        <v>8</v>
      </c>
      <c r="Q11" s="244"/>
      <c r="S11" s="258"/>
      <c r="T11" s="110"/>
      <c r="U11" s="21" t="s">
        <v>816</v>
      </c>
      <c r="W11" s="311"/>
      <c r="X11" s="311"/>
      <c r="Y11" s="311"/>
      <c r="Z11" s="311"/>
      <c r="AA11" s="311"/>
      <c r="AB11" s="311"/>
      <c r="AC11" s="311"/>
      <c r="AD11" s="311"/>
      <c r="AE11" s="146"/>
      <c r="AF11" s="146"/>
      <c r="AG11" s="266" t="s">
        <v>563</v>
      </c>
      <c r="AH11" s="146"/>
      <c r="AI11" s="266" t="s">
        <v>672</v>
      </c>
      <c r="AJ11" s="146"/>
      <c r="AK11" s="266" t="s">
        <v>650</v>
      </c>
      <c r="AL11" s="313"/>
      <c r="AM11" s="314"/>
      <c r="AN11" s="259"/>
    </row>
    <row r="12" spans="1:40" ht="8.1" customHeight="1">
      <c r="A12" s="258"/>
      <c r="B12" s="110"/>
      <c r="C12" s="40"/>
      <c r="Q12" s="244"/>
      <c r="S12" s="258"/>
      <c r="T12" s="110"/>
      <c r="U12" s="311"/>
      <c r="W12" s="311"/>
      <c r="X12" s="311"/>
      <c r="Y12" s="311"/>
      <c r="Z12" s="311"/>
      <c r="AA12" s="311"/>
      <c r="AB12" s="311"/>
      <c r="AC12" s="311"/>
      <c r="AD12" s="311"/>
      <c r="AE12" s="311"/>
      <c r="AF12" s="311"/>
      <c r="AG12" s="311"/>
      <c r="AH12" s="311"/>
      <c r="AI12" s="311"/>
      <c r="AJ12" s="311"/>
      <c r="AK12" s="311"/>
      <c r="AL12" s="311"/>
      <c r="AM12" s="312"/>
      <c r="AN12" s="259"/>
    </row>
    <row r="13" spans="1:40">
      <c r="A13" s="258"/>
      <c r="B13" s="110"/>
      <c r="C13" s="260" t="s">
        <v>650</v>
      </c>
      <c r="D13" t="s">
        <v>9</v>
      </c>
      <c r="Q13" s="244"/>
      <c r="S13" s="258"/>
      <c r="T13" s="110"/>
      <c r="U13" s="21" t="s">
        <v>817</v>
      </c>
      <c r="W13" s="311"/>
      <c r="X13" s="311"/>
      <c r="Y13" s="311"/>
      <c r="Z13" s="311"/>
      <c r="AA13" s="311"/>
      <c r="AB13" s="311"/>
      <c r="AC13" s="311"/>
      <c r="AD13" s="311"/>
      <c r="AE13" s="311"/>
      <c r="AF13" s="311"/>
      <c r="AG13" s="311"/>
      <c r="AH13" s="311"/>
      <c r="AI13" s="311"/>
      <c r="AJ13" s="311"/>
      <c r="AK13" s="311"/>
      <c r="AL13" s="311"/>
      <c r="AM13" s="312"/>
      <c r="AN13" s="259"/>
    </row>
    <row r="14" spans="1:40" ht="8.1" customHeight="1">
      <c r="A14" s="258"/>
      <c r="B14" s="110"/>
      <c r="C14" s="40"/>
      <c r="Q14" s="244"/>
      <c r="S14" s="258"/>
      <c r="T14" s="232"/>
      <c r="U14" s="315"/>
      <c r="V14" s="250"/>
      <c r="W14" s="315"/>
      <c r="X14" s="315"/>
      <c r="Y14" s="315"/>
      <c r="Z14" s="315"/>
      <c r="AA14" s="315"/>
      <c r="AB14" s="315"/>
      <c r="AC14" s="315"/>
      <c r="AD14" s="315"/>
      <c r="AE14" s="315"/>
      <c r="AF14" s="315"/>
      <c r="AG14" s="315"/>
      <c r="AH14" s="315"/>
      <c r="AI14" s="315"/>
      <c r="AJ14" s="315"/>
      <c r="AK14" s="315"/>
      <c r="AL14" s="315"/>
      <c r="AM14" s="316"/>
      <c r="AN14" s="259"/>
    </row>
    <row r="15" spans="1:40" ht="8.1" customHeight="1">
      <c r="A15" s="258"/>
      <c r="B15" s="110"/>
      <c r="Q15" s="244"/>
      <c r="S15" s="258"/>
      <c r="W15" s="311"/>
      <c r="X15" s="311"/>
      <c r="Y15" s="311"/>
      <c r="Z15" s="311"/>
      <c r="AA15" s="311"/>
      <c r="AB15" s="311"/>
      <c r="AC15" s="311"/>
      <c r="AD15" s="311"/>
      <c r="AE15" s="311"/>
      <c r="AF15" s="311"/>
      <c r="AG15" s="311"/>
      <c r="AH15" s="311"/>
      <c r="AI15" s="311"/>
      <c r="AJ15" s="311"/>
      <c r="AK15" s="311"/>
      <c r="AL15" s="311"/>
      <c r="AM15" s="311"/>
      <c r="AN15" s="259"/>
    </row>
    <row r="16" spans="1:40" ht="12.75" customHeight="1">
      <c r="A16" s="258"/>
      <c r="B16" s="110"/>
      <c r="C16" s="2169" t="s">
        <v>818</v>
      </c>
      <c r="D16" s="2169"/>
      <c r="E16" s="2169"/>
      <c r="F16" s="2169"/>
      <c r="G16" s="2169"/>
      <c r="H16" s="2169"/>
      <c r="I16" s="2169"/>
      <c r="J16" s="2169"/>
      <c r="K16" s="2169"/>
      <c r="L16" s="2169"/>
      <c r="M16" s="2169"/>
      <c r="N16" s="2169"/>
      <c r="O16" s="2169"/>
      <c r="P16" s="2169"/>
      <c r="Q16" s="2170"/>
      <c r="S16" s="258"/>
      <c r="AN16" s="259"/>
    </row>
    <row r="17" spans="1:40" ht="8.1" customHeight="1">
      <c r="A17" s="258"/>
      <c r="B17" s="110"/>
      <c r="C17" s="40"/>
      <c r="Q17" s="244"/>
      <c r="S17" s="258"/>
      <c r="AN17" s="259"/>
    </row>
    <row r="18" spans="1:40">
      <c r="A18" s="258"/>
      <c r="B18" s="110"/>
      <c r="C18" s="264" t="s">
        <v>819</v>
      </c>
      <c r="D18" s="264"/>
      <c r="E18" s="264"/>
      <c r="F18" s="264"/>
      <c r="G18" s="264"/>
      <c r="H18" s="264"/>
      <c r="I18" s="264"/>
      <c r="J18" s="264"/>
      <c r="K18" s="264"/>
      <c r="L18" s="264"/>
      <c r="M18" s="264"/>
      <c r="N18" s="264"/>
      <c r="O18" s="264"/>
      <c r="P18" s="264"/>
      <c r="Q18" s="265"/>
      <c r="S18" s="258"/>
      <c r="W18" s="38" t="s">
        <v>820</v>
      </c>
      <c r="AN18" s="259"/>
    </row>
    <row r="19" spans="1:40" ht="8.1" customHeight="1">
      <c r="A19" s="258"/>
      <c r="B19" s="110"/>
      <c r="C19" s="40"/>
      <c r="Q19" s="244"/>
      <c r="S19" s="258"/>
      <c r="AN19" s="259"/>
    </row>
    <row r="20" spans="1:40">
      <c r="A20" s="258"/>
      <c r="B20" s="110"/>
      <c r="C20" s="2171" t="s">
        <v>771</v>
      </c>
      <c r="D20" s="2171"/>
      <c r="E20" s="2171"/>
      <c r="F20" s="2171"/>
      <c r="G20" s="2171"/>
      <c r="H20" s="2171"/>
      <c r="I20" s="2171"/>
      <c r="J20" s="2171"/>
      <c r="K20" s="2171"/>
      <c r="L20" s="2171"/>
      <c r="M20" s="2171"/>
      <c r="N20" s="2171"/>
      <c r="O20" s="2171"/>
      <c r="P20" s="2171"/>
      <c r="Q20" s="2172"/>
      <c r="S20" s="258"/>
      <c r="T20" s="231"/>
      <c r="U20" s="317" t="s">
        <v>821</v>
      </c>
      <c r="V20" s="274"/>
      <c r="W20" s="274"/>
      <c r="X20" s="274"/>
      <c r="Y20" s="274"/>
      <c r="Z20" s="274"/>
      <c r="AA20" s="274"/>
      <c r="AB20" s="274"/>
      <c r="AC20" s="274"/>
      <c r="AD20" s="274"/>
      <c r="AE20" s="274"/>
      <c r="AF20" s="274"/>
      <c r="AG20" s="274"/>
      <c r="AH20" s="274"/>
      <c r="AI20" s="274"/>
      <c r="AJ20" s="274"/>
      <c r="AK20" s="274"/>
      <c r="AL20" s="274"/>
      <c r="AM20" s="275"/>
      <c r="AN20" s="259"/>
    </row>
    <row r="21" spans="1:40" ht="8.1" customHeight="1">
      <c r="A21" s="258"/>
      <c r="B21" s="110"/>
      <c r="C21" s="41"/>
      <c r="D21" s="41"/>
      <c r="E21" s="41"/>
      <c r="F21" s="41"/>
      <c r="G21" s="41"/>
      <c r="H21" s="41"/>
      <c r="I21" s="41"/>
      <c r="J21" s="41"/>
      <c r="K21" s="41"/>
      <c r="L21" s="41"/>
      <c r="M21" s="41"/>
      <c r="N21" s="41"/>
      <c r="O21" s="41"/>
      <c r="P21" s="41"/>
      <c r="Q21" s="248"/>
      <c r="S21" s="258"/>
      <c r="T21" s="110"/>
      <c r="W21" s="311"/>
      <c r="X21" s="311"/>
      <c r="Y21" s="311"/>
      <c r="AA21" s="311"/>
      <c r="AC21" s="311"/>
      <c r="AD21" s="311"/>
      <c r="AE21" s="311"/>
      <c r="AF21" s="311"/>
      <c r="AG21" s="311"/>
      <c r="AH21" s="21"/>
      <c r="AI21" s="311"/>
      <c r="AJ21" s="311"/>
      <c r="AK21" s="311"/>
      <c r="AL21" s="311"/>
      <c r="AM21" s="312"/>
      <c r="AN21" s="259"/>
    </row>
    <row r="22" spans="1:40">
      <c r="A22" s="258"/>
      <c r="B22" s="110"/>
      <c r="C22" s="318" t="s">
        <v>822</v>
      </c>
      <c r="Q22" s="244"/>
      <c r="S22" s="258"/>
      <c r="T22" s="110"/>
      <c r="U22" s="311"/>
      <c r="W22" s="311"/>
      <c r="X22" s="311"/>
      <c r="Y22" s="311"/>
      <c r="Z22" s="311"/>
      <c r="AA22" s="311"/>
      <c r="AB22" s="21" t="s">
        <v>823</v>
      </c>
      <c r="AC22" s="311"/>
      <c r="AD22" s="311"/>
      <c r="AE22" s="311"/>
      <c r="AF22" s="311"/>
      <c r="AG22" s="319"/>
      <c r="AH22" s="319"/>
      <c r="AI22" s="319"/>
      <c r="AJ22" s="319"/>
      <c r="AK22" s="319"/>
      <c r="AL22" s="313"/>
      <c r="AM22" s="312"/>
      <c r="AN22" s="259"/>
    </row>
    <row r="23" spans="1:40" ht="8.1" customHeight="1">
      <c r="A23" s="258"/>
      <c r="B23" s="110"/>
      <c r="C23" s="267"/>
      <c r="D23" s="267"/>
      <c r="E23" s="267"/>
      <c r="F23" s="267"/>
      <c r="G23" s="267"/>
      <c r="H23" s="267"/>
      <c r="I23" s="267"/>
      <c r="J23" s="267"/>
      <c r="K23" s="267"/>
      <c r="L23" s="267"/>
      <c r="M23" s="267"/>
      <c r="N23" s="267"/>
      <c r="O23" s="267"/>
      <c r="P23" s="267"/>
      <c r="Q23" s="268"/>
      <c r="S23" s="258"/>
      <c r="T23" s="110"/>
      <c r="U23"/>
      <c r="V23" s="311"/>
      <c r="W23" s="311"/>
      <c r="X23" s="311"/>
      <c r="Y23" s="311"/>
      <c r="Z23" s="311"/>
      <c r="AA23" s="311"/>
      <c r="AB23" s="311"/>
      <c r="AC23" s="311"/>
      <c r="AD23" s="311"/>
      <c r="AE23" s="311"/>
      <c r="AF23" s="311"/>
      <c r="AG23" s="311"/>
      <c r="AH23" s="311"/>
      <c r="AI23" s="311"/>
      <c r="AJ23" s="311"/>
      <c r="AK23" s="311"/>
      <c r="AL23" s="311"/>
      <c r="AM23" s="312"/>
      <c r="AN23" s="259"/>
    </row>
    <row r="24" spans="1:40" ht="12.75" customHeight="1">
      <c r="A24" s="258"/>
      <c r="B24" s="232"/>
      <c r="C24" s="320" t="s">
        <v>824</v>
      </c>
      <c r="D24" s="321"/>
      <c r="E24" s="321"/>
      <c r="F24" s="321"/>
      <c r="G24" s="321"/>
      <c r="H24" s="321"/>
      <c r="I24" s="321"/>
      <c r="J24" s="321"/>
      <c r="K24" s="321"/>
      <c r="L24" s="321"/>
      <c r="M24" s="321"/>
      <c r="N24" s="321"/>
      <c r="O24" s="321"/>
      <c r="P24" s="321"/>
      <c r="Q24" s="322"/>
      <c r="S24" s="258"/>
      <c r="T24" s="110"/>
      <c r="V24" s="21" t="s">
        <v>825</v>
      </c>
      <c r="W24" s="311"/>
      <c r="X24" s="311"/>
      <c r="Y24" s="311"/>
      <c r="Z24" s="311"/>
      <c r="AA24" s="266" t="s">
        <v>563</v>
      </c>
      <c r="AB24" s="146"/>
      <c r="AC24" s="266" t="s">
        <v>672</v>
      </c>
      <c r="AD24" s="146"/>
      <c r="AE24" s="266" t="s">
        <v>650</v>
      </c>
      <c r="AF24" s="146"/>
      <c r="AG24" s="261"/>
      <c r="AH24" s="313"/>
      <c r="AI24" s="313"/>
      <c r="AJ24" s="313"/>
      <c r="AK24" s="313"/>
      <c r="AL24" s="313"/>
      <c r="AM24" s="249"/>
      <c r="AN24" s="259"/>
    </row>
    <row r="25" spans="1:40" ht="8.1" customHeight="1">
      <c r="A25" s="258"/>
      <c r="C25" s="269"/>
      <c r="D25" s="269"/>
      <c r="E25" s="269"/>
      <c r="F25" s="269"/>
      <c r="G25" s="269"/>
      <c r="H25" s="269"/>
      <c r="I25" s="269"/>
      <c r="J25" s="269"/>
      <c r="K25" s="269"/>
      <c r="L25" s="269"/>
      <c r="M25" s="269"/>
      <c r="N25" s="269"/>
      <c r="O25" s="269"/>
      <c r="P25" s="269"/>
      <c r="Q25" s="269"/>
      <c r="S25" s="258"/>
      <c r="T25" s="110"/>
      <c r="U25"/>
      <c r="V25" s="311"/>
      <c r="W25" s="311"/>
      <c r="X25" s="311"/>
      <c r="Y25" s="311"/>
      <c r="Z25" s="311"/>
      <c r="AA25" s="311"/>
      <c r="AB25" s="311"/>
      <c r="AC25" s="311"/>
      <c r="AD25" s="311"/>
      <c r="AE25" s="311"/>
      <c r="AF25" s="311"/>
      <c r="AG25" s="311"/>
      <c r="AH25" s="311"/>
      <c r="AI25" s="311"/>
      <c r="AJ25" s="311"/>
      <c r="AK25" s="311"/>
      <c r="AL25" s="311"/>
      <c r="AM25" s="312"/>
      <c r="AN25" s="259"/>
    </row>
    <row r="26" spans="1:40">
      <c r="A26" s="258"/>
      <c r="S26" s="258"/>
      <c r="T26" s="110"/>
      <c r="V26" s="21" t="s">
        <v>826</v>
      </c>
      <c r="W26" s="311"/>
      <c r="X26" s="311"/>
      <c r="Y26" s="311"/>
      <c r="Z26" s="311"/>
      <c r="AA26" s="266" t="s">
        <v>563</v>
      </c>
      <c r="AB26" s="146"/>
      <c r="AC26" s="266" t="s">
        <v>672</v>
      </c>
      <c r="AD26" s="146"/>
      <c r="AE26" s="266" t="s">
        <v>650</v>
      </c>
      <c r="AF26" s="146"/>
      <c r="AG26" s="261"/>
      <c r="AH26" s="313"/>
      <c r="AI26" s="313"/>
      <c r="AJ26" s="313"/>
      <c r="AK26" s="313"/>
      <c r="AL26" s="313"/>
      <c r="AM26" s="249"/>
      <c r="AN26" s="259"/>
    </row>
    <row r="27" spans="1:40">
      <c r="A27" s="258"/>
      <c r="B27" s="270" t="s">
        <v>613</v>
      </c>
      <c r="S27" s="258"/>
      <c r="T27" s="110"/>
      <c r="U27"/>
      <c r="V27" s="311"/>
      <c r="W27" s="311"/>
      <c r="X27" s="311"/>
      <c r="Y27" s="311"/>
      <c r="Z27" s="311"/>
      <c r="AA27" s="311"/>
      <c r="AB27" s="311"/>
      <c r="AC27" s="311"/>
      <c r="AD27" s="311"/>
      <c r="AE27" s="311"/>
      <c r="AF27" s="311"/>
      <c r="AG27" s="311"/>
      <c r="AH27" s="311"/>
      <c r="AI27" s="311"/>
      <c r="AJ27" s="311"/>
      <c r="AK27" s="311"/>
      <c r="AL27" s="311"/>
      <c r="AM27" s="312"/>
      <c r="AN27" s="259"/>
    </row>
    <row r="28" spans="1:40" ht="8.1" customHeight="1">
      <c r="A28" s="258"/>
      <c r="B28" s="270"/>
      <c r="S28" s="258"/>
      <c r="T28" s="110"/>
      <c r="AM28" s="244"/>
      <c r="AN28" s="259"/>
    </row>
    <row r="29" spans="1:40" ht="12.75" customHeight="1">
      <c r="A29" s="258"/>
      <c r="D29" t="s">
        <v>827</v>
      </c>
      <c r="S29" s="258"/>
      <c r="T29" s="110"/>
      <c r="U29" s="21"/>
      <c r="V29" s="21" t="s">
        <v>828</v>
      </c>
      <c r="W29" s="323"/>
      <c r="X29" s="323"/>
      <c r="Y29" s="323"/>
      <c r="Z29" s="323"/>
      <c r="AA29" s="323"/>
      <c r="AB29" s="323"/>
      <c r="AC29" s="324"/>
      <c r="AD29" s="324"/>
      <c r="AE29" s="324"/>
      <c r="AF29" s="324"/>
      <c r="AG29" s="324"/>
      <c r="AH29" s="324"/>
      <c r="AI29" s="324"/>
      <c r="AJ29" s="324"/>
      <c r="AK29" s="324"/>
      <c r="AL29" s="313"/>
      <c r="AM29" s="325"/>
      <c r="AN29" s="259"/>
    </row>
    <row r="30" spans="1:40" ht="8.1" customHeight="1">
      <c r="A30" s="258"/>
      <c r="B30" s="270"/>
      <c r="S30" s="258"/>
      <c r="T30" s="232"/>
      <c r="U30" s="242"/>
      <c r="V30" s="315"/>
      <c r="W30" s="315"/>
      <c r="X30" s="315"/>
      <c r="Y30" s="315"/>
      <c r="Z30" s="315"/>
      <c r="AA30" s="123"/>
      <c r="AB30" s="123"/>
      <c r="AC30" s="123"/>
      <c r="AD30" s="123"/>
      <c r="AE30" s="123"/>
      <c r="AF30" s="123"/>
      <c r="AG30" s="123"/>
      <c r="AH30" s="123"/>
      <c r="AI30" s="123"/>
      <c r="AJ30" s="123"/>
      <c r="AK30" s="123"/>
      <c r="AL30" s="123"/>
      <c r="AM30" s="273"/>
      <c r="AN30" s="259"/>
    </row>
    <row r="31" spans="1:40">
      <c r="A31" s="258"/>
      <c r="D31" t="s">
        <v>829</v>
      </c>
      <c r="S31" s="258"/>
      <c r="AM31" s="323"/>
      <c r="AN31" s="259"/>
    </row>
    <row r="32" spans="1:40" ht="8.1" customHeight="1">
      <c r="A32" s="258"/>
      <c r="B32" s="270"/>
      <c r="S32" s="258"/>
      <c r="AN32" s="259"/>
    </row>
    <row r="33" spans="1:40" ht="12.75" customHeight="1">
      <c r="A33" s="258"/>
      <c r="D33" t="s">
        <v>830</v>
      </c>
      <c r="S33" s="258"/>
      <c r="T33" s="41" t="s">
        <v>831</v>
      </c>
      <c r="U33" s="21"/>
      <c r="V33" s="323"/>
      <c r="W33" s="323"/>
      <c r="X33" s="323"/>
      <c r="Y33" s="323"/>
      <c r="Z33" s="146"/>
      <c r="AA33" s="266" t="s">
        <v>563</v>
      </c>
      <c r="AB33" s="146"/>
      <c r="AC33" s="266" t="s">
        <v>672</v>
      </c>
      <c r="AD33" s="146"/>
      <c r="AE33" s="266" t="s">
        <v>650</v>
      </c>
      <c r="AF33" s="146"/>
      <c r="AG33" s="261"/>
      <c r="AH33" s="313"/>
      <c r="AI33" s="313"/>
      <c r="AJ33" s="313"/>
      <c r="AK33" s="313"/>
      <c r="AL33" s="313"/>
      <c r="AM33" s="311"/>
      <c r="AN33" s="259"/>
    </row>
    <row r="34" spans="1:40" ht="8.1" customHeight="1">
      <c r="A34" s="258"/>
      <c r="B34" s="270"/>
      <c r="S34" s="258"/>
      <c r="T34" s="243"/>
      <c r="U34"/>
      <c r="AM34" s="22"/>
      <c r="AN34" s="259"/>
    </row>
    <row r="35" spans="1:40" ht="8.1" customHeight="1">
      <c r="A35" s="258"/>
      <c r="B35" s="270"/>
      <c r="S35" s="258"/>
      <c r="U35"/>
      <c r="V35" s="311"/>
      <c r="W35" s="311"/>
      <c r="X35" s="311"/>
      <c r="Y35" s="311"/>
      <c r="Z35" s="311"/>
      <c r="AA35" s="311"/>
      <c r="AB35" s="311"/>
      <c r="AC35" s="311"/>
      <c r="AD35" s="311"/>
      <c r="AE35" s="311"/>
      <c r="AF35" s="311"/>
      <c r="AG35" s="311"/>
      <c r="AH35" s="311"/>
      <c r="AI35" s="311"/>
      <c r="AJ35" s="311"/>
      <c r="AK35" s="311"/>
      <c r="AL35" s="311"/>
      <c r="AM35" s="22"/>
      <c r="AN35" s="259"/>
    </row>
    <row r="36" spans="1:40">
      <c r="A36" s="258"/>
      <c r="E36" s="37" t="s">
        <v>832</v>
      </c>
      <c r="S36" s="258"/>
      <c r="T36" s="21" t="s">
        <v>833</v>
      </c>
      <c r="U36" s="21"/>
      <c r="V36" s="311"/>
      <c r="W36" s="311"/>
      <c r="X36" s="311"/>
      <c r="Y36" s="311"/>
      <c r="Z36" s="146"/>
      <c r="AA36" s="146"/>
      <c r="AB36" s="146"/>
      <c r="AC36" s="146"/>
      <c r="AD36" s="146"/>
      <c r="AE36" s="146"/>
      <c r="AF36" s="146"/>
      <c r="AG36" s="146"/>
      <c r="AH36" s="146"/>
      <c r="AI36" s="146"/>
      <c r="AJ36" s="146"/>
      <c r="AM36" s="311"/>
      <c r="AN36" s="259"/>
    </row>
    <row r="37" spans="1:40" ht="8.1" customHeight="1">
      <c r="A37" s="258"/>
      <c r="C37" s="41"/>
      <c r="S37" s="258"/>
      <c r="T37" s="21"/>
      <c r="U37" s="311"/>
      <c r="V37" s="311"/>
      <c r="W37" s="311"/>
      <c r="X37" s="311"/>
      <c r="Y37" s="311"/>
      <c r="AM37" s="311"/>
      <c r="AN37" s="259"/>
    </row>
    <row r="38" spans="1:40">
      <c r="A38" s="258"/>
      <c r="B38" s="2159" t="s">
        <v>834</v>
      </c>
      <c r="C38" s="2160"/>
      <c r="D38" s="2160"/>
      <c r="E38" s="2160"/>
      <c r="F38" s="2160"/>
      <c r="G38" s="2160"/>
      <c r="H38" s="2160"/>
      <c r="I38" s="2160"/>
      <c r="J38" s="2160"/>
      <c r="K38" s="2160"/>
      <c r="L38" s="2160"/>
      <c r="M38" s="2160"/>
      <c r="N38" s="2160"/>
      <c r="O38" s="2160"/>
      <c r="P38" s="2160"/>
      <c r="Q38" s="2161"/>
      <c r="S38" s="258"/>
      <c r="Z38" s="21" t="s">
        <v>835</v>
      </c>
      <c r="AA38" s="311"/>
      <c r="AB38" s="311"/>
      <c r="AC38" s="319"/>
      <c r="AD38" s="319"/>
      <c r="AE38" s="319"/>
      <c r="AF38" s="319"/>
      <c r="AG38" s="319"/>
      <c r="AH38" s="313"/>
      <c r="AI38" s="313"/>
      <c r="AJ38" s="313"/>
      <c r="AK38" s="313"/>
      <c r="AL38" s="313"/>
      <c r="AM38" s="311"/>
      <c r="AN38" s="259"/>
    </row>
    <row r="39" spans="1:40" ht="12.75" customHeight="1">
      <c r="A39" s="258"/>
      <c r="B39" s="110"/>
      <c r="C39" s="41"/>
      <c r="F39" t="s">
        <v>295</v>
      </c>
      <c r="H39" s="22"/>
      <c r="I39" s="22"/>
      <c r="K39" s="261"/>
      <c r="L39" s="326"/>
      <c r="M39" s="261"/>
      <c r="N39" s="261"/>
      <c r="O39" s="261"/>
      <c r="P39" s="261"/>
      <c r="Q39" s="262"/>
      <c r="S39" s="258"/>
      <c r="AM39" s="22"/>
      <c r="AN39" s="259"/>
    </row>
    <row r="40" spans="1:40" ht="8.1" customHeight="1">
      <c r="A40" s="258"/>
      <c r="B40" s="110"/>
      <c r="C40" s="263"/>
      <c r="Q40" s="244"/>
      <c r="S40" s="258"/>
      <c r="AM40" s="22"/>
      <c r="AN40" s="259"/>
    </row>
    <row r="41" spans="1:40">
      <c r="A41" s="258"/>
      <c r="B41" s="110"/>
      <c r="C41" s="41"/>
      <c r="D41" t="s">
        <v>836</v>
      </c>
      <c r="J41" s="146"/>
      <c r="K41" s="146"/>
      <c r="L41" s="146"/>
      <c r="M41" s="146"/>
      <c r="N41" s="146"/>
      <c r="O41" s="146"/>
      <c r="P41" s="146"/>
      <c r="Q41" s="249"/>
      <c r="S41" s="258"/>
      <c r="AM41" s="22"/>
      <c r="AN41" s="259"/>
    </row>
    <row r="42" spans="1:40" ht="8.1" customHeight="1">
      <c r="A42" s="258"/>
      <c r="B42" s="110"/>
      <c r="C42" s="41"/>
      <c r="J42" s="146"/>
      <c r="K42" s="146"/>
      <c r="L42" s="146"/>
      <c r="M42" s="146"/>
      <c r="N42" s="146"/>
      <c r="O42" s="146"/>
      <c r="P42" s="146"/>
      <c r="Q42" s="249"/>
      <c r="S42" s="258"/>
      <c r="U42"/>
      <c r="AN42" s="259"/>
    </row>
    <row r="43" spans="1:40">
      <c r="A43" s="258"/>
      <c r="B43" s="110"/>
      <c r="C43" s="41"/>
      <c r="D43" t="s">
        <v>837</v>
      </c>
      <c r="J43" s="146"/>
      <c r="K43" s="146"/>
      <c r="L43" s="146"/>
      <c r="M43" s="146"/>
      <c r="N43" s="146"/>
      <c r="O43" s="146"/>
      <c r="P43" s="146"/>
      <c r="Q43" s="249"/>
      <c r="S43" s="258"/>
      <c r="U43" s="37" t="s">
        <v>838</v>
      </c>
      <c r="AA43" s="146"/>
      <c r="AB43" s="146"/>
      <c r="AC43" s="266" t="s">
        <v>563</v>
      </c>
      <c r="AD43" s="146"/>
      <c r="AE43" s="266" t="s">
        <v>672</v>
      </c>
      <c r="AF43" s="146"/>
      <c r="AG43" s="266" t="s">
        <v>650</v>
      </c>
      <c r="AH43" s="146"/>
      <c r="AI43" s="261"/>
      <c r="AJ43" s="313"/>
      <c r="AK43" s="313"/>
      <c r="AL43" s="313"/>
      <c r="AM43" s="146"/>
      <c r="AN43" s="327"/>
    </row>
    <row r="44" spans="1:40" ht="8.1" customHeight="1">
      <c r="A44" s="258"/>
      <c r="B44" s="110"/>
      <c r="C44" s="41"/>
      <c r="J44" s="146"/>
      <c r="K44" s="146"/>
      <c r="L44" s="146"/>
      <c r="M44" s="146"/>
      <c r="N44" s="146"/>
      <c r="O44" s="146"/>
      <c r="P44" s="146"/>
      <c r="Q44" s="249"/>
      <c r="S44" s="258"/>
      <c r="U44"/>
      <c r="AN44" s="259"/>
    </row>
    <row r="45" spans="1:40">
      <c r="A45" s="258"/>
      <c r="B45" s="110"/>
      <c r="C45" s="41"/>
      <c r="D45" t="s">
        <v>839</v>
      </c>
      <c r="J45" s="146"/>
      <c r="K45" s="146"/>
      <c r="L45" s="146"/>
      <c r="M45" s="146"/>
      <c r="N45" s="146"/>
      <c r="O45" s="146"/>
      <c r="P45" s="146"/>
      <c r="Q45" s="249"/>
      <c r="S45" s="258"/>
      <c r="U45" s="41"/>
      <c r="Z45" s="21" t="s">
        <v>840</v>
      </c>
      <c r="AA45" s="311"/>
      <c r="AB45" s="311"/>
      <c r="AC45" s="319"/>
      <c r="AD45" s="319"/>
      <c r="AE45" s="319"/>
      <c r="AF45" s="319"/>
      <c r="AG45" s="319"/>
      <c r="AH45" s="313"/>
      <c r="AI45" s="313"/>
      <c r="AJ45" s="313"/>
      <c r="AK45" s="313"/>
      <c r="AL45" s="313"/>
      <c r="AM45" s="22"/>
      <c r="AN45" s="259"/>
    </row>
    <row r="46" spans="1:40" ht="8.1" customHeight="1">
      <c r="A46" s="258"/>
      <c r="B46" s="110"/>
      <c r="C46" s="41"/>
      <c r="J46" s="146"/>
      <c r="K46" s="146"/>
      <c r="L46" s="146"/>
      <c r="M46" s="146"/>
      <c r="N46" s="146"/>
      <c r="O46" s="146"/>
      <c r="P46" s="146"/>
      <c r="Q46" s="249"/>
      <c r="S46" s="258"/>
      <c r="AN46" s="259"/>
    </row>
    <row r="47" spans="1:40">
      <c r="A47" s="258"/>
      <c r="B47" s="110"/>
      <c r="C47" s="41"/>
      <c r="D47" t="s">
        <v>841</v>
      </c>
      <c r="J47" s="146"/>
      <c r="K47" s="146"/>
      <c r="L47" s="146"/>
      <c r="M47" s="146"/>
      <c r="N47" s="146"/>
      <c r="O47" s="146"/>
      <c r="P47" s="146"/>
      <c r="Q47" s="249"/>
      <c r="S47" s="258"/>
      <c r="AN47" s="259"/>
    </row>
    <row r="48" spans="1:40" ht="8.1" customHeight="1">
      <c r="A48" s="258"/>
      <c r="B48" s="110"/>
      <c r="C48" s="41"/>
      <c r="J48" s="146"/>
      <c r="K48" s="146"/>
      <c r="L48" s="146"/>
      <c r="M48" s="146"/>
      <c r="N48" s="146"/>
      <c r="O48" s="146"/>
      <c r="P48" s="146"/>
      <c r="Q48" s="249"/>
      <c r="S48" s="258"/>
      <c r="U48"/>
      <c r="AN48" s="259"/>
    </row>
    <row r="49" spans="1:40">
      <c r="A49" s="258"/>
      <c r="B49" s="110"/>
      <c r="C49" s="41"/>
      <c r="D49" t="s">
        <v>842</v>
      </c>
      <c r="J49" s="146"/>
      <c r="K49" s="146"/>
      <c r="L49" s="146"/>
      <c r="M49" s="146"/>
      <c r="N49" s="146"/>
      <c r="O49" s="146"/>
      <c r="P49" s="146"/>
      <c r="Q49" s="249"/>
      <c r="S49" s="258"/>
      <c r="T49" s="231"/>
      <c r="U49" s="317" t="s">
        <v>843</v>
      </c>
      <c r="V49" s="274"/>
      <c r="W49" s="274"/>
      <c r="X49" s="274"/>
      <c r="Y49" s="274"/>
      <c r="Z49" s="274"/>
      <c r="AA49" s="274"/>
      <c r="AB49" s="274"/>
      <c r="AC49" s="274"/>
      <c r="AD49" s="274"/>
      <c r="AE49" s="274"/>
      <c r="AF49" s="274"/>
      <c r="AG49" s="274"/>
      <c r="AH49" s="274"/>
      <c r="AI49" s="274"/>
      <c r="AJ49" s="274"/>
      <c r="AK49" s="274"/>
      <c r="AL49" s="274"/>
      <c r="AM49" s="275"/>
      <c r="AN49" s="259"/>
    </row>
    <row r="50" spans="1:40" ht="8.1" customHeight="1">
      <c r="A50" s="258"/>
      <c r="B50" s="232"/>
      <c r="C50" s="276"/>
      <c r="D50" s="250"/>
      <c r="E50" s="250"/>
      <c r="F50" s="250"/>
      <c r="G50" s="250"/>
      <c r="H50" s="250"/>
      <c r="I50" s="250"/>
      <c r="J50" s="328"/>
      <c r="K50" s="328"/>
      <c r="L50" s="328"/>
      <c r="M50" s="328"/>
      <c r="N50" s="328"/>
      <c r="O50" s="328"/>
      <c r="P50" s="328"/>
      <c r="Q50" s="271"/>
      <c r="S50" s="258"/>
      <c r="T50" s="110"/>
      <c r="W50" s="311"/>
      <c r="X50" s="311"/>
      <c r="Y50" s="311"/>
      <c r="AA50" s="311"/>
      <c r="AC50" s="311"/>
      <c r="AD50" s="311"/>
      <c r="AE50" s="311"/>
      <c r="AF50" s="311"/>
      <c r="AG50" s="311"/>
      <c r="AH50" s="21"/>
      <c r="AI50" s="311"/>
      <c r="AJ50" s="311"/>
      <c r="AK50" s="311"/>
      <c r="AL50" s="311"/>
      <c r="AM50" s="312"/>
      <c r="AN50" s="259"/>
    </row>
    <row r="51" spans="1:40" ht="15" customHeight="1">
      <c r="A51" s="258"/>
      <c r="S51" s="258"/>
      <c r="T51" s="110"/>
      <c r="U51" s="311"/>
      <c r="V51" s="21" t="s">
        <v>844</v>
      </c>
      <c r="W51" s="311"/>
      <c r="X51" s="311"/>
      <c r="Y51" s="311"/>
      <c r="Z51" s="311"/>
      <c r="AA51" s="266" t="s">
        <v>563</v>
      </c>
      <c r="AB51" s="146"/>
      <c r="AC51" s="266" t="s">
        <v>672</v>
      </c>
      <c r="AD51" s="146"/>
      <c r="AE51" s="266" t="s">
        <v>650</v>
      </c>
      <c r="AF51" s="146"/>
      <c r="AG51" s="261"/>
      <c r="AH51" s="313"/>
      <c r="AI51" s="313"/>
      <c r="AJ51" s="313"/>
      <c r="AK51" s="313"/>
      <c r="AL51" s="313"/>
      <c r="AM51" s="312"/>
      <c r="AN51" s="259"/>
    </row>
    <row r="52" spans="1:40" ht="12.75" customHeight="1">
      <c r="A52" s="258"/>
      <c r="C52" s="38"/>
      <c r="D52" s="38"/>
      <c r="E52" s="38" t="s">
        <v>845</v>
      </c>
      <c r="F52" s="38"/>
      <c r="G52" s="38"/>
      <c r="H52" s="38"/>
      <c r="I52" s="38"/>
      <c r="J52" s="38"/>
      <c r="K52" s="38"/>
      <c r="L52" s="38"/>
      <c r="M52" s="38"/>
      <c r="N52" s="38"/>
      <c r="O52" s="38"/>
      <c r="P52" s="38"/>
      <c r="Q52" s="38"/>
      <c r="R52" s="38"/>
      <c r="S52" s="258"/>
      <c r="T52" s="110"/>
      <c r="U52"/>
      <c r="V52" s="311"/>
      <c r="W52" s="311"/>
      <c r="X52" s="311"/>
      <c r="Y52" s="311"/>
      <c r="Z52" s="311"/>
      <c r="AA52" s="311"/>
      <c r="AB52" s="311"/>
      <c r="AC52" s="311"/>
      <c r="AD52" s="311"/>
      <c r="AE52" s="311"/>
      <c r="AF52" s="311"/>
      <c r="AG52" s="311"/>
      <c r="AH52" s="311"/>
      <c r="AI52" s="311"/>
      <c r="AJ52" s="311"/>
      <c r="AK52" s="311"/>
      <c r="AL52" s="311"/>
      <c r="AM52" s="312"/>
      <c r="AN52" s="259"/>
    </row>
    <row r="53" spans="1:40" ht="8.1" customHeight="1">
      <c r="A53" s="258"/>
      <c r="C53" s="41"/>
      <c r="S53" s="258"/>
      <c r="T53" s="110"/>
      <c r="AM53" s="249"/>
      <c r="AN53" s="259"/>
    </row>
    <row r="54" spans="1:40" ht="8.1" customHeight="1">
      <c r="A54" s="258"/>
      <c r="B54" s="231"/>
      <c r="C54" s="310"/>
      <c r="D54" s="274"/>
      <c r="E54" s="274"/>
      <c r="F54" s="274"/>
      <c r="G54" s="274"/>
      <c r="H54" s="274"/>
      <c r="I54" s="274"/>
      <c r="J54" s="274"/>
      <c r="K54" s="274"/>
      <c r="L54" s="274"/>
      <c r="M54" s="274"/>
      <c r="N54" s="274"/>
      <c r="O54" s="274"/>
      <c r="P54" s="274"/>
      <c r="Q54" s="275"/>
      <c r="S54" s="258"/>
      <c r="T54" s="110"/>
      <c r="U54"/>
      <c r="AM54" s="312"/>
      <c r="AN54" s="259"/>
    </row>
    <row r="55" spans="1:40">
      <c r="A55" s="258"/>
      <c r="B55" s="110"/>
      <c r="C55" s="43" t="s">
        <v>846</v>
      </c>
      <c r="E55" s="311"/>
      <c r="F55" s="311"/>
      <c r="G55" s="311"/>
      <c r="H55" s="311"/>
      <c r="I55" s="311"/>
      <c r="J55" s="311"/>
      <c r="K55" s="311"/>
      <c r="L55" s="311"/>
      <c r="M55" s="311"/>
      <c r="N55" s="311"/>
      <c r="O55" s="311"/>
      <c r="P55" s="311"/>
      <c r="Q55" s="312"/>
      <c r="R55" s="311"/>
      <c r="S55" s="258"/>
      <c r="T55" s="110"/>
      <c r="V55" s="21" t="s">
        <v>297</v>
      </c>
      <c r="W55" s="311"/>
      <c r="X55" s="311"/>
      <c r="Y55" s="311"/>
      <c r="Z55" s="21" t="s">
        <v>847</v>
      </c>
      <c r="AA55" s="261"/>
      <c r="AB55" s="313"/>
      <c r="AC55" s="313"/>
      <c r="AD55" s="313"/>
      <c r="AE55" s="313"/>
      <c r="AF55" s="313"/>
      <c r="AG55" s="261"/>
      <c r="AH55" s="313"/>
      <c r="AI55" s="313"/>
      <c r="AJ55" s="313"/>
      <c r="AK55" s="313"/>
      <c r="AL55" s="313"/>
      <c r="AM55" s="249"/>
      <c r="AN55" s="259"/>
    </row>
    <row r="56" spans="1:40" ht="8.1" customHeight="1">
      <c r="A56" s="258"/>
      <c r="B56" s="110"/>
      <c r="Q56" s="244"/>
      <c r="S56" s="258"/>
      <c r="T56" s="232"/>
      <c r="U56" s="251"/>
      <c r="V56" s="250"/>
      <c r="W56" s="250"/>
      <c r="X56" s="315"/>
      <c r="Y56" s="315"/>
      <c r="Z56" s="315"/>
      <c r="AA56" s="315"/>
      <c r="AB56" s="315"/>
      <c r="AC56" s="123"/>
      <c r="AD56" s="123"/>
      <c r="AE56" s="123"/>
      <c r="AF56" s="123"/>
      <c r="AG56" s="315"/>
      <c r="AH56" s="315"/>
      <c r="AI56" s="123"/>
      <c r="AJ56" s="123"/>
      <c r="AK56" s="123"/>
      <c r="AL56" s="123"/>
      <c r="AM56" s="316"/>
      <c r="AN56" s="259"/>
    </row>
    <row r="57" spans="1:40">
      <c r="A57" s="258"/>
      <c r="B57" s="110"/>
      <c r="C57" s="21" t="s">
        <v>848</v>
      </c>
      <c r="E57" s="311"/>
      <c r="F57" s="311"/>
      <c r="G57" s="311"/>
      <c r="H57" s="311"/>
      <c r="I57" s="311"/>
      <c r="J57" s="311"/>
      <c r="K57" s="311"/>
      <c r="L57" s="311"/>
      <c r="M57" s="311"/>
      <c r="N57" s="311"/>
      <c r="O57" s="311"/>
      <c r="P57" s="311"/>
      <c r="Q57" s="312"/>
      <c r="R57" s="311"/>
      <c r="S57" s="258"/>
      <c r="U57"/>
      <c r="V57" s="21"/>
      <c r="W57" s="311"/>
      <c r="X57" s="311"/>
      <c r="Y57" s="311"/>
      <c r="Z57" s="311"/>
      <c r="AA57" s="311"/>
      <c r="AC57" s="311"/>
      <c r="AD57" s="311"/>
      <c r="AE57" s="311"/>
      <c r="AG57" s="311"/>
      <c r="AI57" s="311"/>
      <c r="AJ57" s="311"/>
      <c r="AK57" s="311"/>
      <c r="AL57" s="311"/>
      <c r="AN57" s="259"/>
    </row>
    <row r="58" spans="1:40" ht="8.1" customHeight="1">
      <c r="A58" s="258"/>
      <c r="B58" s="110"/>
      <c r="C58" s="311"/>
      <c r="E58" s="311"/>
      <c r="F58" s="311"/>
      <c r="G58" s="311"/>
      <c r="H58" s="311"/>
      <c r="I58" s="311"/>
      <c r="J58" s="311"/>
      <c r="K58" s="311"/>
      <c r="L58" s="311"/>
      <c r="M58" s="311"/>
      <c r="N58" s="311"/>
      <c r="O58" s="311"/>
      <c r="P58" s="311"/>
      <c r="Q58" s="312"/>
      <c r="R58" s="311"/>
      <c r="S58" s="258"/>
      <c r="V58" s="311"/>
      <c r="W58" s="311"/>
      <c r="X58" s="311"/>
      <c r="Y58" s="311"/>
      <c r="Z58" s="311"/>
      <c r="AA58" s="311"/>
      <c r="AB58" s="311"/>
      <c r="AC58" s="311"/>
      <c r="AD58" s="311"/>
      <c r="AE58" s="311"/>
      <c r="AF58" s="311"/>
      <c r="AG58" s="311"/>
      <c r="AH58" s="311"/>
      <c r="AI58" s="311"/>
      <c r="AJ58" s="311"/>
      <c r="AK58" s="311"/>
      <c r="AL58" s="311"/>
      <c r="AM58" s="311"/>
      <c r="AN58" s="259"/>
    </row>
    <row r="59" spans="1:40">
      <c r="A59" s="258"/>
      <c r="B59" s="110"/>
      <c r="E59" s="21" t="s">
        <v>849</v>
      </c>
      <c r="G59" s="311"/>
      <c r="H59" s="311"/>
      <c r="I59" s="311"/>
      <c r="J59" s="311"/>
      <c r="K59" s="146"/>
      <c r="L59" s="146"/>
      <c r="M59" s="313"/>
      <c r="N59" s="313"/>
      <c r="O59" s="313"/>
      <c r="P59" s="313"/>
      <c r="Q59" s="329"/>
      <c r="S59" s="330"/>
      <c r="V59" s="21"/>
      <c r="W59" s="311"/>
      <c r="AB59" s="21"/>
      <c r="AF59" s="311"/>
      <c r="AH59" s="21"/>
      <c r="AM59" s="311"/>
      <c r="AN59" s="259"/>
    </row>
    <row r="60" spans="1:40" ht="8.1" customHeight="1">
      <c r="A60" s="258"/>
      <c r="B60" s="110"/>
      <c r="C60" s="311"/>
      <c r="E60" s="311"/>
      <c r="F60" s="311"/>
      <c r="G60" s="311"/>
      <c r="H60" s="311"/>
      <c r="I60" s="311"/>
      <c r="J60" s="311"/>
      <c r="K60" s="311"/>
      <c r="L60" s="311"/>
      <c r="M60" s="311"/>
      <c r="N60" s="311"/>
      <c r="O60" s="311"/>
      <c r="P60" s="311"/>
      <c r="Q60" s="312"/>
      <c r="R60" s="311"/>
      <c r="S60" s="258"/>
      <c r="AN60" s="259"/>
    </row>
    <row r="61" spans="1:40">
      <c r="A61" s="258"/>
      <c r="B61" s="110"/>
      <c r="C61" s="21" t="s">
        <v>850</v>
      </c>
      <c r="E61" s="311"/>
      <c r="F61" s="311"/>
      <c r="G61" s="311"/>
      <c r="H61" s="311"/>
      <c r="I61" s="311"/>
      <c r="J61" s="311"/>
      <c r="K61" s="311"/>
      <c r="L61" s="311"/>
      <c r="M61" s="311"/>
      <c r="N61" s="311"/>
      <c r="O61" s="311"/>
      <c r="P61" s="311"/>
      <c r="Q61" s="312"/>
      <c r="R61" s="311"/>
      <c r="S61" s="258"/>
      <c r="U61" s="37" t="s">
        <v>767</v>
      </c>
      <c r="AN61" s="259"/>
    </row>
    <row r="62" spans="1:40" ht="8.1" customHeight="1">
      <c r="A62" s="258"/>
      <c r="B62" s="110"/>
      <c r="C62" s="311"/>
      <c r="D62" s="21"/>
      <c r="E62" s="311"/>
      <c r="F62" s="311"/>
      <c r="G62" s="311"/>
      <c r="H62" s="311"/>
      <c r="I62" s="311"/>
      <c r="J62" s="311"/>
      <c r="K62" s="311"/>
      <c r="L62" s="311"/>
      <c r="M62" s="311"/>
      <c r="N62" s="311"/>
      <c r="O62" s="311"/>
      <c r="P62" s="311"/>
      <c r="Q62" s="312"/>
      <c r="R62" s="311"/>
      <c r="S62" s="258"/>
      <c r="AN62" s="259"/>
    </row>
    <row r="63" spans="1:40">
      <c r="A63" s="258"/>
      <c r="B63" s="110"/>
      <c r="C63" s="21" t="s">
        <v>851</v>
      </c>
      <c r="D63" s="21"/>
      <c r="E63" s="311"/>
      <c r="F63" s="311"/>
      <c r="J63" s="266" t="s">
        <v>563</v>
      </c>
      <c r="K63" s="146"/>
      <c r="L63" s="266" t="s">
        <v>672</v>
      </c>
      <c r="M63" s="146"/>
      <c r="N63" s="266" t="s">
        <v>650</v>
      </c>
      <c r="P63" s="326"/>
      <c r="Q63" s="331"/>
      <c r="R63" s="22"/>
      <c r="S63" s="258"/>
      <c r="Z63" s="21" t="s">
        <v>847</v>
      </c>
      <c r="AA63" s="261"/>
      <c r="AB63" s="313"/>
      <c r="AC63" s="313"/>
      <c r="AD63" s="313"/>
      <c r="AE63" s="313"/>
      <c r="AF63" s="313"/>
      <c r="AG63" s="261"/>
      <c r="AH63" s="313"/>
      <c r="AI63" s="313"/>
      <c r="AJ63" s="313"/>
      <c r="AK63" s="313"/>
      <c r="AL63" s="313"/>
      <c r="AN63" s="259"/>
    </row>
    <row r="64" spans="1:40" ht="8.1" customHeight="1">
      <c r="A64" s="258"/>
      <c r="B64" s="110"/>
      <c r="C64" s="121"/>
      <c r="D64" s="121"/>
      <c r="E64" s="332"/>
      <c r="F64" s="332"/>
      <c r="J64" s="332"/>
      <c r="K64" s="332"/>
      <c r="L64" s="332"/>
      <c r="M64" s="332"/>
      <c r="N64" s="332"/>
      <c r="Q64" s="333"/>
      <c r="R64" s="332"/>
      <c r="S64" s="258"/>
      <c r="AN64" s="259"/>
    </row>
    <row r="65" spans="1:40">
      <c r="A65" s="258"/>
      <c r="B65" s="110"/>
      <c r="C65" s="43" t="s">
        <v>852</v>
      </c>
      <c r="E65" s="311"/>
      <c r="F65" s="311"/>
      <c r="G65" s="311"/>
      <c r="H65" s="311"/>
      <c r="I65" s="311"/>
      <c r="J65" s="311"/>
      <c r="K65" s="311"/>
      <c r="L65" s="311"/>
      <c r="M65" s="311"/>
      <c r="N65" s="311"/>
      <c r="O65" s="311"/>
      <c r="P65" s="311"/>
      <c r="Q65" s="312"/>
      <c r="R65" s="311"/>
      <c r="S65" s="258"/>
      <c r="AN65" s="259"/>
    </row>
    <row r="66" spans="1:40" ht="8.1" customHeight="1">
      <c r="A66" s="258"/>
      <c r="B66" s="110"/>
      <c r="Q66" s="244"/>
      <c r="S66" s="258"/>
      <c r="AM66" s="311"/>
      <c r="AN66" s="259"/>
    </row>
    <row r="67" spans="1:40">
      <c r="A67" s="258"/>
      <c r="B67" s="110"/>
      <c r="C67" s="21" t="s">
        <v>848</v>
      </c>
      <c r="E67" s="311"/>
      <c r="F67" s="311"/>
      <c r="G67" s="311"/>
      <c r="H67" s="311"/>
      <c r="I67" s="311"/>
      <c r="J67" s="311"/>
      <c r="K67" s="311"/>
      <c r="L67" s="311"/>
      <c r="M67" s="311"/>
      <c r="N67" s="311"/>
      <c r="O67" s="311"/>
      <c r="P67" s="311"/>
      <c r="Q67" s="312"/>
      <c r="R67" s="311"/>
      <c r="S67" s="258"/>
      <c r="AN67" s="259"/>
    </row>
    <row r="68" spans="1:40" ht="8.1" customHeight="1">
      <c r="A68" s="258"/>
      <c r="B68" s="110"/>
      <c r="C68" s="311"/>
      <c r="E68" s="311"/>
      <c r="F68" s="311"/>
      <c r="G68" s="311"/>
      <c r="H68" s="311"/>
      <c r="I68" s="311"/>
      <c r="J68" s="311"/>
      <c r="K68" s="311"/>
      <c r="L68" s="311"/>
      <c r="M68" s="311"/>
      <c r="N68" s="311"/>
      <c r="O68" s="311"/>
      <c r="P68" s="311"/>
      <c r="Q68" s="312"/>
      <c r="R68" s="311"/>
      <c r="S68" s="258"/>
      <c r="V68" s="311"/>
      <c r="W68" s="311"/>
      <c r="X68" s="311"/>
      <c r="Y68" s="311"/>
      <c r="Z68" s="311"/>
      <c r="AA68" s="311"/>
      <c r="AB68" s="311"/>
      <c r="AC68" s="311"/>
      <c r="AD68" s="311"/>
      <c r="AE68" s="311"/>
      <c r="AF68" s="311"/>
      <c r="AG68" s="311"/>
      <c r="AH68" s="311"/>
      <c r="AI68" s="311"/>
      <c r="AJ68" s="311"/>
      <c r="AK68" s="311"/>
      <c r="AL68" s="311"/>
      <c r="AM68" s="311"/>
      <c r="AN68" s="259"/>
    </row>
    <row r="69" spans="1:40">
      <c r="A69" s="258"/>
      <c r="B69" s="110"/>
      <c r="E69" s="21" t="s">
        <v>853</v>
      </c>
      <c r="G69" s="311"/>
      <c r="H69" s="311"/>
      <c r="I69" s="311"/>
      <c r="J69" s="311"/>
      <c r="K69" s="146"/>
      <c r="L69" s="146"/>
      <c r="M69" s="313"/>
      <c r="N69" s="313"/>
      <c r="O69" s="313"/>
      <c r="P69" s="313"/>
      <c r="Q69" s="329"/>
      <c r="S69" s="330"/>
      <c r="U69" s="37" t="s">
        <v>854</v>
      </c>
      <c r="AM69" s="311"/>
      <c r="AN69" s="259"/>
    </row>
    <row r="70" spans="1:40" ht="8.1" customHeight="1">
      <c r="A70" s="258"/>
      <c r="B70" s="110"/>
      <c r="C70" s="311"/>
      <c r="E70" s="311"/>
      <c r="F70" s="311"/>
      <c r="G70" s="311"/>
      <c r="H70" s="311"/>
      <c r="I70" s="311"/>
      <c r="J70" s="311"/>
      <c r="K70" s="311"/>
      <c r="L70" s="311"/>
      <c r="M70" s="311"/>
      <c r="N70" s="311"/>
      <c r="O70" s="311"/>
      <c r="P70" s="311"/>
      <c r="Q70" s="312"/>
      <c r="R70" s="311"/>
      <c r="S70" s="258"/>
      <c r="AN70" s="259"/>
    </row>
    <row r="71" spans="1:40">
      <c r="A71" s="258"/>
      <c r="B71" s="110"/>
      <c r="C71" s="21" t="s">
        <v>855</v>
      </c>
      <c r="E71" s="311"/>
      <c r="F71" s="311"/>
      <c r="G71" s="311"/>
      <c r="H71" s="311"/>
      <c r="I71" s="311"/>
      <c r="J71" s="311"/>
      <c r="K71" s="311"/>
      <c r="L71" s="311"/>
      <c r="M71" s="311"/>
      <c r="N71" s="311"/>
      <c r="O71" s="311"/>
      <c r="P71" s="311"/>
      <c r="Q71" s="312"/>
      <c r="R71" s="311"/>
      <c r="S71" s="258"/>
      <c r="Z71" s="21" t="s">
        <v>847</v>
      </c>
      <c r="AA71" s="261"/>
      <c r="AB71" s="313"/>
      <c r="AC71" s="313"/>
      <c r="AD71" s="313"/>
      <c r="AE71" s="313"/>
      <c r="AF71" s="313"/>
      <c r="AG71" s="261"/>
      <c r="AH71" s="313"/>
      <c r="AI71" s="313"/>
      <c r="AJ71" s="313"/>
      <c r="AK71" s="313"/>
      <c r="AL71" s="313"/>
      <c r="AN71" s="259"/>
    </row>
    <row r="72" spans="1:40" ht="8.1" customHeight="1">
      <c r="A72" s="258"/>
      <c r="B72" s="110"/>
      <c r="C72" s="311"/>
      <c r="D72" s="21"/>
      <c r="E72" s="311"/>
      <c r="F72" s="311"/>
      <c r="G72" s="311"/>
      <c r="H72" s="311"/>
      <c r="I72" s="311"/>
      <c r="J72" s="311"/>
      <c r="K72" s="311"/>
      <c r="L72" s="311"/>
      <c r="M72" s="311"/>
      <c r="N72" s="311"/>
      <c r="O72" s="311"/>
      <c r="P72" s="311"/>
      <c r="Q72" s="312"/>
      <c r="R72" s="311"/>
      <c r="S72" s="258"/>
      <c r="AN72" s="259"/>
    </row>
    <row r="73" spans="1:40">
      <c r="A73" s="258"/>
      <c r="B73" s="110"/>
      <c r="C73" s="21" t="s">
        <v>856</v>
      </c>
      <c r="D73" s="21"/>
      <c r="E73" s="311"/>
      <c r="F73" s="311"/>
      <c r="J73" s="146"/>
      <c r="K73" s="146"/>
      <c r="L73" s="146"/>
      <c r="M73" s="146"/>
      <c r="N73" s="146"/>
      <c r="Q73" s="334"/>
      <c r="R73" s="22"/>
      <c r="S73" s="258"/>
      <c r="AN73" s="259"/>
    </row>
    <row r="74" spans="1:40" ht="8.1" customHeight="1">
      <c r="A74" s="258"/>
      <c r="B74" s="232"/>
      <c r="C74" s="251"/>
      <c r="D74" s="250"/>
      <c r="E74" s="250"/>
      <c r="F74" s="250"/>
      <c r="G74" s="250"/>
      <c r="H74" s="250"/>
      <c r="I74" s="250"/>
      <c r="J74" s="250"/>
      <c r="K74" s="250"/>
      <c r="L74" s="250"/>
      <c r="M74" s="250"/>
      <c r="N74" s="250"/>
      <c r="O74" s="250"/>
      <c r="P74" s="250"/>
      <c r="Q74" s="271"/>
      <c r="S74" s="258"/>
      <c r="AN74" s="259"/>
    </row>
    <row r="75" spans="1:40" ht="20.100000000000001" customHeight="1">
      <c r="A75" s="258"/>
      <c r="S75" s="258"/>
      <c r="U75"/>
      <c r="AN75" s="259"/>
    </row>
    <row r="76" spans="1:40" ht="8.1" customHeight="1">
      <c r="A76" s="258"/>
      <c r="B76" s="231"/>
      <c r="C76" s="310"/>
      <c r="D76" s="274"/>
      <c r="E76" s="274"/>
      <c r="F76" s="274"/>
      <c r="G76" s="274"/>
      <c r="H76" s="274"/>
      <c r="I76" s="274"/>
      <c r="J76" s="274"/>
      <c r="K76" s="274"/>
      <c r="L76" s="274"/>
      <c r="M76" s="274"/>
      <c r="N76" s="274"/>
      <c r="O76" s="274"/>
      <c r="P76" s="274"/>
      <c r="Q76" s="275"/>
      <c r="S76" s="258"/>
      <c r="T76" s="231"/>
      <c r="U76" s="274"/>
      <c r="V76" s="274"/>
      <c r="W76" s="274"/>
      <c r="X76" s="274"/>
      <c r="Y76" s="274"/>
      <c r="Z76" s="274"/>
      <c r="AA76" s="274"/>
      <c r="AB76" s="274"/>
      <c r="AC76" s="274"/>
      <c r="AD76" s="274"/>
      <c r="AE76" s="274"/>
      <c r="AF76" s="274"/>
      <c r="AG76" s="274"/>
      <c r="AH76" s="274"/>
      <c r="AI76" s="274"/>
      <c r="AJ76" s="274"/>
      <c r="AK76" s="274"/>
      <c r="AL76" s="274"/>
      <c r="AM76" s="275"/>
      <c r="AN76" s="259"/>
    </row>
    <row r="77" spans="1:40">
      <c r="A77" s="258"/>
      <c r="B77" s="2162" t="s">
        <v>2</v>
      </c>
      <c r="C77" s="2163"/>
      <c r="D77" s="2163"/>
      <c r="E77" s="2163"/>
      <c r="F77" s="2163"/>
      <c r="G77" s="2163"/>
      <c r="H77" s="2163"/>
      <c r="I77" s="2163"/>
      <c r="J77" s="2163"/>
      <c r="K77" s="2163"/>
      <c r="L77" s="2163"/>
      <c r="M77" s="2163"/>
      <c r="N77" s="2163"/>
      <c r="O77" s="2163"/>
      <c r="P77" s="2163"/>
      <c r="Q77" s="2164"/>
      <c r="S77" s="258"/>
      <c r="T77" s="110"/>
      <c r="U77" s="38" t="s">
        <v>3</v>
      </c>
      <c r="AM77" s="244"/>
      <c r="AN77" s="259"/>
    </row>
    <row r="78" spans="1:40" ht="12.75" customHeight="1">
      <c r="A78" s="258"/>
      <c r="B78" s="246"/>
      <c r="C78" s="37"/>
      <c r="D78" s="37"/>
      <c r="E78" s="37"/>
      <c r="F78" s="37"/>
      <c r="G78" s="37"/>
      <c r="H78" s="37"/>
      <c r="I78" s="37"/>
      <c r="J78" s="37"/>
      <c r="K78" s="37"/>
      <c r="L78" s="37"/>
      <c r="M78" s="37"/>
      <c r="N78" s="37"/>
      <c r="O78" s="37"/>
      <c r="P78" s="37"/>
      <c r="Q78" s="247"/>
      <c r="S78" s="258"/>
      <c r="T78" s="110"/>
      <c r="U78"/>
      <c r="AM78" s="249"/>
      <c r="AN78" s="259"/>
    </row>
    <row r="79" spans="1:40">
      <c r="A79" s="258"/>
      <c r="B79" s="110"/>
      <c r="C79" t="s">
        <v>4</v>
      </c>
      <c r="G79" s="326"/>
      <c r="H79" s="326"/>
      <c r="I79" s="261"/>
      <c r="J79" s="261"/>
      <c r="K79" s="261"/>
      <c r="L79" s="261"/>
      <c r="M79" s="22" t="s">
        <v>762</v>
      </c>
      <c r="N79" s="22"/>
      <c r="O79" s="22"/>
      <c r="P79" s="245"/>
      <c r="Q79" s="244"/>
      <c r="S79" s="258"/>
      <c r="T79" s="110"/>
      <c r="U79" t="s">
        <v>5</v>
      </c>
      <c r="X79" s="22" t="s">
        <v>6</v>
      </c>
      <c r="AB79" s="298" t="s">
        <v>1091</v>
      </c>
      <c r="AH79" s="22"/>
      <c r="AM79" s="335"/>
      <c r="AN79" s="259"/>
    </row>
    <row r="80" spans="1:40" ht="12.75" customHeight="1">
      <c r="A80" s="258"/>
      <c r="B80" s="110"/>
      <c r="I80" s="22"/>
      <c r="J80" s="22"/>
      <c r="K80" s="22"/>
      <c r="L80" s="22"/>
      <c r="M80" s="22"/>
      <c r="N80" s="22"/>
      <c r="O80" s="22"/>
      <c r="P80" s="22"/>
      <c r="Q80" s="244"/>
      <c r="S80" s="258"/>
      <c r="T80" s="110"/>
      <c r="V80" s="22"/>
      <c r="W80" s="22"/>
      <c r="Y80" s="22"/>
      <c r="Z80" s="22"/>
      <c r="AA80" s="22"/>
      <c r="AC80" s="22"/>
      <c r="AD80" s="22"/>
      <c r="AE80" s="22"/>
      <c r="AG80" s="22"/>
      <c r="AI80" s="22"/>
      <c r="AJ80" s="22"/>
      <c r="AK80" s="22"/>
      <c r="AL80" s="22"/>
      <c r="AM80" s="312"/>
      <c r="AN80" s="259"/>
    </row>
    <row r="81" spans="1:40">
      <c r="A81" s="258"/>
      <c r="B81" s="110"/>
      <c r="C81" s="263"/>
      <c r="G81" s="326"/>
      <c r="H81" s="326"/>
      <c r="I81" s="261"/>
      <c r="J81" s="261"/>
      <c r="K81" s="261"/>
      <c r="L81" s="261"/>
      <c r="M81" s="22" t="s">
        <v>762</v>
      </c>
      <c r="N81" s="22"/>
      <c r="O81" s="22"/>
      <c r="P81" s="245"/>
      <c r="Q81" s="249"/>
      <c r="S81" s="258"/>
      <c r="T81" s="110"/>
      <c r="U81"/>
      <c r="V81" s="22"/>
      <c r="W81" s="22"/>
      <c r="X81" s="22"/>
      <c r="Y81" s="22"/>
      <c r="Z81" s="22"/>
      <c r="AA81" s="22"/>
      <c r="AB81" s="22"/>
      <c r="AC81" s="22"/>
      <c r="AD81" s="22"/>
      <c r="AE81" s="22"/>
      <c r="AG81" s="22"/>
      <c r="AH81" s="22"/>
      <c r="AI81" s="22"/>
      <c r="AJ81" s="22"/>
      <c r="AK81" s="22"/>
      <c r="AL81" s="22"/>
      <c r="AM81" s="268"/>
      <c r="AN81" s="259"/>
    </row>
    <row r="82" spans="1:40" ht="12.75" customHeight="1">
      <c r="A82" s="258"/>
      <c r="B82" s="110"/>
      <c r="C82" s="263"/>
      <c r="I82" s="22"/>
      <c r="J82" s="22"/>
      <c r="K82" s="22"/>
      <c r="L82" s="22"/>
      <c r="M82" s="22"/>
      <c r="N82" s="22"/>
      <c r="O82" s="22"/>
      <c r="P82" s="22"/>
      <c r="Q82" s="244"/>
      <c r="S82" s="258"/>
      <c r="T82" s="110"/>
      <c r="U82"/>
      <c r="V82" s="22"/>
      <c r="W82" s="22"/>
      <c r="X82" s="22"/>
      <c r="Y82" s="22"/>
      <c r="Z82" s="22"/>
      <c r="AA82" s="22"/>
      <c r="AB82" s="22"/>
      <c r="AC82" s="22"/>
      <c r="AD82" s="22"/>
      <c r="AE82" s="22"/>
      <c r="AG82" s="22"/>
      <c r="AH82" s="22"/>
      <c r="AI82" s="22"/>
      <c r="AJ82" s="22"/>
      <c r="AK82" s="22"/>
      <c r="AL82" s="22"/>
      <c r="AM82" s="244"/>
      <c r="AN82" s="259"/>
    </row>
    <row r="83" spans="1:40">
      <c r="A83" s="258"/>
      <c r="B83" s="110"/>
      <c r="C83" s="263"/>
      <c r="G83" s="326"/>
      <c r="H83" s="326"/>
      <c r="I83" s="261"/>
      <c r="J83" s="261"/>
      <c r="K83" s="261"/>
      <c r="L83" s="261"/>
      <c r="M83" s="22" t="s">
        <v>762</v>
      </c>
      <c r="N83" s="22"/>
      <c r="O83" s="22"/>
      <c r="P83" s="245"/>
      <c r="Q83" s="249"/>
      <c r="S83" s="258"/>
      <c r="T83" s="110"/>
      <c r="U83"/>
      <c r="V83" s="22"/>
      <c r="W83" s="22"/>
      <c r="X83" s="22"/>
      <c r="Y83" s="22"/>
      <c r="Z83" s="22"/>
      <c r="AA83" s="22"/>
      <c r="AB83" s="22"/>
      <c r="AC83" s="22"/>
      <c r="AD83" s="22"/>
      <c r="AE83" s="22"/>
      <c r="AG83" s="22"/>
      <c r="AH83" s="22"/>
      <c r="AI83" s="22"/>
      <c r="AJ83" s="22"/>
      <c r="AK83" s="22"/>
      <c r="AL83" s="22"/>
      <c r="AM83" s="268"/>
      <c r="AN83" s="259"/>
    </row>
    <row r="84" spans="1:40" ht="12.75" customHeight="1">
      <c r="A84" s="258"/>
      <c r="B84" s="110"/>
      <c r="C84" s="263"/>
      <c r="I84" s="22"/>
      <c r="J84" s="22"/>
      <c r="K84" s="22"/>
      <c r="L84" s="22"/>
      <c r="M84" s="22"/>
      <c r="N84" s="22"/>
      <c r="O84" s="22"/>
      <c r="P84" s="22"/>
      <c r="Q84" s="244"/>
      <c r="S84" s="258"/>
      <c r="T84" s="110"/>
      <c r="U84"/>
      <c r="V84" s="22"/>
      <c r="W84" s="22"/>
      <c r="X84" s="22"/>
      <c r="Y84" s="22"/>
      <c r="Z84" s="22"/>
      <c r="AA84" s="22"/>
      <c r="AB84" s="22"/>
      <c r="AC84" s="22"/>
      <c r="AD84" s="22"/>
      <c r="AE84" s="22"/>
      <c r="AG84" s="22"/>
      <c r="AH84" s="22"/>
      <c r="AI84" s="22"/>
      <c r="AJ84" s="22"/>
      <c r="AK84" s="22"/>
      <c r="AL84" s="22"/>
      <c r="AM84" s="244"/>
      <c r="AN84" s="259"/>
    </row>
    <row r="85" spans="1:40">
      <c r="A85" s="258"/>
      <c r="B85" s="110"/>
      <c r="C85" s="41"/>
      <c r="G85" s="326"/>
      <c r="H85" s="326"/>
      <c r="I85" s="261"/>
      <c r="J85" s="261"/>
      <c r="K85" s="261"/>
      <c r="L85" s="261"/>
      <c r="M85" s="22" t="s">
        <v>762</v>
      </c>
      <c r="N85" s="22"/>
      <c r="O85" s="22"/>
      <c r="P85" s="245"/>
      <c r="Q85" s="249"/>
      <c r="S85" s="258"/>
      <c r="T85" s="110"/>
      <c r="U85"/>
      <c r="V85" s="22"/>
      <c r="W85" s="22"/>
      <c r="X85" s="22" t="s">
        <v>6</v>
      </c>
      <c r="Y85" s="22"/>
      <c r="Z85" s="22"/>
      <c r="AA85" s="22"/>
      <c r="AB85" s="298" t="s">
        <v>1348</v>
      </c>
      <c r="AC85" s="22"/>
      <c r="AD85" s="22"/>
      <c r="AE85" s="22"/>
      <c r="AG85" s="22"/>
      <c r="AH85" s="22"/>
      <c r="AI85" s="22"/>
      <c r="AJ85" s="22"/>
      <c r="AK85" s="22"/>
      <c r="AL85" s="22"/>
      <c r="AM85" s="244"/>
      <c r="AN85" s="259"/>
    </row>
    <row r="86" spans="1:40" ht="12.75" customHeight="1">
      <c r="A86" s="258"/>
      <c r="B86" s="110"/>
      <c r="C86" s="41"/>
      <c r="I86" s="22"/>
      <c r="J86" s="22"/>
      <c r="K86" s="22"/>
      <c r="L86" s="22"/>
      <c r="M86" s="22"/>
      <c r="N86" s="22"/>
      <c r="O86" s="22"/>
      <c r="P86" s="22"/>
      <c r="Q86" s="249"/>
      <c r="S86" s="258"/>
      <c r="T86" s="110"/>
      <c r="U86"/>
      <c r="V86" s="22"/>
      <c r="W86" s="22"/>
      <c r="Y86" s="22"/>
      <c r="Z86" s="22"/>
      <c r="AA86" s="22"/>
      <c r="AC86" s="22"/>
      <c r="AD86" s="22"/>
      <c r="AE86" s="22"/>
      <c r="AG86" s="22"/>
      <c r="AI86" s="22"/>
      <c r="AJ86" s="22"/>
      <c r="AK86" s="22"/>
      <c r="AL86" s="22"/>
      <c r="AM86" s="336"/>
      <c r="AN86" s="259"/>
    </row>
    <row r="87" spans="1:40">
      <c r="A87" s="258"/>
      <c r="B87" s="110"/>
      <c r="C87" s="41"/>
      <c r="G87" s="326"/>
      <c r="H87" s="326"/>
      <c r="I87" s="261"/>
      <c r="J87" s="261"/>
      <c r="K87" s="261"/>
      <c r="L87" s="261"/>
      <c r="M87" s="22" t="s">
        <v>762</v>
      </c>
      <c r="N87" s="22"/>
      <c r="O87" s="22"/>
      <c r="P87" s="245"/>
      <c r="Q87" s="249"/>
      <c r="S87" s="258"/>
      <c r="T87" s="110"/>
      <c r="U87"/>
      <c r="V87" s="22"/>
      <c r="W87" s="22"/>
      <c r="X87" s="22"/>
      <c r="Y87" s="22"/>
      <c r="Z87" s="22"/>
      <c r="AA87" s="22"/>
      <c r="AB87" s="22"/>
      <c r="AC87" s="22"/>
      <c r="AD87" s="22"/>
      <c r="AE87" s="22"/>
      <c r="AG87" s="22"/>
      <c r="AH87" s="22"/>
      <c r="AI87" s="22"/>
      <c r="AJ87" s="22"/>
      <c r="AK87" s="22"/>
      <c r="AL87" s="22"/>
      <c r="AM87" s="336"/>
      <c r="AN87" s="259"/>
    </row>
    <row r="88" spans="1:40" ht="34.5" customHeight="1">
      <c r="A88" s="258"/>
      <c r="B88" s="232"/>
      <c r="C88" s="251"/>
      <c r="D88" s="250"/>
      <c r="E88" s="250"/>
      <c r="F88" s="250"/>
      <c r="G88" s="250"/>
      <c r="H88" s="250"/>
      <c r="I88" s="272"/>
      <c r="J88" s="272"/>
      <c r="K88" s="272"/>
      <c r="L88" s="272"/>
      <c r="M88" s="272"/>
      <c r="N88" s="272"/>
      <c r="O88" s="272"/>
      <c r="P88" s="272"/>
      <c r="Q88" s="271"/>
      <c r="S88" s="258"/>
      <c r="T88" s="232"/>
      <c r="U88" s="250"/>
      <c r="V88" s="272"/>
      <c r="W88" s="272"/>
      <c r="X88" s="272"/>
      <c r="Y88" s="272"/>
      <c r="Z88" s="272"/>
      <c r="AA88" s="272"/>
      <c r="AB88" s="272"/>
      <c r="AC88" s="272"/>
      <c r="AD88" s="272"/>
      <c r="AE88" s="272"/>
      <c r="AF88" s="250"/>
      <c r="AG88" s="272"/>
      <c r="AH88" s="272"/>
      <c r="AI88" s="272"/>
      <c r="AJ88" s="272"/>
      <c r="AK88" s="272"/>
      <c r="AL88" s="272"/>
      <c r="AM88" s="337"/>
      <c r="AN88" s="259"/>
    </row>
    <row r="89" spans="1:40" ht="8.1" customHeight="1" thickBot="1">
      <c r="A89" s="277"/>
      <c r="B89" s="278"/>
      <c r="C89" s="279"/>
      <c r="D89" s="278"/>
      <c r="E89" s="278"/>
      <c r="F89" s="278"/>
      <c r="G89" s="278"/>
      <c r="H89" s="278"/>
      <c r="I89" s="278"/>
      <c r="J89" s="278"/>
      <c r="K89" s="278"/>
      <c r="L89" s="278"/>
      <c r="M89" s="278"/>
      <c r="N89" s="278"/>
      <c r="O89" s="278"/>
      <c r="P89" s="278"/>
      <c r="Q89" s="278"/>
      <c r="R89" s="278"/>
      <c r="S89" s="277"/>
      <c r="T89" s="278"/>
      <c r="U89" s="279"/>
      <c r="V89" s="278"/>
      <c r="W89" s="278"/>
      <c r="X89" s="278"/>
      <c r="Y89" s="278"/>
      <c r="Z89" s="278"/>
      <c r="AA89" s="278"/>
      <c r="AB89" s="278"/>
      <c r="AC89" s="278"/>
      <c r="AD89" s="278"/>
      <c r="AE89" s="278"/>
      <c r="AF89" s="278"/>
      <c r="AG89" s="278"/>
      <c r="AH89" s="278"/>
      <c r="AI89" s="278"/>
      <c r="AJ89" s="278"/>
      <c r="AK89" s="278"/>
      <c r="AL89" s="278"/>
      <c r="AM89" s="278"/>
      <c r="AN89" s="280"/>
    </row>
  </sheetData>
  <mergeCells count="8">
    <mergeCell ref="B38:Q38"/>
    <mergeCell ref="B77:Q77"/>
    <mergeCell ref="A1:AK1"/>
    <mergeCell ref="AL1:AN1"/>
    <mergeCell ref="B6:Q6"/>
    <mergeCell ref="C16:Q16"/>
    <mergeCell ref="C20:Q20"/>
    <mergeCell ref="W3:AM4"/>
  </mergeCells>
  <phoneticPr fontId="12" type="noConversion"/>
  <printOptions horizontalCentered="1" verticalCentered="1"/>
  <pageMargins left="0" right="0" top="0" bottom="0.39370078740157483" header="0" footer="0"/>
  <pageSetup paperSize="9" scale="63" orientation="portrait" blackAndWhite="1" r:id="rId1"/>
  <headerFooter alignWithMargins="0">
    <oddFooter>&amp;LEdité le &amp;D&amp;C&amp;P/&amp;N</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84">
    <pageSetUpPr fitToPage="1"/>
  </sheetPr>
  <dimension ref="A1:P59"/>
  <sheetViews>
    <sheetView showGridLines="0" view="pageBreakPreview" zoomScale="85" zoomScaleNormal="100" zoomScaleSheetLayoutView="85" workbookViewId="0">
      <selection activeCell="A53" sqref="A53"/>
    </sheetView>
  </sheetViews>
  <sheetFormatPr baseColWidth="10" defaultRowHeight="15"/>
  <cols>
    <col min="1" max="4" width="11.42578125" style="899"/>
    <col min="5" max="5" width="12.42578125" style="899" customWidth="1"/>
    <col min="6" max="260" width="11.42578125" style="899"/>
    <col min="261" max="261" width="12.42578125" style="899" customWidth="1"/>
    <col min="262" max="516" width="11.42578125" style="899"/>
    <col min="517" max="517" width="12.42578125" style="899" customWidth="1"/>
    <col min="518" max="772" width="11.42578125" style="899"/>
    <col min="773" max="773" width="12.42578125" style="899" customWidth="1"/>
    <col min="774" max="1028" width="11.42578125" style="899"/>
    <col min="1029" max="1029" width="12.42578125" style="899" customWidth="1"/>
    <col min="1030" max="1284" width="11.42578125" style="899"/>
    <col min="1285" max="1285" width="12.42578125" style="899" customWidth="1"/>
    <col min="1286" max="1540" width="11.42578125" style="899"/>
    <col min="1541" max="1541" width="12.42578125" style="899" customWidth="1"/>
    <col min="1542" max="1796" width="11.42578125" style="899"/>
    <col min="1797" max="1797" width="12.42578125" style="899" customWidth="1"/>
    <col min="1798" max="2052" width="11.42578125" style="899"/>
    <col min="2053" max="2053" width="12.42578125" style="899" customWidth="1"/>
    <col min="2054" max="2308" width="11.42578125" style="899"/>
    <col min="2309" max="2309" width="12.42578125" style="899" customWidth="1"/>
    <col min="2310" max="2564" width="11.42578125" style="899"/>
    <col min="2565" max="2565" width="12.42578125" style="899" customWidth="1"/>
    <col min="2566" max="2820" width="11.42578125" style="899"/>
    <col min="2821" max="2821" width="12.42578125" style="899" customWidth="1"/>
    <col min="2822" max="3076" width="11.42578125" style="899"/>
    <col min="3077" max="3077" width="12.42578125" style="899" customWidth="1"/>
    <col min="3078" max="3332" width="11.42578125" style="899"/>
    <col min="3333" max="3333" width="12.42578125" style="899" customWidth="1"/>
    <col min="3334" max="3588" width="11.42578125" style="899"/>
    <col min="3589" max="3589" width="12.42578125" style="899" customWidth="1"/>
    <col min="3590" max="3844" width="11.42578125" style="899"/>
    <col min="3845" max="3845" width="12.42578125" style="899" customWidth="1"/>
    <col min="3846" max="4100" width="11.42578125" style="899"/>
    <col min="4101" max="4101" width="12.42578125" style="899" customWidth="1"/>
    <col min="4102" max="4356" width="11.42578125" style="899"/>
    <col min="4357" max="4357" width="12.42578125" style="899" customWidth="1"/>
    <col min="4358" max="4612" width="11.42578125" style="899"/>
    <col min="4613" max="4613" width="12.42578125" style="899" customWidth="1"/>
    <col min="4614" max="4868" width="11.42578125" style="899"/>
    <col min="4869" max="4869" width="12.42578125" style="899" customWidth="1"/>
    <col min="4870" max="5124" width="11.42578125" style="899"/>
    <col min="5125" max="5125" width="12.42578125" style="899" customWidth="1"/>
    <col min="5126" max="5380" width="11.42578125" style="899"/>
    <col min="5381" max="5381" width="12.42578125" style="899" customWidth="1"/>
    <col min="5382" max="5636" width="11.42578125" style="899"/>
    <col min="5637" max="5637" width="12.42578125" style="899" customWidth="1"/>
    <col min="5638" max="5892" width="11.42578125" style="899"/>
    <col min="5893" max="5893" width="12.42578125" style="899" customWidth="1"/>
    <col min="5894" max="6148" width="11.42578125" style="899"/>
    <col min="6149" max="6149" width="12.42578125" style="899" customWidth="1"/>
    <col min="6150" max="6404" width="11.42578125" style="899"/>
    <col min="6405" max="6405" width="12.42578125" style="899" customWidth="1"/>
    <col min="6406" max="6660" width="11.42578125" style="899"/>
    <col min="6661" max="6661" width="12.42578125" style="899" customWidth="1"/>
    <col min="6662" max="6916" width="11.42578125" style="899"/>
    <col min="6917" max="6917" width="12.42578125" style="899" customWidth="1"/>
    <col min="6918" max="7172" width="11.42578125" style="899"/>
    <col min="7173" max="7173" width="12.42578125" style="899" customWidth="1"/>
    <col min="7174" max="7428" width="11.42578125" style="899"/>
    <col min="7429" max="7429" width="12.42578125" style="899" customWidth="1"/>
    <col min="7430" max="7684" width="11.42578125" style="899"/>
    <col min="7685" max="7685" width="12.42578125" style="899" customWidth="1"/>
    <col min="7686" max="7940" width="11.42578125" style="899"/>
    <col min="7941" max="7941" width="12.42578125" style="899" customWidth="1"/>
    <col min="7942" max="8196" width="11.42578125" style="899"/>
    <col min="8197" max="8197" width="12.42578125" style="899" customWidth="1"/>
    <col min="8198" max="8452" width="11.42578125" style="899"/>
    <col min="8453" max="8453" width="12.42578125" style="899" customWidth="1"/>
    <col min="8454" max="8708" width="11.42578125" style="899"/>
    <col min="8709" max="8709" width="12.42578125" style="899" customWidth="1"/>
    <col min="8710" max="8964" width="11.42578125" style="899"/>
    <col min="8965" max="8965" width="12.42578125" style="899" customWidth="1"/>
    <col min="8966" max="9220" width="11.42578125" style="899"/>
    <col min="9221" max="9221" width="12.42578125" style="899" customWidth="1"/>
    <col min="9222" max="9476" width="11.42578125" style="899"/>
    <col min="9477" max="9477" width="12.42578125" style="899" customWidth="1"/>
    <col min="9478" max="9732" width="11.42578125" style="899"/>
    <col min="9733" max="9733" width="12.42578125" style="899" customWidth="1"/>
    <col min="9734" max="9988" width="11.42578125" style="899"/>
    <col min="9989" max="9989" width="12.42578125" style="899" customWidth="1"/>
    <col min="9990" max="10244" width="11.42578125" style="899"/>
    <col min="10245" max="10245" width="12.42578125" style="899" customWidth="1"/>
    <col min="10246" max="10500" width="11.42578125" style="899"/>
    <col min="10501" max="10501" width="12.42578125" style="899" customWidth="1"/>
    <col min="10502" max="10756" width="11.42578125" style="899"/>
    <col min="10757" max="10757" width="12.42578125" style="899" customWidth="1"/>
    <col min="10758" max="11012" width="11.42578125" style="899"/>
    <col min="11013" max="11013" width="12.42578125" style="899" customWidth="1"/>
    <col min="11014" max="11268" width="11.42578125" style="899"/>
    <col min="11269" max="11269" width="12.42578125" style="899" customWidth="1"/>
    <col min="11270" max="11524" width="11.42578125" style="899"/>
    <col min="11525" max="11525" width="12.42578125" style="899" customWidth="1"/>
    <col min="11526" max="11780" width="11.42578125" style="899"/>
    <col min="11781" max="11781" width="12.42578125" style="899" customWidth="1"/>
    <col min="11782" max="12036" width="11.42578125" style="899"/>
    <col min="12037" max="12037" width="12.42578125" style="899" customWidth="1"/>
    <col min="12038" max="12292" width="11.42578125" style="899"/>
    <col min="12293" max="12293" width="12.42578125" style="899" customWidth="1"/>
    <col min="12294" max="12548" width="11.42578125" style="899"/>
    <col min="12549" max="12549" width="12.42578125" style="899" customWidth="1"/>
    <col min="12550" max="12804" width="11.42578125" style="899"/>
    <col min="12805" max="12805" width="12.42578125" style="899" customWidth="1"/>
    <col min="12806" max="13060" width="11.42578125" style="899"/>
    <col min="13061" max="13061" width="12.42578125" style="899" customWidth="1"/>
    <col min="13062" max="13316" width="11.42578125" style="899"/>
    <col min="13317" max="13317" width="12.42578125" style="899" customWidth="1"/>
    <col min="13318" max="13572" width="11.42578125" style="899"/>
    <col min="13573" max="13573" width="12.42578125" style="899" customWidth="1"/>
    <col min="13574" max="13828" width="11.42578125" style="899"/>
    <col min="13829" max="13829" width="12.42578125" style="899" customWidth="1"/>
    <col min="13830" max="14084" width="11.42578125" style="899"/>
    <col min="14085" max="14085" width="12.42578125" style="899" customWidth="1"/>
    <col min="14086" max="14340" width="11.42578125" style="899"/>
    <col min="14341" max="14341" width="12.42578125" style="899" customWidth="1"/>
    <col min="14342" max="14596" width="11.42578125" style="899"/>
    <col min="14597" max="14597" width="12.42578125" style="899" customWidth="1"/>
    <col min="14598" max="14852" width="11.42578125" style="899"/>
    <col min="14853" max="14853" width="12.42578125" style="899" customWidth="1"/>
    <col min="14854" max="15108" width="11.42578125" style="899"/>
    <col min="15109" max="15109" width="12.42578125" style="899" customWidth="1"/>
    <col min="15110" max="15364" width="11.42578125" style="899"/>
    <col min="15365" max="15365" width="12.42578125" style="899" customWidth="1"/>
    <col min="15366" max="15620" width="11.42578125" style="899"/>
    <col min="15621" max="15621" width="12.42578125" style="899" customWidth="1"/>
    <col min="15622" max="15876" width="11.42578125" style="899"/>
    <col min="15877" max="15877" width="12.42578125" style="899" customWidth="1"/>
    <col min="15878" max="16132" width="11.42578125" style="899"/>
    <col min="16133" max="16133" width="12.42578125" style="899" customWidth="1"/>
    <col min="16134" max="16384" width="11.42578125" style="899"/>
  </cols>
  <sheetData>
    <row r="1" spans="1:16" ht="27" customHeight="1" thickTop="1">
      <c r="A1" s="2174" t="s">
        <v>1352</v>
      </c>
      <c r="B1" s="2175"/>
      <c r="C1" s="2175"/>
      <c r="D1" s="2175"/>
      <c r="E1" s="2175"/>
      <c r="F1" s="2175"/>
      <c r="G1" s="2175"/>
      <c r="H1" s="2175"/>
      <c r="I1" s="2175"/>
      <c r="J1" s="2175"/>
      <c r="K1" s="2176"/>
      <c r="L1" s="898"/>
      <c r="M1" s="898"/>
      <c r="N1" s="898"/>
      <c r="O1" s="898"/>
      <c r="P1" s="898"/>
    </row>
    <row r="2" spans="1:16" ht="27" thickBot="1">
      <c r="A2" s="2177"/>
      <c r="B2" s="2178"/>
      <c r="C2" s="2178"/>
      <c r="D2" s="2178"/>
      <c r="E2" s="2178"/>
      <c r="F2" s="2178"/>
      <c r="G2" s="2178"/>
      <c r="H2" s="2178"/>
      <c r="I2" s="2178"/>
      <c r="J2" s="2178"/>
      <c r="K2" s="2179"/>
      <c r="L2" s="898"/>
      <c r="M2" s="898"/>
      <c r="N2" s="898"/>
      <c r="O2" s="898"/>
      <c r="P2" s="898"/>
    </row>
    <row r="3" spans="1:16" ht="15.75" thickTop="1">
      <c r="A3" s="900"/>
      <c r="B3" s="900"/>
      <c r="C3" s="900"/>
      <c r="D3" s="900"/>
      <c r="E3" s="900"/>
      <c r="F3" s="900"/>
      <c r="G3" s="900"/>
      <c r="H3" s="900"/>
      <c r="I3" s="900"/>
      <c r="J3" s="900"/>
      <c r="K3" s="901"/>
      <c r="L3" s="901"/>
      <c r="M3" s="901"/>
      <c r="N3" s="901"/>
      <c r="O3" s="901"/>
      <c r="P3" s="901"/>
    </row>
    <row r="4" spans="1:16">
      <c r="A4" s="900"/>
      <c r="B4" s="900"/>
      <c r="C4" s="900"/>
      <c r="D4" s="900"/>
      <c r="E4" s="900"/>
      <c r="F4" s="900"/>
      <c r="G4" s="900"/>
      <c r="H4" s="900"/>
      <c r="I4" s="900"/>
      <c r="J4" s="900"/>
      <c r="K4" s="901"/>
      <c r="L4" s="901"/>
      <c r="M4" s="901"/>
      <c r="N4" s="901"/>
      <c r="O4" s="901"/>
      <c r="P4" s="901"/>
    </row>
    <row r="5" spans="1:16">
      <c r="A5" s="900"/>
      <c r="B5" s="900"/>
      <c r="C5" s="900"/>
      <c r="D5" s="900"/>
      <c r="E5" s="900"/>
      <c r="F5" s="900"/>
      <c r="G5" s="900"/>
      <c r="H5" s="900"/>
      <c r="I5" s="900"/>
      <c r="J5" s="900"/>
      <c r="K5" s="901"/>
      <c r="L5" s="901"/>
      <c r="M5" s="901"/>
      <c r="N5" s="901"/>
      <c r="O5" s="901"/>
      <c r="P5" s="901"/>
    </row>
    <row r="6" spans="1:16" ht="21.75" customHeight="1">
      <c r="A6" s="902" t="s">
        <v>1165</v>
      </c>
      <c r="B6" s="903" t="str">
        <f>IF(ISBLANK(oMOE),"",oMOE)</f>
        <v/>
      </c>
      <c r="C6" s="902"/>
      <c r="E6" s="904"/>
      <c r="F6" s="904"/>
      <c r="G6" s="904"/>
      <c r="H6" s="902" t="s">
        <v>1164</v>
      </c>
      <c r="I6" s="905"/>
      <c r="J6" s="905"/>
      <c r="K6" s="905"/>
      <c r="L6" s="905"/>
      <c r="M6" s="905"/>
      <c r="N6" s="905"/>
      <c r="O6" s="905"/>
      <c r="P6" s="905"/>
    </row>
    <row r="7" spans="1:16" ht="21.75" customHeight="1">
      <c r="A7" s="2180" t="s">
        <v>1124</v>
      </c>
      <c r="B7" s="2180"/>
      <c r="C7" s="2180"/>
      <c r="D7" s="906" t="str">
        <f>IF(ISBLANK(oeOTP),"",oeOTP)</f>
        <v/>
      </c>
      <c r="I7" s="907"/>
      <c r="J7" s="907"/>
      <c r="K7" s="907"/>
      <c r="L7" s="905"/>
      <c r="M7" s="905"/>
      <c r="N7" s="905"/>
      <c r="O7" s="905"/>
      <c r="P7" s="905"/>
    </row>
    <row r="8" spans="1:16" ht="21.75" customHeight="1">
      <c r="A8" s="2180" t="s">
        <v>1125</v>
      </c>
      <c r="B8" s="2180"/>
      <c r="C8" s="2180"/>
      <c r="D8" s="908"/>
      <c r="E8" s="909"/>
      <c r="F8" s="910"/>
      <c r="G8" s="907"/>
      <c r="H8" s="907"/>
      <c r="I8" s="907"/>
      <c r="J8" s="907"/>
      <c r="K8" s="907"/>
      <c r="L8" s="905"/>
      <c r="M8" s="905"/>
      <c r="N8" s="905"/>
      <c r="O8" s="905"/>
      <c r="P8" s="905"/>
    </row>
    <row r="9" spans="1:16" ht="21.75" customHeight="1">
      <c r="A9" s="2180" t="s">
        <v>1126</v>
      </c>
      <c r="B9" s="2180"/>
      <c r="C9" s="2180"/>
      <c r="D9" s="2181" t="str">
        <f>IF(ISBLANK(oAdresseChantier),"",oAdresseChantier)</f>
        <v/>
      </c>
      <c r="E9" s="2181"/>
      <c r="F9" s="2181"/>
      <c r="G9" s="2181"/>
      <c r="H9" s="1113"/>
      <c r="I9" s="1099" t="str">
        <f>IF(ISBLANK(oVille),"",oVille)</f>
        <v/>
      </c>
      <c r="J9" s="1099"/>
      <c r="K9" s="1099"/>
      <c r="L9" s="911"/>
      <c r="M9" s="911"/>
      <c r="N9" s="911"/>
      <c r="O9" s="911"/>
      <c r="P9" s="905"/>
    </row>
    <row r="10" spans="1:16" ht="33.75" customHeight="1">
      <c r="A10" s="2180" t="s">
        <v>1127</v>
      </c>
      <c r="B10" s="2180"/>
      <c r="C10" s="2180"/>
      <c r="D10" s="2189" t="str">
        <f>IF(ISBLANK(oLibelleOTP),"",oLibelleOTP)</f>
        <v/>
      </c>
      <c r="E10" s="2189"/>
      <c r="F10" s="2189"/>
      <c r="G10" s="2189"/>
      <c r="H10" s="2189"/>
      <c r="I10" s="2189"/>
      <c r="J10" s="2189"/>
      <c r="K10" s="2189"/>
      <c r="L10" s="905"/>
      <c r="M10" s="905"/>
      <c r="N10" s="905"/>
      <c r="O10" s="905"/>
      <c r="P10" s="905"/>
    </row>
    <row r="11" spans="1:16" ht="21.75" customHeight="1">
      <c r="A11" s="2180" t="s">
        <v>1163</v>
      </c>
      <c r="B11" s="2180"/>
      <c r="C11" s="2180"/>
      <c r="D11" s="905"/>
      <c r="E11" s="912" t="s">
        <v>867</v>
      </c>
      <c r="F11" s="904"/>
      <c r="G11" s="904"/>
      <c r="H11" s="904"/>
      <c r="I11" s="904"/>
      <c r="J11" s="904"/>
      <c r="K11" s="904"/>
      <c r="L11" s="905"/>
      <c r="M11" s="905"/>
      <c r="N11" s="905"/>
      <c r="O11" s="905"/>
      <c r="P11" s="905"/>
    </row>
    <row r="12" spans="1:16" ht="21.75" customHeight="1">
      <c r="A12" s="913"/>
      <c r="B12" s="913"/>
      <c r="C12" s="913"/>
      <c r="D12" s="913"/>
      <c r="E12" s="913"/>
      <c r="F12" s="914"/>
      <c r="G12" s="915"/>
      <c r="H12" s="916"/>
      <c r="I12" s="917"/>
      <c r="J12" s="917"/>
      <c r="K12" s="905"/>
      <c r="L12" s="905"/>
      <c r="M12" s="905"/>
      <c r="N12" s="905"/>
      <c r="O12" s="905"/>
      <c r="P12" s="905"/>
    </row>
    <row r="13" spans="1:16" ht="24.75" customHeight="1">
      <c r="A13" s="918" t="s">
        <v>1162</v>
      </c>
      <c r="B13" s="913"/>
      <c r="C13" s="913"/>
      <c r="D13" s="919" t="s">
        <v>1161</v>
      </c>
      <c r="E13" s="919"/>
      <c r="F13" s="919" t="s">
        <v>1160</v>
      </c>
      <c r="G13" s="913"/>
      <c r="L13" s="904"/>
      <c r="M13" s="905"/>
      <c r="N13" s="905"/>
      <c r="O13" s="905"/>
      <c r="P13" s="905"/>
    </row>
    <row r="14" spans="1:16" ht="24.75" customHeight="1">
      <c r="A14" s="920"/>
      <c r="B14" s="913"/>
      <c r="C14" s="913"/>
      <c r="D14" s="919"/>
      <c r="E14" s="919"/>
      <c r="F14" s="919"/>
      <c r="G14" s="913"/>
      <c r="L14" s="904"/>
      <c r="M14" s="905"/>
      <c r="N14" s="905"/>
      <c r="O14" s="905"/>
      <c r="P14" s="905"/>
    </row>
    <row r="15" spans="1:16" ht="15.75" thickBot="1"/>
    <row r="16" spans="1:16" ht="27" customHeight="1" thickBot="1">
      <c r="A16" s="2190" t="s">
        <v>1159</v>
      </c>
      <c r="B16" s="2191"/>
      <c r="C16" s="2191"/>
      <c r="D16" s="2191"/>
      <c r="E16" s="2191"/>
      <c r="F16" s="2191"/>
      <c r="G16" s="2191"/>
      <c r="H16" s="2191"/>
      <c r="I16" s="2191"/>
      <c r="J16" s="2191"/>
      <c r="K16" s="2192"/>
      <c r="L16" s="901"/>
      <c r="M16" s="901"/>
      <c r="N16" s="901"/>
      <c r="O16" s="901"/>
      <c r="P16" s="901"/>
    </row>
    <row r="17" spans="1:16">
      <c r="A17" s="921" t="s">
        <v>1158</v>
      </c>
    </row>
    <row r="18" spans="1:16">
      <c r="A18" s="913"/>
      <c r="B18" s="922"/>
      <c r="C18" s="922"/>
      <c r="D18" s="922"/>
      <c r="E18" s="922"/>
      <c r="F18" s="922"/>
      <c r="G18" s="922"/>
      <c r="H18" s="922"/>
      <c r="I18" s="922"/>
      <c r="J18" s="922"/>
      <c r="K18" s="922"/>
      <c r="L18" s="923"/>
      <c r="M18" s="923"/>
      <c r="N18" s="923"/>
      <c r="O18" s="923"/>
      <c r="P18" s="923"/>
    </row>
    <row r="19" spans="1:16">
      <c r="A19" s="913"/>
      <c r="B19" s="913"/>
      <c r="C19" s="913"/>
      <c r="D19" s="913"/>
      <c r="E19" s="913"/>
      <c r="F19" s="913"/>
      <c r="G19" s="913"/>
      <c r="H19" s="913"/>
      <c r="I19" s="913"/>
      <c r="J19" s="913"/>
      <c r="K19" s="913"/>
      <c r="L19" s="924"/>
      <c r="M19" s="924"/>
      <c r="N19" s="924"/>
      <c r="O19" s="924"/>
      <c r="P19" s="924"/>
    </row>
    <row r="20" spans="1:16">
      <c r="A20" s="913"/>
      <c r="B20" s="913"/>
      <c r="C20" s="913"/>
      <c r="D20" s="913"/>
      <c r="E20" s="913"/>
      <c r="F20" s="913"/>
      <c r="G20" s="913"/>
      <c r="H20" s="913"/>
      <c r="I20" s="913"/>
      <c r="J20" s="913"/>
      <c r="K20" s="913"/>
      <c r="L20" s="924"/>
      <c r="M20" s="924"/>
      <c r="N20" s="924"/>
      <c r="O20" s="924"/>
      <c r="P20" s="924"/>
    </row>
    <row r="21" spans="1:16">
      <c r="A21" s="925"/>
      <c r="B21" s="926"/>
      <c r="C21" s="926"/>
      <c r="D21" s="926"/>
      <c r="E21" s="926"/>
      <c r="F21" s="925"/>
      <c r="G21" s="925"/>
      <c r="H21" s="925"/>
      <c r="I21" s="927"/>
      <c r="J21" s="927"/>
      <c r="K21" s="927"/>
      <c r="L21" s="924"/>
    </row>
    <row r="22" spans="1:16">
      <c r="A22" s="925"/>
      <c r="B22" s="928"/>
      <c r="C22" s="928"/>
      <c r="D22" s="928"/>
      <c r="E22" s="928"/>
      <c r="F22" s="925"/>
      <c r="G22" s="925"/>
      <c r="H22" s="925"/>
      <c r="I22" s="929"/>
      <c r="J22" s="929"/>
      <c r="K22" s="929"/>
      <c r="L22" s="924"/>
    </row>
    <row r="23" spans="1:16">
      <c r="A23" s="925"/>
      <c r="B23" s="928"/>
      <c r="C23" s="928"/>
      <c r="D23" s="928"/>
      <c r="E23" s="928"/>
      <c r="F23" s="925"/>
      <c r="G23" s="925"/>
      <c r="H23" s="925"/>
      <c r="I23" s="929"/>
      <c r="J23" s="929"/>
      <c r="K23" s="929"/>
      <c r="L23" s="924"/>
    </row>
    <row r="24" spans="1:16">
      <c r="A24" s="925"/>
      <c r="B24" s="928"/>
      <c r="C24" s="928"/>
      <c r="D24" s="928"/>
      <c r="E24" s="928"/>
      <c r="F24" s="925"/>
      <c r="G24" s="925"/>
      <c r="H24" s="925"/>
      <c r="I24" s="929"/>
      <c r="J24" s="929"/>
      <c r="K24" s="929"/>
      <c r="L24" s="924"/>
    </row>
    <row r="25" spans="1:16">
      <c r="A25" s="925"/>
      <c r="B25" s="928"/>
      <c r="C25" s="928"/>
      <c r="D25" s="928"/>
      <c r="E25" s="928"/>
      <c r="F25" s="925"/>
      <c r="G25" s="925"/>
      <c r="H25" s="925"/>
      <c r="I25" s="929"/>
      <c r="J25" s="929"/>
      <c r="K25" s="929"/>
      <c r="L25" s="924"/>
    </row>
    <row r="26" spans="1:16">
      <c r="A26" s="925"/>
      <c r="B26" s="928"/>
      <c r="C26" s="928"/>
      <c r="D26" s="928"/>
      <c r="E26" s="928"/>
      <c r="F26" s="925"/>
      <c r="G26" s="925"/>
      <c r="H26" s="925"/>
      <c r="I26" s="929"/>
      <c r="J26" s="929"/>
      <c r="K26" s="929"/>
      <c r="L26" s="924"/>
    </row>
    <row r="27" spans="1:16">
      <c r="A27" s="925"/>
      <c r="B27" s="928"/>
      <c r="C27" s="928"/>
      <c r="D27" s="928"/>
      <c r="E27" s="928"/>
      <c r="F27" s="925"/>
      <c r="G27" s="925"/>
      <c r="H27" s="925"/>
      <c r="I27" s="929"/>
      <c r="J27" s="929"/>
      <c r="K27" s="929"/>
      <c r="L27" s="924"/>
    </row>
    <row r="28" spans="1:16">
      <c r="A28" s="913"/>
      <c r="B28" s="913"/>
      <c r="C28" s="913"/>
      <c r="D28" s="913"/>
      <c r="E28" s="913"/>
      <c r="F28" s="913"/>
      <c r="G28" s="913"/>
      <c r="H28" s="913"/>
      <c r="I28" s="913"/>
      <c r="J28" s="913"/>
      <c r="K28" s="913"/>
      <c r="L28" s="924"/>
    </row>
    <row r="29" spans="1:16">
      <c r="A29" s="930" t="s">
        <v>1157</v>
      </c>
      <c r="B29" s="931"/>
      <c r="C29" s="931"/>
      <c r="D29" s="931"/>
      <c r="E29" s="931"/>
      <c r="F29" s="932"/>
      <c r="G29" s="932"/>
      <c r="H29" s="932"/>
      <c r="I29" s="933"/>
      <c r="J29" s="933"/>
      <c r="K29" s="933"/>
      <c r="L29" s="924"/>
    </row>
    <row r="30" spans="1:16">
      <c r="A30" s="934"/>
      <c r="B30" s="931"/>
      <c r="C30" s="931"/>
      <c r="D30" s="931"/>
      <c r="E30" s="931"/>
      <c r="F30" s="932"/>
      <c r="G30" s="932"/>
      <c r="H30" s="932"/>
      <c r="I30" s="933"/>
      <c r="J30" s="933"/>
      <c r="K30" s="933"/>
      <c r="L30" s="924"/>
    </row>
    <row r="31" spans="1:16">
      <c r="A31" s="934"/>
      <c r="B31" s="931"/>
      <c r="C31" s="931"/>
      <c r="D31" s="931"/>
      <c r="E31" s="931"/>
      <c r="F31" s="932"/>
      <c r="G31" s="932"/>
      <c r="H31" s="932"/>
      <c r="I31" s="933"/>
      <c r="J31" s="933"/>
      <c r="K31" s="933"/>
      <c r="L31" s="924"/>
    </row>
    <row r="32" spans="1:16">
      <c r="A32" s="932"/>
      <c r="B32" s="931"/>
      <c r="C32" s="931"/>
      <c r="D32" s="931"/>
      <c r="E32" s="931"/>
      <c r="F32" s="932"/>
      <c r="G32" s="932"/>
      <c r="H32" s="932"/>
      <c r="I32" s="933"/>
      <c r="J32" s="933"/>
      <c r="K32" s="933"/>
      <c r="L32" s="924"/>
    </row>
    <row r="33" spans="1:12">
      <c r="A33" s="934"/>
      <c r="B33" s="934"/>
      <c r="C33" s="934"/>
      <c r="D33" s="934"/>
      <c r="E33" s="934"/>
      <c r="F33" s="934"/>
      <c r="G33" s="934"/>
      <c r="H33" s="934"/>
      <c r="I33" s="934"/>
      <c r="J33" s="934"/>
      <c r="K33" s="934"/>
      <c r="L33" s="924"/>
    </row>
    <row r="34" spans="1:12">
      <c r="A34" s="932"/>
      <c r="B34" s="931"/>
      <c r="C34" s="931"/>
      <c r="D34" s="931"/>
      <c r="E34" s="931"/>
      <c r="F34" s="932"/>
      <c r="G34" s="932"/>
      <c r="H34" s="932"/>
      <c r="I34" s="933"/>
      <c r="J34" s="933"/>
      <c r="K34" s="935"/>
      <c r="L34" s="924"/>
    </row>
    <row r="35" spans="1:12" ht="15.75" thickBot="1">
      <c r="L35" s="924"/>
    </row>
    <row r="36" spans="1:12" ht="27" customHeight="1" thickBot="1">
      <c r="A36" s="2190" t="s">
        <v>1156</v>
      </c>
      <c r="B36" s="2191"/>
      <c r="C36" s="2191"/>
      <c r="D36" s="2191"/>
      <c r="E36" s="2191"/>
      <c r="F36" s="2191"/>
      <c r="G36" s="2191"/>
      <c r="H36" s="2191"/>
      <c r="I36" s="2191"/>
      <c r="J36" s="2191"/>
      <c r="K36" s="2192"/>
      <c r="L36" s="924"/>
    </row>
    <row r="37" spans="1:12">
      <c r="A37" s="925"/>
      <c r="B37" s="926"/>
      <c r="C37" s="926"/>
      <c r="D37" s="926"/>
      <c r="E37" s="926"/>
      <c r="F37" s="925"/>
      <c r="G37" s="925"/>
      <c r="H37" s="925"/>
      <c r="I37" s="927"/>
      <c r="J37" s="927"/>
      <c r="K37" s="927"/>
      <c r="L37" s="924"/>
    </row>
    <row r="38" spans="1:12">
      <c r="A38" s="913"/>
      <c r="B38" s="913"/>
      <c r="C38" s="913"/>
      <c r="D38" s="913"/>
      <c r="E38" s="913"/>
      <c r="F38" s="913"/>
      <c r="G38" s="913"/>
      <c r="H38" s="913"/>
      <c r="I38" s="913"/>
      <c r="J38" s="913"/>
      <c r="K38" s="913"/>
      <c r="L38" s="924"/>
    </row>
    <row r="39" spans="1:12">
      <c r="A39" s="913"/>
      <c r="B39" s="913"/>
      <c r="C39" s="913"/>
      <c r="D39" s="913"/>
      <c r="E39" s="913"/>
      <c r="F39" s="913"/>
      <c r="G39" s="913"/>
      <c r="H39" s="913"/>
      <c r="I39" s="913"/>
      <c r="J39" s="913"/>
      <c r="K39" s="913"/>
      <c r="L39" s="924"/>
    </row>
    <row r="40" spans="1:12">
      <c r="A40" s="913"/>
      <c r="B40" s="913"/>
      <c r="C40" s="913"/>
      <c r="D40" s="913"/>
      <c r="E40" s="913"/>
      <c r="F40" s="913"/>
      <c r="G40" s="913"/>
      <c r="H40" s="913"/>
      <c r="I40" s="913"/>
      <c r="J40" s="913"/>
      <c r="K40" s="913"/>
      <c r="L40" s="924"/>
    </row>
    <row r="41" spans="1:12">
      <c r="A41" s="913"/>
      <c r="B41" s="913"/>
      <c r="C41" s="913"/>
      <c r="D41" s="913"/>
      <c r="E41" s="913"/>
      <c r="F41" s="913"/>
      <c r="G41" s="913"/>
      <c r="H41" s="913"/>
      <c r="I41" s="913"/>
      <c r="J41" s="913"/>
      <c r="K41" s="913"/>
      <c r="L41" s="924"/>
    </row>
    <row r="42" spans="1:12">
      <c r="A42" s="925"/>
      <c r="B42" s="928"/>
      <c r="C42" s="928"/>
      <c r="D42" s="928"/>
      <c r="E42" s="928"/>
      <c r="F42" s="925"/>
      <c r="G42" s="925"/>
      <c r="H42" s="925"/>
      <c r="I42" s="929"/>
      <c r="J42" s="929"/>
      <c r="K42" s="929"/>
      <c r="L42" s="924"/>
    </row>
    <row r="43" spans="1:12">
      <c r="A43" s="925"/>
      <c r="B43" s="926"/>
      <c r="C43" s="926"/>
      <c r="D43" s="926"/>
      <c r="E43" s="926"/>
      <c r="F43" s="925"/>
      <c r="G43" s="925"/>
      <c r="H43" s="925"/>
      <c r="I43" s="927"/>
      <c r="J43" s="927"/>
      <c r="K43" s="927"/>
      <c r="L43" s="924"/>
    </row>
    <row r="44" spans="1:12">
      <c r="A44" s="925"/>
      <c r="B44" s="928"/>
      <c r="C44" s="928"/>
      <c r="D44" s="928"/>
      <c r="E44" s="928"/>
      <c r="F44" s="925"/>
      <c r="G44" s="925"/>
      <c r="H44" s="925"/>
      <c r="I44" s="929"/>
      <c r="J44" s="929"/>
      <c r="K44" s="929"/>
      <c r="L44" s="924"/>
    </row>
    <row r="45" spans="1:12">
      <c r="A45" s="925"/>
      <c r="B45" s="928"/>
      <c r="C45" s="928"/>
      <c r="D45" s="928"/>
      <c r="E45" s="928"/>
      <c r="F45" s="925"/>
      <c r="G45" s="925"/>
      <c r="H45" s="925"/>
      <c r="I45" s="929"/>
      <c r="J45" s="929"/>
      <c r="K45" s="929"/>
      <c r="L45" s="924"/>
    </row>
    <row r="46" spans="1:12">
      <c r="A46" s="930" t="s">
        <v>1157</v>
      </c>
      <c r="B46" s="931"/>
      <c r="C46" s="931"/>
      <c r="D46" s="931"/>
      <c r="E46" s="931"/>
      <c r="F46" s="932"/>
      <c r="G46" s="932"/>
      <c r="H46" s="932"/>
      <c r="I46" s="933"/>
      <c r="J46" s="933"/>
      <c r="K46" s="933"/>
      <c r="L46" s="924"/>
    </row>
    <row r="47" spans="1:12">
      <c r="A47" s="936"/>
      <c r="B47" s="937"/>
      <c r="C47" s="937"/>
      <c r="D47" s="937"/>
      <c r="E47" s="937"/>
      <c r="F47" s="936"/>
      <c r="G47" s="936"/>
      <c r="H47" s="936"/>
      <c r="I47" s="935"/>
      <c r="J47" s="935"/>
      <c r="K47" s="935"/>
      <c r="L47" s="924"/>
    </row>
    <row r="48" spans="1:12">
      <c r="A48" s="936"/>
      <c r="B48" s="937"/>
      <c r="C48" s="937"/>
      <c r="D48" s="937"/>
      <c r="E48" s="937"/>
      <c r="F48" s="936"/>
      <c r="G48" s="936"/>
      <c r="H48" s="936"/>
      <c r="I48" s="935"/>
      <c r="J48" s="935"/>
      <c r="K48" s="935"/>
      <c r="L48" s="924"/>
    </row>
    <row r="49" spans="1:12">
      <c r="A49" s="936"/>
      <c r="B49" s="938"/>
      <c r="C49" s="938"/>
      <c r="D49" s="938"/>
      <c r="E49" s="938"/>
      <c r="F49" s="936"/>
      <c r="G49" s="936"/>
      <c r="H49" s="936"/>
      <c r="I49" s="939"/>
      <c r="J49" s="939"/>
      <c r="K49" s="939"/>
      <c r="L49" s="924"/>
    </row>
    <row r="50" spans="1:12">
      <c r="A50" s="936"/>
      <c r="B50" s="937"/>
      <c r="C50" s="937"/>
      <c r="D50" s="937"/>
      <c r="E50" s="937"/>
      <c r="F50" s="936"/>
      <c r="G50" s="936"/>
      <c r="H50" s="936"/>
      <c r="I50" s="935"/>
      <c r="J50" s="935"/>
      <c r="K50" s="935"/>
      <c r="L50" s="924"/>
    </row>
    <row r="51" spans="1:12">
      <c r="A51" s="936"/>
      <c r="B51" s="937"/>
      <c r="C51" s="937"/>
      <c r="D51" s="937"/>
      <c r="E51" s="937"/>
      <c r="F51" s="936"/>
      <c r="G51" s="936"/>
      <c r="H51" s="936"/>
      <c r="I51" s="935"/>
      <c r="J51" s="935"/>
      <c r="K51" s="935"/>
      <c r="L51" s="924"/>
    </row>
    <row r="52" spans="1:12" ht="15.75" thickBot="1">
      <c r="L52" s="924"/>
    </row>
    <row r="53" spans="1:12" ht="15" customHeight="1">
      <c r="A53" s="940" t="s">
        <v>1511</v>
      </c>
      <c r="B53" s="941"/>
      <c r="C53" s="941"/>
      <c r="D53" s="941"/>
      <c r="E53" s="942"/>
      <c r="F53" s="940" t="s">
        <v>1155</v>
      </c>
      <c r="G53" s="941"/>
      <c r="H53" s="941"/>
      <c r="I53" s="941"/>
      <c r="J53" s="943"/>
      <c r="K53" s="944"/>
      <c r="L53" s="924"/>
    </row>
    <row r="54" spans="1:12" ht="18" customHeight="1">
      <c r="A54" s="2193"/>
      <c r="B54" s="2194"/>
      <c r="C54" s="2194"/>
      <c r="D54" s="2194"/>
      <c r="E54" s="2195"/>
      <c r="F54" s="2196"/>
      <c r="G54" s="2197"/>
      <c r="H54" s="2197"/>
      <c r="I54" s="2197"/>
      <c r="J54" s="2197"/>
      <c r="K54" s="2198"/>
      <c r="L54" s="924"/>
    </row>
    <row r="55" spans="1:12" ht="63.75" customHeight="1">
      <c r="A55" s="2182" t="s">
        <v>105</v>
      </c>
      <c r="B55" s="2183"/>
      <c r="C55" s="2183"/>
      <c r="D55" s="2183"/>
      <c r="E55" s="2184"/>
      <c r="F55" s="2182" t="s">
        <v>105</v>
      </c>
      <c r="G55" s="2183"/>
      <c r="H55" s="2183"/>
      <c r="I55" s="2183"/>
      <c r="J55" s="2183"/>
      <c r="K55" s="2184"/>
      <c r="L55" s="924"/>
    </row>
    <row r="56" spans="1:12">
      <c r="A56" s="2182"/>
      <c r="B56" s="2183"/>
      <c r="C56" s="2183"/>
      <c r="D56" s="2183"/>
      <c r="E56" s="2184"/>
      <c r="F56" s="2182"/>
      <c r="G56" s="2183"/>
      <c r="H56" s="2183"/>
      <c r="I56" s="2183"/>
      <c r="J56" s="2183"/>
      <c r="K56" s="2184"/>
      <c r="L56" s="924"/>
    </row>
    <row r="57" spans="1:12">
      <c r="A57" s="2182"/>
      <c r="B57" s="2183"/>
      <c r="C57" s="2183"/>
      <c r="D57" s="2183"/>
      <c r="E57" s="2184"/>
      <c r="F57" s="2182"/>
      <c r="G57" s="2183"/>
      <c r="H57" s="2183"/>
      <c r="I57" s="2183"/>
      <c r="J57" s="2183"/>
      <c r="K57" s="2184"/>
      <c r="L57" s="924"/>
    </row>
    <row r="58" spans="1:12" ht="15.75" thickBot="1">
      <c r="A58" s="2185"/>
      <c r="B58" s="2186"/>
      <c r="C58" s="2186"/>
      <c r="D58" s="2186"/>
      <c r="E58" s="2187"/>
      <c r="F58" s="2185"/>
      <c r="G58" s="2186"/>
      <c r="H58" s="2186"/>
      <c r="I58" s="2186"/>
      <c r="J58" s="2186"/>
      <c r="K58" s="2187"/>
      <c r="L58" s="901"/>
    </row>
    <row r="59" spans="1:12">
      <c r="A59" s="2188"/>
      <c r="B59" s="2188"/>
      <c r="C59" s="2188"/>
      <c r="D59" s="2188"/>
      <c r="E59" s="2188"/>
      <c r="F59" s="2188"/>
      <c r="G59" s="2188"/>
      <c r="H59" s="2188"/>
      <c r="I59" s="2188"/>
      <c r="J59" s="2188"/>
      <c r="K59" s="2188"/>
      <c r="L59" s="901"/>
    </row>
  </sheetData>
  <mergeCells count="15">
    <mergeCell ref="A55:E58"/>
    <mergeCell ref="F55:K58"/>
    <mergeCell ref="A59:K59"/>
    <mergeCell ref="A10:C10"/>
    <mergeCell ref="D10:K10"/>
    <mergeCell ref="A11:C11"/>
    <mergeCell ref="A16:K16"/>
    <mergeCell ref="A36:K36"/>
    <mergeCell ref="A54:E54"/>
    <mergeCell ref="F54:K54"/>
    <mergeCell ref="A1:K2"/>
    <mergeCell ref="A7:C7"/>
    <mergeCell ref="A8:C8"/>
    <mergeCell ref="A9:C9"/>
    <mergeCell ref="D9:G9"/>
  </mergeCells>
  <printOptions horizontalCentered="1" verticalCentered="1"/>
  <pageMargins left="0" right="0" top="0.39370078740157483" bottom="0.39370078740157483" header="0" footer="0"/>
  <pageSetup paperSize="9" scale="75" orientation="portrait" blackAndWhite="1" r:id="rId1"/>
  <headerFooter>
    <oddFooter>&amp;LEdité le &amp;D&amp;C&amp;P/&amp;N</oddFooter>
  </headerFooter>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9665" r:id="rId4" name="Check Box 1">
              <controlPr defaultSize="0" autoFill="0" autoLine="0" autoPict="0">
                <anchor moveWithCells="1">
                  <from>
                    <xdr:col>2</xdr:col>
                    <xdr:colOff>714375</xdr:colOff>
                    <xdr:row>12</xdr:row>
                    <xdr:rowOff>57150</xdr:rowOff>
                  </from>
                  <to>
                    <xdr:col>3</xdr:col>
                    <xdr:colOff>219075</xdr:colOff>
                    <xdr:row>12</xdr:row>
                    <xdr:rowOff>276225</xdr:rowOff>
                  </to>
                </anchor>
              </controlPr>
            </control>
          </mc:Choice>
        </mc:AlternateContent>
        <mc:AlternateContent xmlns:mc="http://schemas.openxmlformats.org/markup-compatibility/2006">
          <mc:Choice Requires="x14">
            <control shapeId="369666" r:id="rId5" name="Check Box 2">
              <controlPr defaultSize="0" autoFill="0" autoLine="0" autoPict="0">
                <anchor moveWithCells="1">
                  <from>
                    <xdr:col>4</xdr:col>
                    <xdr:colOff>800100</xdr:colOff>
                    <xdr:row>12</xdr:row>
                    <xdr:rowOff>57150</xdr:rowOff>
                  </from>
                  <to>
                    <xdr:col>5</xdr:col>
                    <xdr:colOff>238125</xdr:colOff>
                    <xdr:row>12</xdr:row>
                    <xdr:rowOff>276225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28">
    <tabColor indexed="42"/>
    <pageSetUpPr fitToPage="1"/>
  </sheetPr>
  <dimension ref="A1:AI99"/>
  <sheetViews>
    <sheetView showGridLines="0" view="pageBreakPreview" zoomScaleNormal="100" zoomScaleSheetLayoutView="100" workbookViewId="0">
      <selection sqref="A1:AG1"/>
    </sheetView>
  </sheetViews>
  <sheetFormatPr baseColWidth="10" defaultRowHeight="12.75"/>
  <cols>
    <col min="1" max="2" width="1.140625" customWidth="1"/>
    <col min="3" max="3" width="3.28515625" style="243" customWidth="1"/>
    <col min="5" max="5" width="16.140625" bestFit="1" customWidth="1"/>
    <col min="6" max="6" width="1.7109375" customWidth="1"/>
    <col min="7" max="7" width="3.28515625" customWidth="1"/>
    <col min="8" max="8" width="3.5703125" customWidth="1"/>
    <col min="9" max="9" width="4.28515625" customWidth="1"/>
    <col min="10" max="10" width="3.42578125" customWidth="1"/>
    <col min="11" max="11" width="1.7109375" customWidth="1"/>
    <col min="12" max="12" width="3.28515625" customWidth="1"/>
    <col min="13" max="13" width="1.7109375" customWidth="1"/>
    <col min="14" max="14" width="3.28515625" customWidth="1"/>
    <col min="15" max="15" width="1.7109375" customWidth="1"/>
    <col min="16" max="16" width="3.28515625" customWidth="1"/>
    <col min="17" max="17" width="14" customWidth="1"/>
    <col min="18" max="18" width="0.85546875" customWidth="1"/>
    <col min="19" max="20" width="1.140625" customWidth="1"/>
    <col min="21" max="21" width="3.28515625" style="243" customWidth="1"/>
    <col min="22" max="22" width="6.7109375" customWidth="1"/>
    <col min="23" max="23" width="5.140625" customWidth="1"/>
    <col min="24" max="24" width="2.7109375" customWidth="1"/>
    <col min="25" max="25" width="6.5703125" customWidth="1"/>
    <col min="26" max="26" width="6.140625" customWidth="1"/>
    <col min="27" max="27" width="3.28515625" customWidth="1"/>
    <col min="28" max="28" width="1.7109375" customWidth="1"/>
    <col min="29" max="29" width="3.28515625" customWidth="1"/>
    <col min="30" max="30" width="1.7109375" customWidth="1"/>
    <col min="31" max="31" width="3.28515625" customWidth="1"/>
    <col min="32" max="32" width="1.7109375" customWidth="1"/>
    <col min="33" max="33" width="3.28515625" customWidth="1"/>
    <col min="34" max="34" width="20" customWidth="1"/>
    <col min="35" max="35" width="0.85546875" customWidth="1"/>
  </cols>
  <sheetData>
    <row r="1" spans="1:35" ht="43.5" customHeight="1">
      <c r="A1" s="2165" t="s">
        <v>857</v>
      </c>
      <c r="B1" s="2165"/>
      <c r="C1" s="2165"/>
      <c r="D1" s="2165"/>
      <c r="E1" s="2165"/>
      <c r="F1" s="2165"/>
      <c r="G1" s="2165"/>
      <c r="H1" s="2165"/>
      <c r="I1" s="2165"/>
      <c r="J1" s="2165"/>
      <c r="K1" s="2165"/>
      <c r="L1" s="2165"/>
      <c r="M1" s="2165"/>
      <c r="N1" s="2165"/>
      <c r="O1" s="2165"/>
      <c r="P1" s="2165"/>
      <c r="Q1" s="2165"/>
      <c r="R1" s="2165"/>
      <c r="S1" s="2165"/>
      <c r="T1" s="2165"/>
      <c r="U1" s="2165"/>
      <c r="V1" s="2165"/>
      <c r="W1" s="2165"/>
      <c r="X1" s="2165"/>
      <c r="Y1" s="2165"/>
      <c r="Z1" s="2165"/>
      <c r="AA1" s="2165"/>
      <c r="AB1" s="2165"/>
      <c r="AC1" s="2165"/>
      <c r="AD1" s="2165"/>
      <c r="AE1" s="2165"/>
      <c r="AF1" s="2165"/>
      <c r="AG1" s="2165"/>
      <c r="AH1" s="143" t="s">
        <v>858</v>
      </c>
      <c r="AI1" s="23"/>
    </row>
    <row r="2" spans="1:35" ht="20.100000000000001"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c r="AE2" s="307"/>
      <c r="AF2" s="307"/>
      <c r="AG2" s="307"/>
      <c r="AH2" s="308"/>
      <c r="AI2" s="23"/>
    </row>
    <row r="3" spans="1:35" s="144" customFormat="1" ht="18" customHeight="1">
      <c r="A3" s="309" t="s">
        <v>675</v>
      </c>
      <c r="C3" s="353"/>
      <c r="E3" s="720" t="str">
        <f>IF(ISBLANK(oeOTP),"",oeOTP)</f>
        <v/>
      </c>
      <c r="F3" s="718"/>
      <c r="G3" s="718"/>
      <c r="H3" s="718"/>
      <c r="I3" s="718"/>
      <c r="U3" s="353"/>
      <c r="V3" s="352" t="s">
        <v>802</v>
      </c>
      <c r="W3" s="1838" t="str">
        <f>IF(ISBLANK(oLibelleOTP),"",oLibelleOTP)</f>
        <v/>
      </c>
      <c r="X3" s="1838"/>
      <c r="Y3" s="1838"/>
      <c r="Z3" s="1838"/>
      <c r="AA3" s="1838"/>
      <c r="AB3" s="1838"/>
      <c r="AC3" s="1838"/>
      <c r="AD3" s="1838"/>
      <c r="AE3" s="1838"/>
      <c r="AF3" s="1838"/>
      <c r="AG3" s="1838"/>
      <c r="AH3" s="1838"/>
    </row>
    <row r="4" spans="1:35" s="144" customFormat="1" ht="29.25" customHeight="1" thickBot="1">
      <c r="A4" s="14" t="s">
        <v>801</v>
      </c>
      <c r="C4" s="353"/>
      <c r="E4" s="720" t="str">
        <f>IF(ISBLANK(oVille),"",oVille)</f>
        <v/>
      </c>
      <c r="U4" s="353"/>
      <c r="W4" s="2199"/>
      <c r="X4" s="2199"/>
      <c r="Y4" s="2199"/>
      <c r="Z4" s="2199"/>
      <c r="AA4" s="2199"/>
      <c r="AB4" s="2199"/>
      <c r="AC4" s="2199"/>
      <c r="AD4" s="2199"/>
      <c r="AE4" s="2199"/>
      <c r="AF4" s="2199"/>
      <c r="AG4" s="2199"/>
      <c r="AH4" s="2199"/>
    </row>
    <row r="5" spans="1:35" ht="8.1" customHeight="1">
      <c r="A5" s="253"/>
      <c r="B5" s="254"/>
      <c r="C5" s="255"/>
      <c r="D5" s="254"/>
      <c r="E5" s="256"/>
      <c r="F5" s="254"/>
      <c r="G5" s="254"/>
      <c r="H5" s="254"/>
      <c r="I5" s="254"/>
      <c r="J5" s="254"/>
      <c r="K5" s="254"/>
      <c r="L5" s="254"/>
      <c r="M5" s="254"/>
      <c r="N5" s="254"/>
      <c r="O5" s="254"/>
      <c r="P5" s="254"/>
      <c r="Q5" s="254"/>
      <c r="R5" s="254"/>
      <c r="S5" s="253"/>
      <c r="T5" s="254"/>
      <c r="U5" s="255"/>
      <c r="V5" s="254"/>
      <c r="W5" s="256"/>
      <c r="X5" s="254"/>
      <c r="Y5" s="254"/>
      <c r="Z5" s="254"/>
      <c r="AA5" s="254"/>
      <c r="AB5" s="254"/>
      <c r="AC5" s="254"/>
      <c r="AD5" s="254"/>
      <c r="AE5" s="254"/>
      <c r="AF5" s="254"/>
      <c r="AG5" s="254"/>
      <c r="AH5" s="254"/>
      <c r="AI5" s="257"/>
    </row>
    <row r="6" spans="1:35">
      <c r="A6" s="258"/>
      <c r="B6" s="2166" t="s">
        <v>765</v>
      </c>
      <c r="C6" s="2167"/>
      <c r="D6" s="2167"/>
      <c r="E6" s="2167"/>
      <c r="F6" s="2167"/>
      <c r="G6" s="2167"/>
      <c r="H6" s="2167"/>
      <c r="I6" s="2167"/>
      <c r="J6" s="2167"/>
      <c r="K6" s="2167"/>
      <c r="L6" s="2167"/>
      <c r="M6" s="2167"/>
      <c r="N6" s="2167"/>
      <c r="O6" s="2167"/>
      <c r="P6" s="2167"/>
      <c r="Q6" s="2168"/>
      <c r="S6" s="258"/>
      <c r="AI6" s="259"/>
    </row>
    <row r="7" spans="1:35">
      <c r="A7" s="258"/>
      <c r="B7" s="110"/>
      <c r="C7" s="41" t="s">
        <v>766</v>
      </c>
      <c r="Q7" s="244"/>
      <c r="S7" s="258"/>
      <c r="U7" s="38"/>
      <c r="V7" s="38"/>
      <c r="W7" s="43" t="s">
        <v>859</v>
      </c>
      <c r="X7" s="38"/>
      <c r="Y7" s="38"/>
      <c r="Z7" s="38"/>
      <c r="AA7" s="38"/>
      <c r="AB7" s="38"/>
      <c r="AC7" s="38"/>
      <c r="AD7" s="38"/>
      <c r="AE7" s="38"/>
      <c r="AF7" s="38"/>
      <c r="AG7" s="38"/>
      <c r="AH7" s="38"/>
      <c r="AI7" s="259"/>
    </row>
    <row r="8" spans="1:35" ht="8.1" customHeight="1">
      <c r="A8" s="258"/>
      <c r="B8" s="110"/>
      <c r="Q8" s="244"/>
      <c r="S8" s="258"/>
      <c r="U8" s="41"/>
      <c r="AI8" s="259"/>
    </row>
    <row r="9" spans="1:35" ht="8.1" customHeight="1">
      <c r="A9" s="258"/>
      <c r="B9" s="110"/>
      <c r="Q9" s="244"/>
      <c r="S9" s="258"/>
      <c r="T9" s="231"/>
      <c r="U9" s="310"/>
      <c r="V9" s="274"/>
      <c r="W9" s="274"/>
      <c r="X9" s="274"/>
      <c r="Y9" s="274"/>
      <c r="Z9" s="274"/>
      <c r="AA9" s="274"/>
      <c r="AB9" s="274"/>
      <c r="AC9" s="274"/>
      <c r="AD9" s="274"/>
      <c r="AE9" s="274"/>
      <c r="AF9" s="274"/>
      <c r="AG9" s="274"/>
      <c r="AH9" s="275"/>
      <c r="AI9" s="259"/>
    </row>
    <row r="10" spans="1:35">
      <c r="A10" s="258"/>
      <c r="B10" s="110"/>
      <c r="C10" s="260" t="s">
        <v>563</v>
      </c>
      <c r="D10" t="s">
        <v>7</v>
      </c>
      <c r="Q10" s="244"/>
      <c r="S10" s="258"/>
      <c r="T10" s="110"/>
      <c r="U10" s="21" t="s">
        <v>860</v>
      </c>
      <c r="W10" s="311"/>
      <c r="X10" s="311"/>
      <c r="Y10" s="311"/>
      <c r="Z10" s="311"/>
      <c r="AA10" s="311"/>
      <c r="AB10" s="311"/>
      <c r="AC10" s="311"/>
      <c r="AD10" s="311"/>
      <c r="AE10" s="311"/>
      <c r="AF10" s="311"/>
      <c r="AG10" s="311"/>
      <c r="AH10" s="312"/>
      <c r="AI10" s="259"/>
    </row>
    <row r="11" spans="1:35" ht="8.1" customHeight="1">
      <c r="A11" s="258"/>
      <c r="B11" s="110"/>
      <c r="C11" s="40"/>
      <c r="Q11" s="244"/>
      <c r="S11" s="258"/>
      <c r="T11" s="110"/>
      <c r="U11" s="311"/>
      <c r="W11" s="311"/>
      <c r="X11" s="311"/>
      <c r="Y11" s="311"/>
      <c r="Z11" s="311"/>
      <c r="AA11" s="311"/>
      <c r="AB11" s="311"/>
      <c r="AC11" s="311"/>
      <c r="AD11" s="311"/>
      <c r="AE11" s="311"/>
      <c r="AF11" s="311"/>
      <c r="AG11" s="311"/>
      <c r="AH11" s="312"/>
      <c r="AI11" s="259"/>
    </row>
    <row r="12" spans="1:35">
      <c r="A12" s="258"/>
      <c r="B12" s="110"/>
      <c r="C12" s="260" t="s">
        <v>672</v>
      </c>
      <c r="D12" t="s">
        <v>8</v>
      </c>
      <c r="Q12" s="244"/>
      <c r="S12" s="258"/>
      <c r="T12" s="110"/>
      <c r="U12" s="21" t="s">
        <v>772</v>
      </c>
      <c r="W12" s="311"/>
      <c r="X12" s="311"/>
      <c r="Y12" s="311"/>
      <c r="Z12" s="311"/>
      <c r="AA12" s="319"/>
      <c r="AB12" s="319"/>
      <c r="AC12" s="319"/>
      <c r="AD12" s="319"/>
      <c r="AE12" s="319"/>
      <c r="AF12" s="319"/>
      <c r="AG12" s="319"/>
      <c r="AH12" s="312"/>
      <c r="AI12" s="259"/>
    </row>
    <row r="13" spans="1:35" ht="8.1" customHeight="1">
      <c r="A13" s="258"/>
      <c r="B13" s="110"/>
      <c r="C13" s="40"/>
      <c r="Q13" s="244"/>
      <c r="S13" s="258"/>
      <c r="T13" s="110"/>
      <c r="U13" s="311"/>
      <c r="W13" s="311"/>
      <c r="X13" s="311"/>
      <c r="Y13" s="311"/>
      <c r="Z13" s="311"/>
      <c r="AA13" s="311"/>
      <c r="AB13" s="311"/>
      <c r="AC13" s="311"/>
      <c r="AD13" s="311"/>
      <c r="AE13" s="311"/>
      <c r="AF13" s="311"/>
      <c r="AG13" s="311"/>
      <c r="AH13" s="312"/>
      <c r="AI13" s="259"/>
    </row>
    <row r="14" spans="1:35">
      <c r="A14" s="258"/>
      <c r="B14" s="110"/>
      <c r="C14" s="260" t="s">
        <v>650</v>
      </c>
      <c r="D14" t="s">
        <v>9</v>
      </c>
      <c r="Q14" s="244"/>
      <c r="S14" s="258"/>
      <c r="T14" s="110"/>
      <c r="U14" s="21" t="s">
        <v>329</v>
      </c>
      <c r="W14" s="311"/>
      <c r="X14" s="311"/>
      <c r="Y14" s="311"/>
      <c r="Z14" s="311"/>
      <c r="AA14" s="311"/>
      <c r="AB14" s="311"/>
      <c r="AC14" s="311"/>
      <c r="AD14" s="311"/>
      <c r="AE14" s="311"/>
      <c r="AF14" s="311"/>
      <c r="AG14" s="311"/>
      <c r="AH14" s="312"/>
      <c r="AI14" s="259"/>
    </row>
    <row r="15" spans="1:35" ht="8.1" customHeight="1">
      <c r="A15" s="258"/>
      <c r="B15" s="110"/>
      <c r="C15" s="40"/>
      <c r="Q15" s="244"/>
      <c r="S15" s="258"/>
      <c r="T15" s="110"/>
      <c r="U15" s="311"/>
      <c r="W15" s="311"/>
      <c r="X15" s="311"/>
      <c r="Y15" s="311"/>
      <c r="Z15" s="311"/>
      <c r="AA15" s="311"/>
      <c r="AB15" s="311"/>
      <c r="AC15" s="311"/>
      <c r="AD15" s="311"/>
      <c r="AE15" s="311"/>
      <c r="AF15" s="311"/>
      <c r="AG15" s="311"/>
      <c r="AH15" s="312"/>
      <c r="AI15" s="259"/>
    </row>
    <row r="16" spans="1:35">
      <c r="A16" s="258"/>
      <c r="B16" s="110"/>
      <c r="Q16" s="244"/>
      <c r="S16" s="258"/>
      <c r="T16" s="110"/>
      <c r="U16" s="21" t="s">
        <v>330</v>
      </c>
      <c r="W16" s="311"/>
      <c r="X16" s="311"/>
      <c r="Y16" s="311"/>
      <c r="Z16" s="311"/>
      <c r="AA16" s="311"/>
      <c r="AB16" s="311"/>
      <c r="AC16" s="311"/>
      <c r="AD16" s="311"/>
      <c r="AE16" s="311"/>
      <c r="AF16" s="311"/>
      <c r="AG16" s="311"/>
      <c r="AH16" s="312"/>
      <c r="AI16" s="259"/>
    </row>
    <row r="17" spans="1:35" ht="8.1" customHeight="1">
      <c r="A17" s="258"/>
      <c r="B17" s="110"/>
      <c r="C17" s="40"/>
      <c r="Q17" s="244"/>
      <c r="S17" s="258"/>
      <c r="T17" s="110"/>
      <c r="U17" s="311"/>
      <c r="W17" s="311"/>
      <c r="X17" s="311"/>
      <c r="Y17" s="311"/>
      <c r="Z17" s="311"/>
      <c r="AA17" s="311"/>
      <c r="AB17" s="311"/>
      <c r="AC17" s="311"/>
      <c r="AD17" s="311"/>
      <c r="AE17" s="311"/>
      <c r="AF17" s="311"/>
      <c r="AG17" s="311"/>
      <c r="AH17" s="312"/>
      <c r="AI17" s="259"/>
    </row>
    <row r="18" spans="1:35" ht="12.75" customHeight="1">
      <c r="A18" s="258"/>
      <c r="B18" s="110"/>
      <c r="C18" s="2169" t="s">
        <v>818</v>
      </c>
      <c r="D18" s="2169"/>
      <c r="E18" s="2169"/>
      <c r="F18" s="2169"/>
      <c r="G18" s="2169"/>
      <c r="H18" s="2169"/>
      <c r="I18" s="2169"/>
      <c r="J18" s="2169"/>
      <c r="K18" s="2169"/>
      <c r="L18" s="2169"/>
      <c r="M18" s="2169"/>
      <c r="N18" s="2169"/>
      <c r="O18" s="2169"/>
      <c r="P18" s="2169"/>
      <c r="Q18" s="2170"/>
      <c r="S18" s="258"/>
      <c r="T18" s="110"/>
      <c r="U18" s="21" t="s">
        <v>331</v>
      </c>
      <c r="W18" s="311"/>
      <c r="X18" s="311"/>
      <c r="Y18" s="311"/>
      <c r="Z18" s="311"/>
      <c r="AA18" s="311"/>
      <c r="AB18" s="311"/>
      <c r="AC18" s="311"/>
      <c r="AD18" s="311"/>
      <c r="AE18" s="311"/>
      <c r="AF18" s="311"/>
      <c r="AG18" s="311"/>
      <c r="AH18" s="312"/>
      <c r="AI18" s="259"/>
    </row>
    <row r="19" spans="1:35" ht="8.1" customHeight="1">
      <c r="A19" s="258"/>
      <c r="B19" s="110"/>
      <c r="C19" s="40"/>
      <c r="Q19" s="244"/>
      <c r="S19" s="258"/>
      <c r="T19" s="232"/>
      <c r="U19" s="251"/>
      <c r="V19" s="250"/>
      <c r="W19" s="250"/>
      <c r="X19" s="250"/>
      <c r="Y19" s="250"/>
      <c r="Z19" s="250"/>
      <c r="AA19" s="250"/>
      <c r="AB19" s="250"/>
      <c r="AC19" s="250"/>
      <c r="AD19" s="250"/>
      <c r="AE19" s="250"/>
      <c r="AF19" s="250"/>
      <c r="AG19" s="250"/>
      <c r="AH19" s="271"/>
      <c r="AI19" s="259"/>
    </row>
    <row r="20" spans="1:35">
      <c r="A20" s="258"/>
      <c r="B20" s="110"/>
      <c r="C20" s="264" t="s">
        <v>819</v>
      </c>
      <c r="D20" s="264"/>
      <c r="E20" s="264"/>
      <c r="F20" s="264"/>
      <c r="G20" s="264"/>
      <c r="H20" s="264"/>
      <c r="I20" s="264"/>
      <c r="J20" s="264"/>
      <c r="K20" s="264"/>
      <c r="L20" s="264"/>
      <c r="M20" s="264"/>
      <c r="N20" s="264"/>
      <c r="O20" s="264"/>
      <c r="P20" s="264"/>
      <c r="Q20" s="265"/>
      <c r="S20" s="258"/>
      <c r="U20" s="332"/>
      <c r="V20" s="121"/>
      <c r="W20" s="332"/>
      <c r="X20" s="332"/>
      <c r="Y20" s="332"/>
      <c r="Z20" s="332"/>
      <c r="AA20" s="332"/>
      <c r="AB20" s="332"/>
      <c r="AC20" s="332"/>
      <c r="AD20" s="332"/>
      <c r="AE20" s="332"/>
      <c r="AF20" s="332"/>
      <c r="AG20" s="332"/>
      <c r="AH20" s="332"/>
      <c r="AI20" s="259"/>
    </row>
    <row r="21" spans="1:35" ht="8.1" customHeight="1">
      <c r="A21" s="258"/>
      <c r="B21" s="110"/>
      <c r="C21" s="40"/>
      <c r="Q21" s="244"/>
      <c r="S21" s="258"/>
      <c r="U21" s="311"/>
      <c r="V21" s="21"/>
      <c r="W21" s="311"/>
      <c r="X21" s="311"/>
      <c r="Y21" s="311"/>
      <c r="Z21" s="311"/>
      <c r="AA21" s="311"/>
      <c r="AB21" s="311"/>
      <c r="AC21" s="311"/>
      <c r="AD21" s="311"/>
      <c r="AE21" s="311"/>
      <c r="AF21" s="311"/>
      <c r="AG21" s="311"/>
      <c r="AH21" s="311"/>
      <c r="AI21" s="259"/>
    </row>
    <row r="22" spans="1:35">
      <c r="A22" s="258"/>
      <c r="B22" s="110"/>
      <c r="C22" s="2171" t="s">
        <v>771</v>
      </c>
      <c r="D22" s="2171"/>
      <c r="E22" s="2171"/>
      <c r="F22" s="2171"/>
      <c r="G22" s="2171"/>
      <c r="H22" s="2171"/>
      <c r="I22" s="2171"/>
      <c r="J22" s="2171"/>
      <c r="K22" s="2171"/>
      <c r="L22" s="2171"/>
      <c r="M22" s="2171"/>
      <c r="N22" s="2171"/>
      <c r="O22" s="2171"/>
      <c r="P22" s="2171"/>
      <c r="Q22" s="2172"/>
      <c r="S22" s="258"/>
      <c r="W22" s="43" t="s">
        <v>332</v>
      </c>
      <c r="AI22" s="259"/>
    </row>
    <row r="23" spans="1:35" ht="8.1" customHeight="1">
      <c r="A23" s="258"/>
      <c r="B23" s="110"/>
      <c r="C23" s="41"/>
      <c r="D23" s="41"/>
      <c r="E23" s="41"/>
      <c r="F23" s="41"/>
      <c r="G23" s="41"/>
      <c r="H23" s="41"/>
      <c r="I23" s="41"/>
      <c r="J23" s="41"/>
      <c r="K23" s="41"/>
      <c r="L23" s="41"/>
      <c r="M23" s="41"/>
      <c r="N23" s="41"/>
      <c r="O23" s="41"/>
      <c r="P23" s="41"/>
      <c r="Q23" s="248"/>
      <c r="S23" s="258"/>
      <c r="AI23" s="259"/>
    </row>
    <row r="24" spans="1:35" ht="8.1" customHeight="1">
      <c r="A24" s="258"/>
      <c r="B24" s="110"/>
      <c r="C24" s="41"/>
      <c r="D24" s="41"/>
      <c r="E24" s="41"/>
      <c r="F24" s="41"/>
      <c r="G24" s="41"/>
      <c r="H24" s="41"/>
      <c r="I24" s="41"/>
      <c r="J24" s="41"/>
      <c r="K24" s="41"/>
      <c r="L24" s="41"/>
      <c r="M24" s="41"/>
      <c r="N24" s="41"/>
      <c r="O24" s="41"/>
      <c r="P24" s="41"/>
      <c r="Q24" s="248"/>
      <c r="S24" s="258"/>
      <c r="T24" s="231"/>
      <c r="U24" s="310"/>
      <c r="V24" s="274"/>
      <c r="W24" s="274"/>
      <c r="X24" s="274"/>
      <c r="Y24" s="274"/>
      <c r="Z24" s="274"/>
      <c r="AA24" s="274"/>
      <c r="AB24" s="274"/>
      <c r="AC24" s="274"/>
      <c r="AD24" s="274"/>
      <c r="AE24" s="274"/>
      <c r="AF24" s="274"/>
      <c r="AG24" s="274"/>
      <c r="AH24" s="275"/>
      <c r="AI24" s="259"/>
    </row>
    <row r="25" spans="1:35">
      <c r="A25" s="258"/>
      <c r="B25" s="110"/>
      <c r="C25" s="318" t="s">
        <v>822</v>
      </c>
      <c r="Q25" s="244"/>
      <c r="S25" s="258"/>
      <c r="T25" s="110"/>
      <c r="U25" s="43" t="s">
        <v>821</v>
      </c>
      <c r="W25" s="311"/>
      <c r="X25" s="311"/>
      <c r="Y25" s="311"/>
      <c r="AA25" s="311"/>
      <c r="AB25" s="21" t="s">
        <v>333</v>
      </c>
      <c r="AC25" s="311"/>
      <c r="AD25" s="311"/>
      <c r="AE25" s="311"/>
      <c r="AF25" s="319"/>
      <c r="AG25" s="319"/>
      <c r="AH25" s="314"/>
      <c r="AI25" s="259"/>
    </row>
    <row r="26" spans="1:35" ht="8.1" customHeight="1">
      <c r="A26" s="258"/>
      <c r="B26" s="110"/>
      <c r="C26" s="267"/>
      <c r="D26" s="267"/>
      <c r="E26" s="267"/>
      <c r="F26" s="267"/>
      <c r="G26" s="267"/>
      <c r="H26" s="267"/>
      <c r="I26" s="267"/>
      <c r="J26" s="267"/>
      <c r="K26" s="267"/>
      <c r="L26" s="267"/>
      <c r="M26" s="267"/>
      <c r="N26" s="267"/>
      <c r="O26" s="267"/>
      <c r="P26" s="267"/>
      <c r="Q26" s="268"/>
      <c r="S26" s="258"/>
      <c r="T26" s="110"/>
      <c r="U26" s="311"/>
      <c r="W26" s="311"/>
      <c r="X26" s="311"/>
      <c r="Y26" s="311"/>
      <c r="Z26" s="311"/>
      <c r="AA26" s="311"/>
      <c r="AB26" s="311"/>
      <c r="AC26" s="311"/>
      <c r="AD26" s="311"/>
      <c r="AE26" s="311"/>
      <c r="AF26" s="311"/>
      <c r="AG26" s="311"/>
      <c r="AH26" s="312"/>
      <c r="AI26" s="259"/>
    </row>
    <row r="27" spans="1:35" ht="12.75" customHeight="1">
      <c r="A27" s="258"/>
      <c r="B27" s="232"/>
      <c r="C27" s="320" t="s">
        <v>334</v>
      </c>
      <c r="D27" s="321"/>
      <c r="E27" s="321"/>
      <c r="F27" s="321"/>
      <c r="G27" s="321"/>
      <c r="H27" s="321"/>
      <c r="I27" s="321"/>
      <c r="J27" s="321"/>
      <c r="K27" s="321"/>
      <c r="L27" s="321"/>
      <c r="M27" s="321"/>
      <c r="N27" s="321"/>
      <c r="O27" s="321"/>
      <c r="P27" s="321"/>
      <c r="Q27" s="322"/>
      <c r="S27" s="258"/>
      <c r="T27" s="110"/>
      <c r="V27" s="21" t="s">
        <v>335</v>
      </c>
      <c r="W27" s="311"/>
      <c r="X27" s="311"/>
      <c r="Y27" s="311"/>
      <c r="Z27" s="311"/>
      <c r="AA27" s="311"/>
      <c r="AB27" s="311"/>
      <c r="AC27" s="146"/>
      <c r="AD27" s="146"/>
      <c r="AE27" s="146"/>
      <c r="AF27" s="146"/>
      <c r="AG27" s="146"/>
      <c r="AH27" s="312"/>
      <c r="AI27" s="259"/>
    </row>
    <row r="28" spans="1:35" ht="8.1" customHeight="1">
      <c r="A28" s="258"/>
      <c r="C28" s="269"/>
      <c r="D28" s="269"/>
      <c r="E28" s="269"/>
      <c r="F28" s="269"/>
      <c r="G28" s="269"/>
      <c r="H28" s="269"/>
      <c r="I28" s="269"/>
      <c r="J28" s="269"/>
      <c r="K28" s="269"/>
      <c r="L28" s="269"/>
      <c r="M28" s="269"/>
      <c r="N28" s="269"/>
      <c r="O28" s="269"/>
      <c r="P28" s="269"/>
      <c r="Q28" s="269"/>
      <c r="S28" s="258"/>
      <c r="T28" s="110"/>
      <c r="U28"/>
      <c r="V28" s="311"/>
      <c r="W28" s="311"/>
      <c r="X28" s="311"/>
      <c r="Y28" s="311"/>
      <c r="Z28" s="311"/>
      <c r="AA28" s="311"/>
      <c r="AB28" s="311"/>
      <c r="AC28" s="311"/>
      <c r="AD28" s="311"/>
      <c r="AE28" s="311"/>
      <c r="AF28" s="311"/>
      <c r="AG28" s="311"/>
      <c r="AH28" s="312"/>
      <c r="AI28" s="259"/>
    </row>
    <row r="29" spans="1:35">
      <c r="A29" s="258"/>
      <c r="S29" s="258"/>
      <c r="T29" s="110"/>
      <c r="V29" s="21" t="s">
        <v>336</v>
      </c>
      <c r="W29" s="311"/>
      <c r="X29" s="311"/>
      <c r="Y29" s="311"/>
      <c r="Z29" s="311"/>
      <c r="AA29" s="311"/>
      <c r="AB29" s="311"/>
      <c r="AC29" s="311"/>
      <c r="AD29" s="311"/>
      <c r="AE29" s="311"/>
      <c r="AF29" s="311"/>
      <c r="AG29" s="311"/>
      <c r="AH29" s="312"/>
      <c r="AI29" s="259"/>
    </row>
    <row r="30" spans="1:35" ht="8.1" customHeight="1">
      <c r="A30" s="258"/>
      <c r="S30" s="258"/>
      <c r="T30" s="110"/>
      <c r="U30"/>
      <c r="V30" s="311"/>
      <c r="W30" s="311"/>
      <c r="X30" s="311"/>
      <c r="Y30" s="311"/>
      <c r="Z30" s="311"/>
      <c r="AA30" s="311"/>
      <c r="AB30" s="311"/>
      <c r="AC30" s="311"/>
      <c r="AD30" s="311"/>
      <c r="AE30" s="311"/>
      <c r="AF30" s="311"/>
      <c r="AG30" s="311"/>
      <c r="AH30" s="312"/>
      <c r="AI30" s="259"/>
    </row>
    <row r="31" spans="1:35">
      <c r="A31" s="258"/>
      <c r="B31" s="270" t="s">
        <v>613</v>
      </c>
      <c r="S31" s="258"/>
      <c r="T31" s="110"/>
      <c r="V31" s="21" t="s">
        <v>337</v>
      </c>
      <c r="W31" s="311"/>
      <c r="X31" s="311"/>
      <c r="Y31" s="311"/>
      <c r="Z31" s="311"/>
      <c r="AA31" s="311"/>
      <c r="AB31" s="311"/>
      <c r="AC31" s="311"/>
      <c r="AD31" s="311"/>
      <c r="AE31" s="311"/>
      <c r="AF31" s="311"/>
      <c r="AG31" s="311"/>
      <c r="AH31" s="312"/>
      <c r="AI31" s="259"/>
    </row>
    <row r="32" spans="1:35" ht="8.1" customHeight="1">
      <c r="A32" s="258"/>
      <c r="B32" s="270"/>
      <c r="S32" s="258"/>
      <c r="T32" s="110"/>
      <c r="U32"/>
      <c r="V32" s="311"/>
      <c r="W32" s="311"/>
      <c r="X32" s="311"/>
      <c r="Y32" s="311"/>
      <c r="Z32" s="311"/>
      <c r="AA32" s="311"/>
      <c r="AB32" s="311"/>
      <c r="AC32" s="311"/>
      <c r="AD32" s="311"/>
      <c r="AE32" s="311"/>
      <c r="AF32" s="311"/>
      <c r="AG32" s="311"/>
      <c r="AH32" s="312"/>
      <c r="AI32" s="259"/>
    </row>
    <row r="33" spans="1:35" ht="12.75" customHeight="1">
      <c r="A33" s="258"/>
      <c r="D33" t="s">
        <v>827</v>
      </c>
      <c r="S33" s="258"/>
      <c r="T33" s="110"/>
      <c r="V33" s="21" t="s">
        <v>338</v>
      </c>
      <c r="W33" s="323"/>
      <c r="X33" s="323"/>
      <c r="Y33" s="323"/>
      <c r="Z33" s="323"/>
      <c r="AA33" s="323"/>
      <c r="AB33" s="323"/>
      <c r="AC33" s="323"/>
      <c r="AD33" s="323"/>
      <c r="AE33" s="323"/>
      <c r="AF33" s="323"/>
      <c r="AG33" s="323"/>
      <c r="AH33" s="325"/>
      <c r="AI33" s="259"/>
    </row>
    <row r="34" spans="1:35" ht="8.1" customHeight="1">
      <c r="A34" s="258"/>
      <c r="B34" s="270"/>
      <c r="S34" s="258"/>
      <c r="T34" s="110"/>
      <c r="AH34" s="244"/>
      <c r="AI34" s="259"/>
    </row>
    <row r="35" spans="1:35">
      <c r="A35" s="258"/>
      <c r="D35" t="s">
        <v>339</v>
      </c>
      <c r="S35" s="258"/>
      <c r="T35" s="110"/>
      <c r="U35" s="21" t="s">
        <v>340</v>
      </c>
      <c r="V35" s="21"/>
      <c r="W35" s="311"/>
      <c r="X35" s="311"/>
      <c r="Y35" s="311"/>
      <c r="Z35" s="311"/>
      <c r="AA35" s="266" t="s">
        <v>563</v>
      </c>
      <c r="AB35" s="146"/>
      <c r="AC35" s="266" t="s">
        <v>672</v>
      </c>
      <c r="AD35" s="146"/>
      <c r="AE35" s="266" t="s">
        <v>650</v>
      </c>
      <c r="AF35" s="146"/>
      <c r="AG35" s="313"/>
      <c r="AH35" s="262"/>
      <c r="AI35" s="259"/>
    </row>
    <row r="36" spans="1:35" ht="8.1" customHeight="1">
      <c r="A36" s="258"/>
      <c r="B36" s="270"/>
      <c r="S36" s="258"/>
      <c r="T36" s="110"/>
      <c r="U36" s="21"/>
      <c r="V36" s="311"/>
      <c r="W36" s="311"/>
      <c r="X36" s="311"/>
      <c r="Y36" s="311"/>
      <c r="Z36" s="311"/>
      <c r="AA36" s="146"/>
      <c r="AB36" s="146"/>
      <c r="AC36" s="146"/>
      <c r="AD36" s="146"/>
      <c r="AE36" s="146"/>
      <c r="AF36" s="146"/>
      <c r="AG36" s="146"/>
      <c r="AH36" s="249"/>
      <c r="AI36" s="259"/>
    </row>
    <row r="37" spans="1:35" ht="12.75" customHeight="1">
      <c r="A37" s="258"/>
      <c r="B37" s="37" t="s">
        <v>373</v>
      </c>
      <c r="S37" s="258"/>
      <c r="T37" s="110"/>
      <c r="U37" s="37" t="s">
        <v>341</v>
      </c>
      <c r="V37" s="121"/>
      <c r="W37" s="332"/>
      <c r="X37" s="332"/>
      <c r="Y37" s="332"/>
      <c r="Z37" s="332"/>
      <c r="AA37" s="266" t="s">
        <v>563</v>
      </c>
      <c r="AB37" s="146"/>
      <c r="AC37" s="266" t="s">
        <v>672</v>
      </c>
      <c r="AD37" s="146"/>
      <c r="AE37" s="266" t="s">
        <v>650</v>
      </c>
      <c r="AF37" s="146"/>
      <c r="AG37" s="313"/>
      <c r="AH37" s="262"/>
      <c r="AI37" s="259"/>
    </row>
    <row r="38" spans="1:35" ht="8.1" customHeight="1">
      <c r="A38" s="258"/>
      <c r="B38" s="270"/>
      <c r="S38" s="258"/>
      <c r="T38" s="110"/>
      <c r="AH38" s="244"/>
      <c r="AI38" s="259"/>
    </row>
    <row r="39" spans="1:35" ht="12.75" customHeight="1">
      <c r="A39" s="258"/>
      <c r="D39" t="s">
        <v>342</v>
      </c>
      <c r="S39" s="258"/>
      <c r="T39" s="110"/>
      <c r="AH39" s="244"/>
      <c r="AI39" s="259"/>
    </row>
    <row r="40" spans="1:35" ht="8.1" customHeight="1">
      <c r="A40" s="258"/>
      <c r="B40" s="270"/>
      <c r="S40" s="258"/>
      <c r="T40" s="110"/>
      <c r="AH40" s="244"/>
      <c r="AI40" s="259"/>
    </row>
    <row r="41" spans="1:35">
      <c r="A41" s="258"/>
      <c r="D41" t="s">
        <v>343</v>
      </c>
      <c r="S41" s="258"/>
      <c r="T41" s="110"/>
      <c r="U41" s="43" t="s">
        <v>344</v>
      </c>
      <c r="AH41" s="244"/>
      <c r="AI41" s="259"/>
    </row>
    <row r="42" spans="1:35" ht="8.1" customHeight="1">
      <c r="A42" s="258"/>
      <c r="B42" s="270"/>
      <c r="S42" s="258"/>
      <c r="T42" s="110"/>
      <c r="AH42" s="244"/>
      <c r="AI42" s="259"/>
    </row>
    <row r="43" spans="1:35">
      <c r="A43" s="258"/>
      <c r="S43" s="258"/>
      <c r="T43" s="110"/>
      <c r="V43" t="s">
        <v>345</v>
      </c>
      <c r="W43" s="311"/>
      <c r="X43" s="311"/>
      <c r="Y43" s="311"/>
      <c r="AA43" s="311"/>
      <c r="AB43" s="21" t="s">
        <v>346</v>
      </c>
      <c r="AC43" s="311"/>
      <c r="AD43" s="311"/>
      <c r="AE43" s="311"/>
      <c r="AF43" s="319"/>
      <c r="AG43" s="319"/>
      <c r="AH43" s="314"/>
      <c r="AI43" s="259"/>
    </row>
    <row r="44" spans="1:35" ht="8.1" customHeight="1">
      <c r="A44" s="258"/>
      <c r="B44" s="270"/>
      <c r="S44" s="258"/>
      <c r="T44" s="110"/>
      <c r="U44" s="311"/>
      <c r="W44" s="311"/>
      <c r="X44" s="311"/>
      <c r="Y44" s="311"/>
      <c r="Z44" s="311"/>
      <c r="AA44" s="311"/>
      <c r="AB44" s="311"/>
      <c r="AC44" s="311"/>
      <c r="AD44" s="311"/>
      <c r="AE44" s="311"/>
      <c r="AF44" s="311"/>
      <c r="AG44" s="311"/>
      <c r="AH44" s="312"/>
      <c r="AI44" s="259"/>
    </row>
    <row r="45" spans="1:35">
      <c r="A45" s="258"/>
      <c r="E45" s="270" t="s">
        <v>832</v>
      </c>
      <c r="S45" s="258"/>
      <c r="T45" s="110"/>
      <c r="U45" s="21" t="s">
        <v>347</v>
      </c>
      <c r="V45" s="21"/>
      <c r="W45" s="311"/>
      <c r="X45" s="311"/>
      <c r="Y45" s="311"/>
      <c r="Z45" s="311"/>
      <c r="AA45" s="266" t="s">
        <v>563</v>
      </c>
      <c r="AB45" s="146"/>
      <c r="AC45" s="266" t="s">
        <v>672</v>
      </c>
      <c r="AD45" s="146"/>
      <c r="AE45" s="266" t="s">
        <v>650</v>
      </c>
      <c r="AF45" s="146"/>
      <c r="AG45" s="313"/>
      <c r="AH45" s="262"/>
      <c r="AI45" s="259"/>
    </row>
    <row r="46" spans="1:35" ht="8.1" customHeight="1">
      <c r="A46" s="258"/>
      <c r="C46" s="41"/>
      <c r="S46" s="258"/>
      <c r="T46" s="110"/>
      <c r="U46" s="21"/>
      <c r="V46" s="311"/>
      <c r="W46" s="311"/>
      <c r="X46" s="311"/>
      <c r="Y46" s="311"/>
      <c r="Z46" s="311"/>
      <c r="AA46" s="146"/>
      <c r="AB46" s="146"/>
      <c r="AC46" s="146"/>
      <c r="AD46" s="146"/>
      <c r="AE46" s="146"/>
      <c r="AF46" s="146"/>
      <c r="AG46" s="146"/>
      <c r="AH46" s="249"/>
      <c r="AI46" s="259"/>
    </row>
    <row r="47" spans="1:35">
      <c r="A47" s="258"/>
      <c r="B47" s="2159" t="s">
        <v>702</v>
      </c>
      <c r="C47" s="2160"/>
      <c r="D47" s="2160"/>
      <c r="E47" s="2160"/>
      <c r="F47" s="2160"/>
      <c r="G47" s="2160"/>
      <c r="H47" s="2160"/>
      <c r="I47" s="2160"/>
      <c r="J47" s="2160"/>
      <c r="K47" s="2160"/>
      <c r="L47" s="2160"/>
      <c r="M47" s="2160"/>
      <c r="N47" s="2160"/>
      <c r="O47" s="2160"/>
      <c r="P47" s="2160"/>
      <c r="Q47" s="2161"/>
      <c r="S47" s="258"/>
      <c r="T47" s="110"/>
      <c r="U47" s="121" t="s">
        <v>348</v>
      </c>
      <c r="V47" s="121"/>
      <c r="W47" s="332"/>
      <c r="X47" s="332"/>
      <c r="Y47" s="332"/>
      <c r="Z47" s="332"/>
      <c r="AA47" s="266" t="s">
        <v>563</v>
      </c>
      <c r="AB47" s="146"/>
      <c r="AC47" s="266" t="s">
        <v>672</v>
      </c>
      <c r="AD47" s="146"/>
      <c r="AE47" s="266" t="s">
        <v>650</v>
      </c>
      <c r="AF47" s="146"/>
      <c r="AG47" s="313"/>
      <c r="AH47" s="262"/>
      <c r="AI47" s="259"/>
    </row>
    <row r="48" spans="1:35" ht="12.75" customHeight="1">
      <c r="A48" s="258"/>
      <c r="B48" s="110"/>
      <c r="C48" s="41"/>
      <c r="F48" t="s">
        <v>295</v>
      </c>
      <c r="H48" s="22"/>
      <c r="I48" s="22"/>
      <c r="K48" s="261"/>
      <c r="L48" s="326"/>
      <c r="M48" s="261"/>
      <c r="N48" s="261"/>
      <c r="O48" s="261"/>
      <c r="P48" s="261"/>
      <c r="Q48" s="262"/>
      <c r="S48" s="258"/>
      <c r="T48" s="110"/>
      <c r="U48"/>
      <c r="V48" s="311"/>
      <c r="W48" s="311"/>
      <c r="X48" s="311"/>
      <c r="Y48" s="311"/>
      <c r="Z48" s="311"/>
      <c r="AA48" s="311"/>
      <c r="AB48" s="311"/>
      <c r="AC48" s="311"/>
      <c r="AD48" s="311"/>
      <c r="AE48" s="311"/>
      <c r="AF48" s="311"/>
      <c r="AG48" s="311"/>
      <c r="AH48" s="312"/>
      <c r="AI48" s="259"/>
    </row>
    <row r="49" spans="1:35" ht="8.1" customHeight="1">
      <c r="A49" s="258"/>
      <c r="B49" s="110"/>
      <c r="C49" s="263"/>
      <c r="Q49" s="244"/>
      <c r="S49" s="258"/>
      <c r="T49" s="110"/>
      <c r="V49" s="21"/>
      <c r="W49" s="311"/>
      <c r="X49" s="311"/>
      <c r="Y49" s="311"/>
      <c r="Z49" s="311"/>
      <c r="AA49" s="311"/>
      <c r="AB49" s="311"/>
      <c r="AC49" s="311"/>
      <c r="AD49" s="311"/>
      <c r="AE49" s="311"/>
      <c r="AF49" s="311"/>
      <c r="AG49" s="311"/>
      <c r="AH49" s="312"/>
      <c r="AI49" s="259"/>
    </row>
    <row r="50" spans="1:35">
      <c r="A50" s="258"/>
      <c r="B50" s="110"/>
      <c r="C50" s="41"/>
      <c r="D50" t="s">
        <v>836</v>
      </c>
      <c r="J50" s="146"/>
      <c r="K50" s="146"/>
      <c r="L50" s="146"/>
      <c r="M50" s="146"/>
      <c r="N50" s="146"/>
      <c r="O50" s="146"/>
      <c r="P50" s="146"/>
      <c r="Q50" s="249"/>
      <c r="S50" s="258"/>
      <c r="T50" s="110"/>
      <c r="V50" t="s">
        <v>349</v>
      </c>
      <c r="W50" s="311"/>
      <c r="X50" s="311"/>
      <c r="Y50" s="311"/>
      <c r="AA50" s="311"/>
      <c r="AB50" s="21" t="s">
        <v>346</v>
      </c>
      <c r="AC50" s="311"/>
      <c r="AD50" s="311"/>
      <c r="AE50" s="311"/>
      <c r="AF50" s="319"/>
      <c r="AG50" s="319"/>
      <c r="AH50" s="314"/>
      <c r="AI50" s="259"/>
    </row>
    <row r="51" spans="1:35" ht="8.1" customHeight="1">
      <c r="A51" s="258"/>
      <c r="B51" s="110"/>
      <c r="C51" s="41"/>
      <c r="J51" s="146"/>
      <c r="K51" s="146"/>
      <c r="L51" s="146"/>
      <c r="M51" s="146"/>
      <c r="N51" s="146"/>
      <c r="O51" s="146"/>
      <c r="P51" s="146"/>
      <c r="Q51" s="249"/>
      <c r="S51" s="258"/>
      <c r="T51" s="110"/>
      <c r="U51" s="311"/>
      <c r="W51" s="311"/>
      <c r="X51" s="311"/>
      <c r="Y51" s="311"/>
      <c r="Z51" s="311"/>
      <c r="AA51" s="311"/>
      <c r="AB51" s="311"/>
      <c r="AC51" s="311"/>
      <c r="AD51" s="311"/>
      <c r="AE51" s="311"/>
      <c r="AF51" s="311"/>
      <c r="AG51" s="311"/>
      <c r="AH51" s="312"/>
      <c r="AI51" s="259"/>
    </row>
    <row r="52" spans="1:35">
      <c r="A52" s="258"/>
      <c r="B52" s="110"/>
      <c r="C52" s="41"/>
      <c r="D52" t="s">
        <v>350</v>
      </c>
      <c r="J52" s="146"/>
      <c r="K52" s="146"/>
      <c r="L52" s="146"/>
      <c r="M52" s="146"/>
      <c r="N52" s="146"/>
      <c r="O52" s="146"/>
      <c r="P52" s="146"/>
      <c r="Q52" s="249"/>
      <c r="S52" s="258"/>
      <c r="T52" s="110"/>
      <c r="U52" s="21" t="s">
        <v>351</v>
      </c>
      <c r="V52" s="21"/>
      <c r="W52" s="311"/>
      <c r="X52" s="311"/>
      <c r="Y52" s="311"/>
      <c r="Z52" s="311"/>
      <c r="AA52" s="266" t="s">
        <v>563</v>
      </c>
      <c r="AB52" s="146"/>
      <c r="AC52" s="266" t="s">
        <v>672</v>
      </c>
      <c r="AD52" s="146"/>
      <c r="AE52" s="266" t="s">
        <v>650</v>
      </c>
      <c r="AF52" s="146"/>
      <c r="AG52" s="313"/>
      <c r="AH52" s="262"/>
      <c r="AI52" s="259"/>
    </row>
    <row r="53" spans="1:35" ht="8.1" customHeight="1">
      <c r="A53" s="258"/>
      <c r="B53" s="110"/>
      <c r="C53" s="41"/>
      <c r="J53" s="146"/>
      <c r="K53" s="146"/>
      <c r="L53" s="146"/>
      <c r="M53" s="146"/>
      <c r="N53" s="146"/>
      <c r="O53" s="146"/>
      <c r="P53" s="146"/>
      <c r="Q53" s="249"/>
      <c r="S53" s="258"/>
      <c r="T53" s="110"/>
      <c r="U53" s="21"/>
      <c r="V53" s="311"/>
      <c r="W53" s="311"/>
      <c r="X53" s="311"/>
      <c r="Y53" s="311"/>
      <c r="Z53" s="311"/>
      <c r="AA53" s="146"/>
      <c r="AB53" s="146"/>
      <c r="AC53" s="146"/>
      <c r="AD53" s="146"/>
      <c r="AE53" s="146"/>
      <c r="AF53" s="146"/>
      <c r="AG53" s="146"/>
      <c r="AH53" s="249"/>
      <c r="AI53" s="259"/>
    </row>
    <row r="54" spans="1:35">
      <c r="A54" s="258"/>
      <c r="B54" s="110"/>
      <c r="C54" s="41"/>
      <c r="D54" t="s">
        <v>352</v>
      </c>
      <c r="J54" s="146"/>
      <c r="K54" s="146"/>
      <c r="L54" s="146"/>
      <c r="M54" s="146"/>
      <c r="N54" s="146"/>
      <c r="O54" s="146"/>
      <c r="P54" s="146"/>
      <c r="Q54" s="249"/>
      <c r="S54" s="258"/>
      <c r="T54" s="110"/>
      <c r="U54" s="121" t="s">
        <v>353</v>
      </c>
      <c r="V54" s="121"/>
      <c r="W54" s="332"/>
      <c r="X54" s="332"/>
      <c r="Y54" s="332"/>
      <c r="Z54" s="332"/>
      <c r="AA54" s="266" t="s">
        <v>563</v>
      </c>
      <c r="AB54" s="146"/>
      <c r="AC54" s="266" t="s">
        <v>672</v>
      </c>
      <c r="AD54" s="146"/>
      <c r="AE54" s="266" t="s">
        <v>650</v>
      </c>
      <c r="AF54" s="146"/>
      <c r="AG54" s="313"/>
      <c r="AH54" s="262"/>
      <c r="AI54" s="259"/>
    </row>
    <row r="55" spans="1:35" ht="8.1" customHeight="1">
      <c r="A55" s="258"/>
      <c r="B55" s="110"/>
      <c r="C55" s="41"/>
      <c r="J55" s="146"/>
      <c r="K55" s="146"/>
      <c r="L55" s="146"/>
      <c r="M55" s="146"/>
      <c r="N55" s="146"/>
      <c r="O55" s="146"/>
      <c r="P55" s="146"/>
      <c r="Q55" s="249"/>
      <c r="S55" s="258"/>
      <c r="T55" s="110"/>
      <c r="U55"/>
      <c r="AH55" s="244"/>
      <c r="AI55" s="259"/>
    </row>
    <row r="56" spans="1:35">
      <c r="A56" s="258"/>
      <c r="B56" s="110"/>
      <c r="C56" s="41"/>
      <c r="D56" t="s">
        <v>354</v>
      </c>
      <c r="J56" s="146"/>
      <c r="K56" s="146"/>
      <c r="L56" s="146"/>
      <c r="M56" s="146"/>
      <c r="N56" s="146"/>
      <c r="O56" s="146"/>
      <c r="P56" s="146"/>
      <c r="Q56" s="249"/>
      <c r="S56" s="258"/>
      <c r="T56" s="110"/>
      <c r="U56" s="41" t="s">
        <v>355</v>
      </c>
      <c r="AA56" s="266" t="s">
        <v>563</v>
      </c>
      <c r="AB56" s="146"/>
      <c r="AC56" s="266" t="s">
        <v>672</v>
      </c>
      <c r="AD56" s="146"/>
      <c r="AE56" s="266" t="s">
        <v>650</v>
      </c>
      <c r="AF56" s="146"/>
      <c r="AG56" s="313"/>
      <c r="AH56" s="262"/>
      <c r="AI56" s="259"/>
    </row>
    <row r="57" spans="1:35" ht="8.1" customHeight="1">
      <c r="A57" s="258"/>
      <c r="B57" s="110"/>
      <c r="C57" s="41"/>
      <c r="J57" s="146"/>
      <c r="K57" s="146"/>
      <c r="L57" s="146"/>
      <c r="M57" s="146"/>
      <c r="N57" s="146"/>
      <c r="O57" s="146"/>
      <c r="P57" s="146"/>
      <c r="Q57" s="249"/>
      <c r="S57" s="258"/>
      <c r="T57" s="110"/>
      <c r="U57"/>
      <c r="AH57" s="244"/>
      <c r="AI57" s="259"/>
    </row>
    <row r="58" spans="1:35">
      <c r="A58" s="258"/>
      <c r="B58" s="110"/>
      <c r="C58" s="41"/>
      <c r="D58" t="s">
        <v>356</v>
      </c>
      <c r="J58" s="146"/>
      <c r="K58" s="146"/>
      <c r="L58" s="146"/>
      <c r="M58" s="146"/>
      <c r="N58" s="146"/>
      <c r="O58" s="146"/>
      <c r="P58" s="146"/>
      <c r="Q58" s="249"/>
      <c r="S58" s="258"/>
      <c r="T58" s="110"/>
      <c r="U58" s="41" t="s">
        <v>357</v>
      </c>
      <c r="AA58" s="266" t="s">
        <v>563</v>
      </c>
      <c r="AB58" s="146"/>
      <c r="AC58" s="266" t="s">
        <v>672</v>
      </c>
      <c r="AD58" s="146"/>
      <c r="AE58" s="266" t="s">
        <v>650</v>
      </c>
      <c r="AF58" s="146"/>
      <c r="AG58" s="313"/>
      <c r="AH58" s="262"/>
      <c r="AI58" s="259"/>
    </row>
    <row r="59" spans="1:35" ht="8.1" customHeight="1">
      <c r="A59" s="258"/>
      <c r="B59" s="110"/>
      <c r="C59" s="41"/>
      <c r="J59" s="146"/>
      <c r="K59" s="146"/>
      <c r="L59" s="146"/>
      <c r="M59" s="146"/>
      <c r="N59" s="146"/>
      <c r="O59" s="146"/>
      <c r="P59" s="146"/>
      <c r="Q59" s="249"/>
      <c r="S59" s="258"/>
      <c r="T59" s="110"/>
      <c r="U59"/>
      <c r="AH59" s="244"/>
      <c r="AI59" s="259"/>
    </row>
    <row r="60" spans="1:35">
      <c r="A60" s="258"/>
      <c r="B60" s="110"/>
      <c r="C60" s="41"/>
      <c r="D60" t="s">
        <v>358</v>
      </c>
      <c r="J60" s="266" t="s">
        <v>563</v>
      </c>
      <c r="K60" s="146"/>
      <c r="L60" s="266" t="s">
        <v>672</v>
      </c>
      <c r="M60" s="146"/>
      <c r="N60" s="266" t="s">
        <v>650</v>
      </c>
      <c r="P60" s="326"/>
      <c r="Q60" s="262"/>
      <c r="S60" s="258"/>
      <c r="T60" s="110"/>
      <c r="U60" s="41" t="s">
        <v>359</v>
      </c>
      <c r="AA60" s="326"/>
      <c r="AB60" s="326"/>
      <c r="AC60" s="326"/>
      <c r="AD60" s="326"/>
      <c r="AE60" s="326"/>
      <c r="AF60" s="326"/>
      <c r="AG60" s="326"/>
      <c r="AH60" s="329"/>
      <c r="AI60" s="259"/>
    </row>
    <row r="61" spans="1:35" ht="8.1" customHeight="1">
      <c r="A61" s="258"/>
      <c r="B61" s="232"/>
      <c r="C61" s="276"/>
      <c r="D61" s="250"/>
      <c r="E61" s="250"/>
      <c r="F61" s="250"/>
      <c r="G61" s="250"/>
      <c r="H61" s="250"/>
      <c r="I61" s="250"/>
      <c r="J61" s="328"/>
      <c r="K61" s="328"/>
      <c r="L61" s="328"/>
      <c r="M61" s="328"/>
      <c r="N61" s="328"/>
      <c r="O61" s="328"/>
      <c r="P61" s="328"/>
      <c r="Q61" s="271"/>
      <c r="S61" s="258"/>
      <c r="T61" s="232"/>
      <c r="U61" s="251"/>
      <c r="V61" s="250"/>
      <c r="W61" s="250"/>
      <c r="X61" s="250"/>
      <c r="Y61" s="250"/>
      <c r="Z61" s="250"/>
      <c r="AA61" s="250"/>
      <c r="AB61" s="250"/>
      <c r="AC61" s="250"/>
      <c r="AD61" s="250"/>
      <c r="AE61" s="250"/>
      <c r="AF61" s="250"/>
      <c r="AG61" s="250"/>
      <c r="AH61" s="271"/>
      <c r="AI61" s="259"/>
    </row>
    <row r="62" spans="1:35" ht="15" customHeight="1">
      <c r="A62" s="258"/>
      <c r="S62" s="258"/>
      <c r="AI62" s="259"/>
    </row>
    <row r="63" spans="1:35" ht="8.1" customHeight="1">
      <c r="A63" s="258"/>
      <c r="B63" s="37"/>
      <c r="C63" s="37"/>
      <c r="D63" s="37"/>
      <c r="E63" s="37"/>
      <c r="F63" s="37"/>
      <c r="G63" s="37"/>
      <c r="H63" s="37"/>
      <c r="I63" s="37"/>
      <c r="J63" s="37"/>
      <c r="K63" s="37"/>
      <c r="L63" s="37"/>
      <c r="M63" s="37"/>
      <c r="N63" s="37"/>
      <c r="O63" s="37"/>
      <c r="P63" s="37"/>
      <c r="Q63" s="37"/>
      <c r="S63" s="258"/>
      <c r="T63" s="231"/>
      <c r="U63" s="310"/>
      <c r="V63" s="274"/>
      <c r="W63" s="274"/>
      <c r="X63" s="274"/>
      <c r="Y63" s="274"/>
      <c r="Z63" s="274"/>
      <c r="AA63" s="274"/>
      <c r="AB63" s="274"/>
      <c r="AC63" s="274"/>
      <c r="AD63" s="274"/>
      <c r="AE63" s="274"/>
      <c r="AF63" s="274"/>
      <c r="AG63" s="274"/>
      <c r="AH63" s="275"/>
      <c r="AI63" s="259"/>
    </row>
    <row r="64" spans="1:35" ht="12.75" customHeight="1">
      <c r="A64" s="258"/>
      <c r="C64" s="38"/>
      <c r="D64" s="38"/>
      <c r="E64" s="43" t="s">
        <v>360</v>
      </c>
      <c r="F64" s="38"/>
      <c r="G64" s="38"/>
      <c r="H64" s="38"/>
      <c r="I64" s="38"/>
      <c r="J64" s="38"/>
      <c r="K64" s="38"/>
      <c r="L64" s="38"/>
      <c r="M64" s="38"/>
      <c r="N64" s="38"/>
      <c r="O64" s="38"/>
      <c r="P64" s="38"/>
      <c r="Q64" s="38"/>
      <c r="R64" s="38"/>
      <c r="S64" s="258"/>
      <c r="T64" s="110"/>
      <c r="U64" s="43" t="s">
        <v>820</v>
      </c>
      <c r="W64" s="311"/>
      <c r="X64" s="311"/>
      <c r="Y64" s="311"/>
      <c r="AA64" s="311"/>
      <c r="AH64" s="244"/>
      <c r="AI64" s="259"/>
    </row>
    <row r="65" spans="1:35" ht="8.1" customHeight="1">
      <c r="A65" s="258"/>
      <c r="C65" s="41"/>
      <c r="S65" s="258"/>
      <c r="T65" s="110"/>
      <c r="U65" s="311"/>
      <c r="W65" s="311"/>
      <c r="X65" s="311"/>
      <c r="Y65" s="311"/>
      <c r="Z65" s="311"/>
      <c r="AA65" s="311"/>
      <c r="AB65" s="311"/>
      <c r="AC65" s="311"/>
      <c r="AD65" s="311"/>
      <c r="AE65" s="311"/>
      <c r="AF65" s="311"/>
      <c r="AG65" s="311"/>
      <c r="AH65" s="312"/>
      <c r="AI65" s="259"/>
    </row>
    <row r="66" spans="1:35" ht="8.1" customHeight="1">
      <c r="A66" s="258"/>
      <c r="B66" s="231"/>
      <c r="C66" s="310"/>
      <c r="D66" s="274"/>
      <c r="E66" s="274"/>
      <c r="F66" s="274"/>
      <c r="G66" s="274"/>
      <c r="H66" s="274"/>
      <c r="I66" s="274"/>
      <c r="J66" s="274"/>
      <c r="K66" s="274"/>
      <c r="L66" s="274"/>
      <c r="M66" s="274"/>
      <c r="N66" s="274"/>
      <c r="O66" s="274"/>
      <c r="P66" s="274"/>
      <c r="Q66" s="275"/>
      <c r="S66" s="258"/>
      <c r="T66" s="110"/>
      <c r="X66" s="311"/>
      <c r="Y66" s="311"/>
      <c r="Z66" s="311"/>
      <c r="AA66" s="311"/>
      <c r="AB66" s="311"/>
      <c r="AC66" s="146"/>
      <c r="AD66" s="146"/>
      <c r="AE66" s="146"/>
      <c r="AF66" s="146"/>
      <c r="AG66" s="146"/>
      <c r="AH66" s="312"/>
      <c r="AI66" s="259"/>
    </row>
    <row r="67" spans="1:35">
      <c r="A67" s="258"/>
      <c r="B67" s="110"/>
      <c r="C67" s="21" t="s">
        <v>361</v>
      </c>
      <c r="E67" s="311"/>
      <c r="F67" s="311"/>
      <c r="G67" s="311"/>
      <c r="H67" s="311"/>
      <c r="I67" s="311"/>
      <c r="J67" s="311"/>
      <c r="K67" s="311"/>
      <c r="L67" s="311"/>
      <c r="M67" s="311"/>
      <c r="N67" s="311"/>
      <c r="O67" s="311"/>
      <c r="P67" s="319"/>
      <c r="Q67" s="314"/>
      <c r="R67" s="311"/>
      <c r="S67" s="258"/>
      <c r="T67" s="110"/>
      <c r="U67" t="s">
        <v>362</v>
      </c>
      <c r="V67" s="21"/>
      <c r="W67" s="311"/>
      <c r="X67" s="311"/>
      <c r="Y67" s="311"/>
      <c r="Z67" s="311"/>
      <c r="AA67" s="311"/>
      <c r="AC67" s="311"/>
      <c r="AD67" s="311"/>
      <c r="AE67" s="311"/>
      <c r="AH67" s="244"/>
      <c r="AI67" s="259"/>
    </row>
    <row r="68" spans="1:35" ht="8.1" customHeight="1">
      <c r="A68" s="258"/>
      <c r="B68" s="110"/>
      <c r="C68" s="311"/>
      <c r="E68" s="311"/>
      <c r="F68" s="311"/>
      <c r="G68" s="311"/>
      <c r="H68" s="311"/>
      <c r="I68" s="311"/>
      <c r="J68" s="311"/>
      <c r="K68" s="311"/>
      <c r="L68" s="311"/>
      <c r="M68" s="311"/>
      <c r="N68" s="311"/>
      <c r="O68" s="311"/>
      <c r="P68" s="311"/>
      <c r="Q68" s="312"/>
      <c r="R68" s="311"/>
      <c r="S68" s="258"/>
      <c r="T68" s="110"/>
      <c r="V68" s="311"/>
      <c r="W68" s="311"/>
      <c r="X68" s="311"/>
      <c r="Y68" s="311"/>
      <c r="Z68" s="311"/>
      <c r="AA68" s="311"/>
      <c r="AB68" s="311"/>
      <c r="AC68" s="311"/>
      <c r="AD68" s="311"/>
      <c r="AE68" s="311"/>
      <c r="AF68" s="311"/>
      <c r="AG68" s="311"/>
      <c r="AH68" s="312"/>
      <c r="AI68" s="259"/>
    </row>
    <row r="69" spans="1:35">
      <c r="A69" s="258"/>
      <c r="B69" s="110"/>
      <c r="C69" s="21" t="s">
        <v>363</v>
      </c>
      <c r="E69" s="311"/>
      <c r="F69" s="311"/>
      <c r="G69" s="311"/>
      <c r="H69" s="311"/>
      <c r="I69" s="311"/>
      <c r="J69" s="311"/>
      <c r="K69" s="146"/>
      <c r="L69" s="266" t="s">
        <v>563</v>
      </c>
      <c r="M69" s="146"/>
      <c r="N69" s="266" t="s">
        <v>672</v>
      </c>
      <c r="O69" s="146"/>
      <c r="P69" s="266" t="s">
        <v>650</v>
      </c>
      <c r="Q69" s="338"/>
      <c r="S69" s="330"/>
      <c r="T69" s="110"/>
      <c r="V69" s="21"/>
      <c r="W69" s="311"/>
      <c r="AB69" s="21" t="s">
        <v>333</v>
      </c>
      <c r="AF69" s="319"/>
      <c r="AG69" s="319"/>
      <c r="AH69" s="314"/>
      <c r="AI69" s="259"/>
    </row>
    <row r="70" spans="1:35" ht="8.1" customHeight="1">
      <c r="A70" s="258"/>
      <c r="B70" s="110"/>
      <c r="C70" s="311"/>
      <c r="E70" s="311"/>
      <c r="F70" s="311"/>
      <c r="G70" s="311"/>
      <c r="H70" s="311"/>
      <c r="I70" s="311"/>
      <c r="J70" s="311"/>
      <c r="K70" s="311"/>
      <c r="L70" s="311"/>
      <c r="M70" s="311"/>
      <c r="N70" s="311"/>
      <c r="O70" s="311"/>
      <c r="P70" s="311"/>
      <c r="Q70" s="312"/>
      <c r="R70" s="311"/>
      <c r="S70" s="258"/>
      <c r="T70" s="110"/>
      <c r="AH70" s="244"/>
      <c r="AI70" s="259"/>
    </row>
    <row r="71" spans="1:35">
      <c r="A71" s="258"/>
      <c r="B71" s="110"/>
      <c r="C71" s="21" t="s">
        <v>364</v>
      </c>
      <c r="E71" s="311"/>
      <c r="F71" s="319"/>
      <c r="G71" s="319"/>
      <c r="H71" s="319"/>
      <c r="I71" s="319"/>
      <c r="J71" s="319"/>
      <c r="K71" s="319"/>
      <c r="L71" s="319"/>
      <c r="M71" s="311"/>
      <c r="N71" s="311"/>
      <c r="O71" s="311"/>
      <c r="P71" s="311"/>
      <c r="Q71" s="312"/>
      <c r="R71" s="311"/>
      <c r="S71" s="258"/>
      <c r="T71" s="232"/>
      <c r="U71" s="251"/>
      <c r="V71" s="250"/>
      <c r="W71" s="250"/>
      <c r="X71" s="250"/>
      <c r="Y71" s="250"/>
      <c r="Z71" s="250"/>
      <c r="AA71" s="250"/>
      <c r="AB71" s="250"/>
      <c r="AC71" s="250"/>
      <c r="AD71" s="250"/>
      <c r="AE71" s="250"/>
      <c r="AF71" s="250"/>
      <c r="AG71" s="250"/>
      <c r="AH71" s="271"/>
      <c r="AI71" s="259"/>
    </row>
    <row r="72" spans="1:35" ht="8.1" customHeight="1">
      <c r="A72" s="258"/>
      <c r="B72" s="110"/>
      <c r="C72" s="311"/>
      <c r="E72" s="311"/>
      <c r="F72" s="311"/>
      <c r="G72" s="311"/>
      <c r="H72" s="311"/>
      <c r="I72" s="311"/>
      <c r="J72" s="311"/>
      <c r="K72" s="311"/>
      <c r="L72" s="311"/>
      <c r="M72" s="311"/>
      <c r="N72" s="311"/>
      <c r="O72" s="311"/>
      <c r="P72" s="311"/>
      <c r="Q72" s="312"/>
      <c r="R72" s="311"/>
      <c r="S72" s="258"/>
      <c r="AI72" s="259"/>
    </row>
    <row r="73" spans="1:35">
      <c r="A73" s="258"/>
      <c r="B73" s="110"/>
      <c r="C73" s="21" t="s">
        <v>365</v>
      </c>
      <c r="E73" s="311"/>
      <c r="F73" s="311"/>
      <c r="G73" s="319"/>
      <c r="H73" s="319"/>
      <c r="I73" s="319"/>
      <c r="J73" s="319"/>
      <c r="K73" s="319"/>
      <c r="L73" s="319"/>
      <c r="M73" s="319"/>
      <c r="N73" s="319"/>
      <c r="O73" s="311"/>
      <c r="P73" s="311"/>
      <c r="Q73" s="312"/>
      <c r="R73" s="311"/>
      <c r="S73" s="258"/>
      <c r="AI73" s="259"/>
    </row>
    <row r="74" spans="1:35" ht="8.1" customHeight="1">
      <c r="A74" s="258"/>
      <c r="B74" s="110"/>
      <c r="C74" s="311"/>
      <c r="E74" s="311"/>
      <c r="F74" s="311"/>
      <c r="G74" s="311"/>
      <c r="H74" s="311"/>
      <c r="I74" s="311"/>
      <c r="J74" s="311"/>
      <c r="K74" s="311"/>
      <c r="L74" s="311"/>
      <c r="M74" s="311"/>
      <c r="N74" s="311"/>
      <c r="O74" s="311"/>
      <c r="P74" s="311"/>
      <c r="Q74" s="312"/>
      <c r="R74" s="311"/>
      <c r="S74" s="258"/>
      <c r="AI74" s="259"/>
    </row>
    <row r="75" spans="1:35" ht="12.75" customHeight="1">
      <c r="A75" s="258"/>
      <c r="B75" s="110"/>
      <c r="C75" s="323"/>
      <c r="D75" s="21" t="s">
        <v>366</v>
      </c>
      <c r="E75" s="323"/>
      <c r="F75" s="323"/>
      <c r="G75" s="323"/>
      <c r="H75" s="323"/>
      <c r="I75" s="323"/>
      <c r="J75" s="323"/>
      <c r="K75" s="323"/>
      <c r="L75" s="323"/>
      <c r="M75" s="323"/>
      <c r="N75" s="323"/>
      <c r="O75" s="323"/>
      <c r="P75" s="323"/>
      <c r="Q75" s="325"/>
      <c r="R75" s="323"/>
      <c r="S75" s="258"/>
      <c r="U75" s="38" t="s">
        <v>374</v>
      </c>
      <c r="AA75" s="266" t="s">
        <v>563</v>
      </c>
      <c r="AB75" s="146"/>
      <c r="AC75" s="266" t="s">
        <v>672</v>
      </c>
      <c r="AD75" s="146"/>
      <c r="AE75" s="266" t="s">
        <v>650</v>
      </c>
      <c r="AF75" s="146"/>
      <c r="AG75" s="313"/>
      <c r="AH75" s="261"/>
      <c r="AI75" s="259"/>
    </row>
    <row r="76" spans="1:35" ht="8.1" customHeight="1">
      <c r="A76" s="258"/>
      <c r="B76" s="110"/>
      <c r="C76" s="311"/>
      <c r="D76" s="21"/>
      <c r="E76" s="311"/>
      <c r="F76" s="311"/>
      <c r="G76" s="311"/>
      <c r="H76" s="311"/>
      <c r="I76" s="311"/>
      <c r="J76" s="311"/>
      <c r="K76" s="311"/>
      <c r="L76" s="311"/>
      <c r="M76" s="311"/>
      <c r="N76" s="311"/>
      <c r="O76" s="311"/>
      <c r="P76" s="311"/>
      <c r="Q76" s="312"/>
      <c r="R76" s="311"/>
      <c r="S76" s="258"/>
      <c r="AI76" s="259"/>
    </row>
    <row r="77" spans="1:35">
      <c r="A77" s="258"/>
      <c r="B77" s="110"/>
      <c r="C77" s="332"/>
      <c r="D77" s="121" t="s">
        <v>367</v>
      </c>
      <c r="E77" s="332"/>
      <c r="F77" s="332"/>
      <c r="G77" s="332"/>
      <c r="H77" s="332"/>
      <c r="I77" s="332"/>
      <c r="J77" s="332"/>
      <c r="K77" s="332"/>
      <c r="L77" s="332"/>
      <c r="M77" s="332"/>
      <c r="N77" s="332"/>
      <c r="O77" s="332"/>
      <c r="P77" s="332"/>
      <c r="Q77" s="333"/>
      <c r="R77" s="332"/>
      <c r="S77" s="258"/>
      <c r="AB77" t="s">
        <v>368</v>
      </c>
      <c r="AF77" s="326"/>
      <c r="AG77" s="326"/>
      <c r="AH77" s="326"/>
      <c r="AI77" s="259"/>
    </row>
    <row r="78" spans="1:35" ht="8.1" customHeight="1">
      <c r="A78" s="258"/>
      <c r="B78" s="110"/>
      <c r="C78" s="311"/>
      <c r="D78" s="21"/>
      <c r="E78" s="311"/>
      <c r="F78" s="311"/>
      <c r="G78" s="311"/>
      <c r="H78" s="311"/>
      <c r="I78" s="311"/>
      <c r="J78" s="311"/>
      <c r="K78" s="311"/>
      <c r="L78" s="311"/>
      <c r="M78" s="311"/>
      <c r="N78" s="311"/>
      <c r="O78" s="311"/>
      <c r="P78" s="311"/>
      <c r="Q78" s="312"/>
      <c r="R78" s="311"/>
      <c r="S78" s="258"/>
      <c r="AI78" s="259"/>
    </row>
    <row r="79" spans="1:35">
      <c r="A79" s="258"/>
      <c r="B79" s="110"/>
      <c r="C79" s="21" t="s">
        <v>369</v>
      </c>
      <c r="D79" s="21"/>
      <c r="E79" s="311"/>
      <c r="F79" s="311"/>
      <c r="J79" s="266" t="s">
        <v>563</v>
      </c>
      <c r="K79" s="146"/>
      <c r="L79" s="266" t="s">
        <v>672</v>
      </c>
      <c r="M79" s="146"/>
      <c r="N79" s="266" t="s">
        <v>650</v>
      </c>
      <c r="P79" s="326"/>
      <c r="Q79" s="331"/>
      <c r="R79" s="22"/>
      <c r="S79" s="258"/>
      <c r="AI79" s="259"/>
    </row>
    <row r="80" spans="1:35" ht="8.1" customHeight="1">
      <c r="A80" s="258"/>
      <c r="B80" s="110"/>
      <c r="C80" s="121"/>
      <c r="D80" s="121"/>
      <c r="E80" s="332"/>
      <c r="F80" s="332"/>
      <c r="J80" s="332"/>
      <c r="K80" s="332"/>
      <c r="L80" s="332"/>
      <c r="M80" s="332"/>
      <c r="N80" s="332"/>
      <c r="Q80" s="333"/>
      <c r="R80" s="332"/>
      <c r="S80" s="258"/>
      <c r="AI80" s="259"/>
    </row>
    <row r="81" spans="1:35">
      <c r="A81" s="258"/>
      <c r="B81" s="110"/>
      <c r="C81" s="21" t="s">
        <v>370</v>
      </c>
      <c r="D81" s="311"/>
      <c r="E81" s="311"/>
      <c r="F81" s="311"/>
      <c r="J81" s="266" t="s">
        <v>563</v>
      </c>
      <c r="K81" s="146"/>
      <c r="L81" s="266" t="s">
        <v>672</v>
      </c>
      <c r="M81" s="146"/>
      <c r="N81" s="266" t="s">
        <v>650</v>
      </c>
      <c r="P81" s="326"/>
      <c r="Q81" s="331"/>
      <c r="R81" s="22"/>
      <c r="S81" s="258"/>
      <c r="U81" s="37" t="s">
        <v>767</v>
      </c>
      <c r="AE81" t="s">
        <v>847</v>
      </c>
      <c r="AF81" s="326"/>
      <c r="AG81" s="326"/>
      <c r="AH81" s="326"/>
      <c r="AI81" s="259"/>
    </row>
    <row r="82" spans="1:35" ht="8.1" customHeight="1">
      <c r="A82" s="258"/>
      <c r="B82" s="110"/>
      <c r="C82" s="20"/>
      <c r="D82" s="339"/>
      <c r="E82" s="339"/>
      <c r="F82" s="339"/>
      <c r="G82" s="339"/>
      <c r="H82" s="339"/>
      <c r="I82" s="339"/>
      <c r="J82" s="339"/>
      <c r="K82" s="339"/>
      <c r="L82" s="339"/>
      <c r="M82" s="339"/>
      <c r="N82" s="339"/>
      <c r="O82" s="339"/>
      <c r="P82" s="339"/>
      <c r="Q82" s="335"/>
      <c r="R82" s="339"/>
      <c r="S82" s="258"/>
      <c r="AI82" s="259"/>
    </row>
    <row r="83" spans="1:35" ht="12.75" customHeight="1">
      <c r="A83" s="258"/>
      <c r="B83" s="110"/>
      <c r="D83" s="21" t="s">
        <v>371</v>
      </c>
      <c r="E83" s="311"/>
      <c r="F83" s="311"/>
      <c r="G83" s="311"/>
      <c r="H83" s="311"/>
      <c r="I83" s="311"/>
      <c r="J83" s="311"/>
      <c r="K83" s="311"/>
      <c r="L83" s="311"/>
      <c r="M83" s="311"/>
      <c r="N83" s="311"/>
      <c r="O83" s="311"/>
      <c r="P83" s="311"/>
      <c r="Q83" s="312"/>
      <c r="R83" s="311"/>
      <c r="S83" s="258"/>
      <c r="V83" s="340"/>
      <c r="AI83" s="259"/>
    </row>
    <row r="84" spans="1:35" ht="8.1" customHeight="1">
      <c r="A84" s="258"/>
      <c r="B84" s="110"/>
      <c r="C84" s="267"/>
      <c r="D84" s="267"/>
      <c r="E84" s="267"/>
      <c r="F84" s="267"/>
      <c r="G84" s="267"/>
      <c r="H84" s="267"/>
      <c r="I84" s="267"/>
      <c r="J84" s="267"/>
      <c r="K84" s="267"/>
      <c r="L84" s="267"/>
      <c r="M84" s="267"/>
      <c r="N84" s="267"/>
      <c r="O84" s="267"/>
      <c r="P84" s="267"/>
      <c r="Q84" s="268"/>
      <c r="R84" s="267"/>
      <c r="S84" s="258"/>
      <c r="AI84" s="259"/>
    </row>
    <row r="85" spans="1:35">
      <c r="A85" s="258"/>
      <c r="B85" s="110"/>
      <c r="D85" t="s">
        <v>372</v>
      </c>
      <c r="Q85" s="244"/>
      <c r="S85" s="258"/>
      <c r="U85" s="37" t="s">
        <v>854</v>
      </c>
      <c r="AE85" t="s">
        <v>847</v>
      </c>
      <c r="AF85" s="326"/>
      <c r="AG85" s="326"/>
      <c r="AH85" s="326"/>
      <c r="AI85" s="259"/>
    </row>
    <row r="86" spans="1:35" ht="8.1" customHeight="1">
      <c r="A86" s="258"/>
      <c r="B86" s="232"/>
      <c r="C86" s="251"/>
      <c r="D86" s="250"/>
      <c r="E86" s="250"/>
      <c r="F86" s="250"/>
      <c r="G86" s="250"/>
      <c r="H86" s="250"/>
      <c r="I86" s="250"/>
      <c r="J86" s="250"/>
      <c r="K86" s="250"/>
      <c r="L86" s="250"/>
      <c r="M86" s="250"/>
      <c r="N86" s="250"/>
      <c r="O86" s="250"/>
      <c r="P86" s="250"/>
      <c r="Q86" s="271"/>
      <c r="S86" s="258"/>
      <c r="AI86" s="259"/>
    </row>
    <row r="87" spans="1:35" ht="20.100000000000001" customHeight="1">
      <c r="A87" s="258"/>
      <c r="S87" s="258"/>
      <c r="U87"/>
      <c r="AI87" s="259"/>
    </row>
    <row r="88" spans="1:35" ht="8.1" customHeight="1">
      <c r="A88" s="258"/>
      <c r="B88" s="231"/>
      <c r="C88" s="310"/>
      <c r="D88" s="274"/>
      <c r="E88" s="274"/>
      <c r="F88" s="274"/>
      <c r="G88" s="274"/>
      <c r="H88" s="274"/>
      <c r="I88" s="274"/>
      <c r="J88" s="274"/>
      <c r="K88" s="274"/>
      <c r="L88" s="274"/>
      <c r="M88" s="274"/>
      <c r="N88" s="274"/>
      <c r="O88" s="274"/>
      <c r="P88" s="274"/>
      <c r="Q88" s="275"/>
      <c r="S88" s="258"/>
      <c r="T88" s="231"/>
      <c r="U88" s="274"/>
      <c r="V88" s="274"/>
      <c r="W88" s="274"/>
      <c r="X88" s="274"/>
      <c r="Y88" s="274"/>
      <c r="Z88" s="274"/>
      <c r="AA88" s="274"/>
      <c r="AB88" s="274"/>
      <c r="AC88" s="274"/>
      <c r="AD88" s="274"/>
      <c r="AE88" s="274"/>
      <c r="AF88" s="274"/>
      <c r="AG88" s="274"/>
      <c r="AH88" s="275"/>
      <c r="AI88" s="259"/>
    </row>
    <row r="89" spans="1:35">
      <c r="A89" s="258"/>
      <c r="B89" s="2162" t="s">
        <v>2</v>
      </c>
      <c r="C89" s="2163"/>
      <c r="D89" s="2163"/>
      <c r="E89" s="2163"/>
      <c r="F89" s="2163"/>
      <c r="G89" s="2163"/>
      <c r="H89" s="2163"/>
      <c r="I89" s="2163"/>
      <c r="J89" s="2163"/>
      <c r="K89" s="2163"/>
      <c r="L89" s="2163"/>
      <c r="M89" s="2163"/>
      <c r="N89" s="2163"/>
      <c r="O89" s="2163"/>
      <c r="P89" s="2163"/>
      <c r="Q89" s="2164"/>
      <c r="S89" s="258"/>
      <c r="T89" s="110"/>
      <c r="U89" s="38" t="s">
        <v>3</v>
      </c>
      <c r="AH89" s="244"/>
      <c r="AI89" s="259"/>
    </row>
    <row r="90" spans="1:35" ht="8.1" customHeight="1">
      <c r="A90" s="258"/>
      <c r="B90" s="246"/>
      <c r="C90" s="37"/>
      <c r="D90" s="37"/>
      <c r="E90" s="37"/>
      <c r="F90" s="37"/>
      <c r="G90" s="37"/>
      <c r="H90" s="37"/>
      <c r="I90" s="37"/>
      <c r="J90" s="37"/>
      <c r="K90" s="37"/>
      <c r="L90" s="37"/>
      <c r="M90" s="37"/>
      <c r="N90" s="37"/>
      <c r="O90" s="37"/>
      <c r="P90" s="37"/>
      <c r="Q90" s="247"/>
      <c r="S90" s="258"/>
      <c r="T90" s="110"/>
      <c r="U90"/>
      <c r="AG90" s="146"/>
      <c r="AH90" s="249"/>
      <c r="AI90" s="259"/>
    </row>
    <row r="91" spans="1:35">
      <c r="A91" s="258"/>
      <c r="B91" s="110"/>
      <c r="C91" t="s">
        <v>4</v>
      </c>
      <c r="G91" s="326"/>
      <c r="H91" s="326"/>
      <c r="I91" s="261"/>
      <c r="J91" s="261"/>
      <c r="K91" s="261"/>
      <c r="L91" s="261"/>
      <c r="M91" s="22" t="s">
        <v>762</v>
      </c>
      <c r="N91" s="22"/>
      <c r="O91" s="22"/>
      <c r="P91" s="245"/>
      <c r="Q91" s="244"/>
      <c r="S91" s="258"/>
      <c r="T91" s="110"/>
      <c r="U91" t="s">
        <v>5</v>
      </c>
      <c r="X91" s="22" t="s">
        <v>6</v>
      </c>
      <c r="AB91" s="298" t="s">
        <v>1091</v>
      </c>
      <c r="AG91" s="339"/>
      <c r="AH91" s="335"/>
      <c r="AI91" s="259"/>
    </row>
    <row r="92" spans="1:35" ht="8.1" customHeight="1">
      <c r="A92" s="258"/>
      <c r="B92" s="110"/>
      <c r="I92" s="22"/>
      <c r="J92" s="22"/>
      <c r="K92" s="22"/>
      <c r="L92" s="22"/>
      <c r="M92" s="22"/>
      <c r="N92" s="22"/>
      <c r="O92" s="22"/>
      <c r="P92" s="22"/>
      <c r="Q92" s="244"/>
      <c r="S92" s="258"/>
      <c r="T92" s="110"/>
      <c r="V92" s="22"/>
      <c r="W92" s="22"/>
      <c r="Y92" s="22"/>
      <c r="Z92" s="22"/>
      <c r="AA92" s="22"/>
      <c r="AC92" s="22"/>
      <c r="AD92" s="22"/>
      <c r="AE92" s="22"/>
      <c r="AG92" s="311"/>
      <c r="AH92" s="312"/>
      <c r="AI92" s="259"/>
    </row>
    <row r="93" spans="1:35">
      <c r="A93" s="258"/>
      <c r="B93" s="110"/>
      <c r="C93" s="263"/>
      <c r="G93" s="326"/>
      <c r="H93" s="326"/>
      <c r="I93" s="261"/>
      <c r="J93" s="261"/>
      <c r="K93" s="261"/>
      <c r="L93" s="261"/>
      <c r="M93" s="22" t="s">
        <v>762</v>
      </c>
      <c r="N93" s="22"/>
      <c r="O93" s="22"/>
      <c r="P93" s="245"/>
      <c r="Q93" s="249"/>
      <c r="S93" s="258"/>
      <c r="T93" s="110"/>
      <c r="U93"/>
      <c r="V93" s="22"/>
      <c r="W93" s="22"/>
      <c r="X93" s="22"/>
      <c r="Y93" s="22"/>
      <c r="Z93" s="22"/>
      <c r="AA93" s="22"/>
      <c r="AB93" s="22"/>
      <c r="AC93" s="22"/>
      <c r="AD93" s="22"/>
      <c r="AE93" s="22"/>
      <c r="AG93" s="267"/>
      <c r="AH93" s="268"/>
      <c r="AI93" s="259"/>
    </row>
    <row r="94" spans="1:35" ht="8.1" customHeight="1">
      <c r="A94" s="258"/>
      <c r="B94" s="110"/>
      <c r="C94" s="263"/>
      <c r="I94" s="22"/>
      <c r="J94" s="22"/>
      <c r="K94" s="22"/>
      <c r="L94" s="22"/>
      <c r="M94" s="22"/>
      <c r="N94" s="22"/>
      <c r="O94" s="22"/>
      <c r="P94" s="22"/>
      <c r="Q94" s="244"/>
      <c r="S94" s="258"/>
      <c r="T94" s="110"/>
      <c r="U94"/>
      <c r="V94" s="22"/>
      <c r="W94" s="22"/>
      <c r="X94" s="22"/>
      <c r="Y94" s="22"/>
      <c r="Z94" s="22"/>
      <c r="AA94" s="22"/>
      <c r="AB94" s="22"/>
      <c r="AC94" s="22"/>
      <c r="AD94" s="22"/>
      <c r="AE94" s="22"/>
      <c r="AH94" s="244"/>
      <c r="AI94" s="259"/>
    </row>
    <row r="95" spans="1:35">
      <c r="A95" s="258"/>
      <c r="B95" s="110"/>
      <c r="C95" s="41"/>
      <c r="G95" s="326"/>
      <c r="H95" s="326"/>
      <c r="I95" s="261"/>
      <c r="J95" s="261"/>
      <c r="K95" s="261"/>
      <c r="L95" s="261"/>
      <c r="M95" s="22" t="s">
        <v>762</v>
      </c>
      <c r="N95" s="22"/>
      <c r="O95" s="22"/>
      <c r="P95" s="245"/>
      <c r="Q95" s="249"/>
      <c r="S95" s="258"/>
      <c r="T95" s="110"/>
      <c r="U95"/>
      <c r="V95" s="22"/>
      <c r="W95" s="22"/>
      <c r="X95" s="22" t="s">
        <v>6</v>
      </c>
      <c r="Y95" s="22"/>
      <c r="Z95" s="22"/>
      <c r="AA95" s="22"/>
      <c r="AB95" s="298" t="s">
        <v>1348</v>
      </c>
      <c r="AC95" s="22"/>
      <c r="AD95" s="22"/>
      <c r="AE95" s="22"/>
      <c r="AH95" s="244"/>
      <c r="AI95" s="259"/>
    </row>
    <row r="96" spans="1:35" ht="8.1" customHeight="1">
      <c r="A96" s="258"/>
      <c r="B96" s="110"/>
      <c r="C96" s="41"/>
      <c r="I96" s="22"/>
      <c r="J96" s="22"/>
      <c r="K96" s="22"/>
      <c r="L96" s="22"/>
      <c r="M96" s="22"/>
      <c r="N96" s="22"/>
      <c r="O96" s="22"/>
      <c r="P96" s="22"/>
      <c r="Q96" s="249"/>
      <c r="S96" s="258"/>
      <c r="T96" s="110"/>
      <c r="U96"/>
      <c r="V96" s="22"/>
      <c r="W96" s="22"/>
      <c r="Y96" s="22"/>
      <c r="Z96" s="22"/>
      <c r="AA96" s="22"/>
      <c r="AC96" s="22"/>
      <c r="AD96" s="22"/>
      <c r="AE96" s="22"/>
      <c r="AG96" s="116"/>
      <c r="AH96" s="336"/>
      <c r="AI96" s="259"/>
    </row>
    <row r="97" spans="1:35">
      <c r="A97" s="258"/>
      <c r="B97" s="110"/>
      <c r="C97" s="41"/>
      <c r="G97" s="326"/>
      <c r="H97" s="326"/>
      <c r="I97" s="261"/>
      <c r="J97" s="261"/>
      <c r="K97" s="261"/>
      <c r="L97" s="261"/>
      <c r="M97" s="22" t="s">
        <v>762</v>
      </c>
      <c r="N97" s="22"/>
      <c r="O97" s="22"/>
      <c r="P97" s="245"/>
      <c r="Q97" s="249"/>
      <c r="S97" s="258"/>
      <c r="T97" s="110"/>
      <c r="U97"/>
      <c r="V97" s="22"/>
      <c r="W97" s="22"/>
      <c r="X97" s="22"/>
      <c r="Y97" s="22"/>
      <c r="Z97" s="22"/>
      <c r="AA97" s="22"/>
      <c r="AB97" s="22"/>
      <c r="AC97" s="22"/>
      <c r="AD97" s="22"/>
      <c r="AE97" s="22"/>
      <c r="AG97" s="116"/>
      <c r="AH97" s="336"/>
      <c r="AI97" s="259"/>
    </row>
    <row r="98" spans="1:35">
      <c r="A98" s="258"/>
      <c r="B98" s="232"/>
      <c r="C98" s="251"/>
      <c r="D98" s="250"/>
      <c r="E98" s="250"/>
      <c r="F98" s="250"/>
      <c r="G98" s="250"/>
      <c r="H98" s="250"/>
      <c r="I98" s="272"/>
      <c r="J98" s="272"/>
      <c r="K98" s="272"/>
      <c r="L98" s="272"/>
      <c r="M98" s="272"/>
      <c r="N98" s="272"/>
      <c r="O98" s="272"/>
      <c r="P98" s="272"/>
      <c r="Q98" s="271"/>
      <c r="S98" s="258"/>
      <c r="T98" s="232"/>
      <c r="U98" s="250"/>
      <c r="V98" s="272"/>
      <c r="W98" s="272"/>
      <c r="X98" s="272"/>
      <c r="Y98" s="272"/>
      <c r="Z98" s="272"/>
      <c r="AA98" s="272"/>
      <c r="AB98" s="272"/>
      <c r="AC98" s="272"/>
      <c r="AD98" s="272"/>
      <c r="AE98" s="272"/>
      <c r="AF98" s="250"/>
      <c r="AG98" s="341"/>
      <c r="AH98" s="337"/>
      <c r="AI98" s="259"/>
    </row>
    <row r="99" spans="1:35" ht="8.1" customHeight="1" thickBot="1">
      <c r="A99" s="277"/>
      <c r="B99" s="278"/>
      <c r="C99" s="279"/>
      <c r="D99" s="278"/>
      <c r="E99" s="278"/>
      <c r="F99" s="278"/>
      <c r="G99" s="278"/>
      <c r="H99" s="278"/>
      <c r="I99" s="278"/>
      <c r="J99" s="278"/>
      <c r="K99" s="278"/>
      <c r="L99" s="278"/>
      <c r="M99" s="278"/>
      <c r="N99" s="278"/>
      <c r="O99" s="278"/>
      <c r="P99" s="278"/>
      <c r="Q99" s="278"/>
      <c r="R99" s="278"/>
      <c r="S99" s="277"/>
      <c r="T99" s="278"/>
      <c r="U99" s="279"/>
      <c r="V99" s="278"/>
      <c r="W99" s="278"/>
      <c r="X99" s="278"/>
      <c r="Y99" s="278"/>
      <c r="Z99" s="278"/>
      <c r="AA99" s="278"/>
      <c r="AB99" s="278"/>
      <c r="AC99" s="278"/>
      <c r="AD99" s="278"/>
      <c r="AE99" s="278"/>
      <c r="AF99" s="278"/>
      <c r="AG99" s="278"/>
      <c r="AH99" s="278"/>
      <c r="AI99" s="280"/>
    </row>
  </sheetData>
  <mergeCells count="7">
    <mergeCell ref="B47:Q47"/>
    <mergeCell ref="B89:Q89"/>
    <mergeCell ref="A1:AG1"/>
    <mergeCell ref="B6:Q6"/>
    <mergeCell ref="C18:Q18"/>
    <mergeCell ref="C22:Q22"/>
    <mergeCell ref="W3:AH4"/>
  </mergeCells>
  <phoneticPr fontId="12" type="noConversion"/>
  <printOptions horizontalCentered="1" verticalCentered="1"/>
  <pageMargins left="0" right="0" top="0" bottom="0.39370078740157483" header="0" footer="0"/>
  <pageSetup paperSize="9" scale="68" orientation="portrait" blackAndWhite="1" r:id="rId1"/>
  <headerFooter alignWithMargins="0">
    <oddFooter>&amp;LEdité le &amp;D&amp;C&amp;P/&amp;N</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29">
    <tabColor indexed="42"/>
    <pageSetUpPr fitToPage="1"/>
  </sheetPr>
  <dimension ref="A1:N61"/>
  <sheetViews>
    <sheetView showGridLines="0" view="pageBreakPreview" zoomScaleNormal="100" zoomScaleSheetLayoutView="100" workbookViewId="0">
      <selection activeCell="B15" sqref="B15:D15"/>
    </sheetView>
  </sheetViews>
  <sheetFormatPr baseColWidth="10" defaultColWidth="11.42578125" defaultRowHeight="12.75"/>
  <cols>
    <col min="1" max="1" width="5.140625" style="3" customWidth="1"/>
    <col min="2" max="2" width="6.28515625" style="3" customWidth="1"/>
    <col min="3" max="3" width="5.140625" style="3" customWidth="1"/>
    <col min="4" max="4" width="14.7109375" style="3" customWidth="1"/>
    <col min="5" max="5" width="11.85546875" style="3" customWidth="1"/>
    <col min="6" max="6" width="16.28515625" style="3" customWidth="1"/>
    <col min="7" max="7" width="5" style="3" customWidth="1"/>
    <col min="8" max="8" width="12.140625" style="1" customWidth="1"/>
    <col min="9" max="9" width="7.85546875" style="3" customWidth="1"/>
    <col min="10" max="10" width="14" style="3" customWidth="1"/>
    <col min="11" max="11" width="15.7109375" style="3" customWidth="1"/>
    <col min="12" max="12" width="1.85546875" style="3" customWidth="1"/>
    <col min="13" max="13" width="6.42578125" style="3" customWidth="1"/>
    <col min="14" max="14" width="8.140625" style="3" customWidth="1"/>
    <col min="15" max="15" width="8.42578125" style="3" customWidth="1"/>
    <col min="16" max="16" width="7.42578125" style="3" customWidth="1"/>
    <col min="17" max="17" width="8.28515625" style="3" customWidth="1"/>
    <col min="18" max="18" width="8.42578125" style="3" customWidth="1"/>
    <col min="19" max="19" width="7.42578125" style="3" customWidth="1"/>
    <col min="20" max="20" width="8.140625" style="3" customWidth="1"/>
    <col min="21" max="21" width="6.42578125" style="3" customWidth="1"/>
    <col min="22" max="22" width="7.42578125" style="3" customWidth="1"/>
    <col min="23" max="23" width="10.28515625" style="3" customWidth="1"/>
    <col min="24" max="24" width="8.140625" style="3" customWidth="1"/>
    <col min="25" max="25" width="5.85546875" style="3" customWidth="1"/>
    <col min="26" max="26" width="8.140625" style="3" customWidth="1"/>
    <col min="27" max="27" width="8.42578125" style="3" customWidth="1"/>
    <col min="28" max="16384" width="11.42578125" style="3"/>
  </cols>
  <sheetData>
    <row r="1" spans="1:14" ht="12.75" customHeight="1">
      <c r="C1" s="1576" t="s">
        <v>375</v>
      </c>
      <c r="D1" s="1576"/>
      <c r="E1" s="1576"/>
      <c r="F1" s="1576"/>
      <c r="G1" s="1576"/>
      <c r="H1" s="1576"/>
      <c r="I1" s="1576"/>
      <c r="J1" s="1576"/>
      <c r="K1" s="2216" t="s">
        <v>1595</v>
      </c>
    </row>
    <row r="2" spans="1:14" ht="13.5" customHeight="1">
      <c r="C2" s="1576"/>
      <c r="D2" s="1576"/>
      <c r="E2" s="1576"/>
      <c r="F2" s="1576"/>
      <c r="G2" s="1576"/>
      <c r="H2" s="1576"/>
      <c r="I2" s="1576"/>
      <c r="J2" s="1576"/>
      <c r="K2" s="1943"/>
    </row>
    <row r="3" spans="1:14" ht="28.5" customHeight="1">
      <c r="D3" s="2"/>
      <c r="E3" s="2"/>
      <c r="F3" s="2"/>
      <c r="G3" s="2"/>
      <c r="H3" s="2"/>
      <c r="I3" s="2"/>
      <c r="J3" s="2"/>
      <c r="K3" s="342"/>
    </row>
    <row r="4" spans="1:14" s="9" customFormat="1" ht="12.75" customHeight="1">
      <c r="A4" s="1575" t="s">
        <v>798</v>
      </c>
      <c r="B4" s="1575"/>
      <c r="C4" s="1575"/>
      <c r="D4" s="720" t="str">
        <f>IF(ISBLANK(oeOTP),"",oeOTP)</f>
        <v/>
      </c>
      <c r="E4" s="720"/>
      <c r="F4" s="14"/>
      <c r="G4" s="14"/>
      <c r="H4" s="128"/>
      <c r="I4" s="131" t="s">
        <v>1509</v>
      </c>
      <c r="J4" s="720" t="str">
        <f>IF(ISBLANK(oRespChantier),"",oRespChantier)</f>
        <v/>
      </c>
      <c r="K4" s="720"/>
      <c r="L4" s="14"/>
      <c r="M4" s="29"/>
      <c r="N4" s="29"/>
    </row>
    <row r="5" spans="1:14" s="9" customFormat="1" ht="4.5" customHeight="1">
      <c r="A5" s="14"/>
      <c r="B5" s="14"/>
      <c r="C5" s="14"/>
      <c r="D5" s="14"/>
      <c r="E5" s="14"/>
      <c r="F5" s="14"/>
      <c r="G5" s="14"/>
      <c r="H5" s="128"/>
      <c r="I5" s="131"/>
      <c r="J5" s="721"/>
      <c r="K5" s="721"/>
      <c r="L5" s="14"/>
      <c r="M5" s="29"/>
      <c r="N5" s="29"/>
    </row>
    <row r="6" spans="1:14" s="9" customFormat="1" ht="30" customHeight="1">
      <c r="A6" s="14" t="s">
        <v>802</v>
      </c>
      <c r="B6" s="29"/>
      <c r="C6" s="29"/>
      <c r="D6" s="1838" t="str">
        <f>IF(ISBLANK(oLibelleOTP),"",oLibelleOTP)</f>
        <v/>
      </c>
      <c r="E6" s="1838"/>
      <c r="F6" s="1838"/>
      <c r="G6" s="1838"/>
      <c r="H6" s="1838"/>
      <c r="I6" s="1838"/>
      <c r="J6" s="1838"/>
      <c r="K6" s="1838"/>
      <c r="L6" s="1838"/>
      <c r="M6" s="1838"/>
      <c r="N6" s="29"/>
    </row>
    <row r="7" spans="1:14" s="9" customFormat="1" ht="4.5" customHeight="1">
      <c r="A7" s="14"/>
      <c r="B7" s="14"/>
      <c r="C7" s="14"/>
      <c r="D7" s="14"/>
      <c r="E7" s="14"/>
      <c r="F7" s="14"/>
      <c r="G7" s="14"/>
      <c r="H7" s="128"/>
      <c r="I7" s="131"/>
      <c r="J7" s="14"/>
      <c r="K7" s="14"/>
      <c r="L7" s="14"/>
      <c r="M7" s="29"/>
      <c r="N7" s="29"/>
    </row>
    <row r="8" spans="1:14" s="9" customFormat="1" ht="13.5" customHeight="1">
      <c r="A8" s="14" t="s">
        <v>801</v>
      </c>
      <c r="B8" s="29"/>
      <c r="C8" s="29"/>
      <c r="D8" s="720" t="str">
        <f>IF(ISBLANK(oVille),"",oVille)</f>
        <v/>
      </c>
      <c r="E8" s="720"/>
      <c r="F8" s="14"/>
      <c r="G8" s="14"/>
      <c r="H8" s="128"/>
      <c r="I8" s="29"/>
      <c r="J8" s="29"/>
      <c r="K8" s="29"/>
      <c r="L8" s="14"/>
      <c r="M8" s="14"/>
      <c r="N8" s="29"/>
    </row>
    <row r="9" spans="1:14" s="9" customFormat="1" ht="4.5" customHeight="1">
      <c r="A9" s="14"/>
      <c r="B9" s="29"/>
      <c r="C9" s="29"/>
      <c r="D9" s="14"/>
      <c r="E9" s="14"/>
      <c r="F9" s="14"/>
      <c r="G9" s="14"/>
      <c r="H9" s="128"/>
      <c r="I9" s="29"/>
      <c r="J9" s="29"/>
      <c r="K9" s="29"/>
      <c r="L9" s="14"/>
      <c r="M9" s="14"/>
      <c r="N9" s="29"/>
    </row>
    <row r="10" spans="1:14" s="9" customFormat="1" ht="13.5" customHeight="1">
      <c r="A10" s="1980" t="s">
        <v>376</v>
      </c>
      <c r="B10" s="1980"/>
      <c r="C10" s="720" t="str">
        <f>IF(ISBLANK(oAdresseChantier),"",oAdresseChantier)</f>
        <v/>
      </c>
      <c r="D10" s="720"/>
      <c r="E10" s="720"/>
      <c r="F10" s="720"/>
      <c r="G10" s="720"/>
      <c r="H10" s="720"/>
      <c r="I10" s="720"/>
      <c r="J10" s="720"/>
      <c r="K10" s="720"/>
      <c r="L10" s="29"/>
      <c r="M10" s="29"/>
      <c r="N10" s="29"/>
    </row>
    <row r="11" spans="1:14" s="23" customFormat="1" ht="12.75" customHeight="1">
      <c r="A11" s="2217"/>
      <c r="B11" s="2217"/>
      <c r="C11" s="2217"/>
      <c r="D11" s="2217"/>
      <c r="E11" s="2217"/>
      <c r="F11" s="15"/>
      <c r="G11" s="15"/>
      <c r="H11" s="343"/>
      <c r="I11" s="131"/>
      <c r="J11" s="2217"/>
      <c r="K11" s="2217"/>
      <c r="L11" s="15"/>
      <c r="M11" s="719"/>
      <c r="N11" s="719"/>
    </row>
    <row r="12" spans="1:14" s="23" customFormat="1" ht="13.5" customHeight="1">
      <c r="A12" s="2217" t="s">
        <v>649</v>
      </c>
      <c r="B12" s="2217"/>
      <c r="E12" s="1398" t="s">
        <v>1594</v>
      </c>
      <c r="G12" s="1397"/>
      <c r="H12" s="1397"/>
      <c r="I12" s="1398" t="s">
        <v>1570</v>
      </c>
      <c r="J12" s="1397"/>
      <c r="L12" s="15"/>
      <c r="M12" s="15"/>
      <c r="N12" s="719"/>
    </row>
    <row r="13" spans="1:14" s="23" customFormat="1" ht="13.5" customHeight="1" thickBot="1">
      <c r="A13" s="15"/>
      <c r="B13" s="15"/>
      <c r="L13" s="15"/>
      <c r="M13" s="15"/>
      <c r="N13" s="719"/>
    </row>
    <row r="14" spans="1:14" ht="15.75" customHeight="1">
      <c r="B14" s="2202" t="s">
        <v>1571</v>
      </c>
      <c r="C14" s="2203"/>
      <c r="D14" s="2204"/>
      <c r="E14" s="1390"/>
      <c r="F14" s="1338" t="s">
        <v>1572</v>
      </c>
      <c r="G14" s="945"/>
      <c r="H14" s="2218" t="s">
        <v>1573</v>
      </c>
      <c r="I14" s="2219"/>
      <c r="J14" s="2220"/>
      <c r="K14" s="2221"/>
    </row>
    <row r="15" spans="1:14" ht="15.75" customHeight="1">
      <c r="B15" s="2205"/>
      <c r="C15" s="2206"/>
      <c r="D15" s="2207"/>
      <c r="E15" s="1391"/>
      <c r="F15" s="1200"/>
      <c r="G15" s="945"/>
      <c r="H15" s="1339" t="s">
        <v>1574</v>
      </c>
      <c r="I15" s="974"/>
      <c r="J15" s="974"/>
      <c r="K15" s="1340"/>
    </row>
    <row r="16" spans="1:14" ht="15.75" customHeight="1" thickBot="1">
      <c r="B16" s="2208"/>
      <c r="C16" s="2209"/>
      <c r="D16" s="2210"/>
      <c r="E16" s="1391"/>
      <c r="F16" s="1200"/>
      <c r="G16" s="945"/>
      <c r="H16" s="953"/>
      <c r="I16" s="945"/>
      <c r="J16" s="945"/>
      <c r="K16" s="954"/>
    </row>
    <row r="17" spans="1:11" ht="15.75" customHeight="1">
      <c r="C17" s="945"/>
      <c r="D17" s="945"/>
      <c r="E17" s="945"/>
      <c r="F17" s="1200"/>
      <c r="G17" s="945"/>
      <c r="H17" s="1341"/>
      <c r="I17" s="1229"/>
      <c r="J17" s="1229"/>
      <c r="K17" s="1342"/>
    </row>
    <row r="18" spans="1:11" ht="15.75" customHeight="1">
      <c r="B18" s="2211" t="s">
        <v>1575</v>
      </c>
      <c r="C18" s="2211"/>
      <c r="D18" s="2211"/>
      <c r="E18" s="1343"/>
      <c r="F18" s="1344"/>
      <c r="G18" s="945"/>
      <c r="H18" s="1339" t="s">
        <v>1576</v>
      </c>
      <c r="I18" s="974"/>
      <c r="J18" s="974"/>
      <c r="K18" s="1340"/>
    </row>
    <row r="19" spans="1:11" ht="15.75" customHeight="1">
      <c r="C19" s="945"/>
      <c r="D19" s="945"/>
      <c r="E19" s="945"/>
      <c r="F19" s="945"/>
      <c r="G19" s="945"/>
      <c r="H19" s="953"/>
      <c r="I19" s="945"/>
      <c r="J19" s="945"/>
      <c r="K19" s="954"/>
    </row>
    <row r="20" spans="1:11" ht="15.75" customHeight="1">
      <c r="B20" s="2211" t="s">
        <v>377</v>
      </c>
      <c r="C20" s="2211"/>
      <c r="D20" s="2211"/>
      <c r="E20" s="1343"/>
      <c r="F20" s="1344"/>
      <c r="G20" s="945"/>
      <c r="H20" s="1341"/>
      <c r="I20" s="1229"/>
      <c r="J20" s="1229"/>
      <c r="K20" s="1342"/>
    </row>
    <row r="21" spans="1:11" ht="15.75" customHeight="1">
      <c r="B21" s="2211" t="s">
        <v>379</v>
      </c>
      <c r="C21" s="2211"/>
      <c r="D21" s="2211"/>
      <c r="E21" s="1343"/>
      <c r="F21" s="1344"/>
      <c r="G21" s="945"/>
      <c r="H21" s="1345" t="s">
        <v>1577</v>
      </c>
      <c r="I21" s="1346" t="s">
        <v>1178</v>
      </c>
      <c r="J21" s="1344"/>
      <c r="K21" s="1347" t="s">
        <v>1578</v>
      </c>
    </row>
    <row r="22" spans="1:11" ht="15.75" customHeight="1" thickBot="1">
      <c r="C22" s="1387"/>
      <c r="D22" s="1387"/>
      <c r="E22" s="945"/>
      <c r="F22" s="945"/>
      <c r="G22" s="945"/>
      <c r="H22" s="2212" t="s">
        <v>378</v>
      </c>
      <c r="I22" s="2213"/>
      <c r="J22" s="1348"/>
      <c r="K22" s="1349"/>
    </row>
    <row r="23" spans="1:11" ht="15.75" customHeight="1" thickBot="1">
      <c r="B23" s="2211" t="s">
        <v>1579</v>
      </c>
      <c r="C23" s="2211"/>
      <c r="D23" s="2211"/>
      <c r="E23" s="1343"/>
      <c r="F23" s="1344"/>
      <c r="G23" s="945"/>
      <c r="H23" s="945"/>
      <c r="I23" s="945"/>
      <c r="J23" s="945"/>
      <c r="K23" s="945"/>
    </row>
    <row r="24" spans="1:11" ht="15.75" customHeight="1">
      <c r="C24" s="1387"/>
      <c r="D24" s="1387"/>
      <c r="E24" s="945"/>
      <c r="F24" s="945"/>
      <c r="G24" s="945"/>
      <c r="H24" s="1350" t="s">
        <v>1580</v>
      </c>
      <c r="I24" s="1351"/>
      <c r="J24" s="1352"/>
      <c r="K24" s="1353"/>
    </row>
    <row r="25" spans="1:11" ht="15.75" customHeight="1" thickBot="1">
      <c r="C25" s="945"/>
      <c r="D25" s="945"/>
      <c r="E25" s="945"/>
      <c r="F25" s="945"/>
      <c r="G25" s="945"/>
      <c r="H25" s="1354" t="s">
        <v>1581</v>
      </c>
      <c r="I25" s="1355"/>
      <c r="J25" s="1343"/>
      <c r="K25" s="1356"/>
    </row>
    <row r="26" spans="1:11" ht="15.75" customHeight="1" thickBot="1">
      <c r="A26" s="1386"/>
      <c r="B26" s="2202" t="s">
        <v>1582</v>
      </c>
      <c r="C26" s="2203"/>
      <c r="D26" s="2203"/>
      <c r="E26" s="1357"/>
      <c r="F26" s="955"/>
      <c r="G26" s="945"/>
      <c r="H26" s="1358" t="s">
        <v>1583</v>
      </c>
      <c r="I26" s="1359"/>
      <c r="J26" s="1360"/>
      <c r="K26" s="956"/>
    </row>
    <row r="27" spans="1:11" ht="15.75" customHeight="1" thickBot="1">
      <c r="B27" s="2222" t="s">
        <v>1171</v>
      </c>
      <c r="C27" s="2211"/>
      <c r="D27" s="2211"/>
      <c r="E27" s="1343"/>
      <c r="F27" s="1356"/>
      <c r="G27" s="945"/>
      <c r="H27" s="1361"/>
      <c r="I27" s="1361"/>
      <c r="J27" s="945"/>
      <c r="K27" s="945"/>
    </row>
    <row r="28" spans="1:11" ht="15.75" customHeight="1" thickBot="1">
      <c r="A28" s="1"/>
      <c r="B28" s="2222" t="s">
        <v>1584</v>
      </c>
      <c r="C28" s="2211"/>
      <c r="D28" s="2211"/>
      <c r="E28" s="1343"/>
      <c r="F28" s="1356"/>
      <c r="G28" s="945"/>
      <c r="H28" s="1388" t="s">
        <v>1585</v>
      </c>
      <c r="I28" s="1389"/>
      <c r="J28" s="1362"/>
      <c r="K28" s="1363"/>
    </row>
    <row r="29" spans="1:11" ht="15.75" customHeight="1" thickBot="1">
      <c r="A29" s="1"/>
      <c r="B29" s="2212" t="s">
        <v>1586</v>
      </c>
      <c r="C29" s="2213"/>
      <c r="D29" s="2213"/>
      <c r="E29" s="1360"/>
      <c r="F29" s="956"/>
      <c r="G29" s="945"/>
      <c r="H29" s="2214" t="s">
        <v>1587</v>
      </c>
      <c r="I29" s="2215"/>
      <c r="J29" s="1364" t="s">
        <v>1588</v>
      </c>
      <c r="K29" s="1364" t="s">
        <v>1589</v>
      </c>
    </row>
    <row r="30" spans="1:11" ht="18.95" customHeight="1" thickBot="1">
      <c r="A30" s="1"/>
      <c r="C30" s="945"/>
      <c r="D30" s="945"/>
      <c r="E30" s="945"/>
      <c r="F30" s="945"/>
      <c r="G30" s="945"/>
      <c r="H30" s="945"/>
      <c r="I30" s="945"/>
      <c r="J30" s="945"/>
      <c r="K30" s="945"/>
    </row>
    <row r="31" spans="1:11" ht="28.5" customHeight="1" thickBot="1">
      <c r="A31" s="1"/>
      <c r="C31" s="1396" t="s">
        <v>1590</v>
      </c>
      <c r="D31" s="1393" t="s">
        <v>1591</v>
      </c>
      <c r="E31" s="1394" t="s">
        <v>298</v>
      </c>
      <c r="F31" s="1395" t="s">
        <v>1592</v>
      </c>
      <c r="G31" s="1392" t="s">
        <v>1593</v>
      </c>
      <c r="H31" s="1393" t="s">
        <v>1591</v>
      </c>
      <c r="I31" s="2200" t="s">
        <v>298</v>
      </c>
      <c r="J31" s="2201"/>
      <c r="K31" s="1392" t="s">
        <v>1592</v>
      </c>
    </row>
    <row r="32" spans="1:11" ht="18.95" customHeight="1">
      <c r="A32" s="1"/>
      <c r="C32" s="1365">
        <v>1</v>
      </c>
      <c r="D32" s="1366"/>
      <c r="E32" s="1367"/>
      <c r="F32" s="1368"/>
      <c r="G32" s="1365">
        <v>29</v>
      </c>
      <c r="H32" s="1366"/>
      <c r="I32" s="1369"/>
      <c r="J32" s="1370"/>
      <c r="K32" s="1371"/>
    </row>
    <row r="33" spans="1:11" ht="18.95" customHeight="1">
      <c r="A33" s="1"/>
      <c r="C33" s="1372">
        <v>2</v>
      </c>
      <c r="D33" s="1199"/>
      <c r="E33" s="1373"/>
      <c r="F33" s="1374"/>
      <c r="G33" s="1372">
        <v>30</v>
      </c>
      <c r="H33" s="1199"/>
      <c r="I33" s="1375"/>
      <c r="J33" s="1376"/>
      <c r="K33" s="1377"/>
    </row>
    <row r="34" spans="1:11" ht="18.95" customHeight="1">
      <c r="A34" s="1"/>
      <c r="C34" s="1372">
        <v>3</v>
      </c>
      <c r="D34" s="1199"/>
      <c r="E34" s="1373"/>
      <c r="F34" s="1374"/>
      <c r="G34" s="1372">
        <v>31</v>
      </c>
      <c r="H34" s="1199"/>
      <c r="I34" s="1375"/>
      <c r="J34" s="1376"/>
      <c r="K34" s="1377"/>
    </row>
    <row r="35" spans="1:11" ht="18.95" customHeight="1">
      <c r="A35" s="1"/>
      <c r="C35" s="1372">
        <v>4</v>
      </c>
      <c r="D35" s="1199"/>
      <c r="E35" s="1373"/>
      <c r="F35" s="1374"/>
      <c r="G35" s="1372">
        <v>32</v>
      </c>
      <c r="H35" s="1199"/>
      <c r="I35" s="1375"/>
      <c r="J35" s="1376"/>
      <c r="K35" s="1377"/>
    </row>
    <row r="36" spans="1:11" ht="18.95" customHeight="1">
      <c r="A36" s="1"/>
      <c r="C36" s="1372">
        <v>5</v>
      </c>
      <c r="D36" s="1199"/>
      <c r="E36" s="1373"/>
      <c r="F36" s="1374"/>
      <c r="G36" s="1372">
        <v>33</v>
      </c>
      <c r="H36" s="1199"/>
      <c r="I36" s="1375"/>
      <c r="J36" s="1376"/>
      <c r="K36" s="1377"/>
    </row>
    <row r="37" spans="1:11" ht="18.95" customHeight="1">
      <c r="A37" s="1"/>
      <c r="C37" s="1372">
        <v>6</v>
      </c>
      <c r="D37" s="1199"/>
      <c r="E37" s="1373"/>
      <c r="F37" s="1374"/>
      <c r="G37" s="1372">
        <v>34</v>
      </c>
      <c r="H37" s="1199"/>
      <c r="I37" s="1375"/>
      <c r="J37" s="1376"/>
      <c r="K37" s="1377"/>
    </row>
    <row r="38" spans="1:11" ht="18.95" customHeight="1">
      <c r="A38" s="1"/>
      <c r="C38" s="1372">
        <v>7</v>
      </c>
      <c r="D38" s="1199"/>
      <c r="E38" s="1373"/>
      <c r="F38" s="1374"/>
      <c r="G38" s="1372">
        <v>35</v>
      </c>
      <c r="H38" s="1199"/>
      <c r="I38" s="1375"/>
      <c r="J38" s="1376"/>
      <c r="K38" s="1377"/>
    </row>
    <row r="39" spans="1:11" ht="18.95" customHeight="1">
      <c r="A39" s="1"/>
      <c r="C39" s="1372">
        <v>8</v>
      </c>
      <c r="D39" s="1199"/>
      <c r="E39" s="1373"/>
      <c r="F39" s="1374"/>
      <c r="G39" s="1372">
        <v>36</v>
      </c>
      <c r="H39" s="1199"/>
      <c r="I39" s="1375"/>
      <c r="J39" s="1376"/>
      <c r="K39" s="1377"/>
    </row>
    <row r="40" spans="1:11" ht="18.95" customHeight="1">
      <c r="A40" s="1"/>
      <c r="C40" s="1372">
        <v>9</v>
      </c>
      <c r="D40" s="1199"/>
      <c r="E40" s="1373"/>
      <c r="F40" s="1374"/>
      <c r="G40" s="1372">
        <v>37</v>
      </c>
      <c r="H40" s="1199"/>
      <c r="I40" s="1375"/>
      <c r="J40" s="1376"/>
      <c r="K40" s="1377"/>
    </row>
    <row r="41" spans="1:11" ht="18.95" customHeight="1">
      <c r="A41" s="1"/>
      <c r="C41" s="1372">
        <v>10</v>
      </c>
      <c r="D41" s="1199"/>
      <c r="E41" s="1373"/>
      <c r="F41" s="1374"/>
      <c r="G41" s="1372">
        <v>38</v>
      </c>
      <c r="H41" s="1199"/>
      <c r="I41" s="1375"/>
      <c r="J41" s="1376"/>
      <c r="K41" s="1377"/>
    </row>
    <row r="42" spans="1:11" ht="18.95" customHeight="1">
      <c r="A42" s="1"/>
      <c r="C42" s="1372">
        <v>11</v>
      </c>
      <c r="D42" s="1199"/>
      <c r="E42" s="1373"/>
      <c r="F42" s="1374"/>
      <c r="G42" s="1372">
        <v>39</v>
      </c>
      <c r="H42" s="1199"/>
      <c r="I42" s="1375"/>
      <c r="J42" s="1376"/>
      <c r="K42" s="1377"/>
    </row>
    <row r="43" spans="1:11" ht="18.95" customHeight="1">
      <c r="A43" s="1"/>
      <c r="C43" s="1372">
        <v>12</v>
      </c>
      <c r="D43" s="1199"/>
      <c r="E43" s="1373"/>
      <c r="F43" s="1374"/>
      <c r="G43" s="1372">
        <v>40</v>
      </c>
      <c r="H43" s="1199"/>
      <c r="I43" s="1375"/>
      <c r="J43" s="1376"/>
      <c r="K43" s="1377"/>
    </row>
    <row r="44" spans="1:11" ht="18.95" customHeight="1">
      <c r="A44" s="1"/>
      <c r="C44" s="1372">
        <v>13</v>
      </c>
      <c r="D44" s="1199"/>
      <c r="E44" s="1373"/>
      <c r="F44" s="1374"/>
      <c r="G44" s="1372">
        <v>41</v>
      </c>
      <c r="H44" s="1199"/>
      <c r="I44" s="1375"/>
      <c r="J44" s="1376"/>
      <c r="K44" s="1377"/>
    </row>
    <row r="45" spans="1:11" ht="18.95" customHeight="1">
      <c r="A45" s="1"/>
      <c r="C45" s="1372">
        <v>14</v>
      </c>
      <c r="D45" s="1199"/>
      <c r="E45" s="1373"/>
      <c r="F45" s="1374"/>
      <c r="G45" s="1372">
        <v>42</v>
      </c>
      <c r="H45" s="1199"/>
      <c r="I45" s="1375"/>
      <c r="J45" s="1376"/>
      <c r="K45" s="1377"/>
    </row>
    <row r="46" spans="1:11" ht="18.95" customHeight="1">
      <c r="A46" s="1"/>
      <c r="C46" s="1372">
        <v>15</v>
      </c>
      <c r="D46" s="1199"/>
      <c r="E46" s="1373"/>
      <c r="F46" s="1374"/>
      <c r="G46" s="1372">
        <v>43</v>
      </c>
      <c r="H46" s="1199"/>
      <c r="I46" s="1375"/>
      <c r="J46" s="1376"/>
      <c r="K46" s="1377"/>
    </row>
    <row r="47" spans="1:11" ht="18.95" customHeight="1">
      <c r="A47" s="1"/>
      <c r="C47" s="1372">
        <v>16</v>
      </c>
      <c r="D47" s="1199"/>
      <c r="E47" s="1373"/>
      <c r="F47" s="1374"/>
      <c r="G47" s="1372">
        <v>44</v>
      </c>
      <c r="H47" s="1199"/>
      <c r="I47" s="1375"/>
      <c r="J47" s="1376"/>
      <c r="K47" s="1377"/>
    </row>
    <row r="48" spans="1:11" ht="18.95" customHeight="1">
      <c r="A48" s="1"/>
      <c r="C48" s="1372">
        <v>17</v>
      </c>
      <c r="D48" s="1199"/>
      <c r="E48" s="1373"/>
      <c r="F48" s="1374"/>
      <c r="G48" s="1372">
        <v>45</v>
      </c>
      <c r="H48" s="1199"/>
      <c r="I48" s="1375"/>
      <c r="J48" s="1376"/>
      <c r="K48" s="1377"/>
    </row>
    <row r="49" spans="1:11" ht="18.95" customHeight="1">
      <c r="A49" s="1"/>
      <c r="C49" s="1372">
        <v>18</v>
      </c>
      <c r="D49" s="1199"/>
      <c r="E49" s="1373"/>
      <c r="F49" s="1374"/>
      <c r="G49" s="1372">
        <v>46</v>
      </c>
      <c r="H49" s="1199"/>
      <c r="I49" s="1375"/>
      <c r="J49" s="1376"/>
      <c r="K49" s="1377"/>
    </row>
    <row r="50" spans="1:11" ht="18.95" customHeight="1">
      <c r="A50" s="1"/>
      <c r="C50" s="1372">
        <v>19</v>
      </c>
      <c r="D50" s="1199"/>
      <c r="E50" s="1373"/>
      <c r="F50" s="1374"/>
      <c r="G50" s="1372">
        <v>47</v>
      </c>
      <c r="H50" s="1199"/>
      <c r="I50" s="1375"/>
      <c r="J50" s="1376"/>
      <c r="K50" s="1377"/>
    </row>
    <row r="51" spans="1:11" ht="18.95" customHeight="1">
      <c r="A51" s="1"/>
      <c r="C51" s="1372">
        <v>20</v>
      </c>
      <c r="D51" s="1199"/>
      <c r="E51" s="1373"/>
      <c r="F51" s="1374"/>
      <c r="G51" s="1372">
        <v>48</v>
      </c>
      <c r="H51" s="1199"/>
      <c r="I51" s="1375"/>
      <c r="J51" s="1376"/>
      <c r="K51" s="1377"/>
    </row>
    <row r="52" spans="1:11" ht="18.95" customHeight="1">
      <c r="A52" s="1"/>
      <c r="C52" s="1378">
        <v>21</v>
      </c>
      <c r="D52" s="1206"/>
      <c r="E52" s="1373"/>
      <c r="F52" s="1374"/>
      <c r="G52" s="1372">
        <v>49</v>
      </c>
      <c r="H52" s="1206"/>
      <c r="I52" s="1375"/>
      <c r="J52" s="1376"/>
      <c r="K52" s="1377"/>
    </row>
    <row r="53" spans="1:11" ht="18.95" customHeight="1">
      <c r="A53" s="1"/>
      <c r="C53" s="1372">
        <v>22</v>
      </c>
      <c r="D53" s="1199"/>
      <c r="E53" s="1373"/>
      <c r="F53" s="1374"/>
      <c r="G53" s="1372">
        <v>50</v>
      </c>
      <c r="H53" s="1199"/>
      <c r="I53" s="1375"/>
      <c r="J53" s="1376"/>
      <c r="K53" s="1377"/>
    </row>
    <row r="54" spans="1:11" ht="18.95" customHeight="1">
      <c r="A54" s="1"/>
      <c r="C54" s="1378">
        <v>23</v>
      </c>
      <c r="D54" s="1199"/>
      <c r="E54" s="1337"/>
      <c r="F54" s="1374"/>
      <c r="G54" s="1372">
        <v>51</v>
      </c>
      <c r="H54" s="1199"/>
      <c r="I54" s="1335"/>
      <c r="J54" s="1336"/>
      <c r="K54" s="1377"/>
    </row>
    <row r="55" spans="1:11" ht="18.95" customHeight="1">
      <c r="A55" s="1"/>
      <c r="C55" s="1372">
        <v>24</v>
      </c>
      <c r="D55" s="1199"/>
      <c r="E55" s="1337"/>
      <c r="F55" s="1374"/>
      <c r="G55" s="1372">
        <v>52</v>
      </c>
      <c r="H55" s="1199"/>
      <c r="I55" s="1335"/>
      <c r="J55" s="1336"/>
      <c r="K55" s="1377"/>
    </row>
    <row r="56" spans="1:11" ht="18.95" customHeight="1">
      <c r="A56" s="1"/>
      <c r="C56" s="1378">
        <v>25</v>
      </c>
      <c r="D56" s="1199"/>
      <c r="E56" s="1337"/>
      <c r="F56" s="1374"/>
      <c r="G56" s="1372">
        <v>53</v>
      </c>
      <c r="H56" s="1199"/>
      <c r="I56" s="1001"/>
      <c r="J56" s="1001"/>
      <c r="K56" s="1377"/>
    </row>
    <row r="57" spans="1:11" ht="17.100000000000001" customHeight="1">
      <c r="C57" s="1372">
        <v>26</v>
      </c>
      <c r="D57" s="1199"/>
      <c r="E57" s="1337"/>
      <c r="F57" s="1374"/>
      <c r="G57" s="1372">
        <v>54</v>
      </c>
      <c r="H57" s="1199"/>
      <c r="I57" s="1335"/>
      <c r="J57" s="1336"/>
      <c r="K57" s="1377"/>
    </row>
    <row r="58" spans="1:11" ht="17.100000000000001" customHeight="1">
      <c r="C58" s="1378">
        <v>27</v>
      </c>
      <c r="D58" s="1199"/>
      <c r="E58" s="1337"/>
      <c r="F58" s="1374"/>
      <c r="G58" s="1372">
        <v>55</v>
      </c>
      <c r="H58" s="1199"/>
      <c r="I58" s="1001"/>
      <c r="J58" s="1001"/>
      <c r="K58" s="1377"/>
    </row>
    <row r="59" spans="1:11" ht="17.100000000000001" customHeight="1" thickBot="1">
      <c r="C59" s="1379">
        <v>28</v>
      </c>
      <c r="D59" s="1380"/>
      <c r="E59" s="1381"/>
      <c r="F59" s="1382"/>
      <c r="G59" s="1379">
        <v>56</v>
      </c>
      <c r="H59" s="1380"/>
      <c r="I59" s="1383"/>
      <c r="J59" s="1384"/>
      <c r="K59" s="1385"/>
    </row>
    <row r="60" spans="1:11" ht="17.100000000000001" customHeight="1"/>
    <row r="61" spans="1:11" ht="17.100000000000001" customHeight="1"/>
  </sheetData>
  <mergeCells count="25">
    <mergeCell ref="A12:B12"/>
    <mergeCell ref="H14:I14"/>
    <mergeCell ref="J14:K14"/>
    <mergeCell ref="B27:D27"/>
    <mergeCell ref="B28:D28"/>
    <mergeCell ref="C1:J2"/>
    <mergeCell ref="K1:K2"/>
    <mergeCell ref="A4:C4"/>
    <mergeCell ref="A10:B10"/>
    <mergeCell ref="A11:C11"/>
    <mergeCell ref="D11:E11"/>
    <mergeCell ref="J11:K11"/>
    <mergeCell ref="D6:M6"/>
    <mergeCell ref="I31:J31"/>
    <mergeCell ref="B26:D26"/>
    <mergeCell ref="B14:D14"/>
    <mergeCell ref="B15:D15"/>
    <mergeCell ref="B16:D16"/>
    <mergeCell ref="B20:D20"/>
    <mergeCell ref="B21:D21"/>
    <mergeCell ref="B18:D18"/>
    <mergeCell ref="B23:D23"/>
    <mergeCell ref="H22:I22"/>
    <mergeCell ref="H29:I29"/>
    <mergeCell ref="B29:D29"/>
  </mergeCells>
  <phoneticPr fontId="12" type="noConversion"/>
  <printOptions horizontalCentered="1" verticalCentered="1"/>
  <pageMargins left="0" right="0" top="0" bottom="0.39370078740157483" header="0" footer="0"/>
  <pageSetup paperSize="9" scale="82" orientation="portrait" blackAndWhite="1" r:id="rId1"/>
  <headerFooter alignWithMargins="0">
    <oddFooter>&amp;LEdité le &amp;D&amp;C&amp;P/&amp;N</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85">
    <tabColor indexed="42"/>
    <pageSetUpPr fitToPage="1"/>
  </sheetPr>
  <dimension ref="A1:I50"/>
  <sheetViews>
    <sheetView showGridLines="0" view="pageBreakPreview" zoomScaleNormal="100" zoomScaleSheetLayoutView="100" workbookViewId="0">
      <selection activeCell="E13" sqref="E13:F13"/>
    </sheetView>
  </sheetViews>
  <sheetFormatPr baseColWidth="10" defaultColWidth="11.42578125" defaultRowHeight="12.75"/>
  <cols>
    <col min="1" max="1" width="13.5703125" style="344" customWidth="1"/>
    <col min="2" max="2" width="9.85546875" style="344" customWidth="1"/>
    <col min="3" max="3" width="19.140625" style="344" customWidth="1"/>
    <col min="4" max="6" width="11.42578125" style="344"/>
    <col min="7" max="7" width="16.28515625" style="344" customWidth="1"/>
    <col min="8" max="16384" width="11.42578125" style="344"/>
  </cols>
  <sheetData>
    <row r="1" spans="1:9" ht="36" customHeight="1">
      <c r="B1" s="2223" t="s">
        <v>623</v>
      </c>
      <c r="C1" s="2223"/>
      <c r="D1" s="2223"/>
      <c r="E1" s="2223"/>
      <c r="F1" s="2223"/>
      <c r="G1" s="345" t="s">
        <v>624</v>
      </c>
    </row>
    <row r="2" spans="1:9" ht="10.5" customHeight="1">
      <c r="G2" s="345"/>
    </row>
    <row r="3" spans="1:9" s="522" customFormat="1" ht="24.75" customHeight="1">
      <c r="A3" s="534" t="s">
        <v>625</v>
      </c>
      <c r="B3" s="535"/>
      <c r="C3" s="723" t="str">
        <f>IF(ISBLANK(oeOTP),"",oeOTP)</f>
        <v/>
      </c>
      <c r="D3" s="723"/>
      <c r="E3" s="725" t="s">
        <v>801</v>
      </c>
      <c r="F3" s="729" t="str">
        <f>IF(ISBLANK(oVille),"",oVille)</f>
        <v/>
      </c>
      <c r="G3" s="722"/>
      <c r="H3" s="535"/>
    </row>
    <row r="4" spans="1:9" s="522" customFormat="1" ht="20.25" customHeight="1">
      <c r="A4" s="535"/>
      <c r="B4" s="535"/>
      <c r="C4" s="535"/>
      <c r="D4" s="535"/>
      <c r="E4" s="535"/>
      <c r="F4" s="535"/>
      <c r="G4" s="722"/>
      <c r="H4" s="535"/>
    </row>
    <row r="5" spans="1:9" s="522" customFormat="1" ht="29.25" customHeight="1">
      <c r="A5" s="534" t="s">
        <v>802</v>
      </c>
      <c r="B5" s="1792" t="str">
        <f>IF(ISBLANK(oLibelleOTP),"",oLibelleOTP)</f>
        <v/>
      </c>
      <c r="C5" s="1792"/>
      <c r="D5" s="1792"/>
      <c r="E5" s="1792"/>
      <c r="F5" s="1792"/>
      <c r="G5" s="1792"/>
      <c r="H5" s="724"/>
      <c r="I5" s="346"/>
    </row>
    <row r="8" spans="1:9" ht="20.25" customHeight="1" thickBot="1"/>
    <row r="9" spans="1:9" ht="13.5" thickBot="1">
      <c r="A9" s="2226" t="s">
        <v>626</v>
      </c>
      <c r="B9" s="2227"/>
      <c r="C9" s="2228"/>
      <c r="D9" s="2229"/>
      <c r="E9" s="2229"/>
      <c r="F9" s="2229"/>
      <c r="G9" s="2230"/>
    </row>
    <row r="10" spans="1:9" ht="13.5" thickBot="1">
      <c r="A10" s="2226" t="s">
        <v>627</v>
      </c>
      <c r="B10" s="2227"/>
      <c r="C10" s="348"/>
    </row>
    <row r="11" spans="1:9" ht="13.5" thickBot="1">
      <c r="A11" s="347"/>
    </row>
    <row r="12" spans="1:9" ht="13.5" thickBot="1">
      <c r="A12" s="2231" t="s">
        <v>628</v>
      </c>
      <c r="B12" s="2232"/>
      <c r="C12" s="348"/>
      <c r="E12" s="2226" t="s">
        <v>629</v>
      </c>
      <c r="F12" s="2227"/>
      <c r="G12" s="348"/>
    </row>
    <row r="13" spans="1:9" ht="13.5" thickBot="1">
      <c r="A13" s="2226" t="s">
        <v>630</v>
      </c>
      <c r="B13" s="2227"/>
      <c r="C13" s="348"/>
      <c r="E13" s="2226" t="s">
        <v>631</v>
      </c>
      <c r="F13" s="2227"/>
      <c r="G13" s="348"/>
    </row>
    <row r="14" spans="1:9" ht="13.5" thickBot="1">
      <c r="A14" s="347"/>
    </row>
    <row r="15" spans="1:9" ht="13.5" thickBot="1">
      <c r="A15" s="2226" t="s">
        <v>632</v>
      </c>
      <c r="B15" s="2227"/>
      <c r="C15" s="348"/>
    </row>
    <row r="16" spans="1:9" ht="13.5" thickBot="1">
      <c r="A16" s="347"/>
    </row>
    <row r="17" spans="1:7" ht="13.5" thickBot="1">
      <c r="A17" s="2226" t="s">
        <v>633</v>
      </c>
      <c r="B17" s="2227"/>
      <c r="C17" s="348"/>
      <c r="E17" s="2226" t="s">
        <v>634</v>
      </c>
      <c r="F17" s="2227"/>
      <c r="G17" s="348"/>
    </row>
    <row r="18" spans="1:7" ht="13.5" thickBot="1">
      <c r="A18" s="347"/>
    </row>
    <row r="19" spans="1:7" ht="13.5" thickBot="1">
      <c r="A19" s="2226" t="s">
        <v>635</v>
      </c>
      <c r="B19" s="2227"/>
      <c r="C19" s="348"/>
      <c r="E19" s="2226" t="s">
        <v>635</v>
      </c>
      <c r="F19" s="2227"/>
      <c r="G19" s="348"/>
    </row>
    <row r="20" spans="1:7" ht="13.5" thickBot="1">
      <c r="A20" s="2226" t="s">
        <v>636</v>
      </c>
      <c r="B20" s="2227"/>
      <c r="C20" s="348"/>
      <c r="E20" s="2226" t="s">
        <v>636</v>
      </c>
      <c r="F20" s="2227"/>
      <c r="G20" s="348"/>
    </row>
    <row r="21" spans="1:7" ht="13.5" thickBot="1">
      <c r="A21" s="347"/>
    </row>
    <row r="22" spans="1:7" ht="13.5" thickBot="1">
      <c r="A22" s="2226" t="s">
        <v>637</v>
      </c>
      <c r="B22" s="2227"/>
      <c r="C22" s="348"/>
    </row>
    <row r="23" spans="1:7" ht="13.5" thickBot="1">
      <c r="A23" s="2226" t="s">
        <v>638</v>
      </c>
      <c r="B23" s="2227"/>
      <c r="C23" s="348"/>
      <c r="E23" s="2226" t="s">
        <v>639</v>
      </c>
      <c r="F23" s="2227"/>
      <c r="G23" s="348"/>
    </row>
    <row r="25" spans="1:7" customFormat="1" ht="38.25" customHeight="1"/>
    <row r="26" spans="1:7" customFormat="1"/>
    <row r="27" spans="1:7" customFormat="1"/>
    <row r="28" spans="1:7" customFormat="1"/>
    <row r="29" spans="1:7" customFormat="1"/>
    <row r="30" spans="1:7" customFormat="1"/>
    <row r="31" spans="1:7" customFormat="1"/>
    <row r="32" spans="1:7" customFormat="1"/>
    <row r="33" spans="1:7" customFormat="1"/>
    <row r="34" spans="1:7" customFormat="1"/>
    <row r="35" spans="1:7" customFormat="1"/>
    <row r="36" spans="1:7" customFormat="1"/>
    <row r="37" spans="1:7" customFormat="1"/>
    <row r="38" spans="1:7" customFormat="1"/>
    <row r="39" spans="1:7" customFormat="1"/>
    <row r="40" spans="1:7" customFormat="1"/>
    <row r="41" spans="1:7" customFormat="1"/>
    <row r="42" spans="1:7" customFormat="1"/>
    <row r="43" spans="1:7" customFormat="1"/>
    <row r="44" spans="1:7" customFormat="1" ht="46.5" customHeight="1" thickBot="1"/>
    <row r="45" spans="1:7" ht="13.5" thickBot="1">
      <c r="A45" s="2225" t="s">
        <v>1509</v>
      </c>
      <c r="B45" s="2226"/>
      <c r="C45" s="348"/>
      <c r="E45" s="2225" t="s">
        <v>1512</v>
      </c>
      <c r="F45" s="2226"/>
      <c r="G45" s="348"/>
    </row>
    <row r="46" spans="1:7" ht="13.5" thickBot="1"/>
    <row r="47" spans="1:7" ht="13.5" thickBot="1">
      <c r="A47" s="2226" t="s">
        <v>640</v>
      </c>
      <c r="B47" s="2226"/>
      <c r="C47" s="348"/>
      <c r="E47" s="2226" t="s">
        <v>640</v>
      </c>
      <c r="F47" s="2226"/>
      <c r="G47" s="348"/>
    </row>
    <row r="49" spans="1:7" ht="44.25" customHeight="1">
      <c r="A49" s="2224" t="s">
        <v>641</v>
      </c>
      <c r="B49" s="2224"/>
      <c r="C49" s="349"/>
      <c r="D49" s="349"/>
      <c r="E49" s="2224" t="s">
        <v>641</v>
      </c>
      <c r="F49" s="2224"/>
      <c r="G49" s="349"/>
    </row>
    <row r="50" spans="1:7" ht="58.5" customHeight="1"/>
  </sheetData>
  <mergeCells count="25">
    <mergeCell ref="A19:B19"/>
    <mergeCell ref="A9:B9"/>
    <mergeCell ref="C9:G9"/>
    <mergeCell ref="A10:B10"/>
    <mergeCell ref="E19:F19"/>
    <mergeCell ref="A12:B12"/>
    <mergeCell ref="E12:F12"/>
    <mergeCell ref="A13:B13"/>
    <mergeCell ref="E13:F13"/>
    <mergeCell ref="B5:G5"/>
    <mergeCell ref="B1:F1"/>
    <mergeCell ref="A49:B49"/>
    <mergeCell ref="E49:F49"/>
    <mergeCell ref="A45:B45"/>
    <mergeCell ref="E45:F45"/>
    <mergeCell ref="A47:B47"/>
    <mergeCell ref="E47:F47"/>
    <mergeCell ref="A20:B20"/>
    <mergeCell ref="E20:F20"/>
    <mergeCell ref="A22:B22"/>
    <mergeCell ref="A23:B23"/>
    <mergeCell ref="E23:F23"/>
    <mergeCell ref="A15:B15"/>
    <mergeCell ref="A17:B17"/>
    <mergeCell ref="E17:F17"/>
  </mergeCells>
  <phoneticPr fontId="12" type="noConversion"/>
  <printOptions horizontalCentered="1" verticalCentered="1"/>
  <pageMargins left="0" right="0" top="0" bottom="0.39370078740157483" header="0" footer="0"/>
  <pageSetup paperSize="9" scale="96" orientation="portrait" blackAndWhite="1" r:id="rId1"/>
  <headerFooter alignWithMargins="0">
    <oddFooter>&amp;LEdité le &amp;D&amp;C&amp;P/&amp;N</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Feuil31">
    <tabColor indexed="42"/>
    <pageSetUpPr fitToPage="1"/>
  </sheetPr>
  <dimension ref="A1:O81"/>
  <sheetViews>
    <sheetView showGridLines="0" view="pageBreakPreview" zoomScaleNormal="100" zoomScaleSheetLayoutView="100" workbookViewId="0">
      <selection activeCell="D7" sqref="D7:F7"/>
    </sheetView>
  </sheetViews>
  <sheetFormatPr baseColWidth="10" defaultColWidth="11.42578125" defaultRowHeight="12.75"/>
  <cols>
    <col min="1" max="1" width="15.7109375" style="9" customWidth="1"/>
    <col min="2" max="2" width="22.42578125" style="9" bestFit="1" customWidth="1"/>
    <col min="3" max="3" width="4.42578125" style="9" customWidth="1"/>
    <col min="4" max="4" width="12.42578125" style="9" customWidth="1"/>
    <col min="5" max="12" width="12.7109375" style="9" customWidth="1"/>
    <col min="13" max="13" width="13.5703125" style="9" customWidth="1"/>
    <col min="14" max="16384" width="11.42578125" style="9"/>
  </cols>
  <sheetData>
    <row r="1" spans="1:15" ht="18.75" customHeight="1">
      <c r="B1" s="1576" t="s">
        <v>1515</v>
      </c>
      <c r="C1" s="1576"/>
      <c r="D1" s="1576"/>
      <c r="E1" s="1576"/>
      <c r="F1" s="1576"/>
      <c r="G1" s="1576"/>
      <c r="H1" s="1576"/>
      <c r="I1" s="1576"/>
      <c r="J1" s="1576"/>
      <c r="K1" s="1576"/>
      <c r="L1" s="2233" t="s">
        <v>643</v>
      </c>
      <c r="M1" s="2233"/>
      <c r="N1" s="21"/>
      <c r="O1" s="23"/>
    </row>
    <row r="2" spans="1:15" ht="12.75" customHeight="1">
      <c r="A2" s="21"/>
      <c r="B2" s="1576"/>
      <c r="C2" s="1576"/>
      <c r="D2" s="1576"/>
      <c r="E2" s="1576"/>
      <c r="F2" s="1576"/>
      <c r="G2" s="1576"/>
      <c r="H2" s="1576"/>
      <c r="I2" s="1576"/>
      <c r="J2" s="1576"/>
      <c r="K2" s="1576"/>
      <c r="L2" s="2233"/>
      <c r="M2" s="2233"/>
      <c r="N2" s="21"/>
      <c r="O2" s="23"/>
    </row>
    <row r="3" spans="1:15" ht="36" customHeight="1">
      <c r="A3" s="21"/>
      <c r="B3" s="1576"/>
      <c r="C3" s="1576"/>
      <c r="D3" s="1576"/>
      <c r="E3" s="1576"/>
      <c r="F3" s="1576"/>
      <c r="G3" s="1576"/>
      <c r="H3" s="1576"/>
      <c r="I3" s="1576"/>
      <c r="J3" s="1576"/>
      <c r="K3" s="1576"/>
      <c r="L3" s="23"/>
      <c r="M3" s="23"/>
      <c r="N3" s="21"/>
      <c r="O3" s="23"/>
    </row>
    <row r="4" spans="1:15" ht="25.5" customHeight="1">
      <c r="A4" s="14" t="s">
        <v>798</v>
      </c>
      <c r="B4" s="2235" t="str">
        <f>IF(ISBLANK(oeOTP),"",oeOTP)</f>
        <v/>
      </c>
      <c r="C4" s="2235"/>
      <c r="D4" s="2235"/>
      <c r="E4" s="343"/>
      <c r="F4" s="343"/>
      <c r="G4" s="343"/>
      <c r="H4" s="343"/>
      <c r="I4" s="343"/>
      <c r="J4" s="343"/>
      <c r="K4" s="343"/>
      <c r="L4" s="719"/>
      <c r="M4" s="719"/>
      <c r="N4" s="21"/>
      <c r="O4" s="23"/>
    </row>
    <row r="5" spans="1:15" s="5" customFormat="1" ht="27" customHeight="1">
      <c r="A5" s="29" t="s">
        <v>899</v>
      </c>
      <c r="B5" s="720" t="str">
        <f>IF(ISBLANK(oAdresseChantier),"",oAdresseChantier)</f>
        <v/>
      </c>
      <c r="C5" s="720"/>
      <c r="D5" s="14"/>
      <c r="E5" s="29"/>
      <c r="F5" s="29"/>
      <c r="G5" s="29"/>
      <c r="H5" s="29"/>
      <c r="I5" s="29"/>
      <c r="J5" s="131" t="s">
        <v>801</v>
      </c>
      <c r="K5" s="720" t="str">
        <f>IF(ISBLANK(oVille),"",oVille)</f>
        <v/>
      </c>
      <c r="L5" s="29"/>
      <c r="M5" s="29"/>
    </row>
    <row r="6" spans="1:15" s="144" customFormat="1" ht="27" customHeight="1">
      <c r="A6" s="309" t="s">
        <v>900</v>
      </c>
      <c r="D6" s="350"/>
      <c r="E6" s="2234"/>
      <c r="F6" s="2234"/>
      <c r="G6" s="351" t="s">
        <v>901</v>
      </c>
      <c r="H6" s="2234"/>
      <c r="I6" s="2234"/>
      <c r="J6" s="138" t="s">
        <v>902</v>
      </c>
      <c r="L6" s="138"/>
      <c r="M6" s="138"/>
      <c r="N6" s="138"/>
    </row>
    <row r="7" spans="1:15" s="144" customFormat="1" ht="27" customHeight="1">
      <c r="A7" s="309" t="s">
        <v>903</v>
      </c>
      <c r="D7" s="2234"/>
      <c r="E7" s="2234"/>
      <c r="F7" s="2234"/>
      <c r="G7" s="351" t="s">
        <v>904</v>
      </c>
      <c r="H7" s="2234"/>
      <c r="I7" s="2234"/>
      <c r="J7" s="352" t="s">
        <v>905</v>
      </c>
      <c r="K7" s="2234"/>
      <c r="L7" s="2234"/>
      <c r="M7" s="2234"/>
      <c r="N7" s="138"/>
    </row>
    <row r="8" spans="1:15" s="144" customFormat="1" ht="18" customHeight="1">
      <c r="D8" s="138"/>
    </row>
    <row r="9" spans="1:15" s="144" customFormat="1" ht="27" customHeight="1">
      <c r="A9" s="29" t="s">
        <v>906</v>
      </c>
      <c r="B9" s="5"/>
      <c r="C9" s="5"/>
      <c r="D9" s="138"/>
      <c r="I9" s="138"/>
    </row>
    <row r="10" spans="1:15" s="144" customFormat="1" ht="6.75" customHeight="1"/>
    <row r="11" spans="1:15" s="5" customFormat="1" ht="21.95" customHeight="1">
      <c r="A11" s="2236" t="s">
        <v>562</v>
      </c>
      <c r="B11" s="2236"/>
      <c r="C11" s="2236" t="s">
        <v>907</v>
      </c>
      <c r="D11" s="2236"/>
      <c r="E11" s="2236"/>
      <c r="F11" s="2236" t="s">
        <v>904</v>
      </c>
      <c r="G11" s="2236"/>
      <c r="H11" s="2236" t="s">
        <v>905</v>
      </c>
      <c r="I11" s="2236"/>
      <c r="J11" s="2236"/>
      <c r="K11" s="2236"/>
      <c r="L11" s="2236"/>
      <c r="M11" s="2236"/>
    </row>
    <row r="12" spans="1:15" s="5" customFormat="1" ht="21.95" customHeight="1">
      <c r="A12" s="2237">
        <v>1</v>
      </c>
      <c r="B12" s="2237"/>
      <c r="C12" s="2238"/>
      <c r="D12" s="2238"/>
      <c r="E12" s="2238"/>
      <c r="F12" s="2238"/>
      <c r="G12" s="2238"/>
      <c r="H12" s="2238"/>
      <c r="I12" s="2238"/>
      <c r="J12" s="2238"/>
      <c r="K12" s="2238"/>
      <c r="L12" s="2238"/>
      <c r="M12" s="2238"/>
    </row>
    <row r="13" spans="1:15" s="5" customFormat="1" ht="21.95" customHeight="1">
      <c r="A13" s="2237">
        <v>2</v>
      </c>
      <c r="B13" s="2237"/>
      <c r="C13" s="2238"/>
      <c r="D13" s="2238"/>
      <c r="E13" s="2238"/>
      <c r="F13" s="2238"/>
      <c r="G13" s="2238"/>
      <c r="H13" s="2238"/>
      <c r="I13" s="2238"/>
      <c r="J13" s="2238"/>
      <c r="K13" s="2238"/>
      <c r="L13" s="2238"/>
      <c r="M13" s="2238"/>
    </row>
    <row r="14" spans="1:15" s="5" customFormat="1" ht="21.95" customHeight="1">
      <c r="A14" s="2237">
        <v>3</v>
      </c>
      <c r="B14" s="2237"/>
      <c r="C14" s="2238"/>
      <c r="D14" s="2238"/>
      <c r="E14" s="2238"/>
      <c r="F14" s="2238"/>
      <c r="G14" s="2238"/>
      <c r="H14" s="2238"/>
      <c r="I14" s="2238"/>
      <c r="J14" s="2238"/>
      <c r="K14" s="2238"/>
      <c r="L14" s="2238"/>
      <c r="M14" s="2238"/>
    </row>
    <row r="15" spans="1:15" s="5" customFormat="1" ht="21.95" customHeight="1">
      <c r="A15" s="2237">
        <v>4</v>
      </c>
      <c r="B15" s="2237"/>
      <c r="C15" s="2238"/>
      <c r="D15" s="2238"/>
      <c r="E15" s="2238"/>
      <c r="F15" s="2238"/>
      <c r="G15" s="2238"/>
      <c r="H15" s="2238"/>
      <c r="I15" s="2238"/>
      <c r="J15" s="2238"/>
      <c r="K15" s="2238"/>
      <c r="L15" s="2238"/>
      <c r="M15" s="2238"/>
    </row>
    <row r="16" spans="1:15" s="5" customFormat="1" ht="21.95" customHeight="1">
      <c r="A16" s="2237">
        <v>5</v>
      </c>
      <c r="B16" s="2237"/>
      <c r="C16" s="2238"/>
      <c r="D16" s="2238"/>
      <c r="E16" s="2238"/>
      <c r="F16" s="2238"/>
      <c r="G16" s="2238"/>
      <c r="H16" s="2238"/>
      <c r="I16" s="2238"/>
      <c r="J16" s="2238"/>
      <c r="K16" s="2238"/>
      <c r="L16" s="2238"/>
      <c r="M16" s="2238"/>
    </row>
    <row r="17" spans="1:13" s="144" customFormat="1" ht="21.95" customHeight="1">
      <c r="A17" s="2237">
        <v>6</v>
      </c>
      <c r="B17" s="2237"/>
      <c r="C17" s="2238"/>
      <c r="D17" s="2238"/>
      <c r="E17" s="2238"/>
      <c r="F17" s="2238"/>
      <c r="G17" s="2238"/>
      <c r="H17" s="2238"/>
      <c r="I17" s="2238"/>
      <c r="J17" s="2238"/>
      <c r="K17" s="2238"/>
      <c r="L17" s="2238"/>
      <c r="M17" s="2238"/>
    </row>
    <row r="18" spans="1:13" s="144" customFormat="1" ht="18.75" customHeight="1"/>
    <row r="19" spans="1:13" s="144" customFormat="1" ht="28.5" customHeight="1">
      <c r="A19" s="2239" t="s">
        <v>908</v>
      </c>
      <c r="B19" s="2239"/>
      <c r="C19" s="2239"/>
      <c r="D19" s="2239"/>
      <c r="E19" s="2239"/>
      <c r="F19" s="2239"/>
      <c r="G19" s="2239"/>
      <c r="H19" s="2239"/>
      <c r="I19" s="2239"/>
      <c r="J19" s="2239"/>
      <c r="K19" s="2239"/>
      <c r="L19" s="2239"/>
      <c r="M19" s="2239"/>
    </row>
    <row r="20" spans="1:13" s="144" customFormat="1" ht="15" customHeight="1"/>
    <row r="21" spans="1:13" s="144" customFormat="1" ht="15" customHeight="1"/>
    <row r="22" spans="1:13" s="144" customFormat="1" ht="15" customHeight="1">
      <c r="C22" s="350"/>
      <c r="D22" s="350"/>
      <c r="E22" s="350"/>
      <c r="F22" s="350"/>
      <c r="G22" s="350"/>
      <c r="H22" s="350"/>
      <c r="I22" s="350"/>
      <c r="J22" s="350"/>
      <c r="K22" s="350"/>
    </row>
    <row r="23" spans="1:13" s="144" customFormat="1" ht="15" customHeight="1">
      <c r="C23" s="350"/>
      <c r="D23" s="350"/>
      <c r="E23" s="350"/>
      <c r="F23" s="350"/>
      <c r="G23" s="350"/>
      <c r="H23" s="350"/>
      <c r="I23" s="350"/>
      <c r="J23" s="350"/>
      <c r="K23" s="350"/>
    </row>
    <row r="24" spans="1:13" s="144" customFormat="1" ht="15" customHeight="1">
      <c r="C24" s="350"/>
      <c r="D24" s="350"/>
      <c r="E24" s="350"/>
      <c r="F24" s="350"/>
      <c r="G24" s="350"/>
      <c r="H24" s="350"/>
      <c r="I24" s="350"/>
      <c r="J24" s="350"/>
      <c r="K24" s="350"/>
    </row>
    <row r="25" spans="1:13" s="144" customFormat="1" ht="15" customHeight="1">
      <c r="C25" s="350"/>
      <c r="D25" s="350"/>
      <c r="E25" s="350"/>
      <c r="F25" s="350"/>
      <c r="G25" s="350"/>
      <c r="H25" s="350"/>
      <c r="I25" s="350"/>
      <c r="J25" s="350"/>
      <c r="K25" s="350"/>
    </row>
    <row r="26" spans="1:13" s="144" customFormat="1" ht="15" customHeight="1">
      <c r="C26" s="350"/>
      <c r="D26" s="350"/>
      <c r="E26" s="350"/>
      <c r="F26" s="350"/>
      <c r="G26" s="350"/>
      <c r="H26" s="350"/>
      <c r="I26" s="350"/>
      <c r="J26" s="350"/>
      <c r="K26" s="350"/>
    </row>
    <row r="27" spans="1:13" s="144" customFormat="1" ht="15" customHeight="1">
      <c r="C27" s="350"/>
      <c r="D27" s="350"/>
      <c r="E27" s="350"/>
      <c r="F27" s="350"/>
      <c r="G27" s="350"/>
      <c r="H27" s="350"/>
      <c r="I27" s="350"/>
      <c r="J27" s="350"/>
      <c r="K27" s="350"/>
    </row>
    <row r="28" spans="1:13" s="144" customFormat="1" ht="15" customHeight="1">
      <c r="C28" s="350"/>
      <c r="D28" s="350"/>
      <c r="E28" s="350"/>
      <c r="F28" s="350"/>
      <c r="G28" s="350"/>
      <c r="H28" s="350"/>
      <c r="I28" s="350"/>
      <c r="J28" s="350"/>
      <c r="K28" s="350"/>
    </row>
    <row r="29" spans="1:13" s="144" customFormat="1" ht="15" customHeight="1">
      <c r="C29" s="350"/>
      <c r="D29" s="350"/>
      <c r="E29" s="350"/>
      <c r="F29" s="350"/>
      <c r="G29" s="350"/>
      <c r="H29" s="350"/>
      <c r="I29" s="350"/>
      <c r="J29" s="350"/>
      <c r="K29" s="350"/>
    </row>
    <row r="30" spans="1:13" s="144" customFormat="1" ht="15" customHeight="1">
      <c r="C30" s="350"/>
      <c r="D30" s="350"/>
      <c r="E30" s="350"/>
      <c r="F30" s="350"/>
      <c r="G30" s="350"/>
      <c r="H30" s="350"/>
      <c r="I30" s="350"/>
      <c r="J30" s="350"/>
      <c r="K30" s="350"/>
    </row>
    <row r="31" spans="1:13" s="144" customFormat="1" ht="15" customHeight="1">
      <c r="C31" s="350"/>
      <c r="D31" s="350"/>
      <c r="E31" s="350"/>
      <c r="F31" s="350"/>
      <c r="G31" s="350"/>
      <c r="H31" s="350"/>
      <c r="I31" s="350"/>
      <c r="J31" s="350"/>
      <c r="K31" s="350"/>
    </row>
    <row r="32" spans="1:13" s="144" customFormat="1" ht="15" customHeight="1">
      <c r="C32" s="350"/>
      <c r="D32" s="350"/>
      <c r="E32" s="350"/>
      <c r="F32" s="350"/>
      <c r="G32" s="350"/>
      <c r="H32" s="350"/>
      <c r="I32" s="350"/>
      <c r="J32" s="350"/>
      <c r="K32" s="350"/>
    </row>
    <row r="33" spans="3:11" s="144" customFormat="1" ht="15" customHeight="1">
      <c r="C33" s="350"/>
      <c r="D33" s="350"/>
      <c r="E33" s="350"/>
      <c r="F33" s="350"/>
      <c r="G33" s="350"/>
      <c r="H33" s="350"/>
      <c r="I33" s="350"/>
      <c r="J33" s="350"/>
      <c r="K33" s="350"/>
    </row>
    <row r="34" spans="3:11" s="144" customFormat="1" ht="15" customHeight="1">
      <c r="C34" s="350"/>
      <c r="D34" s="350"/>
      <c r="E34" s="350"/>
      <c r="F34" s="350"/>
      <c r="G34" s="350"/>
      <c r="H34" s="350"/>
      <c r="I34" s="350"/>
      <c r="J34" s="350"/>
      <c r="K34" s="350"/>
    </row>
    <row r="35" spans="3:11" s="144" customFormat="1" ht="15" customHeight="1">
      <c r="C35" s="350"/>
      <c r="D35" s="350"/>
      <c r="E35" s="350"/>
      <c r="F35" s="350"/>
      <c r="G35" s="350"/>
      <c r="H35" s="350"/>
      <c r="I35" s="350"/>
      <c r="J35" s="350"/>
      <c r="K35" s="350"/>
    </row>
    <row r="36" spans="3:11" s="144" customFormat="1" ht="15" customHeight="1">
      <c r="C36" s="350"/>
      <c r="D36" s="350"/>
      <c r="E36" s="350"/>
      <c r="F36" s="350"/>
      <c r="G36" s="350"/>
      <c r="H36" s="350"/>
      <c r="I36" s="350"/>
      <c r="J36" s="350"/>
      <c r="K36" s="350"/>
    </row>
    <row r="37" spans="3:11" s="144" customFormat="1" ht="15" customHeight="1">
      <c r="C37" s="350"/>
      <c r="D37" s="350"/>
      <c r="E37" s="350"/>
      <c r="F37" s="350"/>
      <c r="G37" s="350"/>
      <c r="H37" s="350"/>
      <c r="I37" s="350"/>
      <c r="J37" s="350"/>
      <c r="K37" s="350"/>
    </row>
    <row r="38" spans="3:11" s="144" customFormat="1" ht="15" customHeight="1">
      <c r="C38" s="350"/>
      <c r="D38" s="350"/>
      <c r="E38" s="350"/>
      <c r="F38" s="350"/>
      <c r="G38" s="350"/>
      <c r="H38" s="350"/>
      <c r="I38" s="350"/>
      <c r="J38" s="350"/>
      <c r="K38" s="350"/>
    </row>
    <row r="39" spans="3:11" s="144" customFormat="1" ht="15" customHeight="1">
      <c r="C39" s="350"/>
      <c r="D39" s="350"/>
      <c r="E39" s="350"/>
      <c r="F39" s="350"/>
      <c r="G39" s="350"/>
      <c r="H39" s="350"/>
      <c r="I39" s="350"/>
      <c r="J39" s="350"/>
      <c r="K39" s="350"/>
    </row>
    <row r="40" spans="3:11" s="144" customFormat="1" ht="15" customHeight="1">
      <c r="C40" s="350"/>
      <c r="D40" s="350"/>
      <c r="E40" s="350"/>
      <c r="F40" s="350"/>
      <c r="G40" s="350"/>
      <c r="H40" s="350"/>
      <c r="I40" s="350"/>
      <c r="J40" s="350"/>
      <c r="K40" s="350"/>
    </row>
    <row r="41" spans="3:11" s="144" customFormat="1" ht="15" customHeight="1">
      <c r="C41" s="350"/>
      <c r="D41" s="350"/>
      <c r="E41" s="350"/>
      <c r="F41" s="350"/>
      <c r="G41" s="350"/>
      <c r="H41" s="350"/>
      <c r="I41" s="350"/>
      <c r="J41" s="350"/>
      <c r="K41" s="350"/>
    </row>
    <row r="42" spans="3:11" s="144" customFormat="1" ht="15" customHeight="1">
      <c r="C42" s="350"/>
      <c r="D42" s="350"/>
      <c r="E42" s="350"/>
      <c r="F42" s="350"/>
      <c r="G42" s="350"/>
      <c r="H42" s="350"/>
      <c r="I42" s="350"/>
      <c r="J42" s="350"/>
      <c r="K42" s="350"/>
    </row>
    <row r="43" spans="3:11" s="144" customFormat="1" ht="15" customHeight="1">
      <c r="C43" s="350"/>
      <c r="D43" s="350"/>
      <c r="E43" s="350"/>
      <c r="F43" s="350"/>
      <c r="G43" s="350"/>
      <c r="H43" s="350"/>
      <c r="I43" s="350"/>
      <c r="J43" s="350"/>
      <c r="K43" s="350"/>
    </row>
    <row r="44" spans="3:11" s="144" customFormat="1" ht="15" customHeight="1">
      <c r="C44" s="350"/>
      <c r="D44" s="350"/>
      <c r="E44" s="350"/>
      <c r="F44" s="350"/>
      <c r="G44" s="350"/>
      <c r="H44" s="350"/>
      <c r="I44" s="350"/>
      <c r="J44" s="350"/>
      <c r="K44" s="350"/>
    </row>
    <row r="45" spans="3:11" s="144" customFormat="1" ht="15" customHeight="1">
      <c r="C45" s="350"/>
      <c r="D45" s="350"/>
      <c r="E45" s="350"/>
      <c r="F45" s="350"/>
      <c r="G45" s="350"/>
      <c r="H45" s="350"/>
      <c r="I45" s="350"/>
      <c r="J45" s="350"/>
      <c r="K45" s="350"/>
    </row>
    <row r="46" spans="3:11" s="5" customFormat="1" ht="15" customHeight="1">
      <c r="C46" s="229"/>
      <c r="D46" s="229"/>
      <c r="E46" s="229"/>
      <c r="F46" s="229"/>
      <c r="G46" s="229"/>
      <c r="H46" s="229"/>
      <c r="I46" s="229"/>
      <c r="J46" s="229"/>
      <c r="K46" s="229"/>
    </row>
    <row r="47" spans="3:11" s="5" customFormat="1" ht="15" customHeight="1"/>
    <row r="48" spans="3:11" s="5" customFormat="1" ht="15" customHeight="1"/>
    <row r="49" spans="1:14" s="5" customFormat="1" ht="15" customHeight="1"/>
    <row r="50" spans="1:14" s="144" customFormat="1" ht="7.5" customHeight="1">
      <c r="K50" s="353"/>
    </row>
    <row r="51" spans="1:14" s="144" customFormat="1" ht="6" customHeight="1">
      <c r="K51" s="353"/>
    </row>
    <row r="52" spans="1:14" s="144" customFormat="1" ht="3" customHeight="1"/>
    <row r="53" spans="1:14" s="144" customFormat="1" ht="21.95" customHeight="1">
      <c r="A53" s="144" t="s">
        <v>1513</v>
      </c>
    </row>
    <row r="54" spans="1:14" ht="21.95" customHeight="1"/>
    <row r="55" spans="1:14" s="5" customFormat="1" ht="21.95" customHeight="1">
      <c r="A55" s="229"/>
      <c r="B55" s="354" t="s">
        <v>1514</v>
      </c>
      <c r="C55" s="229"/>
      <c r="D55" s="229"/>
      <c r="E55" s="229"/>
      <c r="F55" s="229"/>
      <c r="G55" s="229"/>
      <c r="H55" s="354" t="s">
        <v>909</v>
      </c>
      <c r="I55" s="229"/>
      <c r="J55" s="229"/>
      <c r="K55" s="229"/>
      <c r="L55" s="229"/>
    </row>
    <row r="56" spans="1:14" ht="21.95" customHeight="1">
      <c r="A56" s="30"/>
      <c r="B56" s="30"/>
      <c r="C56" s="30"/>
      <c r="D56" s="30"/>
      <c r="E56" s="30"/>
      <c r="F56" s="30"/>
      <c r="G56" s="30"/>
      <c r="H56" s="30"/>
      <c r="I56" s="30"/>
      <c r="J56" s="30"/>
      <c r="K56" s="30"/>
      <c r="L56" s="30"/>
    </row>
    <row r="57" spans="1:14" s="27" customFormat="1" ht="21.95" customHeight="1">
      <c r="A57" s="1720" t="s">
        <v>587</v>
      </c>
      <c r="B57" s="1720"/>
      <c r="C57" s="1720"/>
      <c r="D57" s="1720"/>
      <c r="E57" s="1720"/>
      <c r="F57" s="1720"/>
      <c r="G57" s="1720"/>
      <c r="H57" s="1720" t="s">
        <v>588</v>
      </c>
      <c r="I57" s="1720"/>
      <c r="J57" s="1720"/>
      <c r="K57" s="1720"/>
      <c r="L57" s="1720"/>
      <c r="M57" s="1720"/>
      <c r="N57" s="355"/>
    </row>
    <row r="58" spans="1:14" s="27" customFormat="1" ht="21.95" customHeight="1">
      <c r="A58" s="2240" t="s">
        <v>1360</v>
      </c>
      <c r="B58" s="2240"/>
      <c r="C58" s="2240"/>
      <c r="D58" s="2240"/>
      <c r="E58" s="2240"/>
      <c r="F58" s="2240"/>
      <c r="G58" s="2240"/>
      <c r="H58" s="2240" t="s">
        <v>589</v>
      </c>
      <c r="I58" s="2240"/>
      <c r="J58" s="2240"/>
      <c r="K58" s="2240"/>
      <c r="L58" s="2240"/>
      <c r="M58" s="2240"/>
    </row>
    <row r="59" spans="1:14" s="5" customFormat="1" ht="21.95" customHeight="1">
      <c r="A59" s="1979"/>
      <c r="B59" s="1979"/>
      <c r="C59" s="1979"/>
      <c r="D59" s="1979"/>
      <c r="E59" s="1979"/>
      <c r="F59" s="1979"/>
      <c r="G59" s="1979"/>
      <c r="H59" s="1979"/>
      <c r="I59" s="1979"/>
      <c r="J59" s="1979"/>
      <c r="K59" s="1979"/>
      <c r="L59" s="1979"/>
      <c r="M59" s="1979"/>
    </row>
    <row r="60" spans="1:14" s="5" customFormat="1" ht="6.75" customHeight="1">
      <c r="A60" s="1979"/>
      <c r="B60" s="1979"/>
      <c r="C60" s="1979"/>
      <c r="D60" s="1979"/>
      <c r="E60" s="1979"/>
      <c r="F60" s="1979"/>
      <c r="G60" s="1979"/>
      <c r="H60" s="1979"/>
      <c r="I60" s="1979"/>
      <c r="J60" s="1979"/>
      <c r="K60" s="1979"/>
      <c r="L60" s="1979"/>
      <c r="M60" s="1979"/>
    </row>
    <row r="61" spans="1:14" s="27" customFormat="1" ht="21.95" customHeight="1">
      <c r="A61" s="2240" t="s">
        <v>590</v>
      </c>
      <c r="B61" s="2240"/>
      <c r="C61" s="2240"/>
      <c r="D61" s="2240"/>
      <c r="E61" s="2240"/>
      <c r="F61" s="2240"/>
      <c r="G61" s="2240"/>
      <c r="H61" s="2240" t="s">
        <v>590</v>
      </c>
      <c r="I61" s="2240"/>
      <c r="J61" s="2240"/>
      <c r="K61" s="2240"/>
      <c r="L61" s="2240"/>
      <c r="M61" s="2240"/>
    </row>
    <row r="62" spans="1:14" ht="39" customHeight="1">
      <c r="A62" s="2243"/>
      <c r="B62" s="2243"/>
      <c r="C62" s="2243"/>
      <c r="D62" s="2243"/>
      <c r="E62" s="2243"/>
      <c r="F62" s="2243"/>
      <c r="G62" s="2243"/>
      <c r="H62" s="2243"/>
      <c r="I62" s="2243"/>
      <c r="J62" s="2243"/>
      <c r="K62" s="2243"/>
      <c r="L62" s="2243"/>
      <c r="M62" s="2243"/>
    </row>
    <row r="63" spans="1:14" ht="15" customHeight="1">
      <c r="A63" s="29" t="s">
        <v>910</v>
      </c>
    </row>
    <row r="64" spans="1:14" ht="15" customHeight="1" thickBot="1"/>
    <row r="65" spans="1:13" s="134" customFormat="1" ht="15" customHeight="1">
      <c r="A65" s="2244" t="s">
        <v>905</v>
      </c>
      <c r="B65" s="2245"/>
      <c r="C65" s="2245" t="s">
        <v>911</v>
      </c>
      <c r="D65" s="2245"/>
      <c r="E65" s="2245" t="s">
        <v>912</v>
      </c>
      <c r="F65" s="2241" t="s">
        <v>913</v>
      </c>
      <c r="G65" s="2244" t="s">
        <v>435</v>
      </c>
      <c r="H65" s="2245"/>
      <c r="I65" s="2245"/>
      <c r="J65" s="2245"/>
      <c r="K65" s="2245"/>
      <c r="L65" s="2245"/>
      <c r="M65" s="2241"/>
    </row>
    <row r="66" spans="1:13" s="134" customFormat="1" ht="15" customHeight="1" thickBot="1">
      <c r="A66" s="2246"/>
      <c r="B66" s="2247"/>
      <c r="C66" s="2247"/>
      <c r="D66" s="2247"/>
      <c r="E66" s="2247"/>
      <c r="F66" s="2242"/>
      <c r="G66" s="356" t="s">
        <v>436</v>
      </c>
      <c r="H66" s="357" t="s">
        <v>437</v>
      </c>
      <c r="I66" s="357" t="s">
        <v>438</v>
      </c>
      <c r="J66" s="357" t="s">
        <v>439</v>
      </c>
      <c r="K66" s="357" t="s">
        <v>440</v>
      </c>
      <c r="L66" s="357" t="s">
        <v>441</v>
      </c>
      <c r="M66" s="358" t="s">
        <v>442</v>
      </c>
    </row>
    <row r="67" spans="1:13" s="134" customFormat="1" ht="15" customHeight="1">
      <c r="A67" s="2248" t="s">
        <v>443</v>
      </c>
      <c r="B67" s="2249"/>
      <c r="C67" s="2249" t="s">
        <v>444</v>
      </c>
      <c r="D67" s="2249"/>
      <c r="E67" s="360">
        <v>10</v>
      </c>
      <c r="F67" s="361">
        <v>2.5</v>
      </c>
      <c r="G67" s="359">
        <v>5</v>
      </c>
      <c r="H67" s="360">
        <v>5</v>
      </c>
      <c r="I67" s="360">
        <v>5</v>
      </c>
      <c r="J67" s="360">
        <v>7</v>
      </c>
      <c r="K67" s="360">
        <v>11</v>
      </c>
      <c r="L67" s="360">
        <v>14</v>
      </c>
      <c r="M67" s="361">
        <v>18</v>
      </c>
    </row>
    <row r="68" spans="1:13" s="134" customFormat="1" ht="15" customHeight="1">
      <c r="A68" s="2250"/>
      <c r="B68" s="1968"/>
      <c r="C68" s="1968" t="s">
        <v>445</v>
      </c>
      <c r="D68" s="1968"/>
      <c r="E68" s="235">
        <v>50</v>
      </c>
      <c r="F68" s="363">
        <v>10</v>
      </c>
      <c r="G68" s="362">
        <v>4</v>
      </c>
      <c r="H68" s="235">
        <v>4</v>
      </c>
      <c r="I68" s="235">
        <v>4</v>
      </c>
      <c r="J68" s="235">
        <v>6</v>
      </c>
      <c r="K68" s="235">
        <v>8</v>
      </c>
      <c r="L68" s="235">
        <v>11</v>
      </c>
      <c r="M68" s="363">
        <v>14</v>
      </c>
    </row>
    <row r="69" spans="1:13" s="134" customFormat="1" ht="15" customHeight="1">
      <c r="A69" s="2250"/>
      <c r="B69" s="1968"/>
      <c r="C69" s="1968" t="s">
        <v>446</v>
      </c>
      <c r="D69" s="1968"/>
      <c r="E69" s="235">
        <v>100</v>
      </c>
      <c r="F69" s="363">
        <v>15</v>
      </c>
      <c r="G69" s="362">
        <v>3</v>
      </c>
      <c r="H69" s="235">
        <v>3</v>
      </c>
      <c r="I69" s="235">
        <v>3</v>
      </c>
      <c r="J69" s="235">
        <v>4</v>
      </c>
      <c r="K69" s="235">
        <v>6</v>
      </c>
      <c r="L69" s="235">
        <v>8</v>
      </c>
      <c r="M69" s="363">
        <v>10</v>
      </c>
    </row>
    <row r="70" spans="1:13" s="134" customFormat="1" ht="15" customHeight="1">
      <c r="A70" s="2250"/>
      <c r="B70" s="1968"/>
      <c r="C70" s="1968" t="s">
        <v>447</v>
      </c>
      <c r="D70" s="1968"/>
      <c r="E70" s="235">
        <v>200</v>
      </c>
      <c r="F70" s="363">
        <v>15</v>
      </c>
      <c r="G70" s="362">
        <v>1.5</v>
      </c>
      <c r="H70" s="235">
        <v>1.5</v>
      </c>
      <c r="I70" s="235">
        <v>1.5</v>
      </c>
      <c r="J70" s="235">
        <v>2</v>
      </c>
      <c r="K70" s="235">
        <v>3</v>
      </c>
      <c r="L70" s="235">
        <v>4</v>
      </c>
      <c r="M70" s="363">
        <v>5</v>
      </c>
    </row>
    <row r="71" spans="1:13" s="134" customFormat="1" ht="15" customHeight="1">
      <c r="A71" s="2250"/>
      <c r="B71" s="1968"/>
      <c r="C71" s="1968" t="s">
        <v>275</v>
      </c>
      <c r="D71" s="1968"/>
      <c r="E71" s="235"/>
      <c r="F71" s="363"/>
      <c r="G71" s="364">
        <v>5.8000000000000003E-2</v>
      </c>
      <c r="H71" s="365">
        <v>5.8000000000000003E-2</v>
      </c>
      <c r="I71" s="365">
        <v>5.2999999999999999E-2</v>
      </c>
      <c r="J71" s="365">
        <v>0.04</v>
      </c>
      <c r="K71" s="365">
        <v>2.6700000000000002E-2</v>
      </c>
      <c r="L71" s="365">
        <v>0.02</v>
      </c>
      <c r="M71" s="366">
        <v>1.6E-2</v>
      </c>
    </row>
    <row r="72" spans="1:13" s="134" customFormat="1" ht="15" customHeight="1">
      <c r="A72" s="2250" t="s">
        <v>448</v>
      </c>
      <c r="B72" s="1968"/>
      <c r="C72" s="1968" t="s">
        <v>444</v>
      </c>
      <c r="D72" s="1968"/>
      <c r="E72" s="235">
        <v>10</v>
      </c>
      <c r="F72" s="363">
        <v>2.5</v>
      </c>
      <c r="G72" s="362">
        <v>5</v>
      </c>
      <c r="H72" s="235">
        <v>5</v>
      </c>
      <c r="I72" s="235">
        <v>7</v>
      </c>
      <c r="J72" s="235">
        <v>10</v>
      </c>
      <c r="K72" s="235">
        <v>14</v>
      </c>
      <c r="L72" s="235">
        <v>19</v>
      </c>
      <c r="M72" s="363">
        <v>24</v>
      </c>
    </row>
    <row r="73" spans="1:13" s="134" customFormat="1" ht="15" customHeight="1">
      <c r="A73" s="2250"/>
      <c r="B73" s="1968"/>
      <c r="C73" s="1968" t="s">
        <v>445</v>
      </c>
      <c r="D73" s="1968"/>
      <c r="E73" s="235">
        <v>50</v>
      </c>
      <c r="F73" s="363">
        <v>10</v>
      </c>
      <c r="G73" s="362">
        <v>4</v>
      </c>
      <c r="H73" s="235">
        <v>4</v>
      </c>
      <c r="I73" s="235">
        <v>6</v>
      </c>
      <c r="J73" s="235">
        <v>7</v>
      </c>
      <c r="K73" s="235">
        <v>11</v>
      </c>
      <c r="L73" s="235">
        <v>15</v>
      </c>
      <c r="M73" s="363">
        <v>19</v>
      </c>
    </row>
    <row r="74" spans="1:13" s="134" customFormat="1" ht="15" customHeight="1">
      <c r="A74" s="2250"/>
      <c r="B74" s="1968"/>
      <c r="C74" s="1968" t="s">
        <v>446</v>
      </c>
      <c r="D74" s="1968"/>
      <c r="E74" s="235">
        <v>100</v>
      </c>
      <c r="F74" s="363">
        <v>15</v>
      </c>
      <c r="G74" s="362">
        <v>3</v>
      </c>
      <c r="H74" s="235">
        <v>3</v>
      </c>
      <c r="I74" s="235">
        <v>4</v>
      </c>
      <c r="J74" s="235">
        <v>5</v>
      </c>
      <c r="K74" s="235">
        <v>8</v>
      </c>
      <c r="L74" s="235">
        <v>11</v>
      </c>
      <c r="M74" s="363">
        <v>14</v>
      </c>
    </row>
    <row r="75" spans="1:13" s="134" customFormat="1" ht="15" customHeight="1">
      <c r="A75" s="2250"/>
      <c r="B75" s="1968"/>
      <c r="C75" s="1968" t="s">
        <v>447</v>
      </c>
      <c r="D75" s="1968"/>
      <c r="E75" s="235">
        <v>200</v>
      </c>
      <c r="F75" s="363">
        <v>15</v>
      </c>
      <c r="G75" s="362">
        <v>1.5</v>
      </c>
      <c r="H75" s="235">
        <v>1.5</v>
      </c>
      <c r="I75" s="235">
        <v>2</v>
      </c>
      <c r="J75" s="235">
        <v>2.5</v>
      </c>
      <c r="K75" s="235">
        <v>4</v>
      </c>
      <c r="L75" s="235">
        <v>5</v>
      </c>
      <c r="M75" s="363">
        <v>7</v>
      </c>
    </row>
    <row r="76" spans="1:13" s="134" customFormat="1" ht="15" customHeight="1" thickBot="1">
      <c r="A76" s="2246"/>
      <c r="B76" s="2247"/>
      <c r="C76" s="2247" t="s">
        <v>275</v>
      </c>
      <c r="D76" s="2247"/>
      <c r="E76" s="357"/>
      <c r="F76" s="358"/>
      <c r="G76" s="367">
        <v>5.8000000000000003E-2</v>
      </c>
      <c r="H76" s="368">
        <v>5.8000000000000003E-2</v>
      </c>
      <c r="I76" s="368">
        <v>0.04</v>
      </c>
      <c r="J76" s="368">
        <v>0.03</v>
      </c>
      <c r="K76" s="368">
        <v>0.02</v>
      </c>
      <c r="L76" s="368">
        <v>1.4999999999999999E-2</v>
      </c>
      <c r="M76" s="369">
        <v>1.2E-2</v>
      </c>
    </row>
    <row r="77" spans="1:13" s="5" customFormat="1" ht="15" customHeight="1">
      <c r="B77" s="5" t="s">
        <v>645</v>
      </c>
      <c r="H77" s="5" t="s">
        <v>646</v>
      </c>
    </row>
    <row r="78" spans="1:13" s="5" customFormat="1" ht="15" customHeight="1"/>
    <row r="79" spans="1:13" ht="15" customHeight="1">
      <c r="A79" s="2251" t="s">
        <v>647</v>
      </c>
      <c r="B79" s="2251"/>
      <c r="C79" s="2251"/>
      <c r="D79" s="2251"/>
      <c r="E79" s="2251"/>
      <c r="F79" s="2251"/>
      <c r="G79" s="2251"/>
      <c r="H79" s="2251"/>
      <c r="I79" s="2251"/>
      <c r="J79" s="2251"/>
      <c r="K79" s="2251"/>
      <c r="L79" s="2251"/>
      <c r="M79" s="2251"/>
    </row>
    <row r="80" spans="1:13" ht="17.100000000000001" customHeight="1"/>
    <row r="81" ht="17.100000000000001" customHeight="1"/>
  </sheetData>
  <mergeCells count="67">
    <mergeCell ref="A79:M79"/>
    <mergeCell ref="A72:B76"/>
    <mergeCell ref="C72:D72"/>
    <mergeCell ref="C73:D73"/>
    <mergeCell ref="C74:D74"/>
    <mergeCell ref="C75:D75"/>
    <mergeCell ref="C76:D76"/>
    <mergeCell ref="A67:B71"/>
    <mergeCell ref="C67:D67"/>
    <mergeCell ref="C68:D68"/>
    <mergeCell ref="C69:D69"/>
    <mergeCell ref="C70:D70"/>
    <mergeCell ref="C71:D71"/>
    <mergeCell ref="A60:G60"/>
    <mergeCell ref="H60:M60"/>
    <mergeCell ref="F65:F66"/>
    <mergeCell ref="A61:G61"/>
    <mergeCell ref="H61:M61"/>
    <mergeCell ref="A62:G62"/>
    <mergeCell ref="H62:M62"/>
    <mergeCell ref="G65:M65"/>
    <mergeCell ref="A65:B66"/>
    <mergeCell ref="C65:D66"/>
    <mergeCell ref="E65:E66"/>
    <mergeCell ref="A57:G57"/>
    <mergeCell ref="H57:M57"/>
    <mergeCell ref="A58:G58"/>
    <mergeCell ref="H58:M58"/>
    <mergeCell ref="A59:G59"/>
    <mergeCell ref="H59:M59"/>
    <mergeCell ref="A17:B17"/>
    <mergeCell ref="C17:E17"/>
    <mergeCell ref="F17:G17"/>
    <mergeCell ref="H17:M17"/>
    <mergeCell ref="A19:M19"/>
    <mergeCell ref="A15:B15"/>
    <mergeCell ref="C15:E15"/>
    <mergeCell ref="F15:G15"/>
    <mergeCell ref="H15:M15"/>
    <mergeCell ref="A16:B16"/>
    <mergeCell ref="C16:E16"/>
    <mergeCell ref="F16:G16"/>
    <mergeCell ref="H16:M16"/>
    <mergeCell ref="A13:B13"/>
    <mergeCell ref="C13:E13"/>
    <mergeCell ref="F13:G13"/>
    <mergeCell ref="H13:M13"/>
    <mergeCell ref="A14:B14"/>
    <mergeCell ref="C14:E14"/>
    <mergeCell ref="F14:G14"/>
    <mergeCell ref="H14:M14"/>
    <mergeCell ref="A11:B11"/>
    <mergeCell ref="C11:E11"/>
    <mergeCell ref="F11:G11"/>
    <mergeCell ref="H11:M11"/>
    <mergeCell ref="A12:B12"/>
    <mergeCell ref="C12:E12"/>
    <mergeCell ref="F12:G12"/>
    <mergeCell ref="H12:M12"/>
    <mergeCell ref="B1:K3"/>
    <mergeCell ref="L1:M2"/>
    <mergeCell ref="E6:F6"/>
    <mergeCell ref="H6:I6"/>
    <mergeCell ref="D7:F7"/>
    <mergeCell ref="H7:I7"/>
    <mergeCell ref="K7:M7"/>
    <mergeCell ref="B4:D4"/>
  </mergeCells>
  <phoneticPr fontId="12" type="noConversion"/>
  <printOptions horizontalCentered="1" verticalCentered="1"/>
  <pageMargins left="0" right="0" top="0" bottom="0.39370078740157483" header="0" footer="0"/>
  <pageSetup paperSize="9" scale="60" orientation="portrait" blackAndWhite="1" r:id="rId1"/>
  <headerFooter alignWithMargins="0">
    <oddFooter>&amp;LEdité le &amp;D&amp;C&amp;P/&amp;N</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Feuil33">
    <tabColor indexed="42"/>
    <pageSetUpPr fitToPage="1"/>
  </sheetPr>
  <dimension ref="A1:L378"/>
  <sheetViews>
    <sheetView showGridLines="0" view="pageBreakPreview" zoomScaleNormal="100" zoomScaleSheetLayoutView="100" workbookViewId="0">
      <selection activeCell="F13" sqref="F13"/>
    </sheetView>
  </sheetViews>
  <sheetFormatPr baseColWidth="10" defaultColWidth="11.42578125" defaultRowHeight="12.75"/>
  <cols>
    <col min="1" max="1" width="8.140625" style="9" customWidth="1"/>
    <col min="2" max="2" width="12.42578125" style="9" customWidth="1"/>
    <col min="3" max="3" width="9.5703125" style="9" customWidth="1"/>
    <col min="4" max="4" width="14.85546875" style="9" customWidth="1"/>
    <col min="5" max="5" width="12.7109375" style="9" customWidth="1"/>
    <col min="6" max="6" width="14.5703125" style="9" customWidth="1"/>
    <col min="7" max="7" width="16.28515625" style="9" customWidth="1"/>
    <col min="8" max="9" width="12.7109375" style="9" customWidth="1"/>
    <col min="10" max="10" width="23.28515625" style="9" customWidth="1"/>
    <col min="11" max="16384" width="11.42578125" style="9"/>
  </cols>
  <sheetData>
    <row r="1" spans="1:12" ht="18.75" customHeight="1">
      <c r="A1" s="1576" t="s">
        <v>1516</v>
      </c>
      <c r="B1" s="1576"/>
      <c r="C1" s="1576"/>
      <c r="D1" s="1576"/>
      <c r="E1" s="1576"/>
      <c r="F1" s="1576"/>
      <c r="G1" s="1576"/>
      <c r="H1" s="1576"/>
      <c r="I1" s="1576"/>
      <c r="J1" s="2233" t="s">
        <v>156</v>
      </c>
      <c r="K1" s="21"/>
      <c r="L1" s="23"/>
    </row>
    <row r="2" spans="1:12" ht="12.75" customHeight="1">
      <c r="A2" s="1576"/>
      <c r="B2" s="1576"/>
      <c r="C2" s="1576"/>
      <c r="D2" s="1576"/>
      <c r="E2" s="1576"/>
      <c r="F2" s="1576"/>
      <c r="G2" s="1576"/>
      <c r="H2" s="1576"/>
      <c r="I2" s="1576"/>
      <c r="J2" s="2233"/>
      <c r="K2" s="23"/>
      <c r="L2" s="23"/>
    </row>
    <row r="3" spans="1:12" ht="36" customHeight="1">
      <c r="A3" s="145"/>
      <c r="B3" s="145"/>
      <c r="C3" s="145"/>
      <c r="D3" s="145"/>
      <c r="E3" s="145"/>
      <c r="F3" s="145"/>
      <c r="G3" s="145"/>
      <c r="H3" s="145"/>
      <c r="I3" s="145"/>
      <c r="J3" s="23"/>
      <c r="K3" s="23"/>
      <c r="L3" s="23"/>
    </row>
    <row r="4" spans="1:12" ht="15" customHeight="1">
      <c r="A4" s="370"/>
      <c r="B4" s="2"/>
      <c r="C4" s="2"/>
      <c r="D4" s="2"/>
      <c r="E4" s="2"/>
      <c r="F4" s="2"/>
      <c r="G4" s="2"/>
      <c r="H4" s="2"/>
      <c r="I4" s="23"/>
      <c r="J4" s="23"/>
      <c r="K4" s="21"/>
      <c r="L4" s="23"/>
    </row>
    <row r="5" spans="1:12" ht="17.100000000000001" customHeight="1">
      <c r="A5" s="21"/>
      <c r="B5" s="2"/>
      <c r="C5" s="371"/>
      <c r="D5" s="371"/>
      <c r="E5" s="371"/>
      <c r="F5" s="371"/>
      <c r="G5" s="371"/>
      <c r="H5" s="371"/>
      <c r="I5" s="24"/>
      <c r="J5" s="24"/>
      <c r="K5" s="21"/>
      <c r="L5" s="23"/>
    </row>
    <row r="6" spans="1:12" s="144" customFormat="1" ht="17.100000000000001" customHeight="1">
      <c r="A6" s="29" t="s">
        <v>154</v>
      </c>
      <c r="B6" s="5"/>
      <c r="C6" s="721" t="str">
        <f>IF(ISBLANK(oMOE),"",oMOE)</f>
        <v/>
      </c>
      <c r="D6" s="701"/>
      <c r="E6" s="377"/>
      <c r="F6" s="377"/>
      <c r="G6" s="14" t="s">
        <v>798</v>
      </c>
      <c r="H6" s="720" t="str">
        <f>IF(ISBLANK(oeOTP),"",oeOTP)</f>
        <v/>
      </c>
      <c r="I6" s="726"/>
      <c r="J6" s="377"/>
      <c r="K6" s="12"/>
      <c r="L6" s="5"/>
    </row>
    <row r="7" spans="1:12" s="144" customFormat="1" ht="17.100000000000001" customHeight="1">
      <c r="A7" s="5"/>
      <c r="B7" s="229"/>
      <c r="C7" s="229"/>
      <c r="D7" s="229"/>
      <c r="E7" s="683"/>
      <c r="F7" s="683"/>
      <c r="G7" s="127"/>
      <c r="H7" s="683"/>
      <c r="I7" s="127"/>
      <c r="J7" s="127"/>
      <c r="K7" s="12"/>
      <c r="L7" s="5"/>
    </row>
    <row r="8" spans="1:12" s="5" customFormat="1" ht="17.100000000000001" customHeight="1">
      <c r="A8" s="29" t="s">
        <v>157</v>
      </c>
      <c r="B8" s="127"/>
      <c r="C8" s="720" t="str">
        <f>IF(ISBLANK(oVille),"",oVille)</f>
        <v/>
      </c>
      <c r="D8" s="720"/>
      <c r="E8" s="229"/>
      <c r="F8" s="229"/>
      <c r="G8" s="229"/>
      <c r="H8" s="374"/>
      <c r="I8" s="229"/>
      <c r="J8" s="229"/>
    </row>
    <row r="9" spans="1:12" s="144" customFormat="1" ht="17.100000000000001" customHeight="1">
      <c r="A9" s="5"/>
      <c r="B9" s="229"/>
      <c r="C9" s="229"/>
      <c r="D9" s="229"/>
      <c r="E9" s="229"/>
      <c r="F9" s="229"/>
      <c r="G9" s="229"/>
      <c r="H9" s="5"/>
      <c r="I9" s="229"/>
      <c r="J9" s="229"/>
      <c r="K9" s="12"/>
      <c r="L9" s="5"/>
    </row>
    <row r="10" spans="1:12" s="144" customFormat="1" ht="17.100000000000001" customHeight="1">
      <c r="A10" s="5"/>
      <c r="B10" s="229"/>
      <c r="C10" s="229"/>
      <c r="D10" s="127"/>
      <c r="E10" s="229"/>
      <c r="F10" s="229"/>
      <c r="G10" s="229"/>
      <c r="H10" s="5"/>
      <c r="I10" s="229"/>
      <c r="J10" s="229"/>
      <c r="K10" s="5"/>
      <c r="L10" s="5"/>
    </row>
    <row r="11" spans="1:12" s="144" customFormat="1" ht="17.100000000000001" customHeight="1">
      <c r="A11" s="144" t="s">
        <v>158</v>
      </c>
      <c r="D11" s="350"/>
      <c r="E11" s="350"/>
      <c r="F11" s="350"/>
      <c r="G11" s="375"/>
      <c r="H11" s="350"/>
      <c r="I11" s="350"/>
      <c r="J11" s="350"/>
      <c r="K11" s="138"/>
    </row>
    <row r="12" spans="1:12" s="144" customFormat="1" ht="17.100000000000001" customHeight="1">
      <c r="A12" s="350"/>
      <c r="B12" s="350"/>
      <c r="C12" s="350"/>
      <c r="D12" s="373"/>
      <c r="E12" s="350"/>
      <c r="F12" s="350"/>
      <c r="G12" s="350"/>
      <c r="H12" s="350"/>
      <c r="I12" s="350"/>
      <c r="J12" s="350"/>
    </row>
    <row r="13" spans="1:12" s="144" customFormat="1" ht="17.100000000000001" customHeight="1">
      <c r="A13" s="144" t="s">
        <v>159</v>
      </c>
      <c r="D13" s="350"/>
      <c r="E13" s="350"/>
      <c r="F13" s="350"/>
      <c r="G13" s="375"/>
      <c r="H13" s="350"/>
      <c r="I13" s="2252"/>
      <c r="J13" s="2252"/>
      <c r="K13" s="138"/>
    </row>
    <row r="14" spans="1:12" s="144" customFormat="1" ht="17.100000000000001" customHeight="1">
      <c r="D14" s="373"/>
      <c r="E14" s="350"/>
      <c r="F14" s="350"/>
      <c r="G14" s="350"/>
      <c r="H14" s="350"/>
      <c r="I14" s="350"/>
      <c r="J14" s="350"/>
    </row>
    <row r="15" spans="1:12" s="144" customFormat="1" ht="17.100000000000001" customHeight="1">
      <c r="A15" s="144" t="s">
        <v>160</v>
      </c>
      <c r="D15" s="350"/>
      <c r="E15" s="350"/>
      <c r="F15" s="350"/>
      <c r="G15" s="351"/>
      <c r="H15" s="350"/>
      <c r="I15" s="2252"/>
      <c r="J15" s="2252"/>
      <c r="K15" s="138"/>
    </row>
    <row r="16" spans="1:12" s="144" customFormat="1" ht="17.100000000000001" customHeight="1">
      <c r="A16" s="350"/>
      <c r="B16" s="350"/>
      <c r="C16" s="350"/>
      <c r="D16" s="373"/>
      <c r="E16" s="350"/>
      <c r="F16" s="350"/>
      <c r="G16" s="350"/>
      <c r="H16" s="350"/>
      <c r="I16" s="350"/>
      <c r="J16" s="350"/>
    </row>
    <row r="17" spans="1:12" ht="17.100000000000001" customHeight="1">
      <c r="A17" s="144" t="s">
        <v>161</v>
      </c>
      <c r="B17" s="2"/>
      <c r="C17" s="2"/>
      <c r="D17" s="2"/>
      <c r="E17" s="2"/>
      <c r="F17" s="2"/>
      <c r="G17" s="2"/>
      <c r="H17" s="371"/>
      <c r="I17" s="24"/>
      <c r="J17" s="24"/>
      <c r="K17" s="21"/>
      <c r="L17" s="23"/>
    </row>
    <row r="18" spans="1:12" ht="17.100000000000001" customHeight="1">
      <c r="A18" s="21"/>
      <c r="B18" s="2"/>
      <c r="C18" s="2"/>
      <c r="D18" s="2"/>
      <c r="E18" s="2"/>
      <c r="F18" s="2"/>
      <c r="G18" s="2"/>
      <c r="H18" s="2"/>
      <c r="I18" s="23"/>
      <c r="J18" s="23"/>
      <c r="K18" s="21"/>
      <c r="L18" s="23"/>
    </row>
    <row r="19" spans="1:12" s="144" customFormat="1" ht="17.100000000000001" customHeight="1">
      <c r="A19" s="144" t="s">
        <v>162</v>
      </c>
      <c r="D19" s="19"/>
      <c r="E19" s="19"/>
      <c r="F19" s="19"/>
      <c r="G19" s="19"/>
      <c r="H19" s="350"/>
      <c r="I19" s="138"/>
      <c r="J19" s="138"/>
      <c r="K19" s="138"/>
    </row>
    <row r="20" spans="1:12" s="144" customFormat="1" ht="17.100000000000001" customHeight="1">
      <c r="D20" s="19"/>
      <c r="E20" s="19"/>
      <c r="F20" s="376"/>
      <c r="G20" s="376"/>
      <c r="H20" s="372"/>
      <c r="I20" s="138"/>
      <c r="J20" s="138"/>
      <c r="K20" s="138"/>
    </row>
    <row r="21" spans="1:12" s="144" customFormat="1" ht="17.100000000000001" customHeight="1">
      <c r="D21" s="19"/>
      <c r="E21" s="19"/>
      <c r="F21" s="376"/>
      <c r="G21" s="376"/>
      <c r="H21" s="372"/>
      <c r="I21" s="138"/>
      <c r="J21" s="138"/>
      <c r="K21" s="138"/>
    </row>
    <row r="22" spans="1:12" ht="17.100000000000001" customHeight="1">
      <c r="A22" s="21"/>
      <c r="B22" s="2"/>
      <c r="C22" s="2"/>
      <c r="D22" s="2"/>
      <c r="E22" s="2"/>
      <c r="F22" s="371"/>
      <c r="G22" s="371"/>
      <c r="H22" s="371"/>
      <c r="I22" s="23"/>
      <c r="J22" s="23"/>
      <c r="K22" s="21"/>
      <c r="L22" s="23"/>
    </row>
    <row r="23" spans="1:12" s="144" customFormat="1" ht="17.100000000000001" customHeight="1">
      <c r="A23" s="378" t="s">
        <v>163</v>
      </c>
      <c r="D23" s="19"/>
      <c r="E23" s="377"/>
      <c r="F23" s="377"/>
      <c r="G23" s="377"/>
      <c r="H23" s="350"/>
      <c r="I23" s="138"/>
      <c r="J23" s="138"/>
      <c r="K23" s="138"/>
    </row>
    <row r="24" spans="1:12" ht="17.100000000000001" customHeight="1">
      <c r="A24" s="21"/>
      <c r="B24" s="2"/>
      <c r="C24" s="2"/>
      <c r="D24" s="2"/>
      <c r="E24" s="371"/>
      <c r="F24" s="371"/>
      <c r="G24" s="371"/>
      <c r="H24" s="371"/>
      <c r="I24" s="23"/>
      <c r="J24" s="23"/>
      <c r="K24" s="21"/>
      <c r="L24" s="23"/>
    </row>
    <row r="25" spans="1:12" s="144" customFormat="1" ht="17.100000000000001" customHeight="1">
      <c r="A25" s="144" t="s">
        <v>904</v>
      </c>
      <c r="D25" s="19"/>
      <c r="E25" s="19"/>
      <c r="F25" s="19" t="s">
        <v>907</v>
      </c>
      <c r="G25" s="377"/>
      <c r="H25" s="350"/>
      <c r="I25" s="373"/>
      <c r="J25" s="373"/>
      <c r="K25" s="138"/>
    </row>
    <row r="26" spans="1:12" ht="17.100000000000001" customHeight="1">
      <c r="A26" s="116"/>
      <c r="B26" s="371"/>
      <c r="C26" s="371"/>
      <c r="D26" s="371"/>
      <c r="E26" s="371"/>
      <c r="F26" s="371"/>
      <c r="G26" s="371"/>
      <c r="H26" s="371"/>
      <c r="I26" s="24"/>
      <c r="J26" s="24"/>
      <c r="K26" s="21"/>
      <c r="L26" s="23"/>
    </row>
    <row r="27" spans="1:12" s="144" customFormat="1" ht="17.100000000000001" customHeight="1">
      <c r="A27" s="144" t="s">
        <v>164</v>
      </c>
      <c r="C27" s="350"/>
      <c r="D27" s="377"/>
      <c r="E27" s="377"/>
      <c r="F27" s="377"/>
      <c r="G27" s="377"/>
      <c r="H27" s="350"/>
      <c r="I27" s="373"/>
      <c r="J27" s="373"/>
      <c r="K27" s="138"/>
    </row>
    <row r="28" spans="1:12" s="144" customFormat="1" ht="17.100000000000001" customHeight="1">
      <c r="C28" s="350"/>
      <c r="D28" s="377"/>
      <c r="E28" s="377"/>
      <c r="F28" s="377"/>
      <c r="G28" s="377"/>
      <c r="H28" s="350"/>
      <c r="I28" s="373"/>
      <c r="J28" s="373"/>
      <c r="K28" s="138"/>
    </row>
    <row r="29" spans="1:12" s="144" customFormat="1" ht="17.100000000000001" customHeight="1">
      <c r="C29" s="350"/>
      <c r="D29" s="377"/>
      <c r="E29" s="377"/>
      <c r="F29" s="377"/>
      <c r="G29" s="377"/>
      <c r="H29" s="350"/>
      <c r="I29" s="373"/>
      <c r="J29" s="373"/>
      <c r="K29" s="138"/>
    </row>
    <row r="30" spans="1:12" ht="17.100000000000001" customHeight="1">
      <c r="A30" s="116"/>
      <c r="B30" s="371"/>
      <c r="C30" s="371"/>
      <c r="D30" s="371"/>
      <c r="E30" s="371"/>
      <c r="F30" s="371"/>
      <c r="G30" s="371"/>
      <c r="H30" s="371"/>
      <c r="I30" s="24"/>
      <c r="J30" s="24"/>
      <c r="K30" s="21"/>
      <c r="L30" s="23"/>
    </row>
    <row r="31" spans="1:12" s="144" customFormat="1" ht="17.100000000000001" customHeight="1">
      <c r="A31" s="378" t="s">
        <v>165</v>
      </c>
      <c r="D31" s="19"/>
      <c r="E31" s="377"/>
      <c r="F31" s="377"/>
      <c r="G31" s="377"/>
      <c r="H31" s="350"/>
      <c r="I31" s="138"/>
      <c r="J31" s="138"/>
      <c r="K31" s="138"/>
    </row>
    <row r="32" spans="1:12" ht="17.100000000000001" customHeight="1">
      <c r="A32" s="21"/>
      <c r="B32" s="2"/>
      <c r="C32" s="2"/>
      <c r="D32" s="2"/>
      <c r="E32" s="371"/>
      <c r="F32" s="371"/>
      <c r="G32" s="371"/>
      <c r="H32" s="371"/>
      <c r="I32" s="23"/>
      <c r="J32" s="23"/>
      <c r="K32" s="21"/>
      <c r="L32" s="23"/>
    </row>
    <row r="33" spans="1:12" s="144" customFormat="1" ht="17.100000000000001" customHeight="1">
      <c r="A33" s="144" t="s">
        <v>166</v>
      </c>
      <c r="D33" s="19"/>
      <c r="E33" s="19"/>
      <c r="F33" s="5" t="s">
        <v>167</v>
      </c>
      <c r="G33" s="19"/>
      <c r="H33" s="350"/>
      <c r="I33" s="373"/>
      <c r="J33" s="373"/>
      <c r="K33" s="138"/>
    </row>
    <row r="34" spans="1:12" ht="17.100000000000001" customHeight="1">
      <c r="A34" s="116"/>
      <c r="B34" s="371"/>
      <c r="C34" s="371"/>
      <c r="D34" s="371"/>
      <c r="E34" s="371"/>
      <c r="F34" s="371"/>
      <c r="G34" s="371"/>
      <c r="H34" s="371"/>
      <c r="I34" s="24"/>
      <c r="J34" s="24"/>
      <c r="K34" s="21"/>
      <c r="L34" s="23"/>
    </row>
    <row r="35" spans="1:12" s="144" customFormat="1" ht="17.100000000000001" customHeight="1">
      <c r="A35" s="144" t="s">
        <v>168</v>
      </c>
      <c r="C35" s="350"/>
      <c r="D35" s="377"/>
      <c r="E35" s="377"/>
      <c r="F35" s="229" t="s">
        <v>169</v>
      </c>
      <c r="G35" s="377"/>
      <c r="H35" s="350"/>
      <c r="I35" s="373"/>
      <c r="J35" s="373"/>
      <c r="K35" s="138"/>
    </row>
    <row r="36" spans="1:12" s="144" customFormat="1" ht="17.100000000000001" customHeight="1">
      <c r="C36" s="350"/>
      <c r="D36" s="377"/>
      <c r="E36" s="377"/>
      <c r="F36" s="229"/>
      <c r="G36" s="377"/>
      <c r="H36" s="350"/>
      <c r="I36" s="373"/>
      <c r="J36" s="373"/>
      <c r="K36" s="138"/>
    </row>
    <row r="37" spans="1:12" s="144" customFormat="1" ht="17.100000000000001" customHeight="1">
      <c r="C37" s="350"/>
      <c r="D37" s="377"/>
      <c r="E37" s="377"/>
      <c r="F37" s="229"/>
      <c r="G37" s="377"/>
      <c r="H37" s="350"/>
      <c r="I37" s="373"/>
      <c r="J37" s="373"/>
      <c r="K37" s="138"/>
    </row>
    <row r="38" spans="1:12" s="144" customFormat="1" ht="17.100000000000001" customHeight="1"/>
    <row r="39" spans="1:12" s="144" customFormat="1" ht="17.100000000000001" customHeight="1">
      <c r="A39" s="32" t="s">
        <v>170</v>
      </c>
      <c r="D39" s="19"/>
      <c r="E39" s="377"/>
      <c r="F39" s="377"/>
      <c r="G39" s="377"/>
      <c r="H39" s="350"/>
      <c r="I39" s="138"/>
      <c r="J39" s="138"/>
      <c r="K39" s="138"/>
    </row>
    <row r="40" spans="1:12" ht="17.100000000000001" customHeight="1">
      <c r="A40" s="21"/>
      <c r="B40" s="2"/>
      <c r="C40" s="2"/>
      <c r="D40" s="2"/>
      <c r="E40" s="371"/>
      <c r="F40" s="371"/>
      <c r="G40" s="371"/>
      <c r="H40" s="371"/>
      <c r="I40" s="23"/>
      <c r="J40" s="23"/>
      <c r="K40" s="21"/>
      <c r="L40" s="23"/>
    </row>
    <row r="41" spans="1:12" s="144" customFormat="1" ht="17.100000000000001" customHeight="1">
      <c r="A41" s="309" t="s">
        <v>171</v>
      </c>
      <c r="D41" s="19"/>
      <c r="E41" s="19"/>
      <c r="F41" s="19"/>
      <c r="G41" s="377"/>
      <c r="H41" s="350"/>
      <c r="I41" s="373"/>
      <c r="J41" s="373"/>
      <c r="K41" s="138"/>
    </row>
    <row r="42" spans="1:12" ht="17.100000000000001" customHeight="1">
      <c r="A42" s="116"/>
      <c r="B42" s="371"/>
      <c r="C42" s="371"/>
      <c r="D42" s="371"/>
      <c r="E42" s="371"/>
      <c r="F42" s="371"/>
      <c r="G42" s="371"/>
      <c r="H42" s="371"/>
      <c r="I42" s="24"/>
      <c r="J42" s="24"/>
      <c r="K42" s="21"/>
      <c r="L42" s="23"/>
    </row>
    <row r="43" spans="1:12" s="144" customFormat="1" ht="17.100000000000001" customHeight="1">
      <c r="C43" s="350"/>
      <c r="D43" s="377"/>
      <c r="E43" s="377"/>
      <c r="F43" s="377"/>
      <c r="G43" s="377"/>
      <c r="H43" s="350"/>
      <c r="I43" s="373"/>
      <c r="J43" s="373"/>
      <c r="K43" s="138"/>
    </row>
    <row r="44" spans="1:12" s="144" customFormat="1" ht="17.100000000000001" customHeight="1">
      <c r="C44" s="350"/>
      <c r="D44" s="377"/>
      <c r="E44" s="377"/>
      <c r="F44" s="377"/>
      <c r="G44" s="377"/>
      <c r="H44" s="350"/>
      <c r="I44" s="373"/>
      <c r="J44" s="373"/>
      <c r="K44" s="138"/>
    </row>
    <row r="45" spans="1:12" s="144" customFormat="1" ht="17.100000000000001" customHeight="1"/>
    <row r="46" spans="1:12" s="144" customFormat="1" ht="17.100000000000001" customHeight="1">
      <c r="A46" s="144" t="s">
        <v>172</v>
      </c>
      <c r="C46" s="350"/>
      <c r="D46" s="377"/>
      <c r="E46" s="229" t="s">
        <v>173</v>
      </c>
      <c r="F46" s="377"/>
      <c r="G46" s="377"/>
      <c r="H46" s="377"/>
      <c r="I46" s="377"/>
      <c r="J46" s="377"/>
      <c r="K46" s="138"/>
    </row>
    <row r="47" spans="1:12" s="144" customFormat="1" ht="17.100000000000001" customHeight="1">
      <c r="C47" s="350"/>
      <c r="D47" s="377"/>
      <c r="E47" s="229"/>
      <c r="F47" s="377"/>
      <c r="G47" s="377"/>
      <c r="H47" s="377"/>
      <c r="I47" s="377"/>
      <c r="J47" s="377"/>
      <c r="K47" s="138"/>
    </row>
    <row r="48" spans="1:12" s="144" customFormat="1" ht="17.100000000000001" customHeight="1">
      <c r="B48" s="350"/>
      <c r="C48" s="350"/>
      <c r="D48" s="350"/>
      <c r="E48" s="372"/>
      <c r="F48" s="372"/>
      <c r="G48" s="373"/>
      <c r="H48" s="372"/>
      <c r="I48" s="373"/>
      <c r="J48" s="373"/>
      <c r="K48" s="138"/>
    </row>
    <row r="49" spans="1:11" s="5" customFormat="1" ht="17.100000000000001" customHeight="1">
      <c r="A49" s="12" t="s">
        <v>174</v>
      </c>
      <c r="B49" s="127"/>
      <c r="C49" s="30"/>
      <c r="D49" s="127"/>
      <c r="E49" s="229"/>
      <c r="F49" s="229"/>
      <c r="G49" s="229" t="s">
        <v>175</v>
      </c>
      <c r="H49" s="374"/>
      <c r="I49" s="30"/>
      <c r="J49" s="229"/>
    </row>
    <row r="50" spans="1:11" s="144" customFormat="1" ht="17.100000000000001" customHeight="1">
      <c r="B50" s="350"/>
      <c r="C50" s="350"/>
      <c r="D50" s="350"/>
      <c r="E50" s="350"/>
      <c r="F50" s="350"/>
      <c r="G50" s="350"/>
      <c r="I50" s="350"/>
      <c r="J50" s="350"/>
      <c r="K50" s="138"/>
    </row>
    <row r="51" spans="1:11" s="144" customFormat="1" ht="17.100000000000001" customHeight="1">
      <c r="A51" s="144" t="s">
        <v>176</v>
      </c>
      <c r="B51" s="350"/>
      <c r="C51" s="350"/>
      <c r="D51" s="373"/>
      <c r="E51" s="350"/>
      <c r="F51" s="350"/>
      <c r="G51" s="144" t="s">
        <v>176</v>
      </c>
      <c r="I51" s="350"/>
      <c r="J51" s="350"/>
    </row>
    <row r="52" spans="1:11" s="144" customFormat="1" ht="17.100000000000001" customHeight="1">
      <c r="B52" s="350"/>
      <c r="C52" s="350"/>
      <c r="D52" s="373"/>
      <c r="E52" s="350"/>
      <c r="F52" s="350"/>
      <c r="I52" s="350"/>
      <c r="J52" s="350"/>
    </row>
    <row r="53" spans="1:11" s="144" customFormat="1" ht="17.100000000000001" customHeight="1">
      <c r="A53" s="144" t="s">
        <v>177</v>
      </c>
      <c r="D53" s="350"/>
      <c r="E53" s="350"/>
      <c r="F53" s="350"/>
      <c r="G53" s="144" t="s">
        <v>177</v>
      </c>
      <c r="H53" s="350"/>
      <c r="I53" s="350"/>
      <c r="J53" s="350"/>
      <c r="K53" s="138"/>
    </row>
    <row r="54" spans="1:11" s="5" customFormat="1" ht="17.100000000000001" customHeight="1">
      <c r="C54" s="229"/>
      <c r="D54" s="229"/>
      <c r="E54" s="229"/>
      <c r="F54" s="229"/>
      <c r="G54" s="229"/>
      <c r="I54" s="229"/>
      <c r="J54" s="229"/>
    </row>
    <row r="55" spans="1:11" s="5" customFormat="1" ht="17.100000000000001" customHeight="1">
      <c r="A55" s="229" t="s">
        <v>178</v>
      </c>
      <c r="B55" s="229"/>
      <c r="C55" s="229"/>
      <c r="D55" s="229"/>
      <c r="E55" s="229"/>
      <c r="F55" s="229"/>
      <c r="G55" s="229" t="s">
        <v>178</v>
      </c>
      <c r="H55" s="354"/>
      <c r="I55" s="229"/>
    </row>
    <row r="56" spans="1:11" ht="17.100000000000001" customHeight="1">
      <c r="A56" s="30"/>
      <c r="B56" s="30"/>
      <c r="C56" s="30"/>
      <c r="D56" s="30"/>
      <c r="E56" s="30"/>
      <c r="F56" s="30"/>
      <c r="G56" s="30"/>
      <c r="H56" s="30"/>
      <c r="I56" s="30"/>
    </row>
    <row r="57" spans="1:11" s="5" customFormat="1" ht="15" customHeight="1">
      <c r="A57" s="229"/>
      <c r="B57" s="229"/>
      <c r="C57" s="229"/>
      <c r="D57" s="229"/>
      <c r="E57" s="229"/>
      <c r="F57" s="229"/>
      <c r="G57" s="229"/>
      <c r="H57" s="229"/>
      <c r="I57" s="229"/>
      <c r="J57" s="229"/>
    </row>
    <row r="58" spans="1:11" ht="15" customHeight="1"/>
    <row r="59" spans="1:11" ht="15" customHeight="1"/>
    <row r="60" spans="1:11" ht="15" customHeight="1"/>
    <row r="61" spans="1:11" ht="15" customHeight="1"/>
    <row r="62" spans="1:11" ht="15" customHeight="1"/>
    <row r="63" spans="1:11" ht="15" customHeight="1"/>
    <row r="64" spans="1:11"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sheetData>
  <mergeCells count="4">
    <mergeCell ref="A1:I2"/>
    <mergeCell ref="J1:J2"/>
    <mergeCell ref="I13:J13"/>
    <mergeCell ref="I15:J15"/>
  </mergeCells>
  <phoneticPr fontId="12" type="noConversion"/>
  <printOptions horizontalCentered="1"/>
  <pageMargins left="0" right="0" top="0.39370078740157483" bottom="0.39370078740157483" header="0" footer="0"/>
  <pageSetup paperSize="9" scale="75" orientation="portrait" blackAndWhite="1" r:id="rId1"/>
  <headerFooter alignWithMargins="0">
    <oddFooter>&amp;LEdité le &amp;D&amp;C&amp;P/&amp;N</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34">
    <tabColor indexed="42"/>
    <pageSetUpPr fitToPage="1"/>
  </sheetPr>
  <dimension ref="A1:F51"/>
  <sheetViews>
    <sheetView showGridLines="0" view="pageBreakPreview" zoomScale="115" zoomScaleNormal="100" zoomScaleSheetLayoutView="115" workbookViewId="0">
      <selection activeCell="D10" sqref="D10:E10"/>
    </sheetView>
  </sheetViews>
  <sheetFormatPr baseColWidth="10" defaultColWidth="11.42578125" defaultRowHeight="12.75"/>
  <cols>
    <col min="1" max="1" width="15" style="21" customWidth="1"/>
    <col min="2" max="2" width="15.42578125" style="21" bestFit="1" customWidth="1"/>
    <col min="3" max="3" width="36.7109375" style="21" customWidth="1"/>
    <col min="4" max="4" width="14.5703125" style="21" customWidth="1"/>
    <col min="5" max="5" width="18.140625" style="21" customWidth="1"/>
    <col min="6" max="6" width="3.85546875" style="21" customWidth="1"/>
    <col min="7" max="11" width="4.7109375" style="21" customWidth="1"/>
    <col min="12" max="12" width="9.5703125" style="21" customWidth="1"/>
    <col min="13" max="29" width="5.7109375" style="21" customWidth="1"/>
    <col min="30" max="16384" width="11.42578125" style="21"/>
  </cols>
  <sheetData>
    <row r="1" spans="1:6" ht="18" customHeight="1" thickTop="1">
      <c r="A1" s="2253"/>
      <c r="B1" s="2255" t="s">
        <v>179</v>
      </c>
      <c r="C1" s="2255"/>
      <c r="D1" s="2255"/>
      <c r="E1" s="2257" t="s">
        <v>180</v>
      </c>
      <c r="F1" s="23"/>
    </row>
    <row r="2" spans="1:6" ht="18" customHeight="1" thickBot="1">
      <c r="A2" s="2254"/>
      <c r="B2" s="2256"/>
      <c r="C2" s="2256"/>
      <c r="D2" s="2256"/>
      <c r="E2" s="2258"/>
      <c r="F2" s="23"/>
    </row>
    <row r="3" spans="1:6" ht="18" customHeight="1" thickTop="1">
      <c r="A3" s="32"/>
      <c r="B3" s="32"/>
      <c r="C3" s="145"/>
      <c r="D3" s="145"/>
      <c r="E3" s="145"/>
      <c r="F3" s="145"/>
    </row>
    <row r="4" spans="1:6" ht="10.5" customHeight="1">
      <c r="B4" s="121"/>
    </row>
    <row r="5" spans="1:6" s="9" customFormat="1">
      <c r="A5" s="129" t="s">
        <v>798</v>
      </c>
      <c r="B5" s="729" t="str">
        <f>IF(ISBLANK(oeOTP),"",oeOTP)</f>
        <v/>
      </c>
      <c r="C5" s="729"/>
      <c r="D5" s="129" t="s">
        <v>801</v>
      </c>
      <c r="E5" s="723" t="str">
        <f>IF(ISBLANK(oVille),"",oVille)</f>
        <v/>
      </c>
      <c r="F5" s="281"/>
    </row>
    <row r="6" spans="1:6" s="9" customFormat="1" ht="13.5" customHeight="1">
      <c r="A6" s="281"/>
      <c r="B6" s="728"/>
      <c r="C6" s="728"/>
      <c r="D6" s="728"/>
      <c r="E6" s="728"/>
      <c r="F6" s="538"/>
    </row>
    <row r="7" spans="1:6" s="9" customFormat="1" ht="12.75" customHeight="1">
      <c r="A7" s="129" t="s">
        <v>802</v>
      </c>
      <c r="B7" s="1792" t="str">
        <f>IF(ISBLANK(oLibelleOTP),"",oLibelleOTP)</f>
        <v/>
      </c>
      <c r="C7" s="1792"/>
      <c r="D7" s="1792"/>
      <c r="E7" s="1792"/>
      <c r="F7" s="538"/>
    </row>
    <row r="8" spans="1:6" s="9" customFormat="1"/>
    <row r="10" spans="1:6" s="143" customFormat="1" ht="20.100000000000001" customHeight="1">
      <c r="A10" s="2259" t="s">
        <v>378</v>
      </c>
      <c r="B10" s="2259"/>
      <c r="C10" s="2259" t="s">
        <v>181</v>
      </c>
      <c r="D10" s="2259" t="s">
        <v>182</v>
      </c>
      <c r="E10" s="2259"/>
    </row>
    <row r="11" spans="1:6" s="143" customFormat="1">
      <c r="A11" s="2259"/>
      <c r="B11" s="2259"/>
      <c r="C11" s="2259"/>
      <c r="D11" s="379" t="s">
        <v>648</v>
      </c>
      <c r="E11" s="379" t="s">
        <v>183</v>
      </c>
    </row>
    <row r="12" spans="1:6" s="143" customFormat="1" ht="23.1" customHeight="1">
      <c r="A12" s="2260"/>
      <c r="B12" s="2261"/>
      <c r="C12" s="380"/>
      <c r="D12" s="380"/>
      <c r="E12" s="380"/>
    </row>
    <row r="13" spans="1:6" s="143" customFormat="1" ht="23.1" customHeight="1">
      <c r="A13" s="2260"/>
      <c r="B13" s="2261"/>
      <c r="C13" s="380"/>
      <c r="D13" s="380"/>
      <c r="E13" s="380"/>
    </row>
    <row r="14" spans="1:6" s="143" customFormat="1" ht="23.1" customHeight="1">
      <c r="A14" s="2260"/>
      <c r="B14" s="2261"/>
      <c r="C14" s="380"/>
      <c r="D14" s="380"/>
      <c r="E14" s="380"/>
    </row>
    <row r="15" spans="1:6" s="143" customFormat="1" ht="23.1" customHeight="1">
      <c r="A15" s="2260"/>
      <c r="B15" s="2261"/>
      <c r="C15" s="380"/>
      <c r="D15" s="380"/>
      <c r="E15" s="380"/>
    </row>
    <row r="16" spans="1:6" s="143" customFormat="1" ht="23.1" customHeight="1">
      <c r="A16" s="2260"/>
      <c r="B16" s="2261"/>
      <c r="C16" s="380"/>
      <c r="D16" s="380"/>
      <c r="E16" s="380"/>
    </row>
    <row r="17" spans="1:5" s="143" customFormat="1" ht="23.1" customHeight="1">
      <c r="A17" s="2260"/>
      <c r="B17" s="2261"/>
      <c r="C17" s="380"/>
      <c r="D17" s="380"/>
      <c r="E17" s="380"/>
    </row>
    <row r="18" spans="1:5" s="143" customFormat="1" ht="23.1" customHeight="1">
      <c r="A18" s="2260"/>
      <c r="B18" s="2261"/>
      <c r="C18" s="380"/>
      <c r="D18" s="380"/>
      <c r="E18" s="380"/>
    </row>
    <row r="19" spans="1:5" s="143" customFormat="1" ht="23.1" customHeight="1">
      <c r="A19" s="2260"/>
      <c r="B19" s="2261"/>
      <c r="C19" s="380"/>
      <c r="D19" s="380"/>
      <c r="E19" s="380"/>
    </row>
    <row r="20" spans="1:5" s="143" customFormat="1" ht="23.1" customHeight="1">
      <c r="A20" s="2260"/>
      <c r="B20" s="2261"/>
      <c r="C20" s="380"/>
      <c r="D20" s="380"/>
      <c r="E20" s="380"/>
    </row>
    <row r="21" spans="1:5" s="143" customFormat="1" ht="23.1" customHeight="1">
      <c r="A21" s="2260"/>
      <c r="B21" s="2261"/>
      <c r="C21" s="380"/>
      <c r="D21" s="380"/>
      <c r="E21" s="380"/>
    </row>
    <row r="22" spans="1:5" s="143" customFormat="1" ht="23.1" customHeight="1">
      <c r="A22" s="2260"/>
      <c r="B22" s="2261"/>
      <c r="C22" s="380"/>
      <c r="D22" s="380"/>
      <c r="E22" s="380"/>
    </row>
    <row r="23" spans="1:5" s="143" customFormat="1" ht="23.1" customHeight="1">
      <c r="A23" s="2260"/>
      <c r="B23" s="2261"/>
      <c r="C23" s="380"/>
      <c r="D23" s="380"/>
      <c r="E23" s="380"/>
    </row>
    <row r="24" spans="1:5" s="143" customFormat="1" ht="23.1" customHeight="1">
      <c r="A24" s="2260"/>
      <c r="B24" s="2261"/>
      <c r="C24" s="380"/>
      <c r="D24" s="380"/>
      <c r="E24" s="380"/>
    </row>
    <row r="25" spans="1:5" s="143" customFormat="1" ht="23.1" customHeight="1">
      <c r="A25" s="2260"/>
      <c r="B25" s="2261"/>
      <c r="C25" s="380"/>
      <c r="D25" s="380"/>
      <c r="E25" s="380"/>
    </row>
    <row r="26" spans="1:5" s="143" customFormat="1" ht="23.1" customHeight="1">
      <c r="A26" s="2262"/>
      <c r="B26" s="2262"/>
      <c r="C26" s="380"/>
      <c r="D26" s="380"/>
      <c r="E26" s="380"/>
    </row>
    <row r="27" spans="1:5" s="23" customFormat="1">
      <c r="A27" s="2263"/>
      <c r="B27" s="1943"/>
    </row>
    <row r="28" spans="1:5" s="23" customFormat="1"/>
    <row r="29" spans="1:5" s="23" customFormat="1">
      <c r="A29" s="381" t="s">
        <v>184</v>
      </c>
      <c r="D29" s="381" t="s">
        <v>185</v>
      </c>
    </row>
    <row r="30" spans="1:5" s="23" customFormat="1"/>
    <row r="31" spans="1:5" s="143" customFormat="1">
      <c r="A31" s="2259" t="s">
        <v>378</v>
      </c>
      <c r="B31" s="2259"/>
      <c r="C31" s="2259" t="s">
        <v>181</v>
      </c>
      <c r="D31" s="2259" t="s">
        <v>186</v>
      </c>
      <c r="E31" s="2259"/>
    </row>
    <row r="32" spans="1:5" s="143" customFormat="1">
      <c r="A32" s="2259"/>
      <c r="B32" s="2259"/>
      <c r="C32" s="2259"/>
      <c r="D32" s="379" t="s">
        <v>187</v>
      </c>
      <c r="E32" s="379" t="s">
        <v>648</v>
      </c>
    </row>
    <row r="33" spans="1:5" s="143" customFormat="1" ht="23.1" customHeight="1">
      <c r="A33" s="380"/>
      <c r="B33" s="380"/>
      <c r="C33" s="380"/>
      <c r="D33" s="380"/>
      <c r="E33" s="380"/>
    </row>
    <row r="34" spans="1:5" s="143" customFormat="1" ht="23.1" customHeight="1">
      <c r="A34" s="380"/>
      <c r="B34" s="380"/>
      <c r="C34" s="380"/>
      <c r="D34" s="380"/>
      <c r="E34" s="380"/>
    </row>
    <row r="35" spans="1:5" s="143" customFormat="1" ht="23.1" customHeight="1">
      <c r="A35" s="380"/>
      <c r="B35" s="380"/>
      <c r="C35" s="380"/>
      <c r="D35" s="380"/>
      <c r="E35" s="380"/>
    </row>
    <row r="36" spans="1:5" s="143" customFormat="1" ht="23.1" customHeight="1">
      <c r="A36" s="380"/>
      <c r="B36" s="380"/>
      <c r="C36" s="380"/>
      <c r="D36" s="380"/>
      <c r="E36" s="380"/>
    </row>
    <row r="37" spans="1:5" s="143" customFormat="1" ht="23.1" customHeight="1">
      <c r="A37" s="380"/>
      <c r="B37" s="380"/>
      <c r="C37" s="380"/>
      <c r="D37" s="380"/>
      <c r="E37" s="380"/>
    </row>
    <row r="38" spans="1:5" s="23" customFormat="1"/>
    <row r="39" spans="1:5" s="23" customFormat="1"/>
    <row r="40" spans="1:5" s="23" customFormat="1" ht="25.5">
      <c r="A40" s="731" t="s">
        <v>1080</v>
      </c>
      <c r="B40" s="24"/>
      <c r="C40" s="24"/>
      <c r="D40" s="299" t="s">
        <v>1353</v>
      </c>
      <c r="E40" s="24"/>
    </row>
    <row r="41" spans="1:5" s="23" customFormat="1"/>
    <row r="42" spans="1:5" s="23" customFormat="1">
      <c r="A42" s="23" t="s">
        <v>649</v>
      </c>
      <c r="B42" s="234" t="s">
        <v>590</v>
      </c>
      <c r="D42" s="23" t="s">
        <v>649</v>
      </c>
      <c r="E42" s="23" t="s">
        <v>590</v>
      </c>
    </row>
    <row r="43" spans="1:5" s="23" customFormat="1"/>
    <row r="44" spans="1:5" s="23" customFormat="1"/>
    <row r="45" spans="1:5" s="23" customFormat="1"/>
    <row r="46" spans="1:5" s="23" customFormat="1"/>
    <row r="47" spans="1:5" s="23" customFormat="1"/>
    <row r="48" spans="1:5" s="23" customFormat="1"/>
    <row r="49" s="23" customFormat="1"/>
    <row r="50" s="23" customFormat="1"/>
    <row r="51" s="23" customFormat="1"/>
  </sheetData>
  <mergeCells count="26">
    <mergeCell ref="A22:B22"/>
    <mergeCell ref="A23:B23"/>
    <mergeCell ref="A31:B32"/>
    <mergeCell ref="C31:C32"/>
    <mergeCell ref="D31:E31"/>
    <mergeCell ref="A24:B24"/>
    <mergeCell ref="A25:B25"/>
    <mergeCell ref="A26:B26"/>
    <mergeCell ref="A27:B27"/>
    <mergeCell ref="A17:B17"/>
    <mergeCell ref="A18:B18"/>
    <mergeCell ref="A19:B19"/>
    <mergeCell ref="A20:B20"/>
    <mergeCell ref="A21:B21"/>
    <mergeCell ref="A12:B12"/>
    <mergeCell ref="A13:B13"/>
    <mergeCell ref="A14:B14"/>
    <mergeCell ref="A15:B15"/>
    <mergeCell ref="A16:B16"/>
    <mergeCell ref="A1:A2"/>
    <mergeCell ref="B1:D2"/>
    <mergeCell ref="E1:E2"/>
    <mergeCell ref="A10:B11"/>
    <mergeCell ref="C10:C11"/>
    <mergeCell ref="D10:E10"/>
    <mergeCell ref="B7:E7"/>
  </mergeCells>
  <phoneticPr fontId="12" type="noConversion"/>
  <printOptions horizontalCentered="1"/>
  <pageMargins left="0" right="0" top="0" bottom="0.39370078740157483" header="0" footer="0"/>
  <pageSetup paperSize="9" orientation="portrait" r:id="rId1"/>
  <headerFooter alignWithMargins="0">
    <oddFooter>&amp;LEdité le &amp;D&amp;C&amp;P/&amp;N</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Feuil35">
    <tabColor indexed="42"/>
    <pageSetUpPr fitToPage="1"/>
  </sheetPr>
  <dimension ref="A1:T80"/>
  <sheetViews>
    <sheetView showGridLines="0" view="pageBreakPreview" zoomScaleNormal="100" zoomScaleSheetLayoutView="100" workbookViewId="0">
      <selection activeCell="E5" sqref="E5:S5"/>
    </sheetView>
  </sheetViews>
  <sheetFormatPr baseColWidth="10" defaultColWidth="11.42578125" defaultRowHeight="12.75"/>
  <cols>
    <col min="1" max="1" width="2" style="429" customWidth="1"/>
    <col min="2" max="2" width="5.42578125" style="388" customWidth="1"/>
    <col min="3" max="3" width="4.42578125" style="388" customWidth="1"/>
    <col min="4" max="4" width="27.140625" style="21" customWidth="1"/>
    <col min="5" max="5" width="5.140625" style="21" customWidth="1"/>
    <col min="6" max="6" width="5.140625" style="430" customWidth="1"/>
    <col min="7" max="7" width="5.140625" style="21" customWidth="1"/>
    <col min="8" max="8" width="5.140625" style="430" customWidth="1"/>
    <col min="9" max="9" width="5.140625" style="21" customWidth="1"/>
    <col min="10" max="10" width="5.140625" style="430" customWidth="1"/>
    <col min="11" max="11" width="5.140625" style="21" customWidth="1"/>
    <col min="12" max="12" width="5.140625" style="430" customWidth="1"/>
    <col min="13" max="13" width="5.140625" style="21" customWidth="1"/>
    <col min="14" max="14" width="5.140625" style="430" customWidth="1"/>
    <col min="15" max="15" width="5.140625" style="21" customWidth="1"/>
    <col min="16" max="16" width="5.140625" style="430" customWidth="1"/>
    <col min="17" max="17" width="5.140625" style="21" customWidth="1"/>
    <col min="18" max="18" width="5.140625" style="430" customWidth="1"/>
    <col min="19" max="19" width="5.140625" style="21" customWidth="1"/>
    <col min="20" max="16384" width="11.42578125" style="21"/>
  </cols>
  <sheetData>
    <row r="1" spans="1:20" s="116" customFormat="1" ht="20.100000000000001" customHeight="1">
      <c r="A1" s="382"/>
      <c r="B1" s="383"/>
      <c r="C1" s="383"/>
      <c r="D1" s="2264" t="s">
        <v>188</v>
      </c>
      <c r="E1" s="2264"/>
      <c r="F1" s="2264"/>
      <c r="G1" s="2264"/>
      <c r="H1" s="2264"/>
      <c r="I1" s="2264"/>
      <c r="J1" s="2264"/>
      <c r="K1" s="2264"/>
      <c r="L1" s="2264"/>
      <c r="M1" s="2264"/>
      <c r="N1" s="2264"/>
      <c r="O1" s="384"/>
      <c r="P1" s="385"/>
      <c r="Q1" s="350"/>
      <c r="R1" s="350"/>
      <c r="S1" s="350"/>
    </row>
    <row r="2" spans="1:20" s="116" customFormat="1" ht="9" customHeight="1">
      <c r="A2" s="382"/>
      <c r="B2" s="383"/>
      <c r="C2" s="383"/>
    </row>
    <row r="3" spans="1:20" s="116" customFormat="1" ht="18" customHeight="1">
      <c r="A3" s="382"/>
      <c r="B3" s="383"/>
      <c r="C3" s="383"/>
      <c r="D3" s="386"/>
      <c r="E3" s="350"/>
      <c r="F3" s="350"/>
      <c r="G3" s="350"/>
      <c r="H3" s="350"/>
      <c r="I3" s="350"/>
      <c r="J3" s="350"/>
      <c r="K3" s="385"/>
      <c r="L3" s="350"/>
      <c r="M3" s="350"/>
      <c r="N3" s="350"/>
      <c r="O3" s="385"/>
      <c r="P3" s="386"/>
      <c r="Q3" s="350"/>
      <c r="R3" s="350"/>
      <c r="S3" s="350"/>
    </row>
    <row r="4" spans="1:20" s="130" customFormat="1" ht="20.100000000000001" customHeight="1">
      <c r="A4" s="728" t="s">
        <v>798</v>
      </c>
      <c r="B4" s="728"/>
      <c r="C4" s="728"/>
      <c r="D4" s="729" t="str">
        <f>IF(ISBLANK(oeOTP),"",oeOTP)</f>
        <v/>
      </c>
      <c r="E4" s="729"/>
      <c r="F4" s="540"/>
      <c r="G4" s="540"/>
      <c r="H4" s="730"/>
      <c r="I4" s="730" t="s">
        <v>801</v>
      </c>
      <c r="J4" s="538"/>
      <c r="K4" s="729" t="str">
        <f>IF(ISBLANK(oVille),"",oVille)</f>
        <v/>
      </c>
      <c r="L4" s="540"/>
      <c r="M4" s="540"/>
      <c r="N4" s="540"/>
      <c r="O4" s="540"/>
      <c r="P4" s="540"/>
      <c r="Q4" s="540"/>
      <c r="R4" s="540"/>
      <c r="S4" s="540"/>
      <c r="T4" s="540"/>
    </row>
    <row r="5" spans="1:20" s="130" customFormat="1" ht="24" customHeight="1">
      <c r="A5" s="728" t="s">
        <v>471</v>
      </c>
      <c r="B5" s="540"/>
      <c r="C5" s="540"/>
      <c r="D5" s="540"/>
      <c r="E5" s="1792" t="str">
        <f>IF(ISBLANK(oLibelleOTP),"",oLibelleOTP)</f>
        <v/>
      </c>
      <c r="F5" s="1792"/>
      <c r="G5" s="1792"/>
      <c r="H5" s="1792"/>
      <c r="I5" s="1792"/>
      <c r="J5" s="1792"/>
      <c r="K5" s="1792"/>
      <c r="L5" s="1792"/>
      <c r="M5" s="1792"/>
      <c r="N5" s="1792"/>
      <c r="O5" s="1792"/>
      <c r="P5" s="1792"/>
      <c r="Q5" s="1792"/>
      <c r="R5" s="1792"/>
      <c r="S5" s="1792"/>
      <c r="T5" s="540"/>
    </row>
    <row r="6" spans="1:20" s="122" customFormat="1" ht="20.100000000000001" customHeight="1">
      <c r="A6" s="538" t="s">
        <v>189</v>
      </c>
      <c r="B6" s="540"/>
      <c r="C6" s="540"/>
      <c r="D6" s="540"/>
      <c r="E6" s="731"/>
      <c r="F6" s="129"/>
      <c r="G6" s="731"/>
      <c r="H6" s="731"/>
      <c r="I6" s="731"/>
      <c r="J6" s="731"/>
      <c r="K6" s="731"/>
      <c r="L6" s="731"/>
      <c r="M6" s="731"/>
      <c r="N6" s="731"/>
      <c r="O6" s="731"/>
      <c r="P6" s="129"/>
      <c r="Q6" s="129"/>
      <c r="R6" s="129"/>
      <c r="S6" s="129"/>
      <c r="T6" s="129"/>
    </row>
    <row r="7" spans="1:20" ht="20.25" customHeight="1">
      <c r="A7" s="538" t="s">
        <v>649</v>
      </c>
      <c r="B7" s="732"/>
      <c r="C7" s="732"/>
      <c r="D7" s="39"/>
      <c r="E7" s="39"/>
      <c r="F7" s="39"/>
      <c r="G7" s="39"/>
      <c r="H7" s="39"/>
      <c r="I7" s="39"/>
      <c r="J7" s="39"/>
      <c r="K7" s="39"/>
      <c r="L7" s="39"/>
      <c r="M7" s="39"/>
      <c r="N7" s="39"/>
      <c r="O7" s="39"/>
      <c r="P7" s="39"/>
      <c r="Q7" s="39"/>
      <c r="R7" s="39"/>
      <c r="S7" s="39"/>
      <c r="T7" s="39"/>
    </row>
    <row r="8" spans="1:20" ht="20.25" customHeight="1">
      <c r="A8" s="389"/>
      <c r="D8" s="144"/>
      <c r="E8" s="144"/>
      <c r="F8" s="144"/>
      <c r="G8" s="144"/>
      <c r="H8" s="144"/>
      <c r="I8" s="144"/>
      <c r="J8" s="144"/>
      <c r="K8" s="144"/>
      <c r="L8" s="144"/>
      <c r="M8" s="144"/>
      <c r="N8" s="144"/>
      <c r="O8" s="144"/>
      <c r="P8" s="144"/>
      <c r="Q8" s="144"/>
      <c r="R8" s="21"/>
    </row>
    <row r="9" spans="1:20" ht="16.5" customHeight="1">
      <c r="A9" s="389"/>
      <c r="E9" s="144"/>
      <c r="F9" s="144"/>
      <c r="G9" s="144"/>
      <c r="H9" s="144"/>
      <c r="I9" s="144"/>
      <c r="J9" s="144"/>
      <c r="K9" s="144"/>
      <c r="L9" s="144"/>
      <c r="M9" s="144"/>
      <c r="N9" s="144"/>
      <c r="O9" s="144"/>
      <c r="P9" s="144"/>
      <c r="Q9" s="144"/>
      <c r="R9" s="21"/>
    </row>
    <row r="10" spans="1:20" ht="16.5" customHeight="1">
      <c r="A10" s="389"/>
      <c r="D10" s="131" t="s">
        <v>190</v>
      </c>
      <c r="E10" s="144"/>
      <c r="F10" s="144"/>
      <c r="G10" s="144"/>
      <c r="H10" s="144"/>
      <c r="I10" s="144"/>
      <c r="J10" s="144"/>
      <c r="K10" s="144"/>
      <c r="L10" s="144"/>
      <c r="M10" s="144"/>
      <c r="N10" s="144"/>
      <c r="O10" s="144"/>
      <c r="P10" s="144"/>
      <c r="Q10" s="144"/>
      <c r="R10" s="21"/>
    </row>
    <row r="11" spans="1:20" ht="12.75" customHeight="1" thickBot="1">
      <c r="A11" s="389"/>
      <c r="D11" s="144"/>
      <c r="E11" s="144"/>
      <c r="F11" s="144"/>
      <c r="G11" s="144"/>
      <c r="H11" s="144"/>
      <c r="I11" s="144"/>
      <c r="J11" s="144"/>
      <c r="K11" s="144"/>
      <c r="L11" s="144"/>
      <c r="M11" s="144"/>
      <c r="N11" s="144"/>
      <c r="O11" s="144"/>
      <c r="P11" s="144"/>
      <c r="Q11" s="144"/>
      <c r="R11" s="21"/>
    </row>
    <row r="12" spans="1:20" ht="27" customHeight="1" thickTop="1" thickBot="1">
      <c r="A12" s="2265" t="s">
        <v>191</v>
      </c>
      <c r="B12" s="2266"/>
      <c r="C12" s="390"/>
      <c r="D12" s="391" t="s">
        <v>192</v>
      </c>
      <c r="E12" s="392"/>
      <c r="F12" s="392"/>
      <c r="G12" s="392"/>
      <c r="H12" s="392"/>
      <c r="I12" s="392"/>
      <c r="J12" s="392"/>
      <c r="K12" s="392"/>
      <c r="L12" s="392"/>
      <c r="M12" s="392"/>
      <c r="N12" s="392"/>
      <c r="O12" s="392"/>
      <c r="P12" s="392"/>
      <c r="Q12" s="392"/>
      <c r="R12" s="392"/>
      <c r="S12" s="393"/>
    </row>
    <row r="13" spans="1:20" ht="3.95" customHeight="1" thickTop="1" thickBot="1">
      <c r="A13" s="394"/>
      <c r="B13" s="394"/>
      <c r="C13" s="394"/>
      <c r="D13" s="230"/>
      <c r="F13" s="21"/>
      <c r="H13" s="21"/>
      <c r="J13" s="21"/>
      <c r="L13" s="21"/>
      <c r="N13" s="21"/>
      <c r="P13" s="21"/>
      <c r="R13" s="21"/>
    </row>
    <row r="14" spans="1:20" ht="14.25" thickTop="1" thickBot="1">
      <c r="A14" s="389"/>
      <c r="D14" s="21" t="s">
        <v>193</v>
      </c>
      <c r="E14" s="395"/>
      <c r="F14" s="392"/>
      <c r="G14" s="392"/>
      <c r="H14" s="392"/>
      <c r="I14" s="392"/>
      <c r="J14" s="392"/>
      <c r="K14" s="392"/>
      <c r="L14" s="392"/>
      <c r="M14" s="392"/>
      <c r="N14" s="392"/>
      <c r="O14" s="392"/>
      <c r="P14" s="392"/>
      <c r="Q14" s="392"/>
      <c r="R14" s="392"/>
      <c r="S14" s="393"/>
    </row>
    <row r="15" spans="1:20" ht="3.95" customHeight="1" thickTop="1" thickBot="1">
      <c r="A15" s="389"/>
      <c r="F15" s="21"/>
      <c r="H15" s="21"/>
      <c r="J15" s="21"/>
      <c r="L15" s="21"/>
      <c r="N15" s="21"/>
      <c r="P15" s="21"/>
      <c r="R15" s="21"/>
    </row>
    <row r="16" spans="1:20" ht="22.5" customHeight="1">
      <c r="A16" s="396"/>
      <c r="B16" s="397">
        <v>3222</v>
      </c>
      <c r="C16" s="398" t="s">
        <v>194</v>
      </c>
      <c r="D16" s="399"/>
      <c r="E16" s="400"/>
      <c r="F16" s="400"/>
      <c r="G16" s="400"/>
      <c r="H16" s="400"/>
      <c r="I16" s="400"/>
      <c r="J16" s="400"/>
      <c r="K16" s="400"/>
      <c r="L16" s="400"/>
      <c r="M16" s="400"/>
      <c r="N16" s="400"/>
      <c r="O16" s="400"/>
      <c r="P16" s="400"/>
      <c r="Q16" s="400"/>
      <c r="R16" s="400"/>
      <c r="S16" s="401"/>
    </row>
    <row r="17" spans="1:19" ht="22.5" customHeight="1">
      <c r="A17" s="402"/>
      <c r="B17" s="403">
        <v>3521</v>
      </c>
      <c r="C17" s="404" t="s">
        <v>195</v>
      </c>
      <c r="D17" s="405"/>
      <c r="E17" s="406"/>
      <c r="F17" s="407"/>
      <c r="G17" s="406"/>
      <c r="H17" s="407"/>
      <c r="I17" s="406"/>
      <c r="J17" s="407"/>
      <c r="K17" s="406"/>
      <c r="L17" s="407"/>
      <c r="M17" s="406"/>
      <c r="N17" s="407"/>
      <c r="O17" s="406"/>
      <c r="P17" s="407"/>
      <c r="Q17" s="406"/>
      <c r="R17" s="407"/>
      <c r="S17" s="408"/>
    </row>
    <row r="18" spans="1:19" ht="22.5" customHeight="1">
      <c r="A18" s="409"/>
      <c r="B18" s="410">
        <v>3523</v>
      </c>
      <c r="C18" s="411" t="s">
        <v>196</v>
      </c>
      <c r="D18" s="412"/>
      <c r="E18" s="413"/>
      <c r="F18" s="413"/>
      <c r="G18" s="413"/>
      <c r="H18" s="413"/>
      <c r="I18" s="413"/>
      <c r="J18" s="413"/>
      <c r="K18" s="413"/>
      <c r="L18" s="413"/>
      <c r="M18" s="413"/>
      <c r="N18" s="413"/>
      <c r="O18" s="413"/>
      <c r="P18" s="413"/>
      <c r="Q18" s="413"/>
      <c r="R18" s="413"/>
      <c r="S18" s="414"/>
    </row>
    <row r="19" spans="1:19" ht="22.5" customHeight="1">
      <c r="A19" s="415"/>
      <c r="B19" s="403">
        <v>3524</v>
      </c>
      <c r="C19" s="404" t="s">
        <v>197</v>
      </c>
      <c r="D19" s="405"/>
      <c r="E19" s="406"/>
      <c r="F19" s="416"/>
      <c r="G19" s="406"/>
      <c r="H19" s="416"/>
      <c r="I19" s="406"/>
      <c r="J19" s="416"/>
      <c r="K19" s="406"/>
      <c r="L19" s="416"/>
      <c r="M19" s="406"/>
      <c r="N19" s="416"/>
      <c r="O19" s="406"/>
      <c r="P19" s="416"/>
      <c r="Q19" s="406"/>
      <c r="R19" s="416"/>
      <c r="S19" s="408"/>
    </row>
    <row r="20" spans="1:19" ht="22.5" customHeight="1">
      <c r="A20" s="409"/>
      <c r="B20" s="410">
        <v>3526</v>
      </c>
      <c r="C20" s="411" t="s">
        <v>198</v>
      </c>
      <c r="D20" s="412"/>
      <c r="E20" s="413"/>
      <c r="F20" s="413"/>
      <c r="G20" s="413"/>
      <c r="H20" s="413"/>
      <c r="I20" s="413"/>
      <c r="J20" s="413"/>
      <c r="K20" s="413"/>
      <c r="L20" s="413"/>
      <c r="M20" s="413"/>
      <c r="N20" s="413"/>
      <c r="O20" s="413"/>
      <c r="P20" s="413"/>
      <c r="Q20" s="413"/>
      <c r="R20" s="413"/>
      <c r="S20" s="414"/>
    </row>
    <row r="21" spans="1:19" ht="22.5" customHeight="1">
      <c r="A21" s="415"/>
      <c r="B21" s="403">
        <v>3528</v>
      </c>
      <c r="C21" s="417" t="s">
        <v>199</v>
      </c>
      <c r="D21" s="405"/>
      <c r="E21" s="416"/>
      <c r="F21" s="416"/>
      <c r="G21" s="416"/>
      <c r="H21" s="416"/>
      <c r="I21" s="416"/>
      <c r="J21" s="416"/>
      <c r="K21" s="416"/>
      <c r="L21" s="416"/>
      <c r="M21" s="416"/>
      <c r="N21" s="416"/>
      <c r="O21" s="416"/>
      <c r="P21" s="416"/>
      <c r="Q21" s="416"/>
      <c r="R21" s="416"/>
      <c r="S21" s="408"/>
    </row>
    <row r="22" spans="1:19" ht="22.5" customHeight="1">
      <c r="A22" s="409"/>
      <c r="B22" s="410">
        <v>5200</v>
      </c>
      <c r="C22" s="411" t="s">
        <v>200</v>
      </c>
      <c r="D22" s="412"/>
      <c r="E22" s="413"/>
      <c r="F22" s="413"/>
      <c r="G22" s="413"/>
      <c r="H22" s="413"/>
      <c r="I22" s="413"/>
      <c r="J22" s="413"/>
      <c r="K22" s="413"/>
      <c r="L22" s="413"/>
      <c r="M22" s="413"/>
      <c r="N22" s="413"/>
      <c r="O22" s="413"/>
      <c r="P22" s="413"/>
      <c r="Q22" s="413"/>
      <c r="R22" s="413"/>
      <c r="S22" s="414"/>
    </row>
    <row r="23" spans="1:19" ht="22.5" customHeight="1">
      <c r="A23" s="415"/>
      <c r="B23" s="403">
        <v>5200</v>
      </c>
      <c r="C23" s="404" t="s">
        <v>201</v>
      </c>
      <c r="D23" s="405"/>
      <c r="E23" s="406"/>
      <c r="F23" s="416"/>
      <c r="G23" s="406"/>
      <c r="H23" s="416"/>
      <c r="I23" s="406"/>
      <c r="J23" s="416"/>
      <c r="K23" s="406"/>
      <c r="L23" s="416"/>
      <c r="M23" s="406"/>
      <c r="N23" s="416"/>
      <c r="O23" s="406"/>
      <c r="P23" s="416"/>
      <c r="Q23" s="406"/>
      <c r="R23" s="416"/>
      <c r="S23" s="408"/>
    </row>
    <row r="24" spans="1:19" ht="22.5" customHeight="1">
      <c r="A24" s="409"/>
      <c r="B24" s="410">
        <v>5200</v>
      </c>
      <c r="C24" s="411" t="s">
        <v>202</v>
      </c>
      <c r="D24" s="412"/>
      <c r="E24" s="413"/>
      <c r="F24" s="413"/>
      <c r="G24" s="413"/>
      <c r="H24" s="413"/>
      <c r="I24" s="413"/>
      <c r="J24" s="413"/>
      <c r="K24" s="413"/>
      <c r="L24" s="413"/>
      <c r="M24" s="413"/>
      <c r="N24" s="413"/>
      <c r="O24" s="413"/>
      <c r="P24" s="413"/>
      <c r="Q24" s="413"/>
      <c r="R24" s="413"/>
      <c r="S24" s="414"/>
    </row>
    <row r="25" spans="1:19" ht="22.5" customHeight="1">
      <c r="A25" s="415"/>
      <c r="B25" s="403">
        <v>5200</v>
      </c>
      <c r="C25" s="404" t="s">
        <v>203</v>
      </c>
      <c r="D25" s="405"/>
      <c r="E25" s="406"/>
      <c r="F25" s="416"/>
      <c r="G25" s="406"/>
      <c r="H25" s="416"/>
      <c r="I25" s="406"/>
      <c r="J25" s="416"/>
      <c r="K25" s="406"/>
      <c r="L25" s="416"/>
      <c r="M25" s="406"/>
      <c r="N25" s="416"/>
      <c r="O25" s="406"/>
      <c r="P25" s="416"/>
      <c r="Q25" s="406"/>
      <c r="R25" s="416"/>
      <c r="S25" s="408"/>
    </row>
    <row r="26" spans="1:19" ht="22.5" customHeight="1">
      <c r="A26" s="409"/>
      <c r="B26" s="410">
        <v>5201</v>
      </c>
      <c r="C26" s="411" t="s">
        <v>204</v>
      </c>
      <c r="D26" s="412"/>
      <c r="E26" s="413"/>
      <c r="F26" s="413"/>
      <c r="G26" s="413"/>
      <c r="H26" s="413"/>
      <c r="I26" s="413"/>
      <c r="J26" s="413"/>
      <c r="K26" s="413"/>
      <c r="L26" s="413"/>
      <c r="M26" s="413"/>
      <c r="N26" s="413"/>
      <c r="O26" s="413"/>
      <c r="P26" s="413"/>
      <c r="Q26" s="413"/>
      <c r="R26" s="413"/>
      <c r="S26" s="414"/>
    </row>
    <row r="27" spans="1:19" ht="22.5" customHeight="1">
      <c r="A27" s="415"/>
      <c r="B27" s="403">
        <v>5201</v>
      </c>
      <c r="C27" s="404" t="s">
        <v>205</v>
      </c>
      <c r="D27" s="405"/>
      <c r="E27" s="406"/>
      <c r="F27" s="416"/>
      <c r="G27" s="406"/>
      <c r="H27" s="416"/>
      <c r="I27" s="406"/>
      <c r="J27" s="416"/>
      <c r="K27" s="406"/>
      <c r="L27" s="416"/>
      <c r="M27" s="406"/>
      <c r="N27" s="416"/>
      <c r="O27" s="406"/>
      <c r="P27" s="416"/>
      <c r="Q27" s="406"/>
      <c r="R27" s="416"/>
      <c r="S27" s="408"/>
    </row>
    <row r="28" spans="1:19" ht="22.5" customHeight="1">
      <c r="A28" s="409"/>
      <c r="B28" s="410">
        <v>5201</v>
      </c>
      <c r="C28" s="411" t="s">
        <v>206</v>
      </c>
      <c r="D28" s="412"/>
      <c r="E28" s="413"/>
      <c r="F28" s="413"/>
      <c r="G28" s="413"/>
      <c r="H28" s="413"/>
      <c r="I28" s="413"/>
      <c r="J28" s="413"/>
      <c r="K28" s="413"/>
      <c r="L28" s="413"/>
      <c r="M28" s="413"/>
      <c r="N28" s="413"/>
      <c r="O28" s="413"/>
      <c r="P28" s="413"/>
      <c r="Q28" s="413"/>
      <c r="R28" s="413"/>
      <c r="S28" s="414"/>
    </row>
    <row r="29" spans="1:19" ht="22.5" customHeight="1">
      <c r="A29" s="415"/>
      <c r="B29" s="403">
        <v>5201</v>
      </c>
      <c r="C29" s="404" t="s">
        <v>207</v>
      </c>
      <c r="D29" s="405"/>
      <c r="E29" s="406"/>
      <c r="F29" s="416"/>
      <c r="G29" s="406"/>
      <c r="H29" s="416"/>
      <c r="I29" s="406"/>
      <c r="J29" s="416"/>
      <c r="K29" s="406"/>
      <c r="L29" s="416"/>
      <c r="M29" s="406"/>
      <c r="N29" s="416"/>
      <c r="O29" s="406"/>
      <c r="P29" s="416"/>
      <c r="Q29" s="406"/>
      <c r="R29" s="416"/>
      <c r="S29" s="408"/>
    </row>
    <row r="30" spans="1:19" ht="22.5" customHeight="1">
      <c r="A30" s="409"/>
      <c r="B30" s="410">
        <v>5202</v>
      </c>
      <c r="C30" s="411" t="s">
        <v>208</v>
      </c>
      <c r="D30" s="412"/>
      <c r="E30" s="413"/>
      <c r="F30" s="413"/>
      <c r="G30" s="413"/>
      <c r="H30" s="413"/>
      <c r="I30" s="413"/>
      <c r="J30" s="413"/>
      <c r="K30" s="413"/>
      <c r="L30" s="413"/>
      <c r="M30" s="413"/>
      <c r="N30" s="413"/>
      <c r="O30" s="413"/>
      <c r="P30" s="413"/>
      <c r="Q30" s="413"/>
      <c r="R30" s="413"/>
      <c r="S30" s="414"/>
    </row>
    <row r="31" spans="1:19" ht="22.5" customHeight="1">
      <c r="A31" s="415"/>
      <c r="B31" s="403">
        <v>5202</v>
      </c>
      <c r="C31" s="404" t="s">
        <v>209</v>
      </c>
      <c r="D31" s="405"/>
      <c r="E31" s="406"/>
      <c r="F31" s="416"/>
      <c r="G31" s="406"/>
      <c r="H31" s="416"/>
      <c r="I31" s="406"/>
      <c r="J31" s="416"/>
      <c r="K31" s="406"/>
      <c r="L31" s="416"/>
      <c r="M31" s="406"/>
      <c r="N31" s="416"/>
      <c r="O31" s="406"/>
      <c r="P31" s="416"/>
      <c r="Q31" s="406"/>
      <c r="R31" s="416"/>
      <c r="S31" s="408"/>
    </row>
    <row r="32" spans="1:19" ht="22.5" customHeight="1">
      <c r="A32" s="409"/>
      <c r="B32" s="410">
        <v>5202</v>
      </c>
      <c r="C32" s="411" t="s">
        <v>210</v>
      </c>
      <c r="D32" s="412"/>
      <c r="E32" s="413"/>
      <c r="F32" s="413"/>
      <c r="G32" s="413"/>
      <c r="H32" s="413"/>
      <c r="I32" s="413"/>
      <c r="J32" s="413"/>
      <c r="K32" s="413"/>
      <c r="L32" s="413"/>
      <c r="M32" s="413"/>
      <c r="N32" s="413"/>
      <c r="O32" s="413"/>
      <c r="P32" s="413"/>
      <c r="Q32" s="413"/>
      <c r="R32" s="413"/>
      <c r="S32" s="414"/>
    </row>
    <row r="33" spans="1:19" ht="22.5" customHeight="1">
      <c r="A33" s="415"/>
      <c r="B33" s="403">
        <v>9123</v>
      </c>
      <c r="C33" s="418" t="s">
        <v>211</v>
      </c>
      <c r="D33" s="405"/>
      <c r="E33" s="406"/>
      <c r="F33" s="416"/>
      <c r="G33" s="406"/>
      <c r="H33" s="416"/>
      <c r="I33" s="406"/>
      <c r="J33" s="416"/>
      <c r="K33" s="406"/>
      <c r="L33" s="416"/>
      <c r="M33" s="406"/>
      <c r="N33" s="416"/>
      <c r="O33" s="406"/>
      <c r="P33" s="416"/>
      <c r="Q33" s="406"/>
      <c r="R33" s="416"/>
      <c r="S33" s="408"/>
    </row>
    <row r="34" spans="1:19" ht="22.5" customHeight="1">
      <c r="A34" s="409"/>
      <c r="B34" s="410">
        <v>5204</v>
      </c>
      <c r="C34" s="419" t="s">
        <v>212</v>
      </c>
      <c r="D34" s="412"/>
      <c r="E34" s="413"/>
      <c r="F34" s="413"/>
      <c r="G34" s="413"/>
      <c r="H34" s="413"/>
      <c r="I34" s="413"/>
      <c r="J34" s="413"/>
      <c r="K34" s="413"/>
      <c r="L34" s="413"/>
      <c r="M34" s="413"/>
      <c r="N34" s="413"/>
      <c r="O34" s="413"/>
      <c r="P34" s="413"/>
      <c r="Q34" s="413"/>
      <c r="R34" s="413"/>
      <c r="S34" s="414"/>
    </row>
    <row r="35" spans="1:19" ht="22.5" customHeight="1">
      <c r="A35" s="415"/>
      <c r="B35" s="403">
        <v>5205</v>
      </c>
      <c r="C35" s="418" t="s">
        <v>213</v>
      </c>
      <c r="D35" s="405"/>
      <c r="E35" s="406"/>
      <c r="F35" s="416"/>
      <c r="G35" s="406"/>
      <c r="H35" s="416"/>
      <c r="I35" s="406"/>
      <c r="J35" s="416"/>
      <c r="K35" s="406"/>
      <c r="L35" s="416"/>
      <c r="M35" s="406"/>
      <c r="N35" s="416"/>
      <c r="O35" s="406"/>
      <c r="P35" s="416"/>
      <c r="Q35" s="406"/>
      <c r="R35" s="416"/>
      <c r="S35" s="408"/>
    </row>
    <row r="36" spans="1:19" ht="22.5" customHeight="1">
      <c r="A36" s="409"/>
      <c r="B36" s="410">
        <v>3300</v>
      </c>
      <c r="C36" s="419" t="s">
        <v>214</v>
      </c>
      <c r="D36" s="412"/>
      <c r="E36" s="413"/>
      <c r="F36" s="413"/>
      <c r="G36" s="413"/>
      <c r="H36" s="413"/>
      <c r="I36" s="413"/>
      <c r="J36" s="413"/>
      <c r="K36" s="413"/>
      <c r="L36" s="413"/>
      <c r="M36" s="413"/>
      <c r="N36" s="413"/>
      <c r="O36" s="413"/>
      <c r="P36" s="413"/>
      <c r="Q36" s="413"/>
      <c r="R36" s="413"/>
      <c r="S36" s="414"/>
    </row>
    <row r="37" spans="1:19" ht="22.5" customHeight="1">
      <c r="A37" s="415"/>
      <c r="B37" s="403">
        <v>3202</v>
      </c>
      <c r="C37" s="418" t="s">
        <v>215</v>
      </c>
      <c r="D37" s="405"/>
      <c r="E37" s="406"/>
      <c r="F37" s="416"/>
      <c r="G37" s="406"/>
      <c r="H37" s="416"/>
      <c r="I37" s="406"/>
      <c r="J37" s="416"/>
      <c r="K37" s="406"/>
      <c r="L37" s="416"/>
      <c r="M37" s="406"/>
      <c r="N37" s="416"/>
      <c r="O37" s="406"/>
      <c r="P37" s="416"/>
      <c r="Q37" s="406"/>
      <c r="R37" s="416"/>
      <c r="S37" s="408"/>
    </row>
    <row r="38" spans="1:19" ht="22.5" customHeight="1">
      <c r="A38" s="409"/>
      <c r="B38" s="410">
        <v>3501</v>
      </c>
      <c r="C38" s="419" t="s">
        <v>216</v>
      </c>
      <c r="D38" s="412"/>
      <c r="E38" s="413"/>
      <c r="F38" s="413"/>
      <c r="G38" s="413"/>
      <c r="H38" s="413"/>
      <c r="I38" s="413"/>
      <c r="J38" s="413"/>
      <c r="K38" s="413"/>
      <c r="L38" s="413"/>
      <c r="M38" s="413"/>
      <c r="N38" s="413"/>
      <c r="O38" s="413"/>
      <c r="P38" s="413"/>
      <c r="Q38" s="413"/>
      <c r="R38" s="413"/>
      <c r="S38" s="414"/>
    </row>
    <row r="39" spans="1:19" ht="22.5" customHeight="1">
      <c r="A39" s="415"/>
      <c r="B39" s="403">
        <v>3503</v>
      </c>
      <c r="C39" s="418" t="s">
        <v>217</v>
      </c>
      <c r="D39" s="405"/>
      <c r="E39" s="406"/>
      <c r="F39" s="416"/>
      <c r="G39" s="406"/>
      <c r="H39" s="416"/>
      <c r="I39" s="406"/>
      <c r="J39" s="416"/>
      <c r="K39" s="406"/>
      <c r="L39" s="416"/>
      <c r="M39" s="406"/>
      <c r="N39" s="416"/>
      <c r="O39" s="406"/>
      <c r="P39" s="416"/>
      <c r="Q39" s="406"/>
      <c r="R39" s="416"/>
      <c r="S39" s="408"/>
    </row>
    <row r="40" spans="1:19" ht="22.5" customHeight="1">
      <c r="A40" s="409"/>
      <c r="B40" s="410">
        <v>3504</v>
      </c>
      <c r="C40" s="419" t="s">
        <v>218</v>
      </c>
      <c r="D40" s="412"/>
      <c r="E40" s="413"/>
      <c r="F40" s="413"/>
      <c r="G40" s="413"/>
      <c r="H40" s="413"/>
      <c r="I40" s="413"/>
      <c r="J40" s="413"/>
      <c r="K40" s="413"/>
      <c r="L40" s="413"/>
      <c r="M40" s="413"/>
      <c r="N40" s="413"/>
      <c r="O40" s="413"/>
      <c r="P40" s="413"/>
      <c r="Q40" s="413"/>
      <c r="R40" s="413"/>
      <c r="S40" s="414"/>
    </row>
    <row r="41" spans="1:19" ht="22.5" customHeight="1">
      <c r="A41" s="415"/>
      <c r="B41" s="403">
        <v>3506</v>
      </c>
      <c r="C41" s="418" t="s">
        <v>219</v>
      </c>
      <c r="D41" s="405"/>
      <c r="E41" s="406"/>
      <c r="F41" s="416"/>
      <c r="G41" s="406"/>
      <c r="H41" s="416"/>
      <c r="I41" s="406"/>
      <c r="J41" s="416"/>
      <c r="K41" s="406"/>
      <c r="L41" s="416"/>
      <c r="M41" s="406"/>
      <c r="N41" s="416"/>
      <c r="O41" s="406"/>
      <c r="P41" s="416"/>
      <c r="Q41" s="406"/>
      <c r="R41" s="416"/>
      <c r="S41" s="408"/>
    </row>
    <row r="42" spans="1:19" ht="22.5" customHeight="1">
      <c r="A42" s="409"/>
      <c r="B42" s="410">
        <v>3503</v>
      </c>
      <c r="C42" s="419" t="s">
        <v>220</v>
      </c>
      <c r="D42" s="412"/>
      <c r="E42" s="413"/>
      <c r="F42" s="413"/>
      <c r="G42" s="413"/>
      <c r="H42" s="413"/>
      <c r="I42" s="413"/>
      <c r="J42" s="413"/>
      <c r="K42" s="413"/>
      <c r="L42" s="413"/>
      <c r="M42" s="413"/>
      <c r="N42" s="413"/>
      <c r="O42" s="413"/>
      <c r="P42" s="413"/>
      <c r="Q42" s="413"/>
      <c r="R42" s="413"/>
      <c r="S42" s="414"/>
    </row>
    <row r="43" spans="1:19" ht="22.5" customHeight="1">
      <c r="A43" s="415"/>
      <c r="B43" s="403">
        <v>3504</v>
      </c>
      <c r="C43" s="418" t="s">
        <v>221</v>
      </c>
      <c r="D43" s="405"/>
      <c r="E43" s="406"/>
      <c r="F43" s="416"/>
      <c r="G43" s="406"/>
      <c r="H43" s="416"/>
      <c r="I43" s="406"/>
      <c r="J43" s="416"/>
      <c r="K43" s="406"/>
      <c r="L43" s="416"/>
      <c r="M43" s="406"/>
      <c r="N43" s="416"/>
      <c r="O43" s="406"/>
      <c r="P43" s="416"/>
      <c r="Q43" s="406"/>
      <c r="R43" s="416"/>
      <c r="S43" s="408"/>
    </row>
    <row r="44" spans="1:19" ht="22.5" customHeight="1">
      <c r="A44" s="409"/>
      <c r="B44" s="410">
        <v>3506</v>
      </c>
      <c r="C44" s="419" t="s">
        <v>222</v>
      </c>
      <c r="D44" s="412"/>
      <c r="E44" s="413"/>
      <c r="F44" s="413"/>
      <c r="G44" s="413"/>
      <c r="H44" s="413"/>
      <c r="I44" s="413"/>
      <c r="J44" s="413"/>
      <c r="K44" s="413"/>
      <c r="L44" s="413"/>
      <c r="M44" s="413"/>
      <c r="N44" s="413"/>
      <c r="O44" s="413"/>
      <c r="P44" s="413"/>
      <c r="Q44" s="413"/>
      <c r="R44" s="413"/>
      <c r="S44" s="414"/>
    </row>
    <row r="45" spans="1:19" ht="22.5" customHeight="1">
      <c r="A45" s="415"/>
      <c r="B45" s="403">
        <v>3508</v>
      </c>
      <c r="C45" s="418" t="s">
        <v>223</v>
      </c>
      <c r="D45" s="405"/>
      <c r="E45" s="406"/>
      <c r="F45" s="416"/>
      <c r="G45" s="406"/>
      <c r="H45" s="416"/>
      <c r="I45" s="406"/>
      <c r="J45" s="416"/>
      <c r="K45" s="406"/>
      <c r="L45" s="416"/>
      <c r="M45" s="406"/>
      <c r="N45" s="416"/>
      <c r="O45" s="406"/>
      <c r="P45" s="416"/>
      <c r="Q45" s="406"/>
      <c r="R45" s="416"/>
      <c r="S45" s="408"/>
    </row>
    <row r="46" spans="1:19" ht="22.5" customHeight="1">
      <c r="A46" s="409"/>
      <c r="B46" s="410"/>
      <c r="C46" s="420"/>
      <c r="D46" s="421"/>
      <c r="E46" s="413"/>
      <c r="F46" s="413"/>
      <c r="G46" s="413"/>
      <c r="H46" s="413"/>
      <c r="I46" s="413"/>
      <c r="J46" s="413"/>
      <c r="K46" s="413"/>
      <c r="L46" s="413"/>
      <c r="M46" s="413"/>
      <c r="N46" s="413"/>
      <c r="O46" s="413"/>
      <c r="P46" s="413"/>
      <c r="Q46" s="413"/>
      <c r="R46" s="413"/>
      <c r="S46" s="414"/>
    </row>
    <row r="47" spans="1:19" ht="22.5" customHeight="1" thickBot="1">
      <c r="A47" s="422"/>
      <c r="B47" s="423"/>
      <c r="C47" s="424"/>
      <c r="D47" s="425"/>
      <c r="E47" s="426"/>
      <c r="F47" s="427"/>
      <c r="G47" s="426"/>
      <c r="H47" s="427"/>
      <c r="I47" s="426"/>
      <c r="J47" s="427"/>
      <c r="K47" s="426"/>
      <c r="L47" s="427"/>
      <c r="M47" s="426"/>
      <c r="N47" s="427"/>
      <c r="O47" s="426"/>
      <c r="P47" s="427"/>
      <c r="Q47" s="426"/>
      <c r="R47" s="427"/>
      <c r="S47" s="428"/>
    </row>
    <row r="48" spans="1:19" ht="8.25" customHeight="1">
      <c r="A48" s="389"/>
      <c r="D48" s="38"/>
      <c r="F48" s="21"/>
      <c r="H48" s="21"/>
      <c r="J48" s="21"/>
      <c r="L48" s="21"/>
      <c r="N48" s="21"/>
      <c r="P48" s="21"/>
      <c r="R48" s="21"/>
    </row>
    <row r="49" spans="1:18">
      <c r="A49" s="389"/>
      <c r="F49" s="21"/>
      <c r="H49" s="21"/>
      <c r="J49" s="21"/>
      <c r="L49" s="21"/>
      <c r="N49" s="21"/>
      <c r="P49" s="21"/>
      <c r="R49" s="21"/>
    </row>
    <row r="50" spans="1:18">
      <c r="A50" s="389"/>
      <c r="F50" s="21"/>
      <c r="H50" s="21"/>
      <c r="J50" s="21"/>
      <c r="L50" s="21"/>
      <c r="N50" s="21"/>
      <c r="P50" s="21"/>
      <c r="R50" s="21"/>
    </row>
    <row r="51" spans="1:18">
      <c r="A51" s="389"/>
      <c r="F51" s="21"/>
      <c r="H51" s="21"/>
      <c r="J51" s="21"/>
      <c r="L51" s="21"/>
      <c r="N51" s="21"/>
      <c r="P51" s="21"/>
      <c r="R51" s="21"/>
    </row>
    <row r="52" spans="1:18">
      <c r="A52" s="389"/>
      <c r="F52" s="21"/>
      <c r="H52" s="21"/>
      <c r="J52" s="21"/>
      <c r="L52" s="21"/>
      <c r="N52" s="21"/>
      <c r="P52" s="21"/>
      <c r="R52" s="21"/>
    </row>
    <row r="53" spans="1:18">
      <c r="A53" s="389"/>
      <c r="F53" s="21"/>
      <c r="H53" s="21"/>
      <c r="J53" s="21"/>
      <c r="L53" s="21"/>
      <c r="N53" s="21"/>
      <c r="P53" s="21"/>
      <c r="R53" s="21"/>
    </row>
    <row r="54" spans="1:18">
      <c r="A54" s="389"/>
      <c r="F54" s="21"/>
      <c r="H54" s="21"/>
      <c r="J54" s="21"/>
      <c r="L54" s="21"/>
      <c r="N54" s="21"/>
      <c r="P54" s="21"/>
      <c r="R54" s="21"/>
    </row>
    <row r="55" spans="1:18">
      <c r="A55" s="389"/>
      <c r="F55" s="21"/>
      <c r="H55" s="21"/>
      <c r="J55" s="21"/>
      <c r="L55" s="21"/>
      <c r="N55" s="21"/>
      <c r="P55" s="21"/>
      <c r="R55" s="21"/>
    </row>
    <row r="56" spans="1:18">
      <c r="A56" s="389"/>
      <c r="F56" s="21"/>
      <c r="H56" s="21"/>
      <c r="J56" s="21"/>
      <c r="L56" s="21"/>
      <c r="N56" s="21"/>
      <c r="P56" s="21"/>
      <c r="R56" s="21"/>
    </row>
    <row r="57" spans="1:18">
      <c r="A57" s="389"/>
      <c r="F57" s="21"/>
      <c r="H57" s="21"/>
      <c r="J57" s="21"/>
      <c r="L57" s="21"/>
      <c r="N57" s="21"/>
      <c r="P57" s="21"/>
      <c r="R57" s="21"/>
    </row>
    <row r="58" spans="1:18">
      <c r="A58" s="389"/>
      <c r="F58" s="21"/>
      <c r="H58" s="21"/>
      <c r="J58" s="21"/>
      <c r="L58" s="21"/>
      <c r="N58" s="21"/>
      <c r="P58" s="21"/>
      <c r="R58" s="21"/>
    </row>
    <row r="59" spans="1:18">
      <c r="A59" s="389"/>
      <c r="F59" s="21"/>
      <c r="H59" s="21"/>
      <c r="J59" s="21"/>
      <c r="L59" s="21"/>
      <c r="N59" s="21"/>
      <c r="P59" s="21"/>
      <c r="R59" s="21"/>
    </row>
    <row r="60" spans="1:18">
      <c r="A60" s="389"/>
      <c r="F60" s="21"/>
      <c r="H60" s="21"/>
      <c r="J60" s="21"/>
      <c r="L60" s="21"/>
      <c r="N60" s="21"/>
      <c r="P60" s="21"/>
      <c r="R60" s="21"/>
    </row>
    <row r="61" spans="1:18">
      <c r="A61" s="389"/>
      <c r="F61" s="21"/>
      <c r="H61" s="21"/>
      <c r="J61" s="21"/>
      <c r="L61" s="21"/>
      <c r="N61" s="21"/>
      <c r="P61" s="21"/>
      <c r="R61" s="21"/>
    </row>
    <row r="62" spans="1:18">
      <c r="A62" s="389"/>
      <c r="F62" s="21"/>
      <c r="H62" s="21"/>
      <c r="J62" s="21"/>
      <c r="L62" s="21"/>
      <c r="N62" s="21"/>
      <c r="P62" s="21"/>
      <c r="R62" s="21"/>
    </row>
    <row r="63" spans="1:18">
      <c r="A63" s="389"/>
      <c r="F63" s="21"/>
      <c r="H63" s="21"/>
      <c r="J63" s="21"/>
      <c r="L63" s="21"/>
      <c r="N63" s="21"/>
      <c r="P63" s="21"/>
      <c r="R63" s="21"/>
    </row>
    <row r="64" spans="1:18">
      <c r="A64" s="389"/>
      <c r="F64" s="21"/>
      <c r="H64" s="21"/>
      <c r="J64" s="21"/>
      <c r="L64" s="21"/>
      <c r="N64" s="21"/>
      <c r="P64" s="21"/>
      <c r="R64" s="21"/>
    </row>
    <row r="65" spans="1:18">
      <c r="A65" s="389"/>
      <c r="F65" s="21"/>
      <c r="H65" s="21"/>
      <c r="J65" s="21"/>
      <c r="L65" s="21"/>
      <c r="N65" s="21"/>
      <c r="P65" s="21"/>
      <c r="R65" s="21"/>
    </row>
    <row r="66" spans="1:18">
      <c r="A66" s="389"/>
      <c r="F66" s="21"/>
      <c r="H66" s="21"/>
      <c r="J66" s="21"/>
      <c r="L66" s="21"/>
      <c r="N66" s="21"/>
      <c r="P66" s="21"/>
      <c r="R66" s="21"/>
    </row>
    <row r="67" spans="1:18">
      <c r="A67" s="389"/>
      <c r="F67" s="21"/>
      <c r="H67" s="21"/>
      <c r="J67" s="21"/>
      <c r="L67" s="21"/>
      <c r="N67" s="21"/>
      <c r="P67" s="21"/>
      <c r="R67" s="21"/>
    </row>
    <row r="68" spans="1:18">
      <c r="A68" s="389"/>
      <c r="F68" s="21"/>
      <c r="H68" s="21"/>
      <c r="J68" s="21"/>
      <c r="L68" s="21"/>
      <c r="N68" s="21"/>
      <c r="P68" s="21"/>
      <c r="R68" s="21"/>
    </row>
    <row r="69" spans="1:18">
      <c r="A69" s="389"/>
      <c r="F69" s="21"/>
      <c r="H69" s="21"/>
      <c r="J69" s="21"/>
      <c r="L69" s="21"/>
      <c r="N69" s="21"/>
      <c r="P69" s="21"/>
      <c r="R69" s="21"/>
    </row>
    <row r="70" spans="1:18">
      <c r="A70" s="389"/>
      <c r="F70" s="21"/>
      <c r="H70" s="21"/>
      <c r="J70" s="21"/>
      <c r="L70" s="21"/>
      <c r="N70" s="21"/>
      <c r="P70" s="21"/>
      <c r="R70" s="21"/>
    </row>
    <row r="71" spans="1:18">
      <c r="A71" s="389"/>
      <c r="F71" s="21"/>
      <c r="H71" s="21"/>
      <c r="J71" s="21"/>
      <c r="L71" s="21"/>
      <c r="N71" s="21"/>
      <c r="P71" s="21"/>
      <c r="R71" s="21"/>
    </row>
    <row r="72" spans="1:18">
      <c r="A72" s="389"/>
      <c r="F72" s="21"/>
      <c r="H72" s="21"/>
      <c r="J72" s="21"/>
      <c r="L72" s="21"/>
      <c r="N72" s="21"/>
      <c r="P72" s="21"/>
      <c r="R72" s="21"/>
    </row>
    <row r="73" spans="1:18">
      <c r="A73" s="389"/>
      <c r="F73" s="21"/>
      <c r="H73" s="21"/>
      <c r="J73" s="21"/>
      <c r="L73" s="21"/>
      <c r="N73" s="21"/>
      <c r="P73" s="21"/>
      <c r="R73" s="21"/>
    </row>
    <row r="74" spans="1:18">
      <c r="A74" s="389"/>
      <c r="F74" s="21"/>
      <c r="H74" s="21"/>
      <c r="J74" s="21"/>
      <c r="L74" s="21"/>
      <c r="N74" s="21"/>
      <c r="P74" s="21"/>
      <c r="R74" s="21"/>
    </row>
    <row r="75" spans="1:18">
      <c r="A75" s="389"/>
      <c r="F75" s="21"/>
      <c r="H75" s="21"/>
      <c r="J75" s="21"/>
      <c r="L75" s="21"/>
      <c r="N75" s="21"/>
      <c r="P75" s="21"/>
      <c r="R75" s="21"/>
    </row>
    <row r="76" spans="1:18">
      <c r="A76" s="389"/>
      <c r="F76" s="21"/>
      <c r="H76" s="21"/>
      <c r="J76" s="21"/>
      <c r="L76" s="21"/>
      <c r="N76" s="21"/>
      <c r="P76" s="21"/>
      <c r="R76" s="21"/>
    </row>
    <row r="77" spans="1:18">
      <c r="A77" s="389"/>
      <c r="F77" s="21"/>
      <c r="H77" s="21"/>
      <c r="J77" s="21"/>
      <c r="L77" s="21"/>
      <c r="N77" s="21"/>
      <c r="P77" s="21"/>
      <c r="R77" s="21"/>
    </row>
    <row r="78" spans="1:18">
      <c r="A78" s="389"/>
      <c r="F78" s="21"/>
      <c r="H78" s="21"/>
      <c r="J78" s="21"/>
      <c r="L78" s="21"/>
      <c r="N78" s="21"/>
      <c r="P78" s="21"/>
      <c r="R78" s="21"/>
    </row>
    <row r="79" spans="1:18">
      <c r="A79" s="389"/>
      <c r="F79" s="21"/>
      <c r="H79" s="21"/>
      <c r="J79" s="21"/>
      <c r="L79" s="21"/>
      <c r="N79" s="21"/>
      <c r="P79" s="21"/>
      <c r="R79" s="21"/>
    </row>
    <row r="80" spans="1:18">
      <c r="A80" s="389"/>
      <c r="F80" s="21"/>
      <c r="H80" s="21"/>
      <c r="J80" s="21"/>
      <c r="L80" s="21"/>
      <c r="N80" s="21"/>
      <c r="P80" s="21"/>
      <c r="R80" s="21"/>
    </row>
  </sheetData>
  <mergeCells count="3">
    <mergeCell ref="D1:N1"/>
    <mergeCell ref="A12:B12"/>
    <mergeCell ref="E5:S5"/>
  </mergeCells>
  <phoneticPr fontId="12" type="noConversion"/>
  <printOptions horizontalCentered="1" verticalCentered="1"/>
  <pageMargins left="0" right="0" top="0" bottom="0.39370078740157483" header="0" footer="0"/>
  <pageSetup paperSize="9" scale="85" orientation="portrait" r:id="rId1"/>
  <headerFooter alignWithMargins="0">
    <oddFooter>&amp;LEdité le &amp;D&amp;C&amp;P/&amp;N</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Feuil36">
    <tabColor indexed="42"/>
    <pageSetUpPr fitToPage="1"/>
  </sheetPr>
  <dimension ref="A1:V68"/>
  <sheetViews>
    <sheetView showGridLines="0" view="pageBreakPreview" zoomScaleNormal="100" zoomScaleSheetLayoutView="100" workbookViewId="0">
      <selection activeCell="E2" sqref="E2"/>
    </sheetView>
  </sheetViews>
  <sheetFormatPr baseColWidth="10" defaultColWidth="11.42578125" defaultRowHeight="12.75"/>
  <cols>
    <col min="1" max="1" width="1.7109375" style="429" customWidth="1"/>
    <col min="2" max="2" width="12.42578125" style="484" bestFit="1" customWidth="1"/>
    <col min="3" max="3" width="5.140625" style="485" customWidth="1"/>
    <col min="4" max="4" width="15.42578125" style="40" bestFit="1" customWidth="1"/>
    <col min="5" max="5" width="5.140625" style="486" customWidth="1"/>
    <col min="6" max="6" width="5.140625" customWidth="1"/>
    <col min="7" max="7" width="5.140625" style="486" customWidth="1"/>
    <col min="8" max="12" width="5.140625" customWidth="1"/>
    <col min="13" max="13" width="5.140625" style="486" customWidth="1"/>
    <col min="14" max="14" width="5.140625" customWidth="1"/>
    <col min="15" max="15" width="5.140625" style="486" customWidth="1"/>
    <col min="16" max="16" width="5.140625" customWidth="1"/>
    <col min="17" max="17" width="5.140625" style="486" customWidth="1"/>
    <col min="18" max="18" width="5.140625" customWidth="1"/>
    <col min="19" max="19" width="5.140625" style="486" customWidth="1"/>
    <col min="20" max="20" width="5.140625" customWidth="1"/>
    <col min="21" max="21" width="5.140625" style="486" customWidth="1"/>
    <col min="22" max="22" width="5.140625" customWidth="1"/>
  </cols>
  <sheetData>
    <row r="1" spans="1:22" s="22" customFormat="1" ht="20.100000000000001" customHeight="1">
      <c r="A1" s="382"/>
      <c r="B1" s="383"/>
      <c r="C1" s="2264" t="s">
        <v>224</v>
      </c>
      <c r="D1" s="2264"/>
      <c r="E1" s="2264"/>
      <c r="F1" s="2264"/>
      <c r="G1" s="2264"/>
      <c r="H1" s="2264"/>
      <c r="I1" s="2264"/>
      <c r="J1" s="2264"/>
      <c r="K1" s="2264"/>
      <c r="L1" s="2264"/>
      <c r="M1" s="2264"/>
      <c r="N1" s="2264"/>
      <c r="O1" s="2264"/>
      <c r="P1" s="2264"/>
      <c r="Q1" s="2264"/>
      <c r="R1" s="384"/>
      <c r="S1" s="431"/>
      <c r="T1" s="350"/>
      <c r="U1" s="350"/>
      <c r="V1" s="350"/>
    </row>
    <row r="2" spans="1:22" s="22" customFormat="1" ht="9" customHeight="1">
      <c r="A2" s="382"/>
      <c r="B2" s="383"/>
      <c r="C2" s="432"/>
      <c r="D2" s="433"/>
    </row>
    <row r="3" spans="1:22" s="22" customFormat="1">
      <c r="A3" s="382"/>
      <c r="B3" s="383"/>
      <c r="C3" s="432"/>
      <c r="D3" s="433"/>
    </row>
    <row r="4" spans="1:22" s="130" customFormat="1" ht="20.100000000000001" customHeight="1">
      <c r="A4" s="728" t="s">
        <v>798</v>
      </c>
      <c r="B4" s="197"/>
      <c r="C4" s="197"/>
      <c r="D4" s="729" t="str">
        <f>IF(ISBLANK(oeOTP),"",oeOTP)</f>
        <v/>
      </c>
      <c r="E4" s="734"/>
      <c r="H4" s="730"/>
      <c r="I4" s="730" t="s">
        <v>801</v>
      </c>
      <c r="J4" s="18"/>
      <c r="K4" s="549" t="str">
        <f>IF(ISBLANK(oVille),"",oVille)</f>
        <v/>
      </c>
    </row>
    <row r="5" spans="1:22" s="130" customFormat="1" ht="27.75" customHeight="1">
      <c r="A5" s="728" t="s">
        <v>471</v>
      </c>
      <c r="E5" s="1792" t="str">
        <f>IF(ISBLANK(oLibelleOTP),"",oLibelleOTP)</f>
        <v/>
      </c>
      <c r="F5" s="1792"/>
      <c r="G5" s="1792"/>
      <c r="H5" s="1792"/>
      <c r="I5" s="1792"/>
      <c r="J5" s="1792"/>
      <c r="K5" s="1792"/>
      <c r="L5" s="1792"/>
      <c r="M5" s="1792"/>
      <c r="N5" s="1792"/>
      <c r="O5" s="1792"/>
      <c r="P5" s="1792"/>
      <c r="Q5" s="1792"/>
      <c r="R5" s="1792"/>
      <c r="S5" s="1792"/>
      <c r="T5" s="1792"/>
      <c r="U5" s="1792"/>
      <c r="V5" s="611"/>
    </row>
    <row r="6" spans="1:22" s="122" customFormat="1" ht="20.100000000000001" customHeight="1">
      <c r="A6" s="31"/>
      <c r="E6" s="19"/>
      <c r="G6" s="19"/>
      <c r="H6" s="19"/>
      <c r="I6" s="19"/>
      <c r="J6" s="19"/>
      <c r="K6" s="19"/>
      <c r="L6" s="19"/>
      <c r="M6" s="19"/>
      <c r="N6" s="19"/>
      <c r="O6" s="19"/>
    </row>
    <row r="7" spans="1:22" s="122" customFormat="1" ht="20.100000000000001" customHeight="1">
      <c r="A7" s="31"/>
      <c r="E7" s="19"/>
      <c r="G7" s="19"/>
      <c r="H7" s="19"/>
      <c r="I7" s="19"/>
      <c r="J7" s="19"/>
      <c r="K7" s="19"/>
      <c r="L7" s="19"/>
      <c r="M7" s="19"/>
      <c r="N7" s="19"/>
      <c r="O7" s="19"/>
    </row>
    <row r="8" spans="1:22" s="21" customFormat="1" ht="20.25" customHeight="1">
      <c r="A8" s="31"/>
      <c r="B8" s="388"/>
      <c r="C8" s="388"/>
      <c r="D8" s="144"/>
      <c r="E8" s="144"/>
      <c r="F8" s="144"/>
      <c r="G8" s="144"/>
      <c r="H8" s="144"/>
      <c r="I8" s="144"/>
      <c r="J8" s="144"/>
      <c r="K8" s="144"/>
      <c r="L8" s="144"/>
      <c r="M8" s="144"/>
      <c r="N8" s="144"/>
      <c r="O8" s="144"/>
      <c r="P8" s="144"/>
      <c r="Q8" s="144"/>
    </row>
    <row r="9" spans="1:22" ht="3" customHeight="1">
      <c r="A9" s="389"/>
      <c r="B9" s="388"/>
      <c r="C9" s="353"/>
      <c r="E9" s="144"/>
      <c r="F9" s="144"/>
      <c r="G9" s="144"/>
      <c r="H9" s="144"/>
      <c r="I9" s="144"/>
      <c r="J9" s="144"/>
      <c r="K9" s="144"/>
      <c r="L9" s="144"/>
      <c r="M9" s="144"/>
      <c r="N9" s="144"/>
      <c r="O9" s="144"/>
      <c r="P9" s="144"/>
      <c r="Q9" s="144"/>
      <c r="R9" s="144"/>
      <c r="S9" s="144"/>
      <c r="T9" s="144"/>
      <c r="U9"/>
    </row>
    <row r="10" spans="1:22" ht="12.75" customHeight="1" thickBot="1">
      <c r="A10" s="389"/>
      <c r="B10" s="388"/>
      <c r="C10" s="353"/>
      <c r="D10" s="34"/>
      <c r="E10" s="144"/>
      <c r="F10" s="144"/>
      <c r="G10" s="144"/>
      <c r="H10" s="144"/>
      <c r="I10" s="144"/>
      <c r="J10" s="144"/>
      <c r="K10" s="144"/>
      <c r="L10" s="144"/>
      <c r="M10" s="144"/>
      <c r="N10" s="144"/>
      <c r="O10" s="144"/>
      <c r="P10" s="144"/>
      <c r="Q10" s="144"/>
      <c r="R10" s="144"/>
      <c r="S10" s="144"/>
      <c r="T10" s="144"/>
      <c r="U10"/>
    </row>
    <row r="11" spans="1:22" ht="27" customHeight="1" thickTop="1" thickBot="1">
      <c r="A11" s="2265" t="s">
        <v>225</v>
      </c>
      <c r="B11" s="2266"/>
      <c r="C11" s="434"/>
      <c r="D11" s="435"/>
      <c r="E11" s="435"/>
      <c r="F11" s="435"/>
      <c r="G11" s="435"/>
      <c r="H11" s="435"/>
      <c r="I11" s="435"/>
      <c r="J11" s="435"/>
      <c r="K11" s="435"/>
      <c r="L11" s="435"/>
      <c r="M11" s="435"/>
      <c r="N11" s="435"/>
      <c r="O11" s="435"/>
      <c r="P11" s="435"/>
      <c r="Q11" s="435"/>
      <c r="R11" s="435"/>
      <c r="S11" s="435"/>
      <c r="T11" s="435"/>
      <c r="U11" s="435"/>
      <c r="V11" s="436"/>
    </row>
    <row r="12" spans="1:22" ht="8.25" customHeight="1" thickTop="1" thickBot="1">
      <c r="A12" s="389"/>
      <c r="B12" s="388"/>
      <c r="C12" s="437"/>
      <c r="D12" s="437"/>
      <c r="E12" s="437"/>
      <c r="F12" s="437"/>
      <c r="G12" s="437"/>
      <c r="H12" s="437"/>
      <c r="I12" s="437"/>
      <c r="J12" s="437"/>
      <c r="K12" s="437"/>
      <c r="L12" s="437"/>
      <c r="M12" s="437"/>
      <c r="N12" s="437"/>
      <c r="O12" s="437"/>
      <c r="P12" s="437"/>
      <c r="Q12" s="437"/>
      <c r="R12" s="437"/>
      <c r="S12" s="437"/>
      <c r="T12" s="437"/>
      <c r="U12" s="437"/>
    </row>
    <row r="13" spans="1:22" ht="22.5" customHeight="1">
      <c r="A13" s="2267" t="s">
        <v>226</v>
      </c>
      <c r="B13" s="2268"/>
      <c r="C13" s="438"/>
      <c r="D13" s="439"/>
      <c r="E13" s="439"/>
      <c r="F13" s="439"/>
      <c r="G13" s="439"/>
      <c r="H13" s="439"/>
      <c r="I13" s="439"/>
      <c r="J13" s="439"/>
      <c r="K13" s="439"/>
      <c r="L13" s="439"/>
      <c r="M13" s="439"/>
      <c r="N13" s="439"/>
      <c r="O13" s="439"/>
      <c r="P13" s="439"/>
      <c r="Q13" s="439"/>
      <c r="R13" s="439"/>
      <c r="S13" s="439"/>
      <c r="T13" s="439"/>
      <c r="U13" s="439"/>
      <c r="V13" s="401"/>
    </row>
    <row r="14" spans="1:22" ht="22.5" customHeight="1">
      <c r="A14" s="2269" t="s">
        <v>227</v>
      </c>
      <c r="B14" s="2270"/>
      <c r="C14" s="440"/>
      <c r="D14" s="441"/>
      <c r="E14" s="442"/>
      <c r="F14" s="441"/>
      <c r="G14" s="442"/>
      <c r="H14" s="441"/>
      <c r="I14" s="441"/>
      <c r="J14" s="441"/>
      <c r="K14" s="441"/>
      <c r="L14" s="441"/>
      <c r="M14" s="442"/>
      <c r="N14" s="441"/>
      <c r="O14" s="442"/>
      <c r="P14" s="441"/>
      <c r="Q14" s="442"/>
      <c r="R14" s="441"/>
      <c r="S14" s="442"/>
      <c r="T14" s="441"/>
      <c r="U14" s="442"/>
      <c r="V14" s="408"/>
    </row>
    <row r="15" spans="1:22" ht="22.5" customHeight="1">
      <c r="A15" s="2271" t="s">
        <v>228</v>
      </c>
      <c r="B15" s="2272"/>
      <c r="C15" s="443"/>
      <c r="D15" s="444"/>
      <c r="E15" s="444"/>
      <c r="F15" s="444"/>
      <c r="G15" s="444"/>
      <c r="H15" s="444"/>
      <c r="I15" s="444"/>
      <c r="J15" s="444"/>
      <c r="K15" s="444"/>
      <c r="L15" s="444"/>
      <c r="M15" s="444"/>
      <c r="N15" s="444"/>
      <c r="O15" s="444"/>
      <c r="P15" s="444"/>
      <c r="Q15" s="444"/>
      <c r="R15" s="444"/>
      <c r="S15" s="444"/>
      <c r="T15" s="444"/>
      <c r="U15" s="444"/>
      <c r="V15" s="414"/>
    </row>
    <row r="16" spans="1:22" ht="22.5" customHeight="1" thickBot="1">
      <c r="A16" s="2273" t="s">
        <v>229</v>
      </c>
      <c r="B16" s="2274"/>
      <c r="C16" s="445"/>
      <c r="D16" s="446"/>
      <c r="E16" s="447"/>
      <c r="F16" s="446"/>
      <c r="G16" s="447"/>
      <c r="H16" s="446"/>
      <c r="I16" s="446"/>
      <c r="J16" s="446"/>
      <c r="K16" s="446"/>
      <c r="L16" s="446"/>
      <c r="M16" s="447"/>
      <c r="N16" s="446"/>
      <c r="O16" s="447"/>
      <c r="P16" s="446"/>
      <c r="Q16" s="447"/>
      <c r="R16" s="446"/>
      <c r="S16" s="447"/>
      <c r="T16" s="446"/>
      <c r="U16" s="447"/>
      <c r="V16" s="448"/>
    </row>
    <row r="17" spans="1:22" ht="22.5" customHeight="1" thickTop="1">
      <c r="A17" s="2275" t="s">
        <v>230</v>
      </c>
      <c r="B17" s="2276"/>
      <c r="C17" s="449"/>
      <c r="D17" s="450"/>
      <c r="E17" s="450"/>
      <c r="F17" s="450"/>
      <c r="G17" s="450"/>
      <c r="H17" s="450"/>
      <c r="I17" s="450"/>
      <c r="J17" s="450"/>
      <c r="K17" s="450"/>
      <c r="L17" s="450"/>
      <c r="M17" s="450"/>
      <c r="N17" s="450"/>
      <c r="O17" s="450"/>
      <c r="P17" s="450"/>
      <c r="Q17" s="450"/>
      <c r="R17" s="450"/>
      <c r="S17" s="450"/>
      <c r="T17" s="450"/>
      <c r="U17" s="450"/>
      <c r="V17" s="451"/>
    </row>
    <row r="18" spans="1:22" ht="22.5" customHeight="1">
      <c r="A18" s="2277" t="s">
        <v>231</v>
      </c>
      <c r="B18" s="2278"/>
      <c r="C18" s="452"/>
      <c r="D18" s="453"/>
      <c r="E18" s="453"/>
      <c r="F18" s="453"/>
      <c r="G18" s="453"/>
      <c r="H18" s="453"/>
      <c r="I18" s="453"/>
      <c r="J18" s="453"/>
      <c r="K18" s="453"/>
      <c r="L18" s="453"/>
      <c r="M18" s="453"/>
      <c r="N18" s="453"/>
      <c r="O18" s="453"/>
      <c r="P18" s="453"/>
      <c r="Q18" s="453"/>
      <c r="R18" s="453"/>
      <c r="S18" s="453"/>
      <c r="T18" s="453"/>
      <c r="U18" s="453"/>
      <c r="V18" s="408"/>
    </row>
    <row r="19" spans="1:22" ht="22.5" customHeight="1">
      <c r="A19" s="2271" t="s">
        <v>232</v>
      </c>
      <c r="B19" s="2272"/>
      <c r="C19" s="443"/>
      <c r="D19" s="444"/>
      <c r="E19" s="444"/>
      <c r="F19" s="444"/>
      <c r="G19" s="444"/>
      <c r="H19" s="444"/>
      <c r="I19" s="444"/>
      <c r="J19" s="444"/>
      <c r="K19" s="444"/>
      <c r="L19" s="444"/>
      <c r="M19" s="444"/>
      <c r="N19" s="444"/>
      <c r="O19" s="444"/>
      <c r="P19" s="444"/>
      <c r="Q19" s="444"/>
      <c r="R19" s="444"/>
      <c r="S19" s="444"/>
      <c r="T19" s="444"/>
      <c r="U19" s="444"/>
      <c r="V19" s="414"/>
    </row>
    <row r="20" spans="1:22" ht="22.5" customHeight="1">
      <c r="A20" s="2277" t="s">
        <v>233</v>
      </c>
      <c r="B20" s="2278"/>
      <c r="C20" s="452"/>
      <c r="D20" s="441"/>
      <c r="E20" s="453"/>
      <c r="F20" s="441"/>
      <c r="G20" s="453"/>
      <c r="H20" s="441"/>
      <c r="I20" s="441"/>
      <c r="J20" s="441"/>
      <c r="K20" s="441"/>
      <c r="L20" s="441"/>
      <c r="M20" s="453"/>
      <c r="N20" s="441"/>
      <c r="O20" s="453"/>
      <c r="P20" s="441"/>
      <c r="Q20" s="453"/>
      <c r="R20" s="441"/>
      <c r="S20" s="453"/>
      <c r="T20" s="441"/>
      <c r="U20" s="453"/>
      <c r="V20" s="408"/>
    </row>
    <row r="21" spans="1:22" ht="22.5" customHeight="1">
      <c r="A21" s="2271" t="s">
        <v>234</v>
      </c>
      <c r="B21" s="2272"/>
      <c r="C21" s="443"/>
      <c r="D21" s="444"/>
      <c r="E21" s="444"/>
      <c r="F21" s="444"/>
      <c r="G21" s="444"/>
      <c r="H21" s="444"/>
      <c r="I21" s="444"/>
      <c r="J21" s="444"/>
      <c r="K21" s="444"/>
      <c r="L21" s="444"/>
      <c r="M21" s="444"/>
      <c r="N21" s="444"/>
      <c r="O21" s="444"/>
      <c r="P21" s="444"/>
      <c r="Q21" s="444"/>
      <c r="R21" s="444"/>
      <c r="S21" s="444"/>
      <c r="T21" s="444"/>
      <c r="U21" s="444"/>
      <c r="V21" s="414"/>
    </row>
    <row r="22" spans="1:22" ht="22.5" customHeight="1">
      <c r="A22" s="2277" t="s">
        <v>235</v>
      </c>
      <c r="B22" s="2278"/>
      <c r="C22" s="452"/>
      <c r="D22" s="441"/>
      <c r="E22" s="453"/>
      <c r="F22" s="441"/>
      <c r="G22" s="453"/>
      <c r="H22" s="441"/>
      <c r="I22" s="441"/>
      <c r="J22" s="441"/>
      <c r="K22" s="441"/>
      <c r="L22" s="441"/>
      <c r="M22" s="453"/>
      <c r="N22" s="441"/>
      <c r="O22" s="453"/>
      <c r="P22" s="441"/>
      <c r="Q22" s="453"/>
      <c r="R22" s="441"/>
      <c r="S22" s="453"/>
      <c r="T22" s="441"/>
      <c r="U22" s="453"/>
      <c r="V22" s="408"/>
    </row>
    <row r="23" spans="1:22" ht="22.5" customHeight="1" thickBot="1">
      <c r="A23" s="2281" t="s">
        <v>236</v>
      </c>
      <c r="B23" s="2282"/>
      <c r="C23" s="454"/>
      <c r="D23" s="455"/>
      <c r="E23" s="455"/>
      <c r="F23" s="455"/>
      <c r="G23" s="455"/>
      <c r="H23" s="455"/>
      <c r="I23" s="455"/>
      <c r="J23" s="455"/>
      <c r="K23" s="455"/>
      <c r="L23" s="455"/>
      <c r="M23" s="455"/>
      <c r="N23" s="455"/>
      <c r="O23" s="455"/>
      <c r="P23" s="455"/>
      <c r="Q23" s="455"/>
      <c r="R23" s="455"/>
      <c r="S23" s="455"/>
      <c r="T23" s="455"/>
      <c r="U23" s="455"/>
      <c r="V23" s="456"/>
    </row>
    <row r="24" spans="1:22" ht="22.5" customHeight="1" thickTop="1">
      <c r="A24" s="2283" t="s">
        <v>237</v>
      </c>
      <c r="B24" s="2284"/>
      <c r="C24" s="457"/>
      <c r="D24" s="458"/>
      <c r="E24" s="459"/>
      <c r="F24" s="458"/>
      <c r="G24" s="459"/>
      <c r="H24" s="458"/>
      <c r="I24" s="458"/>
      <c r="J24" s="458"/>
      <c r="K24" s="458"/>
      <c r="L24" s="458"/>
      <c r="M24" s="459"/>
      <c r="N24" s="458"/>
      <c r="O24" s="459"/>
      <c r="P24" s="458"/>
      <c r="Q24" s="459"/>
      <c r="R24" s="458"/>
      <c r="S24" s="459"/>
      <c r="T24" s="458"/>
      <c r="U24" s="459"/>
      <c r="V24" s="460"/>
    </row>
    <row r="25" spans="1:22" ht="22.5" customHeight="1" thickBot="1">
      <c r="A25" s="2281" t="s">
        <v>238</v>
      </c>
      <c r="B25" s="2282"/>
      <c r="C25" s="454"/>
      <c r="D25" s="455"/>
      <c r="E25" s="455"/>
      <c r="F25" s="455"/>
      <c r="G25" s="455"/>
      <c r="H25" s="455"/>
      <c r="I25" s="455"/>
      <c r="J25" s="455"/>
      <c r="K25" s="455"/>
      <c r="L25" s="455"/>
      <c r="M25" s="455"/>
      <c r="N25" s="455"/>
      <c r="O25" s="455"/>
      <c r="P25" s="455"/>
      <c r="Q25" s="455"/>
      <c r="R25" s="455"/>
      <c r="S25" s="455"/>
      <c r="T25" s="455"/>
      <c r="U25" s="455"/>
      <c r="V25" s="456"/>
    </row>
    <row r="26" spans="1:22" ht="22.5" customHeight="1" thickTop="1" thickBot="1">
      <c r="A26" s="2285" t="s">
        <v>239</v>
      </c>
      <c r="B26" s="2286"/>
      <c r="C26" s="461"/>
      <c r="D26" s="462"/>
      <c r="E26" s="463"/>
      <c r="F26" s="462"/>
      <c r="G26" s="463"/>
      <c r="H26" s="462"/>
      <c r="I26" s="462"/>
      <c r="J26" s="462"/>
      <c r="K26" s="462"/>
      <c r="L26" s="462"/>
      <c r="M26" s="463"/>
      <c r="N26" s="462"/>
      <c r="O26" s="463"/>
      <c r="P26" s="462"/>
      <c r="Q26" s="463"/>
      <c r="R26" s="462"/>
      <c r="S26" s="463"/>
      <c r="T26" s="462"/>
      <c r="U26" s="463"/>
      <c r="V26" s="464"/>
    </row>
    <row r="27" spans="1:22" ht="22.5" customHeight="1" thickTop="1">
      <c r="A27" s="2287" t="s">
        <v>240</v>
      </c>
      <c r="B27" s="2288"/>
      <c r="C27" s="465"/>
      <c r="D27" s="466"/>
      <c r="E27" s="466"/>
      <c r="F27" s="466"/>
      <c r="G27" s="466"/>
      <c r="H27" s="466"/>
      <c r="I27" s="466"/>
      <c r="J27" s="466"/>
      <c r="K27" s="466"/>
      <c r="L27" s="466"/>
      <c r="M27" s="466"/>
      <c r="N27" s="466"/>
      <c r="O27" s="466"/>
      <c r="P27" s="466"/>
      <c r="Q27" s="466"/>
      <c r="R27" s="466"/>
      <c r="S27" s="466"/>
      <c r="T27" s="466"/>
      <c r="U27" s="466"/>
      <c r="V27" s="467"/>
    </row>
    <row r="28" spans="1:22" ht="22.5" customHeight="1">
      <c r="A28" s="2277" t="s">
        <v>241</v>
      </c>
      <c r="B28" s="2278"/>
      <c r="C28" s="452"/>
      <c r="D28" s="441"/>
      <c r="E28" s="453"/>
      <c r="F28" s="441"/>
      <c r="G28" s="453"/>
      <c r="H28" s="441"/>
      <c r="I28" s="441"/>
      <c r="J28" s="441"/>
      <c r="K28" s="441"/>
      <c r="L28" s="441"/>
      <c r="M28" s="453"/>
      <c r="N28" s="441"/>
      <c r="O28" s="453"/>
      <c r="P28" s="441"/>
      <c r="Q28" s="453"/>
      <c r="R28" s="441"/>
      <c r="S28" s="453"/>
      <c r="T28" s="441"/>
      <c r="U28" s="453"/>
      <c r="V28" s="408"/>
    </row>
    <row r="29" spans="1:22" ht="22.5" customHeight="1" thickBot="1">
      <c r="A29" s="2281" t="s">
        <v>694</v>
      </c>
      <c r="B29" s="2282"/>
      <c r="C29" s="454"/>
      <c r="D29" s="455"/>
      <c r="E29" s="455"/>
      <c r="F29" s="455"/>
      <c r="G29" s="455"/>
      <c r="H29" s="455"/>
      <c r="I29" s="455"/>
      <c r="J29" s="455"/>
      <c r="K29" s="455"/>
      <c r="L29" s="455"/>
      <c r="M29" s="455"/>
      <c r="N29" s="455"/>
      <c r="O29" s="455"/>
      <c r="P29" s="455"/>
      <c r="Q29" s="455"/>
      <c r="R29" s="455"/>
      <c r="S29" s="455"/>
      <c r="T29" s="455"/>
      <c r="U29" s="455"/>
      <c r="V29" s="456"/>
    </row>
    <row r="30" spans="1:22" ht="22.5" customHeight="1" thickTop="1">
      <c r="A30" s="2283" t="s">
        <v>695</v>
      </c>
      <c r="B30" s="2284"/>
      <c r="C30" s="457"/>
      <c r="D30" s="458"/>
      <c r="E30" s="459"/>
      <c r="F30" s="458"/>
      <c r="G30" s="459"/>
      <c r="H30" s="458"/>
      <c r="I30" s="458"/>
      <c r="J30" s="458"/>
      <c r="K30" s="458"/>
      <c r="L30" s="458"/>
      <c r="M30" s="459"/>
      <c r="N30" s="458"/>
      <c r="O30" s="459"/>
      <c r="P30" s="458"/>
      <c r="Q30" s="459"/>
      <c r="R30" s="458"/>
      <c r="S30" s="459"/>
      <c r="T30" s="458"/>
      <c r="U30" s="459"/>
      <c r="V30" s="460"/>
    </row>
    <row r="31" spans="1:22" ht="22.5" customHeight="1" thickBot="1">
      <c r="A31" s="2289" t="s">
        <v>696</v>
      </c>
      <c r="B31" s="2290"/>
      <c r="C31" s="468"/>
      <c r="D31" s="469"/>
      <c r="E31" s="469"/>
      <c r="F31" s="469"/>
      <c r="G31" s="469"/>
      <c r="H31" s="469"/>
      <c r="I31" s="469"/>
      <c r="J31" s="469"/>
      <c r="K31" s="469"/>
      <c r="L31" s="469"/>
      <c r="M31" s="469"/>
      <c r="N31" s="469"/>
      <c r="O31" s="469"/>
      <c r="P31" s="469"/>
      <c r="Q31" s="469"/>
      <c r="R31" s="469"/>
      <c r="S31" s="469"/>
      <c r="T31" s="469"/>
      <c r="U31" s="469"/>
      <c r="V31" s="470"/>
    </row>
    <row r="32" spans="1:22" ht="22.5" customHeight="1" thickTop="1">
      <c r="A32" s="2291" t="s">
        <v>697</v>
      </c>
      <c r="B32" s="2292"/>
      <c r="C32" s="471"/>
      <c r="D32" s="472"/>
      <c r="E32" s="473"/>
      <c r="F32" s="472"/>
      <c r="G32" s="473"/>
      <c r="H32" s="472"/>
      <c r="I32" s="472"/>
      <c r="J32" s="472"/>
      <c r="K32" s="472"/>
      <c r="L32" s="472"/>
      <c r="M32" s="473"/>
      <c r="N32" s="472"/>
      <c r="O32" s="473"/>
      <c r="P32" s="472"/>
      <c r="Q32" s="473"/>
      <c r="R32" s="472"/>
      <c r="S32" s="473"/>
      <c r="T32" s="472"/>
      <c r="U32" s="473"/>
      <c r="V32" s="474"/>
    </row>
    <row r="33" spans="1:22" ht="22.5" customHeight="1" thickBot="1">
      <c r="A33" s="2289" t="s">
        <v>698</v>
      </c>
      <c r="B33" s="2290"/>
      <c r="C33" s="468"/>
      <c r="D33" s="469"/>
      <c r="E33" s="469"/>
      <c r="F33" s="469"/>
      <c r="G33" s="469"/>
      <c r="H33" s="469"/>
      <c r="I33" s="469"/>
      <c r="J33" s="469"/>
      <c r="K33" s="469"/>
      <c r="L33" s="469"/>
      <c r="M33" s="469"/>
      <c r="N33" s="469"/>
      <c r="O33" s="469"/>
      <c r="P33" s="469"/>
      <c r="Q33" s="469"/>
      <c r="R33" s="469"/>
      <c r="S33" s="469"/>
      <c r="T33" s="469"/>
      <c r="U33" s="469"/>
      <c r="V33" s="470"/>
    </row>
    <row r="34" spans="1:22" ht="22.5" customHeight="1" thickTop="1">
      <c r="A34" s="2279" t="s">
        <v>699</v>
      </c>
      <c r="B34" s="2280"/>
      <c r="C34" s="471"/>
      <c r="D34" s="472"/>
      <c r="E34" s="473"/>
      <c r="F34" s="472"/>
      <c r="G34" s="473"/>
      <c r="H34" s="472"/>
      <c r="I34" s="472"/>
      <c r="J34" s="472"/>
      <c r="K34" s="472"/>
      <c r="L34" s="472"/>
      <c r="M34" s="473"/>
      <c r="N34" s="472"/>
      <c r="O34" s="473"/>
      <c r="P34" s="472"/>
      <c r="Q34" s="473"/>
      <c r="R34" s="472"/>
      <c r="S34" s="473"/>
      <c r="T34" s="472"/>
      <c r="U34" s="473"/>
      <c r="V34" s="474"/>
    </row>
    <row r="35" spans="1:22" ht="22.5" customHeight="1">
      <c r="A35" s="2271"/>
      <c r="B35" s="2272"/>
      <c r="C35" s="443"/>
      <c r="D35" s="444"/>
      <c r="E35" s="444"/>
      <c r="F35" s="444"/>
      <c r="G35" s="444"/>
      <c r="H35" s="444"/>
      <c r="I35" s="444"/>
      <c r="J35" s="444"/>
      <c r="K35" s="444"/>
      <c r="L35" s="444"/>
      <c r="M35" s="444"/>
      <c r="N35" s="444"/>
      <c r="O35" s="444"/>
      <c r="P35" s="444"/>
      <c r="Q35" s="444"/>
      <c r="R35" s="444"/>
      <c r="S35" s="444"/>
      <c r="T35" s="444"/>
      <c r="U35" s="444"/>
      <c r="V35" s="414"/>
    </row>
    <row r="36" spans="1:22" ht="22.5" customHeight="1">
      <c r="A36" s="2277"/>
      <c r="B36" s="2278"/>
      <c r="C36" s="452"/>
      <c r="D36" s="441"/>
      <c r="E36" s="453"/>
      <c r="F36" s="441"/>
      <c r="G36" s="453"/>
      <c r="H36" s="441"/>
      <c r="I36" s="441"/>
      <c r="J36" s="441"/>
      <c r="K36" s="441"/>
      <c r="L36" s="441"/>
      <c r="M36" s="453"/>
      <c r="N36" s="441"/>
      <c r="O36" s="453"/>
      <c r="P36" s="441"/>
      <c r="Q36" s="453"/>
      <c r="R36" s="441"/>
      <c r="S36" s="453"/>
      <c r="T36" s="441"/>
      <c r="U36" s="453"/>
      <c r="V36" s="408"/>
    </row>
    <row r="37" spans="1:22" ht="22.5" customHeight="1">
      <c r="A37" s="2271"/>
      <c r="B37" s="2272"/>
      <c r="C37" s="443"/>
      <c r="D37" s="444"/>
      <c r="E37" s="444"/>
      <c r="F37" s="444"/>
      <c r="G37" s="444"/>
      <c r="H37" s="444"/>
      <c r="I37" s="444"/>
      <c r="J37" s="444"/>
      <c r="K37" s="444"/>
      <c r="L37" s="444"/>
      <c r="M37" s="444"/>
      <c r="N37" s="444"/>
      <c r="O37" s="444"/>
      <c r="P37" s="444"/>
      <c r="Q37" s="444"/>
      <c r="R37" s="444"/>
      <c r="S37" s="444"/>
      <c r="T37" s="444"/>
      <c r="U37" s="444"/>
      <c r="V37" s="414"/>
    </row>
    <row r="38" spans="1:22" ht="22.5" customHeight="1">
      <c r="A38" s="2291" t="s">
        <v>700</v>
      </c>
      <c r="B38" s="2292"/>
      <c r="C38" s="452"/>
      <c r="D38" s="441"/>
      <c r="E38" s="453"/>
      <c r="F38" s="441"/>
      <c r="G38" s="453"/>
      <c r="H38" s="441"/>
      <c r="I38" s="441"/>
      <c r="J38" s="441"/>
      <c r="K38" s="441"/>
      <c r="L38" s="441"/>
      <c r="M38" s="453"/>
      <c r="N38" s="441"/>
      <c r="O38" s="453"/>
      <c r="P38" s="441"/>
      <c r="Q38" s="453"/>
      <c r="R38" s="441"/>
      <c r="S38" s="453"/>
      <c r="T38" s="441"/>
      <c r="U38" s="453"/>
      <c r="V38" s="408"/>
    </row>
    <row r="39" spans="1:22" ht="22.5" customHeight="1">
      <c r="A39" s="2271" t="s">
        <v>701</v>
      </c>
      <c r="B39" s="2272"/>
      <c r="C39" s="443"/>
      <c r="D39" s="444"/>
      <c r="E39" s="444"/>
      <c r="F39" s="444"/>
      <c r="G39" s="444"/>
      <c r="H39" s="444"/>
      <c r="I39" s="444"/>
      <c r="J39" s="444"/>
      <c r="K39" s="444"/>
      <c r="L39" s="444"/>
      <c r="M39" s="444"/>
      <c r="N39" s="444"/>
      <c r="O39" s="444"/>
      <c r="P39" s="444"/>
      <c r="Q39" s="444"/>
      <c r="R39" s="444"/>
      <c r="S39" s="444"/>
      <c r="T39" s="444"/>
      <c r="U39" s="444"/>
      <c r="V39" s="414"/>
    </row>
    <row r="40" spans="1:22" ht="22.5" customHeight="1">
      <c r="A40" s="2295"/>
      <c r="B40" s="2296"/>
      <c r="C40" s="475"/>
      <c r="D40" s="476"/>
      <c r="E40" s="413"/>
      <c r="F40" s="413"/>
      <c r="G40" s="413"/>
      <c r="H40" s="413"/>
      <c r="I40" s="413"/>
      <c r="J40" s="413"/>
      <c r="K40" s="413"/>
      <c r="L40" s="413"/>
      <c r="M40" s="413"/>
      <c r="N40" s="413"/>
      <c r="O40" s="413"/>
      <c r="P40" s="413"/>
      <c r="Q40" s="413"/>
      <c r="R40" s="413"/>
      <c r="S40" s="413"/>
      <c r="T40" s="413"/>
      <c r="U40" s="413"/>
      <c r="V40" s="414"/>
    </row>
    <row r="41" spans="1:22" ht="22.5" customHeight="1">
      <c r="A41" s="2297"/>
      <c r="B41" s="2298"/>
      <c r="C41" s="477"/>
      <c r="D41" s="478"/>
      <c r="E41" s="416"/>
      <c r="F41" s="406"/>
      <c r="G41" s="416"/>
      <c r="H41" s="406"/>
      <c r="I41" s="406"/>
      <c r="J41" s="406"/>
      <c r="K41" s="406"/>
      <c r="L41" s="406"/>
      <c r="M41" s="416"/>
      <c r="N41" s="406"/>
      <c r="O41" s="416"/>
      <c r="P41" s="406"/>
      <c r="Q41" s="416"/>
      <c r="R41" s="406"/>
      <c r="S41" s="416"/>
      <c r="T41" s="406"/>
      <c r="U41" s="416"/>
      <c r="V41" s="408"/>
    </row>
    <row r="42" spans="1:22" ht="22.5" customHeight="1">
      <c r="A42" s="2295"/>
      <c r="B42" s="2296"/>
      <c r="C42" s="475"/>
      <c r="D42" s="476"/>
      <c r="E42" s="413"/>
      <c r="F42" s="413"/>
      <c r="G42" s="413"/>
      <c r="H42" s="413"/>
      <c r="I42" s="413"/>
      <c r="J42" s="413"/>
      <c r="K42" s="413"/>
      <c r="L42" s="413"/>
      <c r="M42" s="413"/>
      <c r="N42" s="413"/>
      <c r="O42" s="413"/>
      <c r="P42" s="413"/>
      <c r="Q42" s="413"/>
      <c r="R42" s="413"/>
      <c r="S42" s="413"/>
      <c r="T42" s="413"/>
      <c r="U42" s="413"/>
      <c r="V42" s="414"/>
    </row>
    <row r="43" spans="1:22" ht="22.5" customHeight="1">
      <c r="A43" s="2297"/>
      <c r="B43" s="2298"/>
      <c r="C43" s="477"/>
      <c r="D43" s="479"/>
      <c r="E43" s="416"/>
      <c r="F43" s="416"/>
      <c r="G43" s="416"/>
      <c r="H43" s="416"/>
      <c r="I43" s="416"/>
      <c r="J43" s="416"/>
      <c r="K43" s="416"/>
      <c r="L43" s="416"/>
      <c r="M43" s="416"/>
      <c r="N43" s="416"/>
      <c r="O43" s="416"/>
      <c r="P43" s="416"/>
      <c r="Q43" s="416"/>
      <c r="R43" s="416"/>
      <c r="S43" s="416"/>
      <c r="T43" s="416"/>
      <c r="U43" s="416"/>
      <c r="V43" s="408"/>
    </row>
    <row r="44" spans="1:22" ht="22.5" customHeight="1">
      <c r="A44" s="2295"/>
      <c r="B44" s="2296"/>
      <c r="C44" s="475"/>
      <c r="D44" s="476"/>
      <c r="E44" s="413"/>
      <c r="F44" s="413"/>
      <c r="G44" s="413"/>
      <c r="H44" s="413"/>
      <c r="I44" s="413"/>
      <c r="J44" s="413"/>
      <c r="K44" s="413"/>
      <c r="L44" s="413"/>
      <c r="M44" s="413"/>
      <c r="N44" s="413"/>
      <c r="O44" s="413"/>
      <c r="P44" s="413"/>
      <c r="Q44" s="413"/>
      <c r="R44" s="413"/>
      <c r="S44" s="413"/>
      <c r="T44" s="413"/>
      <c r="U44" s="413"/>
      <c r="V44" s="414"/>
    </row>
    <row r="45" spans="1:22" ht="22.5" customHeight="1">
      <c r="A45" s="2297"/>
      <c r="B45" s="2298"/>
      <c r="C45" s="477"/>
      <c r="D45" s="478"/>
      <c r="E45" s="416"/>
      <c r="F45" s="406"/>
      <c r="G45" s="416"/>
      <c r="H45" s="406"/>
      <c r="I45" s="406"/>
      <c r="J45" s="406"/>
      <c r="K45" s="406"/>
      <c r="L45" s="406"/>
      <c r="M45" s="416"/>
      <c r="N45" s="406"/>
      <c r="O45" s="416"/>
      <c r="P45" s="406"/>
      <c r="Q45" s="416"/>
      <c r="R45" s="406"/>
      <c r="S45" s="416"/>
      <c r="T45" s="406"/>
      <c r="U45" s="416"/>
      <c r="V45" s="408"/>
    </row>
    <row r="46" spans="1:22" ht="22.5" customHeight="1" thickBot="1">
      <c r="A46" s="2293"/>
      <c r="B46" s="2294"/>
      <c r="C46" s="480"/>
      <c r="D46" s="481"/>
      <c r="E46" s="482"/>
      <c r="F46" s="482"/>
      <c r="G46" s="482"/>
      <c r="H46" s="482"/>
      <c r="I46" s="482"/>
      <c r="J46" s="482"/>
      <c r="K46" s="482"/>
      <c r="L46" s="482"/>
      <c r="M46" s="482"/>
      <c r="N46" s="482"/>
      <c r="O46" s="482"/>
      <c r="P46" s="482"/>
      <c r="Q46" s="482"/>
      <c r="R46" s="482"/>
      <c r="S46" s="482"/>
      <c r="T46" s="482"/>
      <c r="U46" s="482"/>
      <c r="V46" s="483"/>
    </row>
    <row r="47" spans="1:22" ht="8.25" customHeight="1">
      <c r="A47" s="389"/>
      <c r="B47" s="388"/>
      <c r="C47" s="40"/>
      <c r="E47"/>
      <c r="G47"/>
      <c r="M47"/>
      <c r="O47"/>
      <c r="Q47"/>
      <c r="S47"/>
      <c r="U47"/>
    </row>
    <row r="48" spans="1:22" ht="8.25" customHeight="1">
      <c r="A48" s="389"/>
      <c r="B48" s="388"/>
      <c r="C48" s="40"/>
      <c r="E48"/>
      <c r="G48"/>
      <c r="M48"/>
      <c r="O48"/>
      <c r="Q48"/>
      <c r="S48"/>
      <c r="U48"/>
    </row>
    <row r="49" spans="1:21">
      <c r="A49" s="389"/>
      <c r="B49" s="388"/>
      <c r="C49" s="243"/>
      <c r="E49"/>
      <c r="G49"/>
      <c r="M49"/>
      <c r="O49"/>
      <c r="Q49"/>
      <c r="S49"/>
      <c r="U49"/>
    </row>
    <row r="50" spans="1:21">
      <c r="A50" s="389"/>
      <c r="B50" s="388"/>
      <c r="C50" s="243"/>
      <c r="E50"/>
      <c r="G50"/>
      <c r="M50"/>
      <c r="O50"/>
      <c r="Q50"/>
      <c r="S50"/>
      <c r="U50"/>
    </row>
    <row r="51" spans="1:21">
      <c r="A51" s="389"/>
      <c r="B51" s="388"/>
      <c r="C51" s="243"/>
      <c r="E51"/>
      <c r="G51"/>
      <c r="M51"/>
      <c r="O51"/>
      <c r="Q51"/>
      <c r="S51"/>
      <c r="U51"/>
    </row>
    <row r="52" spans="1:21">
      <c r="A52" s="389"/>
      <c r="B52" s="388"/>
      <c r="C52" s="243"/>
      <c r="E52"/>
      <c r="G52"/>
      <c r="M52"/>
      <c r="O52"/>
      <c r="Q52"/>
      <c r="S52"/>
      <c r="U52"/>
    </row>
    <row r="53" spans="1:21">
      <c r="A53" s="389"/>
      <c r="B53" s="388"/>
      <c r="C53" s="243"/>
      <c r="E53"/>
      <c r="G53"/>
      <c r="M53"/>
      <c r="O53"/>
      <c r="Q53"/>
      <c r="S53"/>
      <c r="U53"/>
    </row>
    <row r="54" spans="1:21">
      <c r="A54" s="389"/>
      <c r="B54" s="388"/>
      <c r="C54" s="243"/>
      <c r="E54"/>
      <c r="G54"/>
      <c r="M54"/>
      <c r="O54"/>
      <c r="Q54"/>
      <c r="S54"/>
      <c r="U54"/>
    </row>
    <row r="55" spans="1:21">
      <c r="A55" s="389"/>
      <c r="B55" s="388"/>
      <c r="C55" s="243"/>
      <c r="E55"/>
      <c r="G55"/>
      <c r="M55"/>
      <c r="O55"/>
      <c r="Q55"/>
      <c r="S55"/>
      <c r="U55"/>
    </row>
    <row r="56" spans="1:21">
      <c r="A56" s="389"/>
      <c r="B56" s="388"/>
      <c r="C56" s="243"/>
      <c r="E56"/>
      <c r="G56"/>
      <c r="M56"/>
      <c r="O56"/>
      <c r="Q56"/>
      <c r="S56"/>
      <c r="U56"/>
    </row>
    <row r="57" spans="1:21">
      <c r="A57" s="389"/>
      <c r="B57" s="388"/>
      <c r="C57" s="243"/>
      <c r="E57"/>
      <c r="G57"/>
      <c r="M57"/>
      <c r="O57"/>
      <c r="Q57"/>
      <c r="S57"/>
      <c r="U57"/>
    </row>
    <row r="58" spans="1:21">
      <c r="A58" s="389"/>
      <c r="B58" s="388"/>
      <c r="C58" s="243"/>
      <c r="E58"/>
      <c r="G58"/>
      <c r="M58"/>
      <c r="O58"/>
      <c r="Q58"/>
      <c r="S58"/>
      <c r="U58"/>
    </row>
    <row r="59" spans="1:21">
      <c r="A59" s="389"/>
      <c r="B59" s="388"/>
      <c r="C59" s="243"/>
      <c r="E59"/>
      <c r="G59"/>
      <c r="M59"/>
      <c r="O59"/>
      <c r="Q59"/>
      <c r="S59"/>
      <c r="U59"/>
    </row>
    <row r="60" spans="1:21">
      <c r="A60" s="389"/>
      <c r="B60" s="388"/>
      <c r="C60" s="243"/>
      <c r="E60"/>
      <c r="G60"/>
      <c r="M60"/>
      <c r="O60"/>
      <c r="Q60"/>
      <c r="S60"/>
      <c r="U60"/>
    </row>
    <row r="61" spans="1:21">
      <c r="A61" s="389"/>
      <c r="B61" s="388"/>
      <c r="C61" s="243"/>
      <c r="E61"/>
      <c r="G61"/>
      <c r="M61"/>
      <c r="O61"/>
      <c r="Q61"/>
      <c r="S61"/>
      <c r="U61"/>
    </row>
    <row r="62" spans="1:21">
      <c r="A62" s="389"/>
      <c r="B62" s="388"/>
      <c r="C62" s="243"/>
      <c r="E62"/>
      <c r="G62"/>
      <c r="M62"/>
      <c r="O62"/>
      <c r="Q62"/>
      <c r="S62"/>
      <c r="U62"/>
    </row>
    <row r="63" spans="1:21">
      <c r="A63" s="389"/>
      <c r="B63" s="388"/>
      <c r="C63" s="243"/>
      <c r="E63"/>
      <c r="G63"/>
      <c r="M63"/>
      <c r="O63"/>
      <c r="Q63"/>
      <c r="S63"/>
      <c r="U63"/>
    </row>
    <row r="64" spans="1:21">
      <c r="A64" s="389"/>
      <c r="B64" s="388"/>
      <c r="C64" s="243"/>
      <c r="E64"/>
      <c r="G64"/>
      <c r="M64"/>
      <c r="O64"/>
      <c r="Q64"/>
      <c r="S64"/>
      <c r="U64"/>
    </row>
    <row r="65" spans="1:21">
      <c r="A65" s="389"/>
      <c r="B65" s="388"/>
      <c r="C65" s="243"/>
      <c r="E65"/>
      <c r="G65"/>
      <c r="M65"/>
      <c r="O65"/>
      <c r="Q65"/>
      <c r="S65"/>
      <c r="U65"/>
    </row>
    <row r="66" spans="1:21">
      <c r="A66" s="389"/>
      <c r="B66" s="388"/>
      <c r="C66" s="243"/>
      <c r="E66"/>
      <c r="G66"/>
      <c r="M66"/>
      <c r="O66"/>
      <c r="Q66"/>
      <c r="S66"/>
      <c r="U66"/>
    </row>
    <row r="67" spans="1:21">
      <c r="A67" s="389"/>
      <c r="B67" s="388"/>
      <c r="C67" s="243"/>
      <c r="E67"/>
      <c r="G67"/>
      <c r="M67"/>
      <c r="O67"/>
      <c r="Q67"/>
      <c r="S67"/>
      <c r="U67"/>
    </row>
    <row r="68" spans="1:21">
      <c r="A68" s="389"/>
      <c r="B68" s="388"/>
      <c r="C68" s="243"/>
      <c r="E68"/>
      <c r="G68"/>
      <c r="M68"/>
      <c r="O68"/>
      <c r="Q68"/>
      <c r="S68"/>
      <c r="U68"/>
    </row>
  </sheetData>
  <mergeCells count="37">
    <mergeCell ref="A35:B35"/>
    <mergeCell ref="A36:B36"/>
    <mergeCell ref="A37:B37"/>
    <mergeCell ref="A38:B38"/>
    <mergeCell ref="A39:B39"/>
    <mergeCell ref="A46:B46"/>
    <mergeCell ref="A40:B40"/>
    <mergeCell ref="A41:B41"/>
    <mergeCell ref="A42:B42"/>
    <mergeCell ref="A43:B43"/>
    <mergeCell ref="A44:B44"/>
    <mergeCell ref="A45:B45"/>
    <mergeCell ref="A21:B21"/>
    <mergeCell ref="A22:B22"/>
    <mergeCell ref="A34:B34"/>
    <mergeCell ref="A23:B23"/>
    <mergeCell ref="A24:B24"/>
    <mergeCell ref="A25:B25"/>
    <mergeCell ref="A26:B26"/>
    <mergeCell ref="A27:B27"/>
    <mergeCell ref="A28:B28"/>
    <mergeCell ref="A29:B29"/>
    <mergeCell ref="A30:B30"/>
    <mergeCell ref="A31:B31"/>
    <mergeCell ref="A32:B32"/>
    <mergeCell ref="A33:B33"/>
    <mergeCell ref="A16:B16"/>
    <mergeCell ref="A17:B17"/>
    <mergeCell ref="A18:B18"/>
    <mergeCell ref="A19:B19"/>
    <mergeCell ref="A20:B20"/>
    <mergeCell ref="C1:Q1"/>
    <mergeCell ref="A11:B11"/>
    <mergeCell ref="A13:B13"/>
    <mergeCell ref="A14:B14"/>
    <mergeCell ref="A15:B15"/>
    <mergeCell ref="E5:U5"/>
  </mergeCells>
  <phoneticPr fontId="12" type="noConversion"/>
  <printOptions horizontalCentered="1" verticalCentered="1"/>
  <pageMargins left="0" right="0" top="0" bottom="0.39370078740157483" header="0" footer="0"/>
  <pageSetup paperSize="9" scale="80" orientation="portrait" r:id="rId1"/>
  <headerFooter alignWithMargins="0">
    <oddFooter>&amp;LEdité le &amp;D&amp;C&amp;P/&amp;N</oddFooter>
  </headerFooter>
  <colBreaks count="1" manualBreakCount="1">
    <brk id="22" max="1048575" man="1"/>
  </colBreaks>
  <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5">
    <tabColor indexed="42"/>
    <pageSetUpPr fitToPage="1"/>
  </sheetPr>
  <dimension ref="A1:N38"/>
  <sheetViews>
    <sheetView showGridLines="0" view="pageBreakPreview" zoomScale="70" zoomScaleNormal="100" zoomScaleSheetLayoutView="70" workbookViewId="0">
      <selection activeCell="E35" sqref="E35:F36"/>
    </sheetView>
  </sheetViews>
  <sheetFormatPr baseColWidth="10" defaultRowHeight="12.75"/>
  <cols>
    <col min="1" max="1" width="40.42578125" style="1246" customWidth="1"/>
    <col min="2" max="3" width="7" style="1246" customWidth="1"/>
    <col min="4" max="4" width="27.140625" style="1246" customWidth="1"/>
    <col min="5" max="5" width="49.5703125" style="1246" customWidth="1"/>
    <col min="6" max="6" width="23.7109375" style="1246" customWidth="1"/>
    <col min="7" max="256" width="11.42578125" style="1246"/>
    <col min="257" max="257" width="40.42578125" style="1246" customWidth="1"/>
    <col min="258" max="259" width="7" style="1246" customWidth="1"/>
    <col min="260" max="260" width="27.140625" style="1246" customWidth="1"/>
    <col min="261" max="261" width="49.5703125" style="1246" customWidth="1"/>
    <col min="262" max="262" width="23.7109375" style="1246" customWidth="1"/>
    <col min="263" max="512" width="11.42578125" style="1246"/>
    <col min="513" max="513" width="40.42578125" style="1246" customWidth="1"/>
    <col min="514" max="515" width="7" style="1246" customWidth="1"/>
    <col min="516" max="516" width="27.140625" style="1246" customWidth="1"/>
    <col min="517" max="517" width="49.5703125" style="1246" customWidth="1"/>
    <col min="518" max="518" width="23.7109375" style="1246" customWidth="1"/>
    <col min="519" max="768" width="11.42578125" style="1246"/>
    <col min="769" max="769" width="40.42578125" style="1246" customWidth="1"/>
    <col min="770" max="771" width="7" style="1246" customWidth="1"/>
    <col min="772" max="772" width="27.140625" style="1246" customWidth="1"/>
    <col min="773" max="773" width="49.5703125" style="1246" customWidth="1"/>
    <col min="774" max="774" width="23.7109375" style="1246" customWidth="1"/>
    <col min="775" max="1024" width="11.42578125" style="1246"/>
    <col min="1025" max="1025" width="40.42578125" style="1246" customWidth="1"/>
    <col min="1026" max="1027" width="7" style="1246" customWidth="1"/>
    <col min="1028" max="1028" width="27.140625" style="1246" customWidth="1"/>
    <col min="1029" max="1029" width="49.5703125" style="1246" customWidth="1"/>
    <col min="1030" max="1030" width="23.7109375" style="1246" customWidth="1"/>
    <col min="1031" max="1280" width="11.42578125" style="1246"/>
    <col min="1281" max="1281" width="40.42578125" style="1246" customWidth="1"/>
    <col min="1282" max="1283" width="7" style="1246" customWidth="1"/>
    <col min="1284" max="1284" width="27.140625" style="1246" customWidth="1"/>
    <col min="1285" max="1285" width="49.5703125" style="1246" customWidth="1"/>
    <col min="1286" max="1286" width="23.7109375" style="1246" customWidth="1"/>
    <col min="1287" max="1536" width="11.42578125" style="1246"/>
    <col min="1537" max="1537" width="40.42578125" style="1246" customWidth="1"/>
    <col min="1538" max="1539" width="7" style="1246" customWidth="1"/>
    <col min="1540" max="1540" width="27.140625" style="1246" customWidth="1"/>
    <col min="1541" max="1541" width="49.5703125" style="1246" customWidth="1"/>
    <col min="1542" max="1542" width="23.7109375" style="1246" customWidth="1"/>
    <col min="1543" max="1792" width="11.42578125" style="1246"/>
    <col min="1793" max="1793" width="40.42578125" style="1246" customWidth="1"/>
    <col min="1794" max="1795" width="7" style="1246" customWidth="1"/>
    <col min="1796" max="1796" width="27.140625" style="1246" customWidth="1"/>
    <col min="1797" max="1797" width="49.5703125" style="1246" customWidth="1"/>
    <col min="1798" max="1798" width="23.7109375" style="1246" customWidth="1"/>
    <col min="1799" max="2048" width="11.42578125" style="1246"/>
    <col min="2049" max="2049" width="40.42578125" style="1246" customWidth="1"/>
    <col min="2050" max="2051" width="7" style="1246" customWidth="1"/>
    <col min="2052" max="2052" width="27.140625" style="1246" customWidth="1"/>
    <col min="2053" max="2053" width="49.5703125" style="1246" customWidth="1"/>
    <col min="2054" max="2054" width="23.7109375" style="1246" customWidth="1"/>
    <col min="2055" max="2304" width="11.42578125" style="1246"/>
    <col min="2305" max="2305" width="40.42578125" style="1246" customWidth="1"/>
    <col min="2306" max="2307" width="7" style="1246" customWidth="1"/>
    <col min="2308" max="2308" width="27.140625" style="1246" customWidth="1"/>
    <col min="2309" max="2309" width="49.5703125" style="1246" customWidth="1"/>
    <col min="2310" max="2310" width="23.7109375" style="1246" customWidth="1"/>
    <col min="2311" max="2560" width="11.42578125" style="1246"/>
    <col min="2561" max="2561" width="40.42578125" style="1246" customWidth="1"/>
    <col min="2562" max="2563" width="7" style="1246" customWidth="1"/>
    <col min="2564" max="2564" width="27.140625" style="1246" customWidth="1"/>
    <col min="2565" max="2565" width="49.5703125" style="1246" customWidth="1"/>
    <col min="2566" max="2566" width="23.7109375" style="1246" customWidth="1"/>
    <col min="2567" max="2816" width="11.42578125" style="1246"/>
    <col min="2817" max="2817" width="40.42578125" style="1246" customWidth="1"/>
    <col min="2818" max="2819" width="7" style="1246" customWidth="1"/>
    <col min="2820" max="2820" width="27.140625" style="1246" customWidth="1"/>
    <col min="2821" max="2821" width="49.5703125" style="1246" customWidth="1"/>
    <col min="2822" max="2822" width="23.7109375" style="1246" customWidth="1"/>
    <col min="2823" max="3072" width="11.42578125" style="1246"/>
    <col min="3073" max="3073" width="40.42578125" style="1246" customWidth="1"/>
    <col min="3074" max="3075" width="7" style="1246" customWidth="1"/>
    <col min="3076" max="3076" width="27.140625" style="1246" customWidth="1"/>
    <col min="3077" max="3077" width="49.5703125" style="1246" customWidth="1"/>
    <col min="3078" max="3078" width="23.7109375" style="1246" customWidth="1"/>
    <col min="3079" max="3328" width="11.42578125" style="1246"/>
    <col min="3329" max="3329" width="40.42578125" style="1246" customWidth="1"/>
    <col min="3330" max="3331" width="7" style="1246" customWidth="1"/>
    <col min="3332" max="3332" width="27.140625" style="1246" customWidth="1"/>
    <col min="3333" max="3333" width="49.5703125" style="1246" customWidth="1"/>
    <col min="3334" max="3334" width="23.7109375" style="1246" customWidth="1"/>
    <col min="3335" max="3584" width="11.42578125" style="1246"/>
    <col min="3585" max="3585" width="40.42578125" style="1246" customWidth="1"/>
    <col min="3586" max="3587" width="7" style="1246" customWidth="1"/>
    <col min="3588" max="3588" width="27.140625" style="1246" customWidth="1"/>
    <col min="3589" max="3589" width="49.5703125" style="1246" customWidth="1"/>
    <col min="3590" max="3590" width="23.7109375" style="1246" customWidth="1"/>
    <col min="3591" max="3840" width="11.42578125" style="1246"/>
    <col min="3841" max="3841" width="40.42578125" style="1246" customWidth="1"/>
    <col min="3842" max="3843" width="7" style="1246" customWidth="1"/>
    <col min="3844" max="3844" width="27.140625" style="1246" customWidth="1"/>
    <col min="3845" max="3845" width="49.5703125" style="1246" customWidth="1"/>
    <col min="3846" max="3846" width="23.7109375" style="1246" customWidth="1"/>
    <col min="3847" max="4096" width="11.42578125" style="1246"/>
    <col min="4097" max="4097" width="40.42578125" style="1246" customWidth="1"/>
    <col min="4098" max="4099" width="7" style="1246" customWidth="1"/>
    <col min="4100" max="4100" width="27.140625" style="1246" customWidth="1"/>
    <col min="4101" max="4101" width="49.5703125" style="1246" customWidth="1"/>
    <col min="4102" max="4102" width="23.7109375" style="1246" customWidth="1"/>
    <col min="4103" max="4352" width="11.42578125" style="1246"/>
    <col min="4353" max="4353" width="40.42578125" style="1246" customWidth="1"/>
    <col min="4354" max="4355" width="7" style="1246" customWidth="1"/>
    <col min="4356" max="4356" width="27.140625" style="1246" customWidth="1"/>
    <col min="4357" max="4357" width="49.5703125" style="1246" customWidth="1"/>
    <col min="4358" max="4358" width="23.7109375" style="1246" customWidth="1"/>
    <col min="4359" max="4608" width="11.42578125" style="1246"/>
    <col min="4609" max="4609" width="40.42578125" style="1246" customWidth="1"/>
    <col min="4610" max="4611" width="7" style="1246" customWidth="1"/>
    <col min="4612" max="4612" width="27.140625" style="1246" customWidth="1"/>
    <col min="4613" max="4613" width="49.5703125" style="1246" customWidth="1"/>
    <col min="4614" max="4614" width="23.7109375" style="1246" customWidth="1"/>
    <col min="4615" max="4864" width="11.42578125" style="1246"/>
    <col min="4865" max="4865" width="40.42578125" style="1246" customWidth="1"/>
    <col min="4866" max="4867" width="7" style="1246" customWidth="1"/>
    <col min="4868" max="4868" width="27.140625" style="1246" customWidth="1"/>
    <col min="4869" max="4869" width="49.5703125" style="1246" customWidth="1"/>
    <col min="4870" max="4870" width="23.7109375" style="1246" customWidth="1"/>
    <col min="4871" max="5120" width="11.42578125" style="1246"/>
    <col min="5121" max="5121" width="40.42578125" style="1246" customWidth="1"/>
    <col min="5122" max="5123" width="7" style="1246" customWidth="1"/>
    <col min="5124" max="5124" width="27.140625" style="1246" customWidth="1"/>
    <col min="5125" max="5125" width="49.5703125" style="1246" customWidth="1"/>
    <col min="5126" max="5126" width="23.7109375" style="1246" customWidth="1"/>
    <col min="5127" max="5376" width="11.42578125" style="1246"/>
    <col min="5377" max="5377" width="40.42578125" style="1246" customWidth="1"/>
    <col min="5378" max="5379" width="7" style="1246" customWidth="1"/>
    <col min="5380" max="5380" width="27.140625" style="1246" customWidth="1"/>
    <col min="5381" max="5381" width="49.5703125" style="1246" customWidth="1"/>
    <col min="5382" max="5382" width="23.7109375" style="1246" customWidth="1"/>
    <col min="5383" max="5632" width="11.42578125" style="1246"/>
    <col min="5633" max="5633" width="40.42578125" style="1246" customWidth="1"/>
    <col min="5634" max="5635" width="7" style="1246" customWidth="1"/>
    <col min="5636" max="5636" width="27.140625" style="1246" customWidth="1"/>
    <col min="5637" max="5637" width="49.5703125" style="1246" customWidth="1"/>
    <col min="5638" max="5638" width="23.7109375" style="1246" customWidth="1"/>
    <col min="5639" max="5888" width="11.42578125" style="1246"/>
    <col min="5889" max="5889" width="40.42578125" style="1246" customWidth="1"/>
    <col min="5890" max="5891" width="7" style="1246" customWidth="1"/>
    <col min="5892" max="5892" width="27.140625" style="1246" customWidth="1"/>
    <col min="5893" max="5893" width="49.5703125" style="1246" customWidth="1"/>
    <col min="5894" max="5894" width="23.7109375" style="1246" customWidth="1"/>
    <col min="5895" max="6144" width="11.42578125" style="1246"/>
    <col min="6145" max="6145" width="40.42578125" style="1246" customWidth="1"/>
    <col min="6146" max="6147" width="7" style="1246" customWidth="1"/>
    <col min="6148" max="6148" width="27.140625" style="1246" customWidth="1"/>
    <col min="6149" max="6149" width="49.5703125" style="1246" customWidth="1"/>
    <col min="6150" max="6150" width="23.7109375" style="1246" customWidth="1"/>
    <col min="6151" max="6400" width="11.42578125" style="1246"/>
    <col min="6401" max="6401" width="40.42578125" style="1246" customWidth="1"/>
    <col min="6402" max="6403" width="7" style="1246" customWidth="1"/>
    <col min="6404" max="6404" width="27.140625" style="1246" customWidth="1"/>
    <col min="6405" max="6405" width="49.5703125" style="1246" customWidth="1"/>
    <col min="6406" max="6406" width="23.7109375" style="1246" customWidth="1"/>
    <col min="6407" max="6656" width="11.42578125" style="1246"/>
    <col min="6657" max="6657" width="40.42578125" style="1246" customWidth="1"/>
    <col min="6658" max="6659" width="7" style="1246" customWidth="1"/>
    <col min="6660" max="6660" width="27.140625" style="1246" customWidth="1"/>
    <col min="6661" max="6661" width="49.5703125" style="1246" customWidth="1"/>
    <col min="6662" max="6662" width="23.7109375" style="1246" customWidth="1"/>
    <col min="6663" max="6912" width="11.42578125" style="1246"/>
    <col min="6913" max="6913" width="40.42578125" style="1246" customWidth="1"/>
    <col min="6914" max="6915" width="7" style="1246" customWidth="1"/>
    <col min="6916" max="6916" width="27.140625" style="1246" customWidth="1"/>
    <col min="6917" max="6917" width="49.5703125" style="1246" customWidth="1"/>
    <col min="6918" max="6918" width="23.7109375" style="1246" customWidth="1"/>
    <col min="6919" max="7168" width="11.42578125" style="1246"/>
    <col min="7169" max="7169" width="40.42578125" style="1246" customWidth="1"/>
    <col min="7170" max="7171" width="7" style="1246" customWidth="1"/>
    <col min="7172" max="7172" width="27.140625" style="1246" customWidth="1"/>
    <col min="7173" max="7173" width="49.5703125" style="1246" customWidth="1"/>
    <col min="7174" max="7174" width="23.7109375" style="1246" customWidth="1"/>
    <col min="7175" max="7424" width="11.42578125" style="1246"/>
    <col min="7425" max="7425" width="40.42578125" style="1246" customWidth="1"/>
    <col min="7426" max="7427" width="7" style="1246" customWidth="1"/>
    <col min="7428" max="7428" width="27.140625" style="1246" customWidth="1"/>
    <col min="7429" max="7429" width="49.5703125" style="1246" customWidth="1"/>
    <col min="7430" max="7430" width="23.7109375" style="1246" customWidth="1"/>
    <col min="7431" max="7680" width="11.42578125" style="1246"/>
    <col min="7681" max="7681" width="40.42578125" style="1246" customWidth="1"/>
    <col min="7682" max="7683" width="7" style="1246" customWidth="1"/>
    <col min="7684" max="7684" width="27.140625" style="1246" customWidth="1"/>
    <col min="7685" max="7685" width="49.5703125" style="1246" customWidth="1"/>
    <col min="7686" max="7686" width="23.7109375" style="1246" customWidth="1"/>
    <col min="7687" max="7936" width="11.42578125" style="1246"/>
    <col min="7937" max="7937" width="40.42578125" style="1246" customWidth="1"/>
    <col min="7938" max="7939" width="7" style="1246" customWidth="1"/>
    <col min="7940" max="7940" width="27.140625" style="1246" customWidth="1"/>
    <col min="7941" max="7941" width="49.5703125" style="1246" customWidth="1"/>
    <col min="7942" max="7942" width="23.7109375" style="1246" customWidth="1"/>
    <col min="7943" max="8192" width="11.42578125" style="1246"/>
    <col min="8193" max="8193" width="40.42578125" style="1246" customWidth="1"/>
    <col min="8194" max="8195" width="7" style="1246" customWidth="1"/>
    <col min="8196" max="8196" width="27.140625" style="1246" customWidth="1"/>
    <col min="8197" max="8197" width="49.5703125" style="1246" customWidth="1"/>
    <col min="8198" max="8198" width="23.7109375" style="1246" customWidth="1"/>
    <col min="8199" max="8448" width="11.42578125" style="1246"/>
    <col min="8449" max="8449" width="40.42578125" style="1246" customWidth="1"/>
    <col min="8450" max="8451" width="7" style="1246" customWidth="1"/>
    <col min="8452" max="8452" width="27.140625" style="1246" customWidth="1"/>
    <col min="8453" max="8453" width="49.5703125" style="1246" customWidth="1"/>
    <col min="8454" max="8454" width="23.7109375" style="1246" customWidth="1"/>
    <col min="8455" max="8704" width="11.42578125" style="1246"/>
    <col min="8705" max="8705" width="40.42578125" style="1246" customWidth="1"/>
    <col min="8706" max="8707" width="7" style="1246" customWidth="1"/>
    <col min="8708" max="8708" width="27.140625" style="1246" customWidth="1"/>
    <col min="8709" max="8709" width="49.5703125" style="1246" customWidth="1"/>
    <col min="8710" max="8710" width="23.7109375" style="1246" customWidth="1"/>
    <col min="8711" max="8960" width="11.42578125" style="1246"/>
    <col min="8961" max="8961" width="40.42578125" style="1246" customWidth="1"/>
    <col min="8962" max="8963" width="7" style="1246" customWidth="1"/>
    <col min="8964" max="8964" width="27.140625" style="1246" customWidth="1"/>
    <col min="8965" max="8965" width="49.5703125" style="1246" customWidth="1"/>
    <col min="8966" max="8966" width="23.7109375" style="1246" customWidth="1"/>
    <col min="8967" max="9216" width="11.42578125" style="1246"/>
    <col min="9217" max="9217" width="40.42578125" style="1246" customWidth="1"/>
    <col min="9218" max="9219" width="7" style="1246" customWidth="1"/>
    <col min="9220" max="9220" width="27.140625" style="1246" customWidth="1"/>
    <col min="9221" max="9221" width="49.5703125" style="1246" customWidth="1"/>
    <col min="9222" max="9222" width="23.7109375" style="1246" customWidth="1"/>
    <col min="9223" max="9472" width="11.42578125" style="1246"/>
    <col min="9473" max="9473" width="40.42578125" style="1246" customWidth="1"/>
    <col min="9474" max="9475" width="7" style="1246" customWidth="1"/>
    <col min="9476" max="9476" width="27.140625" style="1246" customWidth="1"/>
    <col min="9477" max="9477" width="49.5703125" style="1246" customWidth="1"/>
    <col min="9478" max="9478" width="23.7109375" style="1246" customWidth="1"/>
    <col min="9479" max="9728" width="11.42578125" style="1246"/>
    <col min="9729" max="9729" width="40.42578125" style="1246" customWidth="1"/>
    <col min="9730" max="9731" width="7" style="1246" customWidth="1"/>
    <col min="9732" max="9732" width="27.140625" style="1246" customWidth="1"/>
    <col min="9733" max="9733" width="49.5703125" style="1246" customWidth="1"/>
    <col min="9734" max="9734" width="23.7109375" style="1246" customWidth="1"/>
    <col min="9735" max="9984" width="11.42578125" style="1246"/>
    <col min="9985" max="9985" width="40.42578125" style="1246" customWidth="1"/>
    <col min="9986" max="9987" width="7" style="1246" customWidth="1"/>
    <col min="9988" max="9988" width="27.140625" style="1246" customWidth="1"/>
    <col min="9989" max="9989" width="49.5703125" style="1246" customWidth="1"/>
    <col min="9990" max="9990" width="23.7109375" style="1246" customWidth="1"/>
    <col min="9991" max="10240" width="11.42578125" style="1246"/>
    <col min="10241" max="10241" width="40.42578125" style="1246" customWidth="1"/>
    <col min="10242" max="10243" width="7" style="1246" customWidth="1"/>
    <col min="10244" max="10244" width="27.140625" style="1246" customWidth="1"/>
    <col min="10245" max="10245" width="49.5703125" style="1246" customWidth="1"/>
    <col min="10246" max="10246" width="23.7109375" style="1246" customWidth="1"/>
    <col min="10247" max="10496" width="11.42578125" style="1246"/>
    <col min="10497" max="10497" width="40.42578125" style="1246" customWidth="1"/>
    <col min="10498" max="10499" width="7" style="1246" customWidth="1"/>
    <col min="10500" max="10500" width="27.140625" style="1246" customWidth="1"/>
    <col min="10501" max="10501" width="49.5703125" style="1246" customWidth="1"/>
    <col min="10502" max="10502" width="23.7109375" style="1246" customWidth="1"/>
    <col min="10503" max="10752" width="11.42578125" style="1246"/>
    <col min="10753" max="10753" width="40.42578125" style="1246" customWidth="1"/>
    <col min="10754" max="10755" width="7" style="1246" customWidth="1"/>
    <col min="10756" max="10756" width="27.140625" style="1246" customWidth="1"/>
    <col min="10757" max="10757" width="49.5703125" style="1246" customWidth="1"/>
    <col min="10758" max="10758" width="23.7109375" style="1246" customWidth="1"/>
    <col min="10759" max="11008" width="11.42578125" style="1246"/>
    <col min="11009" max="11009" width="40.42578125" style="1246" customWidth="1"/>
    <col min="11010" max="11011" width="7" style="1246" customWidth="1"/>
    <col min="11012" max="11012" width="27.140625" style="1246" customWidth="1"/>
    <col min="11013" max="11013" width="49.5703125" style="1246" customWidth="1"/>
    <col min="11014" max="11014" width="23.7109375" style="1246" customWidth="1"/>
    <col min="11015" max="11264" width="11.42578125" style="1246"/>
    <col min="11265" max="11265" width="40.42578125" style="1246" customWidth="1"/>
    <col min="11266" max="11267" width="7" style="1246" customWidth="1"/>
    <col min="11268" max="11268" width="27.140625" style="1246" customWidth="1"/>
    <col min="11269" max="11269" width="49.5703125" style="1246" customWidth="1"/>
    <col min="11270" max="11270" width="23.7109375" style="1246" customWidth="1"/>
    <col min="11271" max="11520" width="11.42578125" style="1246"/>
    <col min="11521" max="11521" width="40.42578125" style="1246" customWidth="1"/>
    <col min="11522" max="11523" width="7" style="1246" customWidth="1"/>
    <col min="11524" max="11524" width="27.140625" style="1246" customWidth="1"/>
    <col min="11525" max="11525" width="49.5703125" style="1246" customWidth="1"/>
    <col min="11526" max="11526" width="23.7109375" style="1246" customWidth="1"/>
    <col min="11527" max="11776" width="11.42578125" style="1246"/>
    <col min="11777" max="11777" width="40.42578125" style="1246" customWidth="1"/>
    <col min="11778" max="11779" width="7" style="1246" customWidth="1"/>
    <col min="11780" max="11780" width="27.140625" style="1246" customWidth="1"/>
    <col min="11781" max="11781" width="49.5703125" style="1246" customWidth="1"/>
    <col min="11782" max="11782" width="23.7109375" style="1246" customWidth="1"/>
    <col min="11783" max="12032" width="11.42578125" style="1246"/>
    <col min="12033" max="12033" width="40.42578125" style="1246" customWidth="1"/>
    <col min="12034" max="12035" width="7" style="1246" customWidth="1"/>
    <col min="12036" max="12036" width="27.140625" style="1246" customWidth="1"/>
    <col min="12037" max="12037" width="49.5703125" style="1246" customWidth="1"/>
    <col min="12038" max="12038" width="23.7109375" style="1246" customWidth="1"/>
    <col min="12039" max="12288" width="11.42578125" style="1246"/>
    <col min="12289" max="12289" width="40.42578125" style="1246" customWidth="1"/>
    <col min="12290" max="12291" width="7" style="1246" customWidth="1"/>
    <col min="12292" max="12292" width="27.140625" style="1246" customWidth="1"/>
    <col min="12293" max="12293" width="49.5703125" style="1246" customWidth="1"/>
    <col min="12294" max="12294" width="23.7109375" style="1246" customWidth="1"/>
    <col min="12295" max="12544" width="11.42578125" style="1246"/>
    <col min="12545" max="12545" width="40.42578125" style="1246" customWidth="1"/>
    <col min="12546" max="12547" width="7" style="1246" customWidth="1"/>
    <col min="12548" max="12548" width="27.140625" style="1246" customWidth="1"/>
    <col min="12549" max="12549" width="49.5703125" style="1246" customWidth="1"/>
    <col min="12550" max="12550" width="23.7109375" style="1246" customWidth="1"/>
    <col min="12551" max="12800" width="11.42578125" style="1246"/>
    <col min="12801" max="12801" width="40.42578125" style="1246" customWidth="1"/>
    <col min="12802" max="12803" width="7" style="1246" customWidth="1"/>
    <col min="12804" max="12804" width="27.140625" style="1246" customWidth="1"/>
    <col min="12805" max="12805" width="49.5703125" style="1246" customWidth="1"/>
    <col min="12806" max="12806" width="23.7109375" style="1246" customWidth="1"/>
    <col min="12807" max="13056" width="11.42578125" style="1246"/>
    <col min="13057" max="13057" width="40.42578125" style="1246" customWidth="1"/>
    <col min="13058" max="13059" width="7" style="1246" customWidth="1"/>
    <col min="13060" max="13060" width="27.140625" style="1246" customWidth="1"/>
    <col min="13061" max="13061" width="49.5703125" style="1246" customWidth="1"/>
    <col min="13062" max="13062" width="23.7109375" style="1246" customWidth="1"/>
    <col min="13063" max="13312" width="11.42578125" style="1246"/>
    <col min="13313" max="13313" width="40.42578125" style="1246" customWidth="1"/>
    <col min="13314" max="13315" width="7" style="1246" customWidth="1"/>
    <col min="13316" max="13316" width="27.140625" style="1246" customWidth="1"/>
    <col min="13317" max="13317" width="49.5703125" style="1246" customWidth="1"/>
    <col min="13318" max="13318" width="23.7109375" style="1246" customWidth="1"/>
    <col min="13319" max="13568" width="11.42578125" style="1246"/>
    <col min="13569" max="13569" width="40.42578125" style="1246" customWidth="1"/>
    <col min="13570" max="13571" width="7" style="1246" customWidth="1"/>
    <col min="13572" max="13572" width="27.140625" style="1246" customWidth="1"/>
    <col min="13573" max="13573" width="49.5703125" style="1246" customWidth="1"/>
    <col min="13574" max="13574" width="23.7109375" style="1246" customWidth="1"/>
    <col min="13575" max="13824" width="11.42578125" style="1246"/>
    <col min="13825" max="13825" width="40.42578125" style="1246" customWidth="1"/>
    <col min="13826" max="13827" width="7" style="1246" customWidth="1"/>
    <col min="13828" max="13828" width="27.140625" style="1246" customWidth="1"/>
    <col min="13829" max="13829" width="49.5703125" style="1246" customWidth="1"/>
    <col min="13830" max="13830" width="23.7109375" style="1246" customWidth="1"/>
    <col min="13831" max="14080" width="11.42578125" style="1246"/>
    <col min="14081" max="14081" width="40.42578125" style="1246" customWidth="1"/>
    <col min="14082" max="14083" width="7" style="1246" customWidth="1"/>
    <col min="14084" max="14084" width="27.140625" style="1246" customWidth="1"/>
    <col min="14085" max="14085" width="49.5703125" style="1246" customWidth="1"/>
    <col min="14086" max="14086" width="23.7109375" style="1246" customWidth="1"/>
    <col min="14087" max="14336" width="11.42578125" style="1246"/>
    <col min="14337" max="14337" width="40.42578125" style="1246" customWidth="1"/>
    <col min="14338" max="14339" width="7" style="1246" customWidth="1"/>
    <col min="14340" max="14340" width="27.140625" style="1246" customWidth="1"/>
    <col min="14341" max="14341" width="49.5703125" style="1246" customWidth="1"/>
    <col min="14342" max="14342" width="23.7109375" style="1246" customWidth="1"/>
    <col min="14343" max="14592" width="11.42578125" style="1246"/>
    <col min="14593" max="14593" width="40.42578125" style="1246" customWidth="1"/>
    <col min="14594" max="14595" width="7" style="1246" customWidth="1"/>
    <col min="14596" max="14596" width="27.140625" style="1246" customWidth="1"/>
    <col min="14597" max="14597" width="49.5703125" style="1246" customWidth="1"/>
    <col min="14598" max="14598" width="23.7109375" style="1246" customWidth="1"/>
    <col min="14599" max="14848" width="11.42578125" style="1246"/>
    <col min="14849" max="14849" width="40.42578125" style="1246" customWidth="1"/>
    <col min="14850" max="14851" width="7" style="1246" customWidth="1"/>
    <col min="14852" max="14852" width="27.140625" style="1246" customWidth="1"/>
    <col min="14853" max="14853" width="49.5703125" style="1246" customWidth="1"/>
    <col min="14854" max="14854" width="23.7109375" style="1246" customWidth="1"/>
    <col min="14855" max="15104" width="11.42578125" style="1246"/>
    <col min="15105" max="15105" width="40.42578125" style="1246" customWidth="1"/>
    <col min="15106" max="15107" width="7" style="1246" customWidth="1"/>
    <col min="15108" max="15108" width="27.140625" style="1246" customWidth="1"/>
    <col min="15109" max="15109" width="49.5703125" style="1246" customWidth="1"/>
    <col min="15110" max="15110" width="23.7109375" style="1246" customWidth="1"/>
    <col min="15111" max="15360" width="11.42578125" style="1246"/>
    <col min="15361" max="15361" width="40.42578125" style="1246" customWidth="1"/>
    <col min="15362" max="15363" width="7" style="1246" customWidth="1"/>
    <col min="15364" max="15364" width="27.140625" style="1246" customWidth="1"/>
    <col min="15365" max="15365" width="49.5703125" style="1246" customWidth="1"/>
    <col min="15366" max="15366" width="23.7109375" style="1246" customWidth="1"/>
    <col min="15367" max="15616" width="11.42578125" style="1246"/>
    <col min="15617" max="15617" width="40.42578125" style="1246" customWidth="1"/>
    <col min="15618" max="15619" width="7" style="1246" customWidth="1"/>
    <col min="15620" max="15620" width="27.140625" style="1246" customWidth="1"/>
    <col min="15621" max="15621" width="49.5703125" style="1246" customWidth="1"/>
    <col min="15622" max="15622" width="23.7109375" style="1246" customWidth="1"/>
    <col min="15623" max="15872" width="11.42578125" style="1246"/>
    <col min="15873" max="15873" width="40.42578125" style="1246" customWidth="1"/>
    <col min="15874" max="15875" width="7" style="1246" customWidth="1"/>
    <col min="15876" max="15876" width="27.140625" style="1246" customWidth="1"/>
    <col min="15877" max="15877" width="49.5703125" style="1246" customWidth="1"/>
    <col min="15878" max="15878" width="23.7109375" style="1246" customWidth="1"/>
    <col min="15879" max="16128" width="11.42578125" style="1246"/>
    <col min="16129" max="16129" width="40.42578125" style="1246" customWidth="1"/>
    <col min="16130" max="16131" width="7" style="1246" customWidth="1"/>
    <col min="16132" max="16132" width="27.140625" style="1246" customWidth="1"/>
    <col min="16133" max="16133" width="49.5703125" style="1246" customWidth="1"/>
    <col min="16134" max="16134" width="23.7109375" style="1246" customWidth="1"/>
    <col min="16135" max="16384" width="11.42578125" style="1246"/>
  </cols>
  <sheetData>
    <row r="1" spans="1:14" ht="50.25" customHeight="1">
      <c r="A1" s="2300"/>
      <c r="B1" s="2334" t="s">
        <v>1383</v>
      </c>
      <c r="C1" s="2335"/>
      <c r="D1" s="2335"/>
      <c r="E1" s="2336"/>
      <c r="F1" s="2340"/>
    </row>
    <row r="2" spans="1:14" ht="29.25" customHeight="1">
      <c r="A2" s="2300"/>
      <c r="B2" s="2337"/>
      <c r="C2" s="2338"/>
      <c r="D2" s="2338"/>
      <c r="E2" s="2339"/>
      <c r="F2" s="2340"/>
    </row>
    <row r="3" spans="1:14" ht="14.25" customHeight="1">
      <c r="A3" s="1247"/>
      <c r="B3" s="1248"/>
      <c r="C3" s="1248"/>
      <c r="D3" s="1249"/>
      <c r="E3" s="1249"/>
      <c r="F3" s="1250"/>
    </row>
    <row r="4" spans="1:14" s="1248" customFormat="1" ht="33.75" customHeight="1">
      <c r="A4" s="1251" t="s">
        <v>1541</v>
      </c>
      <c r="B4" s="1252"/>
      <c r="C4" s="1252"/>
      <c r="D4" s="2333" t="str">
        <f>IF(ISBLANK(oMOE),"",oMOE)</f>
        <v/>
      </c>
      <c r="E4" s="2333"/>
      <c r="F4" s="2333"/>
    </row>
    <row r="5" spans="1:14" s="1248" customFormat="1" ht="18" customHeight="1">
      <c r="A5" s="2341"/>
      <c r="B5" s="2342"/>
      <c r="C5" s="2342"/>
      <c r="D5" s="2342"/>
      <c r="E5" s="2342"/>
      <c r="F5" s="2343"/>
    </row>
    <row r="6" spans="1:14" s="1248" customFormat="1" ht="20.25">
      <c r="A6" s="1253" t="s">
        <v>1378</v>
      </c>
      <c r="B6" s="1254"/>
      <c r="C6" s="1254"/>
      <c r="F6" s="1255"/>
    </row>
    <row r="7" spans="1:14" s="1248" customFormat="1" ht="9" customHeight="1">
      <c r="A7" s="1253"/>
      <c r="B7" s="1254"/>
      <c r="C7" s="1254"/>
      <c r="F7" s="1255"/>
    </row>
    <row r="8" spans="1:14" s="1248" customFormat="1" ht="50.25" customHeight="1">
      <c r="A8" s="1253" t="s">
        <v>1379</v>
      </c>
      <c r="B8" s="1254"/>
      <c r="C8" s="1254"/>
      <c r="D8" s="2333" t="str">
        <f>IF(ISBLANK(oLibelleOTP),"",oLibelleOTP)</f>
        <v/>
      </c>
      <c r="E8" s="2333"/>
      <c r="F8" s="1260"/>
      <c r="G8" s="1268"/>
      <c r="H8" s="1268"/>
      <c r="I8" s="1268"/>
      <c r="J8" s="1256"/>
      <c r="K8" s="1256"/>
      <c r="L8" s="1256"/>
      <c r="M8" s="1256"/>
      <c r="N8" s="1256"/>
    </row>
    <row r="9" spans="1:14" s="1248" customFormat="1" ht="10.5" customHeight="1">
      <c r="A9" s="2330"/>
      <c r="B9" s="2331"/>
      <c r="C9" s="2331"/>
      <c r="D9" s="2331"/>
      <c r="E9" s="2331"/>
      <c r="F9" s="2332"/>
    </row>
    <row r="10" spans="1:14" s="1248" customFormat="1" ht="20.25">
      <c r="A10" s="1253" t="s">
        <v>1380</v>
      </c>
      <c r="B10" s="2318" t="str">
        <f>IF(ISBLANK(oN°MARCHE),"",oN°MARCHE)</f>
        <v/>
      </c>
      <c r="C10" s="2318"/>
      <c r="D10" s="2318"/>
      <c r="E10" s="1257"/>
      <c r="F10" s="1258"/>
    </row>
    <row r="11" spans="1:14" s="1248" customFormat="1" ht="20.25">
      <c r="A11" s="1259" t="s">
        <v>1381</v>
      </c>
      <c r="B11" s="2319" t="str">
        <f>IF(ISBLANK(oAdresseChantier),"",oAdresseChantier)</f>
        <v/>
      </c>
      <c r="C11" s="2319"/>
      <c r="D11" s="2319"/>
      <c r="E11" s="1271" t="str">
        <f>IF(ISBLANK(oVille),"",oVille)</f>
        <v/>
      </c>
      <c r="F11" s="1270"/>
      <c r="G11" s="1269"/>
    </row>
    <row r="12" spans="1:14" s="1248" customFormat="1" ht="20.25">
      <c r="A12" s="1253" t="s">
        <v>1382</v>
      </c>
      <c r="B12" s="2318" t="str">
        <f>IF(ISBLANK(oeOTP),"",oeOTP)</f>
        <v/>
      </c>
      <c r="C12" s="2318"/>
      <c r="D12" s="2318"/>
      <c r="F12" s="1255"/>
    </row>
    <row r="13" spans="1:14" s="1264" customFormat="1" ht="18">
      <c r="A13" s="1261"/>
      <c r="B13" s="1262"/>
      <c r="C13" s="1262"/>
      <c r="D13" s="1262"/>
      <c r="E13" s="1262"/>
      <c r="F13" s="1263"/>
    </row>
    <row r="14" spans="1:14" ht="12.75" customHeight="1" thickBot="1">
      <c r="H14" s="1265"/>
    </row>
    <row r="15" spans="1:14" s="1248" customFormat="1" ht="30" customHeight="1" thickTop="1">
      <c r="A15" s="2327" t="s">
        <v>1383</v>
      </c>
      <c r="B15" s="2327"/>
      <c r="C15" s="2327"/>
      <c r="D15" s="2327"/>
      <c r="E15" s="2327"/>
      <c r="F15" s="2327"/>
    </row>
    <row r="16" spans="1:14" s="1248" customFormat="1" ht="45" customHeight="1">
      <c r="A16" s="2310" t="s">
        <v>1384</v>
      </c>
      <c r="B16" s="2323"/>
      <c r="C16" s="2323"/>
      <c r="D16" s="2323"/>
      <c r="E16" s="2323"/>
      <c r="F16" s="2311"/>
      <c r="K16" s="1272"/>
    </row>
    <row r="17" spans="1:6" s="1248" customFormat="1" ht="45" customHeight="1">
      <c r="A17" s="1259" t="s">
        <v>1385</v>
      </c>
      <c r="B17" s="1249"/>
      <c r="C17" s="2302" t="s">
        <v>1401</v>
      </c>
      <c r="D17" s="2302"/>
      <c r="E17" s="2328" t="s">
        <v>1386</v>
      </c>
      <c r="F17" s="2329"/>
    </row>
    <row r="18" spans="1:6" s="1248" customFormat="1" ht="45" customHeight="1">
      <c r="A18" s="2315" t="s">
        <v>1387</v>
      </c>
      <c r="B18" s="2316"/>
      <c r="C18" s="2316"/>
      <c r="D18" s="2316"/>
      <c r="E18" s="2316"/>
      <c r="F18" s="2317"/>
    </row>
    <row r="19" spans="1:6" s="1248" customFormat="1" ht="44.25" customHeight="1">
      <c r="A19" s="2315" t="s">
        <v>1388</v>
      </c>
      <c r="B19" s="2316"/>
      <c r="C19" s="2316"/>
      <c r="D19" s="2316"/>
      <c r="E19" s="2316"/>
      <c r="F19" s="2317"/>
    </row>
    <row r="20" spans="1:6" s="1264" customFormat="1" ht="37.5" customHeight="1">
      <c r="A20" s="2315" t="s">
        <v>1389</v>
      </c>
      <c r="B20" s="2316"/>
      <c r="C20" s="2316"/>
      <c r="D20" s="2316"/>
      <c r="E20" s="2316"/>
      <c r="F20" s="2317"/>
    </row>
    <row r="21" spans="1:6" ht="13.5" customHeight="1">
      <c r="A21" s="2325"/>
      <c r="B21" s="2326"/>
      <c r="C21" s="2326"/>
      <c r="D21" s="2326"/>
      <c r="E21" s="1266"/>
      <c r="F21" s="1267"/>
    </row>
    <row r="22" spans="1:6" ht="15" customHeight="1" thickBot="1">
      <c r="A22" s="1245"/>
      <c r="B22" s="1245"/>
      <c r="C22" s="1245"/>
      <c r="D22" s="1245"/>
      <c r="E22" s="1245"/>
      <c r="F22" s="1245"/>
    </row>
    <row r="23" spans="1:6" ht="30" customHeight="1" thickTop="1">
      <c r="A23" s="2327" t="s">
        <v>1390</v>
      </c>
      <c r="B23" s="2327"/>
      <c r="C23" s="2327"/>
      <c r="D23" s="2327"/>
      <c r="E23" s="2327"/>
      <c r="F23" s="2327"/>
    </row>
    <row r="24" spans="1:6" s="1248" customFormat="1" ht="21.75" customHeight="1">
      <c r="A24" s="2314" t="s">
        <v>1391</v>
      </c>
      <c r="B24" s="2314"/>
      <c r="C24" s="2314"/>
      <c r="D24" s="2314"/>
      <c r="E24" s="2314" t="s">
        <v>1392</v>
      </c>
      <c r="F24" s="2314"/>
    </row>
    <row r="25" spans="1:6" s="1248" customFormat="1" ht="173.25" customHeight="1">
      <c r="A25" s="2301"/>
      <c r="B25" s="2301"/>
      <c r="C25" s="2301"/>
      <c r="D25" s="2301"/>
      <c r="E25" s="2301"/>
      <c r="F25" s="2301"/>
    </row>
    <row r="26" spans="1:6" ht="33" customHeight="1">
      <c r="A26" s="2310" t="s">
        <v>1393</v>
      </c>
      <c r="B26" s="2323"/>
      <c r="C26" s="2323"/>
      <c r="D26" s="2311"/>
      <c r="E26" s="2310" t="s">
        <v>1394</v>
      </c>
      <c r="F26" s="2311"/>
    </row>
    <row r="27" spans="1:6" s="1248" customFormat="1" ht="33" customHeight="1">
      <c r="A27" s="2312" t="s">
        <v>1395</v>
      </c>
      <c r="B27" s="2324"/>
      <c r="C27" s="2324"/>
      <c r="D27" s="2313"/>
      <c r="E27" s="2312"/>
      <c r="F27" s="2313"/>
    </row>
    <row r="28" spans="1:6" ht="39.75" customHeight="1">
      <c r="A28" s="2299" t="s">
        <v>1404</v>
      </c>
      <c r="B28" s="2299"/>
      <c r="C28" s="2299"/>
      <c r="D28" s="2299"/>
      <c r="E28" s="2299" t="s">
        <v>1396</v>
      </c>
      <c r="F28" s="2299"/>
    </row>
    <row r="29" spans="1:6" ht="72" customHeight="1">
      <c r="A29" s="2300"/>
      <c r="B29" s="2300"/>
      <c r="C29" s="2300"/>
      <c r="D29" s="2300"/>
      <c r="E29" s="2301"/>
      <c r="F29" s="2301"/>
    </row>
    <row r="30" spans="1:6" ht="48.75" customHeight="1">
      <c r="A30" s="2306" t="s">
        <v>1542</v>
      </c>
      <c r="B30" s="2306"/>
      <c r="C30" s="2306"/>
      <c r="D30" s="2306"/>
      <c r="E30" s="2306"/>
      <c r="F30" s="2306"/>
    </row>
    <row r="31" spans="1:6" ht="35.1" customHeight="1">
      <c r="A31" s="2307" t="s">
        <v>1402</v>
      </c>
      <c r="B31" s="2308"/>
      <c r="C31" s="2308"/>
      <c r="D31" s="2308"/>
      <c r="E31" s="2308"/>
      <c r="F31" s="2309"/>
    </row>
    <row r="32" spans="1:6" ht="35.1" customHeight="1" thickBot="1">
      <c r="A32" s="2320" t="s">
        <v>1403</v>
      </c>
      <c r="B32" s="2321"/>
      <c r="C32" s="2321"/>
      <c r="D32" s="2321"/>
      <c r="E32" s="2321"/>
      <c r="F32" s="2322"/>
    </row>
    <row r="33" spans="1:6" ht="30" customHeight="1" thickTop="1">
      <c r="A33" s="2303" t="s">
        <v>1397</v>
      </c>
      <c r="B33" s="2304"/>
      <c r="C33" s="2304"/>
      <c r="D33" s="2304"/>
      <c r="E33" s="2304"/>
      <c r="F33" s="2305"/>
    </row>
    <row r="34" spans="1:6" ht="45.75" customHeight="1">
      <c r="A34" s="2306" t="s">
        <v>1543</v>
      </c>
      <c r="B34" s="2306"/>
      <c r="C34" s="2306"/>
      <c r="D34" s="2306"/>
      <c r="E34" s="2306"/>
      <c r="F34" s="2306"/>
    </row>
    <row r="35" spans="1:6" ht="41.25" customHeight="1">
      <c r="A35" s="2307" t="s">
        <v>1398</v>
      </c>
      <c r="B35" s="2308"/>
      <c r="C35" s="2308"/>
      <c r="D35" s="2309"/>
      <c r="E35" s="2310" t="s">
        <v>1399</v>
      </c>
      <c r="F35" s="2311"/>
    </row>
    <row r="36" spans="1:6" ht="45.75" customHeight="1">
      <c r="A36" s="2307" t="s">
        <v>1400</v>
      </c>
      <c r="B36" s="2308"/>
      <c r="C36" s="2308"/>
      <c r="D36" s="2309"/>
      <c r="E36" s="2312"/>
      <c r="F36" s="2313"/>
    </row>
    <row r="37" spans="1:6" ht="38.25" customHeight="1">
      <c r="A37" s="2299" t="s">
        <v>1404</v>
      </c>
      <c r="B37" s="2299"/>
      <c r="C37" s="2299"/>
      <c r="D37" s="2299"/>
      <c r="E37" s="2299" t="s">
        <v>1396</v>
      </c>
      <c r="F37" s="2299"/>
    </row>
    <row r="38" spans="1:6" ht="67.5" customHeight="1">
      <c r="A38" s="2300"/>
      <c r="B38" s="2300"/>
      <c r="C38" s="2300"/>
      <c r="D38" s="2300"/>
      <c r="E38" s="2301"/>
      <c r="F38" s="2301"/>
    </row>
  </sheetData>
  <mergeCells count="42">
    <mergeCell ref="A9:F9"/>
    <mergeCell ref="D8:E8"/>
    <mergeCell ref="A1:A2"/>
    <mergeCell ref="B1:E2"/>
    <mergeCell ref="F1:F2"/>
    <mergeCell ref="D4:F4"/>
    <mergeCell ref="A5:F5"/>
    <mergeCell ref="A15:F15"/>
    <mergeCell ref="A16:F16"/>
    <mergeCell ref="E17:F17"/>
    <mergeCell ref="A18:F18"/>
    <mergeCell ref="A19:F19"/>
    <mergeCell ref="B10:D10"/>
    <mergeCell ref="B11:D11"/>
    <mergeCell ref="B12:D12"/>
    <mergeCell ref="A32:F32"/>
    <mergeCell ref="A30:F30"/>
    <mergeCell ref="A31:F31"/>
    <mergeCell ref="A26:D26"/>
    <mergeCell ref="E26:F27"/>
    <mergeCell ref="A27:D27"/>
    <mergeCell ref="A28:D28"/>
    <mergeCell ref="E28:F28"/>
    <mergeCell ref="A29:D29"/>
    <mergeCell ref="E29:F29"/>
    <mergeCell ref="A21:D21"/>
    <mergeCell ref="A23:F23"/>
    <mergeCell ref="A24:D24"/>
    <mergeCell ref="A37:D37"/>
    <mergeCell ref="E37:F37"/>
    <mergeCell ref="A38:D38"/>
    <mergeCell ref="E38:F38"/>
    <mergeCell ref="C17:D17"/>
    <mergeCell ref="A33:F33"/>
    <mergeCell ref="A34:F34"/>
    <mergeCell ref="A35:D35"/>
    <mergeCell ref="E35:F36"/>
    <mergeCell ref="A36:D36"/>
    <mergeCell ref="E24:F24"/>
    <mergeCell ref="A25:D25"/>
    <mergeCell ref="E25:F25"/>
    <mergeCell ref="A20:F20"/>
  </mergeCells>
  <printOptions horizontalCentered="1" verticalCentered="1"/>
  <pageMargins left="0" right="0" top="0.39370078740157483" bottom="0.39370078740157483" header="0" footer="0"/>
  <pageSetup paperSize="9" scale="58" orientation="portrait" r:id="rId1"/>
  <headerFooter alignWithMargins="0">
    <oddFooter>&amp;C&amp;P/&amp;N&amp;REdité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8017" r:id="rId4" name="Check Box 1">
              <controlPr defaultSize="0" autoFill="0" autoLine="0" autoPict="0">
                <anchor moveWithCells="1">
                  <from>
                    <xdr:col>0</xdr:col>
                    <xdr:colOff>314325</xdr:colOff>
                    <xdr:row>18</xdr:row>
                    <xdr:rowOff>504825</xdr:rowOff>
                  </from>
                  <to>
                    <xdr:col>0</xdr:col>
                    <xdr:colOff>619125</xdr:colOff>
                    <xdr:row>19</xdr:row>
                    <xdr:rowOff>314325</xdr:rowOff>
                  </to>
                </anchor>
              </controlPr>
            </control>
          </mc:Choice>
        </mc:AlternateContent>
        <mc:AlternateContent xmlns:mc="http://schemas.openxmlformats.org/markup-compatibility/2006">
          <mc:Choice Requires="x14">
            <control shapeId="1238018" r:id="rId5" name="Check Box 2">
              <controlPr defaultSize="0" autoFill="0" autoLine="0" autoPict="0">
                <anchor moveWithCells="1">
                  <from>
                    <xdr:col>0</xdr:col>
                    <xdr:colOff>314325</xdr:colOff>
                    <xdr:row>18</xdr:row>
                    <xdr:rowOff>19050</xdr:rowOff>
                  </from>
                  <to>
                    <xdr:col>0</xdr:col>
                    <xdr:colOff>619125</xdr:colOff>
                    <xdr:row>18</xdr:row>
                    <xdr:rowOff>304800</xdr:rowOff>
                  </to>
                </anchor>
              </controlPr>
            </control>
          </mc:Choice>
        </mc:AlternateContent>
        <mc:AlternateContent xmlns:mc="http://schemas.openxmlformats.org/markup-compatibility/2006">
          <mc:Choice Requires="x14">
            <control shapeId="1238019" r:id="rId6" name="Check Box 3">
              <controlPr defaultSize="0" autoFill="0" autoLine="0" autoPict="0">
                <anchor moveWithCells="1">
                  <from>
                    <xdr:col>1</xdr:col>
                    <xdr:colOff>304800</xdr:colOff>
                    <xdr:row>22</xdr:row>
                    <xdr:rowOff>76200</xdr:rowOff>
                  </from>
                  <to>
                    <xdr:col>2</xdr:col>
                    <xdr:colOff>142875</xdr:colOff>
                    <xdr:row>22</xdr:row>
                    <xdr:rowOff>323850</xdr:rowOff>
                  </to>
                </anchor>
              </controlPr>
            </control>
          </mc:Choice>
        </mc:AlternateContent>
        <mc:AlternateContent xmlns:mc="http://schemas.openxmlformats.org/markup-compatibility/2006">
          <mc:Choice Requires="x14">
            <control shapeId="1238020" r:id="rId7" name="Check Box 4">
              <controlPr defaultSize="0" autoFill="0" autoLine="0" autoPict="0">
                <anchor moveWithCells="1">
                  <from>
                    <xdr:col>4</xdr:col>
                    <xdr:colOff>228600</xdr:colOff>
                    <xdr:row>22</xdr:row>
                    <xdr:rowOff>76200</xdr:rowOff>
                  </from>
                  <to>
                    <xdr:col>4</xdr:col>
                    <xdr:colOff>533400</xdr:colOff>
                    <xdr:row>22</xdr:row>
                    <xdr:rowOff>314325</xdr:rowOff>
                  </to>
                </anchor>
              </controlPr>
            </control>
          </mc:Choice>
        </mc:AlternateContent>
        <mc:AlternateContent xmlns:mc="http://schemas.openxmlformats.org/markup-compatibility/2006">
          <mc:Choice Requires="x14">
            <control shapeId="1238024" r:id="rId8" name="Check Box 8">
              <controlPr defaultSize="0" autoFill="0" autoLine="0" autoPict="0">
                <anchor moveWithCells="1">
                  <from>
                    <xdr:col>0</xdr:col>
                    <xdr:colOff>285750</xdr:colOff>
                    <xdr:row>34</xdr:row>
                    <xdr:rowOff>142875</xdr:rowOff>
                  </from>
                  <to>
                    <xdr:col>0</xdr:col>
                    <xdr:colOff>590550</xdr:colOff>
                    <xdr:row>34</xdr:row>
                    <xdr:rowOff>428625</xdr:rowOff>
                  </to>
                </anchor>
              </controlPr>
            </control>
          </mc:Choice>
        </mc:AlternateContent>
        <mc:AlternateContent xmlns:mc="http://schemas.openxmlformats.org/markup-compatibility/2006">
          <mc:Choice Requires="x14">
            <control shapeId="1238025" r:id="rId9" name="Check Box 9">
              <controlPr defaultSize="0" autoFill="0" autoLine="0" autoPict="0">
                <anchor moveWithCells="1">
                  <from>
                    <xdr:col>0</xdr:col>
                    <xdr:colOff>285750</xdr:colOff>
                    <xdr:row>35</xdr:row>
                    <xdr:rowOff>142875</xdr:rowOff>
                  </from>
                  <to>
                    <xdr:col>0</xdr:col>
                    <xdr:colOff>590550</xdr:colOff>
                    <xdr:row>35</xdr:row>
                    <xdr:rowOff>428625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100">
    <tabColor indexed="42"/>
    <pageSetUpPr fitToPage="1"/>
  </sheetPr>
  <dimension ref="A1:P48"/>
  <sheetViews>
    <sheetView view="pageBreakPreview" zoomScaleNormal="100" zoomScaleSheetLayoutView="100" workbookViewId="0">
      <selection activeCell="C26" sqref="C26"/>
    </sheetView>
  </sheetViews>
  <sheetFormatPr baseColWidth="10" defaultColWidth="11.42578125" defaultRowHeight="15"/>
  <cols>
    <col min="1" max="1" width="1.7109375" style="531" customWidth="1"/>
    <col min="2" max="2" width="4.5703125" style="531" customWidth="1"/>
    <col min="3" max="3" width="12.5703125" style="531" customWidth="1"/>
    <col min="4" max="4" width="2.85546875" style="531" customWidth="1"/>
    <col min="5" max="5" width="11" style="531" customWidth="1"/>
    <col min="6" max="6" width="10.85546875" style="531" customWidth="1"/>
    <col min="7" max="7" width="9.85546875" style="531" customWidth="1"/>
    <col min="8" max="8" width="12" style="531" customWidth="1"/>
    <col min="9" max="9" width="10.85546875" style="531" customWidth="1"/>
    <col min="10" max="10" width="9.28515625" style="531" customWidth="1"/>
    <col min="11" max="11" width="10.42578125" style="531" customWidth="1"/>
    <col min="12" max="12" width="7" style="531" customWidth="1"/>
    <col min="13" max="13" width="4.28515625" style="531" customWidth="1"/>
    <col min="14" max="16384" width="11.42578125" style="531"/>
  </cols>
  <sheetData>
    <row r="1" spans="1:16" ht="15" customHeight="1">
      <c r="A1" s="2346"/>
      <c r="B1" s="2346"/>
      <c r="C1" s="2346"/>
      <c r="D1" s="1857" t="s">
        <v>1073</v>
      </c>
      <c r="E1" s="2347"/>
      <c r="F1" s="2347"/>
      <c r="G1" s="2347"/>
      <c r="H1" s="2347"/>
      <c r="I1" s="2347"/>
      <c r="J1" s="2347"/>
      <c r="K1" s="2348"/>
      <c r="L1" s="2348"/>
      <c r="M1" s="2348"/>
    </row>
    <row r="2" spans="1:16" ht="23.25" customHeight="1">
      <c r="A2" s="2346"/>
      <c r="B2" s="2346"/>
      <c r="C2" s="2346"/>
      <c r="D2" s="2347"/>
      <c r="E2" s="2347"/>
      <c r="F2" s="2347"/>
      <c r="G2" s="2347"/>
      <c r="H2" s="2347"/>
      <c r="I2" s="2347"/>
      <c r="J2" s="2347"/>
      <c r="K2" s="2348"/>
      <c r="L2" s="2348"/>
      <c r="M2" s="2348"/>
    </row>
    <row r="3" spans="1:16" ht="19.5" customHeight="1">
      <c r="A3" s="542"/>
      <c r="B3" s="542"/>
      <c r="C3" s="542"/>
      <c r="D3" s="1285"/>
      <c r="E3" s="1285"/>
      <c r="F3" s="1285"/>
      <c r="G3" s="1285"/>
      <c r="H3" s="1285"/>
      <c r="I3" s="1285"/>
      <c r="J3" s="1285"/>
      <c r="K3" s="550"/>
      <c r="L3" s="550"/>
      <c r="M3" s="550"/>
    </row>
    <row r="4" spans="1:16">
      <c r="E4" s="690"/>
      <c r="F4" s="690"/>
      <c r="G4" s="690"/>
      <c r="H4" s="690"/>
      <c r="I4" s="690"/>
      <c r="J4" s="690"/>
    </row>
    <row r="5" spans="1:16" s="525" customFormat="1" ht="12.75">
      <c r="E5" s="526"/>
      <c r="F5" s="526"/>
      <c r="G5" s="526"/>
      <c r="H5" s="526"/>
      <c r="I5" s="526"/>
      <c r="J5" s="526"/>
    </row>
    <row r="6" spans="1:16" ht="7.5" customHeight="1">
      <c r="A6" s="544"/>
      <c r="B6" s="530"/>
      <c r="C6" s="545"/>
      <c r="D6" s="545"/>
      <c r="E6" s="545"/>
      <c r="F6" s="545"/>
      <c r="G6" s="545"/>
      <c r="H6" s="545"/>
      <c r="I6" s="545"/>
      <c r="J6" s="545"/>
      <c r="K6" s="545"/>
      <c r="L6" s="530"/>
      <c r="M6" s="546"/>
    </row>
    <row r="7" spans="1:16" s="550" customFormat="1" ht="27.75" customHeight="1">
      <c r="A7" s="547"/>
      <c r="B7" s="2349" t="s">
        <v>1372</v>
      </c>
      <c r="C7" s="2349"/>
      <c r="D7" s="2349"/>
      <c r="E7" s="2349"/>
      <c r="F7" s="1792" t="str">
        <f>IF(ISBLANK(oLibelleOTP),"",oLibelleOTP)</f>
        <v/>
      </c>
      <c r="G7" s="1792"/>
      <c r="H7" s="1792"/>
      <c r="I7" s="1792"/>
      <c r="J7" s="1792"/>
      <c r="K7" s="1792"/>
      <c r="L7" s="1792"/>
      <c r="M7" s="689"/>
      <c r="N7" s="542"/>
      <c r="P7" s="542"/>
    </row>
    <row r="8" spans="1:16" s="550" customFormat="1" ht="21.95" customHeight="1">
      <c r="A8" s="547"/>
      <c r="B8" s="2349" t="s">
        <v>1173</v>
      </c>
      <c r="C8" s="2349"/>
      <c r="D8" s="549" t="str">
        <f>IF(ISBLANK(oeOTP),"",oeOTP)</f>
        <v/>
      </c>
      <c r="E8" s="548"/>
      <c r="F8" s="548"/>
      <c r="G8" s="548"/>
      <c r="H8" s="694" t="s">
        <v>1373</v>
      </c>
      <c r="I8" s="549" t="str">
        <f>IF(ISBLANK(oVille),"",oVille)</f>
        <v/>
      </c>
      <c r="J8" s="548"/>
      <c r="K8" s="548"/>
      <c r="L8" s="548"/>
      <c r="M8" s="551"/>
      <c r="P8" s="542"/>
    </row>
    <row r="9" spans="1:16" s="550" customFormat="1" ht="21.95" customHeight="1">
      <c r="A9" s="547"/>
      <c r="B9" s="2349" t="s">
        <v>1517</v>
      </c>
      <c r="C9" s="2349"/>
      <c r="D9" s="549" t="str">
        <f>IF(ISBLANK(oN°MARCHE),"",oN°MARCHE)</f>
        <v/>
      </c>
      <c r="E9" s="548"/>
      <c r="F9" s="548"/>
      <c r="G9" s="548"/>
      <c r="H9" s="691"/>
      <c r="I9" s="691"/>
      <c r="J9" s="692"/>
      <c r="K9" s="693"/>
      <c r="L9" s="693"/>
      <c r="M9" s="551"/>
      <c r="P9" s="542"/>
    </row>
    <row r="10" spans="1:16" s="550" customFormat="1" ht="21.95" customHeight="1">
      <c r="A10" s="547"/>
      <c r="B10" s="695" t="s">
        <v>1541</v>
      </c>
      <c r="C10" s="691"/>
      <c r="D10" s="549" t="str">
        <f>IF(ISBLANK(oMOE),"",oMOE)</f>
        <v/>
      </c>
      <c r="E10" s="548"/>
      <c r="F10" s="548"/>
      <c r="G10" s="344"/>
      <c r="H10" s="344"/>
      <c r="I10" s="344"/>
      <c r="J10" s="344"/>
      <c r="K10" s="693"/>
      <c r="L10" s="693"/>
      <c r="M10" s="551"/>
      <c r="P10" s="542"/>
    </row>
    <row r="11" spans="1:16" ht="7.5" customHeight="1">
      <c r="A11" s="552"/>
      <c r="B11" s="696"/>
      <c r="C11" s="696"/>
      <c r="D11" s="697"/>
      <c r="E11" s="697"/>
      <c r="F11" s="697"/>
      <c r="G11" s="697"/>
      <c r="H11" s="697"/>
      <c r="I11" s="697"/>
      <c r="J11" s="697"/>
      <c r="K11" s="697"/>
      <c r="L11" s="697"/>
      <c r="M11" s="553"/>
    </row>
    <row r="12" spans="1:16" ht="10.5" customHeight="1">
      <c r="D12" s="346"/>
      <c r="E12" s="346"/>
      <c r="F12" s="346"/>
      <c r="G12" s="346"/>
      <c r="H12" s="346"/>
      <c r="I12" s="346"/>
      <c r="J12" s="346"/>
      <c r="K12" s="346"/>
      <c r="L12" s="346"/>
      <c r="M12" s="346"/>
    </row>
    <row r="13" spans="1:16" s="525" customFormat="1" ht="15.75">
      <c r="A13" s="2350"/>
      <c r="B13" s="2350"/>
      <c r="C13" s="2350"/>
      <c r="D13" s="2350"/>
      <c r="E13" s="2350"/>
      <c r="F13" s="2350"/>
      <c r="G13" s="2350"/>
      <c r="H13" s="2350"/>
      <c r="I13" s="2350"/>
      <c r="J13" s="2350"/>
      <c r="K13" s="2350"/>
      <c r="L13" s="2350"/>
      <c r="M13" s="2350"/>
    </row>
    <row r="14" spans="1:16" s="554" customFormat="1" ht="81" customHeight="1">
      <c r="B14" s="2351" t="s">
        <v>1544</v>
      </c>
      <c r="C14" s="2352"/>
      <c r="D14" s="2352"/>
      <c r="E14" s="2352"/>
      <c r="F14" s="2352"/>
      <c r="G14" s="2352"/>
      <c r="H14" s="2352"/>
      <c r="I14" s="2352"/>
      <c r="J14" s="2352"/>
      <c r="K14" s="2352"/>
      <c r="L14" s="2352"/>
      <c r="M14" s="2352"/>
    </row>
    <row r="15" spans="1:16" s="525" customFormat="1" ht="21.95" customHeight="1">
      <c r="B15" s="526"/>
      <c r="C15" s="2352" t="s">
        <v>1074</v>
      </c>
      <c r="D15" s="2352"/>
      <c r="E15" s="2352"/>
      <c r="F15" s="2352"/>
      <c r="G15" s="2352"/>
      <c r="H15" s="2352"/>
      <c r="I15" s="2352"/>
      <c r="J15" s="2352"/>
      <c r="K15" s="2352"/>
      <c r="L15" s="2352"/>
      <c r="M15" s="555"/>
    </row>
    <row r="16" spans="1:16" s="525" customFormat="1" ht="21.95" customHeight="1">
      <c r="A16" s="526"/>
      <c r="B16" s="526"/>
      <c r="C16" s="2352" t="s">
        <v>1075</v>
      </c>
      <c r="D16" s="2352"/>
      <c r="E16" s="2352"/>
      <c r="F16" s="2352"/>
      <c r="G16" s="2352"/>
      <c r="H16" s="2352"/>
      <c r="I16" s="2352"/>
      <c r="J16" s="2352"/>
      <c r="K16" s="2352"/>
      <c r="L16" s="2352"/>
      <c r="M16" s="529"/>
    </row>
    <row r="17" spans="1:13" s="525" customFormat="1" ht="66" customHeight="1">
      <c r="A17" s="526"/>
      <c r="B17" s="526"/>
      <c r="C17" s="2353" t="s">
        <v>918</v>
      </c>
      <c r="D17" s="2353"/>
      <c r="E17" s="2353"/>
      <c r="F17" s="2353"/>
      <c r="G17" s="2353"/>
      <c r="H17" s="2353"/>
      <c r="I17" s="2353"/>
      <c r="J17" s="2353"/>
      <c r="K17" s="2353"/>
      <c r="L17" s="2353"/>
      <c r="M17" s="529"/>
    </row>
    <row r="18" spans="1:13" s="525" customFormat="1" ht="21.95" customHeight="1">
      <c r="A18" s="526"/>
      <c r="B18" s="1322" t="s">
        <v>1545</v>
      </c>
      <c r="C18" s="526"/>
      <c r="D18" s="555"/>
      <c r="E18" s="555"/>
      <c r="F18" s="555"/>
      <c r="G18" s="555"/>
      <c r="H18" s="555"/>
      <c r="I18" s="555"/>
      <c r="J18" s="555"/>
      <c r="K18" s="555"/>
      <c r="L18" s="682"/>
      <c r="M18" s="682"/>
    </row>
    <row r="19" spans="1:13" s="525" customFormat="1" ht="21.95" customHeight="1">
      <c r="A19" s="526"/>
      <c r="B19" s="526"/>
      <c r="C19" s="526" t="s">
        <v>919</v>
      </c>
      <c r="D19" s="556"/>
      <c r="E19" s="556"/>
      <c r="F19" s="556"/>
      <c r="G19" s="556"/>
      <c r="H19" s="556"/>
      <c r="I19" s="556"/>
      <c r="J19" s="556"/>
      <c r="K19" s="556"/>
      <c r="L19" s="556"/>
      <c r="M19" s="556"/>
    </row>
    <row r="20" spans="1:13" s="525" customFormat="1" ht="21.95" customHeight="1">
      <c r="A20" s="526"/>
      <c r="B20" s="526"/>
      <c r="C20" s="526" t="s">
        <v>920</v>
      </c>
      <c r="D20" s="555"/>
      <c r="E20" s="555"/>
      <c r="F20" s="555"/>
      <c r="G20" s="555"/>
      <c r="H20" s="555"/>
      <c r="I20" s="555"/>
      <c r="J20" s="555"/>
      <c r="K20" s="555"/>
      <c r="L20" s="555"/>
      <c r="M20" s="555"/>
    </row>
    <row r="21" spans="1:13" s="525" customFormat="1" ht="12.75">
      <c r="A21" s="526"/>
      <c r="B21" s="526"/>
      <c r="C21" s="526"/>
      <c r="D21" s="555"/>
      <c r="E21" s="555"/>
      <c r="F21" s="555"/>
      <c r="G21" s="555"/>
      <c r="H21" s="555"/>
      <c r="I21" s="555"/>
      <c r="J21" s="555"/>
      <c r="K21" s="555"/>
      <c r="L21" s="555"/>
      <c r="M21" s="555"/>
    </row>
    <row r="22" spans="1:13" s="525" customFormat="1" ht="12.75">
      <c r="D22" s="529"/>
      <c r="E22" s="529"/>
      <c r="F22" s="529"/>
      <c r="G22" s="529"/>
      <c r="H22" s="529"/>
      <c r="I22" s="529"/>
      <c r="J22" s="529"/>
      <c r="K22" s="529"/>
      <c r="L22" s="529"/>
      <c r="M22" s="529"/>
    </row>
    <row r="23" spans="1:13" s="525" customFormat="1" ht="12.75">
      <c r="B23" s="526"/>
      <c r="C23" s="526"/>
      <c r="D23" s="555"/>
      <c r="E23" s="555"/>
      <c r="F23" s="555"/>
      <c r="G23" s="555"/>
      <c r="H23" s="555"/>
      <c r="I23" s="555"/>
      <c r="J23" s="555"/>
      <c r="K23" s="555"/>
      <c r="L23" s="555"/>
      <c r="M23" s="529"/>
    </row>
    <row r="24" spans="1:13" s="525" customFormat="1" ht="21.95" customHeight="1">
      <c r="B24" s="526"/>
      <c r="C24" s="526" t="s">
        <v>921</v>
      </c>
      <c r="D24" s="555" t="s">
        <v>922</v>
      </c>
      <c r="E24" s="557"/>
      <c r="F24" s="557"/>
      <c r="G24" s="557"/>
      <c r="H24" s="526" t="s">
        <v>923</v>
      </c>
      <c r="I24" s="555" t="s">
        <v>924</v>
      </c>
      <c r="J24" s="555"/>
      <c r="K24" s="555"/>
      <c r="L24" s="555"/>
      <c r="M24" s="529"/>
    </row>
    <row r="25" spans="1:13" s="525" customFormat="1" ht="21.95" customHeight="1">
      <c r="B25" s="526"/>
      <c r="C25" s="695" t="s">
        <v>1546</v>
      </c>
      <c r="D25" s="555"/>
      <c r="E25" s="526"/>
      <c r="F25" s="526"/>
      <c r="G25" s="526"/>
      <c r="H25" s="695" t="s">
        <v>925</v>
      </c>
      <c r="I25" s="555"/>
      <c r="J25" s="555"/>
      <c r="K25" s="555"/>
      <c r="L25" s="555"/>
      <c r="M25" s="529"/>
    </row>
    <row r="26" spans="1:13" s="525" customFormat="1" ht="57" customHeight="1">
      <c r="B26" s="526"/>
      <c r="C26" s="526"/>
      <c r="D26" s="555"/>
      <c r="E26" s="555"/>
      <c r="F26" s="555"/>
      <c r="G26" s="555"/>
      <c r="H26" s="555"/>
      <c r="I26" s="555"/>
      <c r="J26" s="555"/>
      <c r="K26" s="555"/>
      <c r="L26" s="555"/>
      <c r="M26" s="529"/>
    </row>
    <row r="27" spans="1:13" s="525" customFormat="1" ht="12.75">
      <c r="B27" s="526"/>
      <c r="C27" s="526"/>
      <c r="D27" s="555"/>
      <c r="E27" s="691"/>
      <c r="F27" s="691"/>
      <c r="G27" s="691"/>
      <c r="H27" s="555"/>
      <c r="I27" s="555"/>
      <c r="J27" s="555"/>
      <c r="K27" s="555"/>
      <c r="L27" s="555"/>
      <c r="M27" s="529"/>
    </row>
    <row r="28" spans="1:13" s="525" customFormat="1" ht="12.75">
      <c r="B28" s="526"/>
      <c r="C28" s="526"/>
      <c r="D28" s="555"/>
      <c r="E28" s="555"/>
      <c r="F28" s="555"/>
      <c r="G28" s="555"/>
      <c r="H28" s="555"/>
      <c r="I28" s="555"/>
      <c r="J28" s="555"/>
      <c r="K28" s="555"/>
      <c r="L28" s="555"/>
      <c r="M28" s="529"/>
    </row>
    <row r="29" spans="1:13" s="525" customFormat="1" ht="6.75" customHeight="1">
      <c r="B29" s="526"/>
      <c r="C29" s="526"/>
      <c r="D29" s="555"/>
      <c r="E29" s="555"/>
      <c r="F29" s="555"/>
      <c r="G29" s="555"/>
      <c r="H29" s="555"/>
      <c r="I29" s="555"/>
      <c r="J29" s="555"/>
      <c r="K29" s="555"/>
      <c r="L29" s="555"/>
      <c r="M29" s="529"/>
    </row>
    <row r="30" spans="1:13" s="525" customFormat="1" ht="21.95" customHeight="1">
      <c r="B30" s="526"/>
      <c r="C30" s="526"/>
      <c r="D30" s="555"/>
      <c r="E30" s="555"/>
      <c r="F30" s="2344" t="s">
        <v>926</v>
      </c>
      <c r="G30" s="2344"/>
      <c r="H30" s="2344"/>
      <c r="I30" s="2345" t="s">
        <v>927</v>
      </c>
      <c r="J30" s="2345"/>
      <c r="K30" s="555"/>
      <c r="L30" s="555"/>
      <c r="M30" s="529"/>
    </row>
    <row r="31" spans="1:13" s="525" customFormat="1" ht="12.75">
      <c r="B31" s="526"/>
      <c r="C31" s="526"/>
      <c r="D31" s="555"/>
      <c r="E31" s="555"/>
      <c r="F31" s="555"/>
      <c r="G31" s="555"/>
      <c r="H31" s="555"/>
      <c r="I31" s="555"/>
      <c r="J31" s="555"/>
      <c r="K31" s="555"/>
      <c r="L31" s="555"/>
      <c r="M31" s="529"/>
    </row>
    <row r="32" spans="1:13" ht="6.75" customHeight="1">
      <c r="B32" s="690"/>
      <c r="C32" s="690"/>
      <c r="D32" s="698"/>
      <c r="E32" s="698"/>
      <c r="F32" s="698"/>
      <c r="G32" s="698"/>
      <c r="H32" s="698"/>
      <c r="I32" s="698"/>
      <c r="J32" s="698"/>
      <c r="K32" s="698"/>
      <c r="L32" s="698"/>
      <c r="M32" s="543"/>
    </row>
    <row r="33" spans="2:13">
      <c r="B33" s="690"/>
      <c r="C33" s="690"/>
      <c r="D33" s="698"/>
      <c r="E33" s="698"/>
      <c r="F33" s="698"/>
      <c r="G33" s="698"/>
      <c r="H33" s="698"/>
      <c r="I33" s="698"/>
      <c r="J33" s="698"/>
      <c r="K33" s="698"/>
      <c r="L33" s="698"/>
      <c r="M33" s="543"/>
    </row>
    <row r="34" spans="2:13" ht="6.75" customHeight="1">
      <c r="B34" s="690"/>
      <c r="C34" s="690"/>
      <c r="D34" s="698"/>
      <c r="E34" s="698"/>
      <c r="F34" s="698"/>
      <c r="G34" s="698"/>
      <c r="H34" s="698"/>
      <c r="I34" s="698"/>
      <c r="J34" s="698"/>
      <c r="K34" s="698"/>
      <c r="L34" s="698"/>
      <c r="M34" s="543"/>
    </row>
    <row r="35" spans="2:13">
      <c r="D35" s="543"/>
      <c r="E35" s="543"/>
      <c r="F35" s="543"/>
      <c r="G35" s="543"/>
      <c r="H35" s="543"/>
      <c r="I35" s="543"/>
      <c r="J35" s="543"/>
      <c r="K35" s="543"/>
      <c r="L35" s="543"/>
      <c r="M35" s="543"/>
    </row>
    <row r="36" spans="2:13">
      <c r="D36" s="543"/>
      <c r="E36" s="543"/>
      <c r="F36" s="543"/>
      <c r="G36" s="543"/>
      <c r="H36" s="543"/>
      <c r="I36" s="543"/>
      <c r="J36" s="543"/>
      <c r="K36" s="543"/>
      <c r="L36" s="543"/>
      <c r="M36" s="543"/>
    </row>
    <row r="37" spans="2:13" ht="6.75" customHeight="1">
      <c r="D37" s="543"/>
      <c r="E37" s="543"/>
      <c r="F37" s="543"/>
      <c r="G37" s="543"/>
      <c r="H37" s="543"/>
      <c r="I37" s="543"/>
      <c r="J37" s="543"/>
      <c r="K37" s="543"/>
      <c r="L37" s="543"/>
      <c r="M37" s="543"/>
    </row>
    <row r="38" spans="2:13" ht="15.75" customHeight="1">
      <c r="D38" s="543"/>
      <c r="E38" s="543"/>
      <c r="F38" s="543"/>
      <c r="G38" s="543"/>
      <c r="H38" s="543"/>
      <c r="I38" s="543"/>
      <c r="J38" s="543"/>
      <c r="K38" s="543"/>
      <c r="L38" s="543"/>
      <c r="M38" s="543"/>
    </row>
    <row r="39" spans="2:13">
      <c r="D39" s="543"/>
      <c r="E39" s="543"/>
      <c r="F39" s="543"/>
      <c r="G39" s="543"/>
      <c r="H39" s="543"/>
      <c r="I39" s="543"/>
      <c r="J39" s="543"/>
      <c r="K39" s="543"/>
      <c r="L39" s="543"/>
      <c r="M39" s="543"/>
    </row>
    <row r="40" spans="2:13" ht="6.75" customHeight="1">
      <c r="D40" s="543"/>
      <c r="E40" s="543"/>
      <c r="F40" s="543"/>
      <c r="G40" s="543"/>
      <c r="H40" s="543"/>
      <c r="I40" s="543"/>
      <c r="J40" s="543"/>
      <c r="K40" s="543"/>
      <c r="L40" s="543"/>
      <c r="M40" s="543"/>
    </row>
    <row r="41" spans="2:13">
      <c r="D41" s="543"/>
      <c r="E41" s="543"/>
      <c r="F41" s="543"/>
      <c r="G41" s="543"/>
      <c r="H41" s="543"/>
      <c r="I41" s="543"/>
      <c r="J41" s="543"/>
      <c r="K41" s="543"/>
      <c r="L41" s="543"/>
      <c r="M41" s="543"/>
    </row>
    <row r="42" spans="2:13">
      <c r="D42" s="543"/>
      <c r="E42" s="543"/>
      <c r="F42" s="543"/>
      <c r="G42" s="543"/>
      <c r="H42" s="543"/>
      <c r="I42" s="543"/>
      <c r="J42" s="543"/>
      <c r="K42" s="543"/>
      <c r="L42" s="543"/>
      <c r="M42" s="543"/>
    </row>
    <row r="43" spans="2:13" ht="6.75" customHeight="1">
      <c r="D43" s="543"/>
      <c r="E43" s="543"/>
      <c r="F43" s="543"/>
      <c r="G43" s="543"/>
      <c r="H43" s="543"/>
      <c r="I43" s="543"/>
      <c r="J43" s="543"/>
      <c r="K43" s="543"/>
      <c r="L43" s="543"/>
      <c r="M43" s="543"/>
    </row>
    <row r="44" spans="2:13">
      <c r="D44" s="543"/>
      <c r="E44" s="543"/>
      <c r="F44" s="543"/>
      <c r="G44" s="543"/>
      <c r="H44" s="543"/>
      <c r="I44" s="543"/>
      <c r="J44" s="543"/>
      <c r="K44" s="543"/>
      <c r="L44" s="543"/>
      <c r="M44" s="543"/>
    </row>
    <row r="45" spans="2:13">
      <c r="D45" s="543"/>
      <c r="E45" s="543"/>
      <c r="F45" s="543"/>
      <c r="G45" s="543"/>
      <c r="H45" s="543"/>
      <c r="I45" s="543"/>
      <c r="J45" s="543"/>
      <c r="K45" s="543"/>
      <c r="L45" s="543"/>
      <c r="M45" s="543"/>
    </row>
    <row r="46" spans="2:13" ht="6.75" customHeight="1">
      <c r="D46" s="543"/>
      <c r="E46" s="543"/>
      <c r="F46" s="543"/>
      <c r="G46" s="543"/>
      <c r="H46" s="543"/>
      <c r="I46" s="543"/>
      <c r="J46" s="543"/>
      <c r="K46" s="543"/>
      <c r="L46" s="543"/>
      <c r="M46" s="543"/>
    </row>
    <row r="47" spans="2:13">
      <c r="D47" s="543"/>
      <c r="E47" s="543"/>
      <c r="F47" s="543"/>
      <c r="G47" s="543"/>
      <c r="H47" s="543"/>
      <c r="I47" s="543"/>
      <c r="J47" s="543"/>
      <c r="K47" s="543"/>
      <c r="L47" s="543"/>
    </row>
    <row r="48" spans="2:13">
      <c r="M48" s="543"/>
    </row>
  </sheetData>
  <mergeCells count="14">
    <mergeCell ref="F30:H30"/>
    <mergeCell ref="I30:J30"/>
    <mergeCell ref="A1:C2"/>
    <mergeCell ref="D1:J2"/>
    <mergeCell ref="K1:M2"/>
    <mergeCell ref="B7:E7"/>
    <mergeCell ref="B8:C8"/>
    <mergeCell ref="B9:C9"/>
    <mergeCell ref="A13:M13"/>
    <mergeCell ref="B14:M14"/>
    <mergeCell ref="C15:L15"/>
    <mergeCell ref="C16:L16"/>
    <mergeCell ref="C17:L17"/>
    <mergeCell ref="F7:L7"/>
  </mergeCells>
  <pageMargins left="0.70866141732283472" right="0.70866141732283472" top="0.74803149606299213" bottom="0.74803149606299213" header="0.31496062992125984" footer="0.31496062992125984"/>
  <pageSetup paperSize="9" scale="83" orientation="portrait" blackAndWhite="1" verticalDpi="4294967292" r:id="rId1"/>
  <headerFooter>
    <oddFooter>&amp;LEdité le &amp;D&amp;C&amp;P/&amp;N</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dimension ref="A1:X215"/>
  <sheetViews>
    <sheetView showGridLines="0" zoomScale="130" zoomScaleNormal="130" zoomScaleSheetLayoutView="115" workbookViewId="0">
      <selection activeCell="O39" sqref="O39:Q39"/>
    </sheetView>
  </sheetViews>
  <sheetFormatPr baseColWidth="10" defaultColWidth="0" defaultRowHeight="15" customHeight="1" zeroHeight="1"/>
  <cols>
    <col min="1" max="1" width="3.42578125" style="1448" customWidth="1"/>
    <col min="2" max="7" width="4.7109375" style="1448" customWidth="1"/>
    <col min="8" max="10" width="3" style="1448" customWidth="1"/>
    <col min="11" max="18" width="4.7109375" style="1448" customWidth="1"/>
    <col min="19" max="19" width="17" style="1448" customWidth="1"/>
    <col min="20" max="20" width="0.7109375" style="1448" customWidth="1"/>
    <col min="21" max="24" width="4.7109375" style="1448" hidden="1" customWidth="1"/>
    <col min="25" max="16384" width="11.42578125" style="1448" hidden="1"/>
  </cols>
  <sheetData>
    <row r="1" spans="1:20" ht="15.75" customHeight="1" thickTop="1">
      <c r="A1" s="2422"/>
      <c r="B1" s="2422"/>
      <c r="C1" s="2422"/>
      <c r="D1" s="2422"/>
      <c r="E1" s="2424" t="s">
        <v>1279</v>
      </c>
      <c r="F1" s="2425"/>
      <c r="G1" s="2425"/>
      <c r="H1" s="2425"/>
      <c r="I1" s="2425"/>
      <c r="J1" s="2425"/>
      <c r="K1" s="2425"/>
      <c r="L1" s="2425"/>
      <c r="M1" s="2425"/>
      <c r="N1" s="2425"/>
      <c r="O1" s="2425"/>
      <c r="P1" s="2425"/>
      <c r="Q1" s="2425"/>
      <c r="R1" s="2425"/>
      <c r="S1" s="2425"/>
      <c r="T1" s="2426"/>
    </row>
    <row r="2" spans="1:20" ht="15.75" customHeight="1" thickBot="1">
      <c r="A2" s="2423"/>
      <c r="B2" s="2423"/>
      <c r="C2" s="2423"/>
      <c r="D2" s="2423"/>
      <c r="E2" s="2427"/>
      <c r="F2" s="2428"/>
      <c r="G2" s="2428"/>
      <c r="H2" s="2428"/>
      <c r="I2" s="2428"/>
      <c r="J2" s="2428"/>
      <c r="K2" s="2428"/>
      <c r="L2" s="2428"/>
      <c r="M2" s="2428"/>
      <c r="N2" s="2428"/>
      <c r="O2" s="2428"/>
      <c r="P2" s="2428"/>
      <c r="Q2" s="2428"/>
      <c r="R2" s="2428"/>
      <c r="S2" s="2428"/>
      <c r="T2" s="2429"/>
    </row>
    <row r="3" spans="1:20" ht="5.0999999999999996" customHeight="1" thickTop="1"/>
    <row r="4" spans="1:20" ht="12.75" customHeight="1">
      <c r="A4" s="2363" t="s">
        <v>1668</v>
      </c>
      <c r="B4" s="2363"/>
      <c r="C4" s="2363"/>
      <c r="D4" s="2363"/>
      <c r="E4" s="2363"/>
      <c r="F4" s="2363"/>
      <c r="G4" s="2363"/>
      <c r="H4" s="2363"/>
      <c r="I4" s="2363"/>
      <c r="J4" s="2363"/>
      <c r="K4" s="2363"/>
      <c r="L4" s="2363"/>
      <c r="M4" s="2363"/>
      <c r="N4" s="2363"/>
      <c r="O4" s="2363"/>
      <c r="P4" s="2363"/>
      <c r="Q4" s="2363"/>
      <c r="R4" s="2363"/>
      <c r="S4" s="2363"/>
      <c r="T4" s="2363"/>
    </row>
    <row r="5" spans="1:20" ht="4.5" customHeight="1">
      <c r="A5" s="1449"/>
      <c r="B5" s="1449"/>
      <c r="C5" s="1450"/>
      <c r="D5" s="1450"/>
      <c r="E5" s="1450"/>
      <c r="F5" s="1450"/>
      <c r="G5" s="1450"/>
      <c r="H5" s="1450"/>
      <c r="I5" s="1450"/>
      <c r="J5" s="1450"/>
      <c r="K5" s="1450"/>
      <c r="L5" s="1450"/>
      <c r="M5" s="1449"/>
      <c r="N5" s="1450"/>
      <c r="O5" s="1449"/>
      <c r="P5" s="1449"/>
      <c r="Q5" s="1451"/>
      <c r="R5" s="1451"/>
      <c r="S5" s="1451"/>
      <c r="T5" s="1451"/>
    </row>
    <row r="6" spans="1:20" ht="15" customHeight="1">
      <c r="A6" s="1449"/>
      <c r="B6" s="1452" t="s">
        <v>1126</v>
      </c>
      <c r="C6" s="1453"/>
      <c r="D6" s="1453"/>
      <c r="E6" s="1454"/>
      <c r="F6" s="1455"/>
      <c r="G6" s="1456"/>
      <c r="H6" s="1456"/>
      <c r="I6" s="1456"/>
      <c r="J6" s="1456"/>
      <c r="K6" s="1456"/>
      <c r="L6" s="1457"/>
      <c r="M6" s="1458"/>
      <c r="N6" s="1458"/>
      <c r="O6" s="1459"/>
      <c r="P6" s="1459"/>
      <c r="Q6" s="1459"/>
      <c r="R6" s="1459"/>
      <c r="S6" s="1460"/>
      <c r="T6" s="1449"/>
    </row>
    <row r="7" spans="1:20" ht="15" customHeight="1">
      <c r="A7" s="1449"/>
      <c r="B7" s="1452" t="s">
        <v>1669</v>
      </c>
      <c r="C7" s="1453"/>
      <c r="D7" s="1453"/>
      <c r="E7" s="1453"/>
      <c r="F7" s="1452"/>
      <c r="G7" s="1461"/>
      <c r="H7" s="1461"/>
      <c r="I7" s="1461"/>
      <c r="J7" s="1461"/>
      <c r="K7" s="1461"/>
      <c r="L7" s="1453"/>
      <c r="M7" s="1462"/>
      <c r="N7" s="1462"/>
      <c r="O7" s="1463"/>
      <c r="P7" s="1463"/>
      <c r="Q7" s="1463"/>
      <c r="R7" s="1463"/>
      <c r="S7" s="1464"/>
      <c r="T7" s="1449"/>
    </row>
    <row r="8" spans="1:20" ht="15" customHeight="1">
      <c r="A8" s="1449"/>
      <c r="B8" s="1452" t="s">
        <v>1670</v>
      </c>
      <c r="C8" s="1453"/>
      <c r="D8" s="1453"/>
      <c r="E8" s="1454"/>
      <c r="F8" s="1465"/>
      <c r="G8" s="1466"/>
      <c r="H8" s="1466"/>
      <c r="I8" s="1466"/>
      <c r="J8" s="1466"/>
      <c r="K8" s="1467" t="s">
        <v>1671</v>
      </c>
      <c r="L8" s="1468"/>
      <c r="M8" s="1469"/>
      <c r="N8" s="1470"/>
      <c r="O8" s="1471"/>
      <c r="P8" s="1471"/>
      <c r="Q8" s="1471"/>
      <c r="R8" s="1471"/>
      <c r="S8" s="1472"/>
      <c r="T8" s="1449"/>
    </row>
    <row r="9" spans="1:20" ht="15" customHeight="1">
      <c r="A9" s="1449"/>
      <c r="B9" s="1452" t="s">
        <v>1672</v>
      </c>
      <c r="C9" s="1453"/>
      <c r="D9" s="1453"/>
      <c r="E9" s="1454"/>
      <c r="F9" s="1468"/>
      <c r="G9" s="1466"/>
      <c r="H9" s="1466"/>
      <c r="I9" s="1466"/>
      <c r="J9" s="1466"/>
      <c r="K9" s="1473" t="s">
        <v>1673</v>
      </c>
      <c r="L9" s="1453"/>
      <c r="M9" s="1462"/>
      <c r="N9" s="1474"/>
      <c r="O9" s="1475"/>
      <c r="P9" s="1463"/>
      <c r="Q9" s="1463"/>
      <c r="R9" s="1463"/>
      <c r="S9" s="1464"/>
      <c r="T9" s="1449"/>
    </row>
    <row r="10" spans="1:20" ht="5.0999999999999996" customHeight="1">
      <c r="A10" s="1449"/>
      <c r="B10" s="1450"/>
      <c r="C10" s="1450"/>
      <c r="D10" s="1450"/>
      <c r="E10" s="1450"/>
      <c r="F10" s="1450"/>
      <c r="G10" s="1450"/>
      <c r="H10" s="1450"/>
      <c r="I10" s="1450"/>
      <c r="J10" s="1450"/>
      <c r="K10" s="1450"/>
      <c r="L10" s="1450"/>
      <c r="M10" s="1450"/>
      <c r="N10" s="1450"/>
      <c r="O10" s="1449"/>
      <c r="P10" s="1450"/>
      <c r="Q10" s="1449"/>
      <c r="R10" s="1451"/>
      <c r="S10" s="1449"/>
      <c r="T10" s="1449"/>
    </row>
    <row r="11" spans="1:20" ht="12.75" customHeight="1">
      <c r="A11" s="1449"/>
      <c r="B11" s="1455" t="s">
        <v>1277</v>
      </c>
      <c r="C11" s="1458"/>
      <c r="D11" s="1458"/>
      <c r="E11" s="1458"/>
      <c r="F11" s="1458"/>
      <c r="G11" s="1458"/>
      <c r="H11" s="1458"/>
      <c r="I11" s="1458"/>
      <c r="J11" s="1458"/>
      <c r="K11" s="1458"/>
      <c r="L11" s="1458"/>
      <c r="M11" s="1458"/>
      <c r="N11" s="1458"/>
      <c r="O11" s="1459"/>
      <c r="P11" s="1458"/>
      <c r="Q11" s="1459"/>
      <c r="R11" s="1476"/>
      <c r="S11" s="1460"/>
      <c r="T11" s="1449"/>
    </row>
    <row r="12" spans="1:20" ht="12.75" customHeight="1">
      <c r="A12" s="1449"/>
      <c r="B12" s="1477"/>
      <c r="C12" s="1449"/>
      <c r="D12" s="1451"/>
      <c r="E12" s="1451"/>
      <c r="F12" s="1450"/>
      <c r="G12" s="1450"/>
      <c r="H12" s="1450"/>
      <c r="I12" s="1451"/>
      <c r="J12" s="1451"/>
      <c r="K12" s="1451"/>
      <c r="L12" s="1451"/>
      <c r="M12" s="1451"/>
      <c r="N12" s="1450"/>
      <c r="O12" s="1449"/>
      <c r="P12" s="1450"/>
      <c r="Q12" s="1449"/>
      <c r="R12" s="1451"/>
      <c r="S12" s="1478"/>
      <c r="T12" s="1449"/>
    </row>
    <row r="13" spans="1:20" ht="12.75" customHeight="1">
      <c r="A13" s="1449"/>
      <c r="B13" s="1479"/>
      <c r="C13" s="1471"/>
      <c r="D13" s="1469"/>
      <c r="E13" s="1469"/>
      <c r="F13" s="1469"/>
      <c r="G13" s="1469"/>
      <c r="H13" s="1469"/>
      <c r="I13" s="1480"/>
      <c r="J13" s="1480"/>
      <c r="K13" s="1480"/>
      <c r="L13" s="1480"/>
      <c r="M13" s="1480"/>
      <c r="N13" s="1469"/>
      <c r="O13" s="1471"/>
      <c r="P13" s="1469"/>
      <c r="Q13" s="1480"/>
      <c r="R13" s="1480"/>
      <c r="S13" s="1472"/>
      <c r="T13" s="1449"/>
    </row>
    <row r="14" spans="1:20" ht="5.0999999999999996" customHeight="1">
      <c r="A14" s="1449"/>
      <c r="B14" s="1450"/>
      <c r="C14" s="1481"/>
      <c r="D14" s="1450"/>
      <c r="E14" s="1450"/>
      <c r="F14" s="1450"/>
      <c r="G14" s="1450"/>
      <c r="H14" s="1450"/>
      <c r="I14" s="1451"/>
      <c r="J14" s="1451"/>
      <c r="K14" s="1451"/>
      <c r="L14" s="1451"/>
      <c r="M14" s="1451"/>
      <c r="N14" s="1450"/>
      <c r="O14" s="1449"/>
      <c r="P14" s="1449"/>
      <c r="Q14" s="1449"/>
      <c r="R14" s="1449"/>
      <c r="S14" s="1449"/>
      <c r="T14" s="1449"/>
    </row>
    <row r="15" spans="1:20" ht="12.75" customHeight="1">
      <c r="A15" s="1449"/>
      <c r="B15" s="1455" t="s">
        <v>1674</v>
      </c>
      <c r="C15" s="1459"/>
      <c r="D15" s="1459"/>
      <c r="E15" s="1459"/>
      <c r="F15" s="1459"/>
      <c r="G15" s="1459"/>
      <c r="H15" s="1459"/>
      <c r="I15" s="1459"/>
      <c r="J15" s="1459"/>
      <c r="K15" s="1459"/>
      <c r="L15" s="1459"/>
      <c r="M15" s="1459"/>
      <c r="N15" s="1459"/>
      <c r="O15" s="1459"/>
      <c r="P15" s="1459"/>
      <c r="Q15" s="1459"/>
      <c r="R15" s="1459"/>
      <c r="S15" s="1460"/>
      <c r="T15" s="1449"/>
    </row>
    <row r="16" spans="1:20" s="1487" customFormat="1" ht="12.75" customHeight="1">
      <c r="A16" s="1482"/>
      <c r="B16" s="1483"/>
      <c r="C16" s="1484" t="s">
        <v>1675</v>
      </c>
      <c r="D16" s="1485"/>
      <c r="E16" s="1485"/>
      <c r="F16" s="1485"/>
      <c r="G16" s="1485"/>
      <c r="H16" s="1485"/>
      <c r="I16" s="1482"/>
      <c r="J16" s="1485"/>
      <c r="K16" s="1485"/>
      <c r="L16" s="1485"/>
      <c r="M16" s="1484" t="s">
        <v>1676</v>
      </c>
      <c r="N16" s="1485"/>
      <c r="O16" s="1485"/>
      <c r="P16" s="1485"/>
      <c r="Q16" s="1485"/>
      <c r="R16" s="1485"/>
      <c r="S16" s="1486"/>
      <c r="T16" s="1485"/>
    </row>
    <row r="17" spans="1:20" s="1487" customFormat="1" ht="12.75" customHeight="1">
      <c r="A17" s="1482"/>
      <c r="B17" s="1483"/>
      <c r="C17" s="1484" t="s">
        <v>1677</v>
      </c>
      <c r="D17" s="1485"/>
      <c r="E17" s="1485"/>
      <c r="F17" s="1485"/>
      <c r="G17" s="1485"/>
      <c r="H17" s="1485"/>
      <c r="I17" s="1482"/>
      <c r="J17" s="1485"/>
      <c r="K17" s="1485"/>
      <c r="L17" s="1485"/>
      <c r="M17" s="1484" t="s">
        <v>1678</v>
      </c>
      <c r="N17" s="1485"/>
      <c r="O17" s="1485"/>
      <c r="P17" s="1485"/>
      <c r="Q17" s="1485"/>
      <c r="R17" s="1485"/>
      <c r="S17" s="1486"/>
      <c r="T17" s="1485"/>
    </row>
    <row r="18" spans="1:20" s="1487" customFormat="1" ht="12.75" customHeight="1">
      <c r="A18" s="1482"/>
      <c r="B18" s="1488"/>
      <c r="C18" s="1489" t="s">
        <v>1679</v>
      </c>
      <c r="D18" s="1490"/>
      <c r="E18" s="1490"/>
      <c r="F18" s="1490"/>
      <c r="G18" s="1490"/>
      <c r="H18" s="1490"/>
      <c r="I18" s="1490"/>
      <c r="J18" s="1490"/>
      <c r="K18" s="1490"/>
      <c r="L18" s="1490"/>
      <c r="M18" s="1489" t="s">
        <v>1680</v>
      </c>
      <c r="N18" s="1490"/>
      <c r="O18" s="1490"/>
      <c r="P18" s="1490"/>
      <c r="Q18" s="1490"/>
      <c r="R18" s="1490"/>
      <c r="S18" s="1491"/>
      <c r="T18" s="1485"/>
    </row>
    <row r="19" spans="1:20" ht="7.5" customHeight="1">
      <c r="A19" s="1449"/>
      <c r="B19" s="1449"/>
      <c r="C19" s="1492"/>
      <c r="D19" s="1493"/>
      <c r="E19" s="1493"/>
      <c r="F19" s="1493"/>
      <c r="G19" s="1493"/>
      <c r="H19" s="1493"/>
      <c r="I19" s="1493"/>
      <c r="J19" s="1493"/>
      <c r="K19" s="1493"/>
      <c r="L19" s="1493"/>
      <c r="M19" s="1492"/>
      <c r="N19" s="1493"/>
      <c r="O19" s="1493"/>
      <c r="P19" s="1451"/>
      <c r="Q19" s="1493"/>
      <c r="R19" s="1451"/>
      <c r="S19" s="1493"/>
      <c r="T19" s="1493"/>
    </row>
    <row r="20" spans="1:20" ht="12.75" customHeight="1">
      <c r="A20" s="2363" t="s">
        <v>1681</v>
      </c>
      <c r="B20" s="2363"/>
      <c r="C20" s="2363"/>
      <c r="D20" s="2363"/>
      <c r="E20" s="2363"/>
      <c r="F20" s="2363"/>
      <c r="G20" s="2363"/>
      <c r="H20" s="2363"/>
      <c r="I20" s="2363"/>
      <c r="J20" s="2363"/>
      <c r="K20" s="2363"/>
      <c r="L20" s="2363"/>
      <c r="M20" s="2363"/>
      <c r="N20" s="2363"/>
      <c r="O20" s="2363"/>
      <c r="P20" s="2363"/>
      <c r="Q20" s="2363"/>
      <c r="R20" s="2363"/>
      <c r="S20" s="2363"/>
      <c r="T20" s="2363"/>
    </row>
    <row r="21" spans="1:20" ht="6" customHeight="1">
      <c r="A21" s="1449"/>
      <c r="B21" s="1449"/>
      <c r="C21" s="1449"/>
      <c r="D21" s="1449"/>
      <c r="E21" s="1449"/>
      <c r="F21" s="1449"/>
      <c r="G21" s="1449"/>
      <c r="H21" s="1449"/>
      <c r="I21" s="1449"/>
      <c r="J21" s="1449"/>
      <c r="K21" s="1449"/>
      <c r="L21" s="1449"/>
      <c r="M21" s="1449"/>
      <c r="N21" s="1449"/>
      <c r="O21" s="1449"/>
      <c r="P21" s="1449"/>
      <c r="Q21" s="1449"/>
      <c r="R21" s="1449"/>
      <c r="S21" s="1449"/>
      <c r="T21" s="1449"/>
    </row>
    <row r="22" spans="1:20" ht="12.75" customHeight="1">
      <c r="A22" s="1449"/>
      <c r="B22" s="1494" t="s">
        <v>1682</v>
      </c>
      <c r="C22" s="1495"/>
      <c r="D22" s="1495"/>
      <c r="E22" s="1495"/>
      <c r="F22" s="1495"/>
      <c r="G22" s="1495"/>
      <c r="H22" s="1495"/>
      <c r="I22" s="1495"/>
      <c r="J22" s="1496"/>
      <c r="K22" s="1494" t="s">
        <v>1683</v>
      </c>
      <c r="L22" s="1463"/>
      <c r="M22" s="1463"/>
      <c r="N22" s="1463"/>
      <c r="O22" s="1463"/>
      <c r="P22" s="1463"/>
      <c r="Q22" s="1463"/>
      <c r="R22" s="1463"/>
      <c r="S22" s="1464"/>
      <c r="T22" s="1449"/>
    </row>
    <row r="23" spans="1:20" s="1487" customFormat="1" ht="12.75" customHeight="1">
      <c r="A23" s="1482"/>
      <c r="B23" s="1483" t="s">
        <v>1684</v>
      </c>
      <c r="C23" s="1484"/>
      <c r="D23" s="1485"/>
      <c r="E23" s="1485"/>
      <c r="F23" s="1485"/>
      <c r="G23" s="1485"/>
      <c r="H23" s="1485"/>
      <c r="I23" s="1484"/>
      <c r="J23" s="1486"/>
      <c r="K23" s="1483" t="s">
        <v>1684</v>
      </c>
      <c r="L23" s="1484"/>
      <c r="M23" s="1485"/>
      <c r="N23" s="1485"/>
      <c r="O23" s="1485"/>
      <c r="P23" s="1485"/>
      <c r="Q23" s="1485"/>
      <c r="R23" s="1484"/>
      <c r="S23" s="1486"/>
      <c r="T23" s="1482"/>
    </row>
    <row r="24" spans="1:20" s="1487" customFormat="1" ht="12.75" customHeight="1">
      <c r="A24" s="1482"/>
      <c r="B24" s="1483" t="s">
        <v>1550</v>
      </c>
      <c r="C24" s="1484"/>
      <c r="D24" s="1485"/>
      <c r="E24" s="1485"/>
      <c r="F24" s="1485"/>
      <c r="G24" s="1485"/>
      <c r="H24" s="1485"/>
      <c r="I24" s="1484"/>
      <c r="J24" s="1486"/>
      <c r="K24" s="1483" t="s">
        <v>1550</v>
      </c>
      <c r="L24" s="1484"/>
      <c r="M24" s="1485"/>
      <c r="N24" s="1485"/>
      <c r="O24" s="1485"/>
      <c r="P24" s="1485"/>
      <c r="Q24" s="1485"/>
      <c r="R24" s="1484"/>
      <c r="S24" s="1486"/>
      <c r="T24" s="1482"/>
    </row>
    <row r="25" spans="1:20" s="1487" customFormat="1" ht="12.75" customHeight="1">
      <c r="A25" s="1482"/>
      <c r="B25" s="1483" t="s">
        <v>1175</v>
      </c>
      <c r="C25" s="1484"/>
      <c r="D25" s="1485"/>
      <c r="E25" s="1485"/>
      <c r="F25" s="1485"/>
      <c r="G25" s="1485"/>
      <c r="H25" s="1485"/>
      <c r="I25" s="1484"/>
      <c r="J25" s="1486"/>
      <c r="K25" s="1483" t="s">
        <v>1175</v>
      </c>
      <c r="L25" s="1484"/>
      <c r="M25" s="1485"/>
      <c r="N25" s="1485"/>
      <c r="O25" s="1485"/>
      <c r="P25" s="1485"/>
      <c r="Q25" s="1485"/>
      <c r="R25" s="1484"/>
      <c r="S25" s="1486"/>
      <c r="T25" s="1482"/>
    </row>
    <row r="26" spans="1:20" s="1487" customFormat="1" ht="12.75" customHeight="1">
      <c r="A26" s="1482"/>
      <c r="B26" s="1488" t="s">
        <v>1685</v>
      </c>
      <c r="C26" s="1489"/>
      <c r="D26" s="1490"/>
      <c r="E26" s="1490"/>
      <c r="F26" s="1490"/>
      <c r="G26" s="1490" t="s">
        <v>760</v>
      </c>
      <c r="H26" s="1490" t="s">
        <v>759</v>
      </c>
      <c r="I26" s="1490"/>
      <c r="J26" s="1491"/>
      <c r="K26" s="1488" t="s">
        <v>1685</v>
      </c>
      <c r="L26" s="1489"/>
      <c r="M26" s="1490"/>
      <c r="N26" s="1490"/>
      <c r="O26" s="1490"/>
      <c r="P26" s="1490" t="s">
        <v>760</v>
      </c>
      <c r="Q26" s="1490" t="s">
        <v>759</v>
      </c>
      <c r="R26" s="1490"/>
      <c r="S26" s="1491"/>
      <c r="T26" s="1482"/>
    </row>
    <row r="27" spans="1:20" ht="8.25" customHeight="1">
      <c r="A27" s="1449"/>
      <c r="B27" s="1449"/>
      <c r="C27" s="1449"/>
      <c r="D27" s="1449"/>
      <c r="E27" s="1449"/>
      <c r="F27" s="1449"/>
      <c r="G27" s="1449"/>
      <c r="H27" s="1449"/>
      <c r="I27" s="1449"/>
      <c r="J27" s="1449"/>
      <c r="K27" s="1449"/>
      <c r="L27" s="1449"/>
      <c r="M27" s="1449"/>
      <c r="N27" s="1449"/>
      <c r="O27" s="1449"/>
      <c r="P27" s="1449"/>
      <c r="Q27" s="1449"/>
      <c r="R27" s="1449"/>
      <c r="S27" s="1449"/>
      <c r="T27" s="1449"/>
    </row>
    <row r="28" spans="1:20" ht="12.75" customHeight="1">
      <c r="A28" s="2363" t="s">
        <v>1686</v>
      </c>
      <c r="B28" s="2363"/>
      <c r="C28" s="2363"/>
      <c r="D28" s="2363"/>
      <c r="E28" s="2363"/>
      <c r="F28" s="2363"/>
      <c r="G28" s="2363"/>
      <c r="H28" s="2363"/>
      <c r="I28" s="2363"/>
      <c r="J28" s="2363"/>
      <c r="K28" s="2363"/>
      <c r="L28" s="2363"/>
      <c r="M28" s="2363"/>
      <c r="N28" s="2363"/>
      <c r="O28" s="2363"/>
      <c r="P28" s="2363"/>
      <c r="Q28" s="2363"/>
      <c r="R28" s="2363"/>
      <c r="S28" s="2363"/>
      <c r="T28" s="2363"/>
    </row>
    <row r="29" spans="1:20" ht="4.5" customHeight="1"/>
    <row r="30" spans="1:20" ht="12.75" customHeight="1">
      <c r="A30" s="2430"/>
      <c r="B30" s="2430"/>
      <c r="C30" s="2431" t="s">
        <v>1687</v>
      </c>
      <c r="D30" s="2431"/>
      <c r="E30" s="2431"/>
      <c r="F30" s="2431"/>
      <c r="G30" s="2431"/>
      <c r="H30" s="2431"/>
      <c r="I30" s="2431"/>
      <c r="J30" s="2431"/>
      <c r="K30" s="2431"/>
      <c r="L30" s="2431"/>
      <c r="M30" s="2431"/>
      <c r="N30" s="2431"/>
      <c r="O30" s="2431"/>
      <c r="P30" s="2431"/>
      <c r="Q30" s="2431"/>
      <c r="R30" s="2431"/>
      <c r="S30" s="2431"/>
      <c r="T30" s="2431"/>
    </row>
    <row r="31" spans="1:20" ht="12.75" customHeight="1">
      <c r="A31" s="2430"/>
      <c r="B31" s="2430"/>
      <c r="C31" s="2431"/>
      <c r="D31" s="2431"/>
      <c r="E31" s="2431"/>
      <c r="F31" s="2431"/>
      <c r="G31" s="2431"/>
      <c r="H31" s="2431"/>
      <c r="I31" s="2431"/>
      <c r="J31" s="2431"/>
      <c r="K31" s="2431"/>
      <c r="L31" s="2431"/>
      <c r="M31" s="2431"/>
      <c r="N31" s="2431"/>
      <c r="O31" s="2431"/>
      <c r="P31" s="2431"/>
      <c r="Q31" s="2431"/>
      <c r="R31" s="2431"/>
      <c r="S31" s="2431"/>
      <c r="T31" s="2431"/>
    </row>
    <row r="32" spans="1:20" ht="12.75" customHeight="1">
      <c r="A32" s="2430"/>
      <c r="B32" s="2430"/>
      <c r="C32" s="2431"/>
      <c r="D32" s="2431"/>
      <c r="E32" s="2431"/>
      <c r="F32" s="2431"/>
      <c r="G32" s="2431"/>
      <c r="H32" s="2431"/>
      <c r="I32" s="2431"/>
      <c r="J32" s="2431"/>
      <c r="K32" s="2431"/>
      <c r="L32" s="2431"/>
      <c r="M32" s="2431"/>
      <c r="N32" s="2431"/>
      <c r="O32" s="2431"/>
      <c r="P32" s="2431"/>
      <c r="Q32" s="2431"/>
      <c r="R32" s="2431"/>
      <c r="S32" s="2431"/>
      <c r="T32" s="2431"/>
    </row>
    <row r="33" spans="1:20" ht="5.0999999999999996" customHeight="1"/>
    <row r="34" spans="1:20" ht="12.75" customHeight="1">
      <c r="B34" s="2432" t="s">
        <v>1688</v>
      </c>
      <c r="C34" s="2432"/>
      <c r="D34" s="2432"/>
      <c r="E34" s="2416" t="s">
        <v>1689</v>
      </c>
      <c r="F34" s="2434"/>
      <c r="G34" s="2434"/>
      <c r="H34" s="2434"/>
      <c r="I34" s="2417"/>
      <c r="J34" s="2416" t="s">
        <v>1690</v>
      </c>
      <c r="K34" s="2434"/>
      <c r="L34" s="2417"/>
      <c r="M34" s="2416" t="s">
        <v>1691</v>
      </c>
      <c r="N34" s="2417"/>
      <c r="O34" s="2437" t="s">
        <v>1692</v>
      </c>
      <c r="P34" s="2438"/>
      <c r="Q34" s="2439"/>
      <c r="R34" s="2416" t="s">
        <v>1693</v>
      </c>
      <c r="S34" s="2417"/>
    </row>
    <row r="35" spans="1:20" ht="12.75" customHeight="1">
      <c r="B35" s="2432"/>
      <c r="C35" s="2432"/>
      <c r="D35" s="2432"/>
      <c r="E35" s="2418"/>
      <c r="F35" s="2435"/>
      <c r="G35" s="2435"/>
      <c r="H35" s="2435"/>
      <c r="I35" s="2419"/>
      <c r="J35" s="2418"/>
      <c r="K35" s="2435"/>
      <c r="L35" s="2419"/>
      <c r="M35" s="2418"/>
      <c r="N35" s="2419"/>
      <c r="O35" s="2440"/>
      <c r="P35" s="2441"/>
      <c r="Q35" s="2442"/>
      <c r="R35" s="2418"/>
      <c r="S35" s="2419"/>
    </row>
    <row r="36" spans="1:20" ht="12.75" customHeight="1" thickBot="1">
      <c r="B36" s="2433"/>
      <c r="C36" s="2433"/>
      <c r="D36" s="2433"/>
      <c r="E36" s="2420"/>
      <c r="F36" s="2436"/>
      <c r="G36" s="2436"/>
      <c r="H36" s="2436"/>
      <c r="I36" s="2421"/>
      <c r="J36" s="2420"/>
      <c r="K36" s="2436"/>
      <c r="L36" s="2421"/>
      <c r="M36" s="2418"/>
      <c r="N36" s="2419"/>
      <c r="O36" s="2443"/>
      <c r="P36" s="2444"/>
      <c r="Q36" s="2445"/>
      <c r="R36" s="2420"/>
      <c r="S36" s="2421"/>
    </row>
    <row r="37" spans="1:20" ht="34.5" customHeight="1" thickTop="1">
      <c r="A37" s="2410" t="s">
        <v>1694</v>
      </c>
      <c r="B37" s="2413" t="s">
        <v>1695</v>
      </c>
      <c r="C37" s="2413"/>
      <c r="D37" s="2413"/>
      <c r="E37" s="2384" t="s">
        <v>1696</v>
      </c>
      <c r="F37" s="2385"/>
      <c r="G37" s="2385"/>
      <c r="H37" s="2385"/>
      <c r="I37" s="2386"/>
      <c r="J37" s="2387" t="s">
        <v>1697</v>
      </c>
      <c r="K37" s="2388"/>
      <c r="L37" s="2389"/>
      <c r="M37" s="2414" t="s">
        <v>1698</v>
      </c>
      <c r="N37" s="2415"/>
      <c r="O37" s="2407" t="s">
        <v>1699</v>
      </c>
      <c r="P37" s="2408"/>
      <c r="Q37" s="2409"/>
      <c r="R37" s="2376" t="s">
        <v>1700</v>
      </c>
      <c r="S37" s="2406"/>
    </row>
    <row r="38" spans="1:20" ht="34.5" customHeight="1">
      <c r="A38" s="2411"/>
      <c r="B38" s="2368" t="s">
        <v>1701</v>
      </c>
      <c r="C38" s="2368"/>
      <c r="D38" s="2393"/>
      <c r="E38" s="2369" t="s">
        <v>1696</v>
      </c>
      <c r="F38" s="2369"/>
      <c r="G38" s="2369"/>
      <c r="H38" s="2369"/>
      <c r="I38" s="2369"/>
      <c r="J38" s="2370" t="s">
        <v>1697</v>
      </c>
      <c r="K38" s="2371"/>
      <c r="L38" s="2372"/>
      <c r="M38" s="2373" t="s">
        <v>1698</v>
      </c>
      <c r="N38" s="2374"/>
      <c r="O38" s="2366" t="s">
        <v>1699</v>
      </c>
      <c r="P38" s="2366"/>
      <c r="Q38" s="2366"/>
      <c r="R38" s="2367" t="s">
        <v>1700</v>
      </c>
      <c r="S38" s="2392"/>
    </row>
    <row r="39" spans="1:20" ht="34.5" customHeight="1">
      <c r="A39" s="2411"/>
      <c r="B39" s="2368" t="s">
        <v>1702</v>
      </c>
      <c r="C39" s="2368"/>
      <c r="D39" s="2393"/>
      <c r="E39" s="2369" t="s">
        <v>1696</v>
      </c>
      <c r="F39" s="2369"/>
      <c r="G39" s="2369"/>
      <c r="H39" s="2369"/>
      <c r="I39" s="2369"/>
      <c r="J39" s="2370" t="s">
        <v>1697</v>
      </c>
      <c r="K39" s="2371"/>
      <c r="L39" s="2372"/>
      <c r="M39" s="2373" t="s">
        <v>1698</v>
      </c>
      <c r="N39" s="2374"/>
      <c r="O39" s="2366" t="s">
        <v>1699</v>
      </c>
      <c r="P39" s="2366"/>
      <c r="Q39" s="2366"/>
      <c r="R39" s="2367" t="s">
        <v>1700</v>
      </c>
      <c r="S39" s="2392"/>
    </row>
    <row r="40" spans="1:20" ht="34.5" customHeight="1">
      <c r="A40" s="2411"/>
      <c r="B40" s="2368"/>
      <c r="C40" s="2368"/>
      <c r="D40" s="2393"/>
      <c r="E40" s="2369" t="s">
        <v>1696</v>
      </c>
      <c r="F40" s="2369"/>
      <c r="G40" s="2369"/>
      <c r="H40" s="2369"/>
      <c r="I40" s="2369"/>
      <c r="J40" s="2370" t="s">
        <v>1697</v>
      </c>
      <c r="K40" s="2371"/>
      <c r="L40" s="2372"/>
      <c r="M40" s="2394" t="s">
        <v>1698</v>
      </c>
      <c r="N40" s="2395"/>
      <c r="O40" s="2366" t="s">
        <v>1699</v>
      </c>
      <c r="P40" s="2366"/>
      <c r="Q40" s="2366"/>
      <c r="R40" s="2396" t="s">
        <v>1700</v>
      </c>
      <c r="S40" s="2397"/>
    </row>
    <row r="41" spans="1:20" ht="34.5" customHeight="1" thickBot="1">
      <c r="A41" s="2412"/>
      <c r="B41" s="2398"/>
      <c r="C41" s="2398"/>
      <c r="D41" s="2398"/>
      <c r="E41" s="2399" t="s">
        <v>1696</v>
      </c>
      <c r="F41" s="2400"/>
      <c r="G41" s="2400"/>
      <c r="H41" s="2400"/>
      <c r="I41" s="2401"/>
      <c r="J41" s="2370" t="s">
        <v>1697</v>
      </c>
      <c r="K41" s="2371"/>
      <c r="L41" s="2372"/>
      <c r="M41" s="2399" t="s">
        <v>1698</v>
      </c>
      <c r="N41" s="2402"/>
      <c r="O41" s="2403" t="s">
        <v>1699</v>
      </c>
      <c r="P41" s="2404"/>
      <c r="Q41" s="2405"/>
      <c r="R41" s="2390" t="s">
        <v>1700</v>
      </c>
      <c r="S41" s="2391"/>
    </row>
    <row r="42" spans="1:20" ht="34.5" customHeight="1" thickTop="1">
      <c r="A42" s="2381" t="s">
        <v>1703</v>
      </c>
      <c r="B42" s="2368" t="s">
        <v>1704</v>
      </c>
      <c r="C42" s="2368"/>
      <c r="D42" s="2368"/>
      <c r="E42" s="2384" t="s">
        <v>1696</v>
      </c>
      <c r="F42" s="2385"/>
      <c r="G42" s="2385"/>
      <c r="H42" s="2385"/>
      <c r="I42" s="2386"/>
      <c r="J42" s="2387" t="s">
        <v>1697</v>
      </c>
      <c r="K42" s="2388"/>
      <c r="L42" s="2389"/>
      <c r="M42" s="2373" t="s">
        <v>1698</v>
      </c>
      <c r="N42" s="2374"/>
      <c r="O42" s="2378" t="s">
        <v>1699</v>
      </c>
      <c r="P42" s="2379"/>
      <c r="Q42" s="2380"/>
      <c r="R42" s="2376" t="s">
        <v>1700</v>
      </c>
      <c r="S42" s="2377"/>
    </row>
    <row r="43" spans="1:20" ht="34.5" customHeight="1">
      <c r="A43" s="2382"/>
      <c r="B43" s="2368" t="s">
        <v>1705</v>
      </c>
      <c r="C43" s="2368"/>
      <c r="D43" s="2368"/>
      <c r="E43" s="2369" t="s">
        <v>1696</v>
      </c>
      <c r="F43" s="2369"/>
      <c r="G43" s="2369"/>
      <c r="H43" s="2369"/>
      <c r="I43" s="2369"/>
      <c r="J43" s="2370" t="s">
        <v>1697</v>
      </c>
      <c r="K43" s="2371"/>
      <c r="L43" s="2372"/>
      <c r="M43" s="2373" t="s">
        <v>1698</v>
      </c>
      <c r="N43" s="2374"/>
      <c r="O43" s="2366" t="s">
        <v>1699</v>
      </c>
      <c r="P43" s="2366"/>
      <c r="Q43" s="2366"/>
      <c r="R43" s="2367" t="s">
        <v>1700</v>
      </c>
      <c r="S43" s="2367"/>
    </row>
    <row r="44" spans="1:20" ht="34.5" customHeight="1">
      <c r="A44" s="2382"/>
      <c r="B44" s="2368" t="s">
        <v>1706</v>
      </c>
      <c r="C44" s="2368"/>
      <c r="D44" s="2368"/>
      <c r="E44" s="2369" t="s">
        <v>1696</v>
      </c>
      <c r="F44" s="2369"/>
      <c r="G44" s="2369"/>
      <c r="H44" s="2369"/>
      <c r="I44" s="2369"/>
      <c r="J44" s="2370" t="s">
        <v>1697</v>
      </c>
      <c r="K44" s="2371"/>
      <c r="L44" s="2372"/>
      <c r="M44" s="2373" t="s">
        <v>1698</v>
      </c>
      <c r="N44" s="2374"/>
      <c r="O44" s="2366" t="s">
        <v>1699</v>
      </c>
      <c r="P44" s="2366"/>
      <c r="Q44" s="2366"/>
      <c r="R44" s="2367" t="s">
        <v>1700</v>
      </c>
      <c r="S44" s="2367"/>
    </row>
    <row r="45" spans="1:20" ht="34.5" customHeight="1">
      <c r="A45" s="2382"/>
      <c r="B45" s="2368" t="s">
        <v>1707</v>
      </c>
      <c r="C45" s="2368"/>
      <c r="D45" s="2368"/>
      <c r="E45" s="2369" t="s">
        <v>1696</v>
      </c>
      <c r="F45" s="2369"/>
      <c r="G45" s="2369"/>
      <c r="H45" s="2369"/>
      <c r="I45" s="2369"/>
      <c r="J45" s="2370" t="s">
        <v>1697</v>
      </c>
      <c r="K45" s="2371"/>
      <c r="L45" s="2372"/>
      <c r="M45" s="2373" t="s">
        <v>1698</v>
      </c>
      <c r="N45" s="2374"/>
      <c r="O45" s="2366" t="s">
        <v>1699</v>
      </c>
      <c r="P45" s="2366"/>
      <c r="Q45" s="2366"/>
      <c r="R45" s="2367" t="s">
        <v>1700</v>
      </c>
      <c r="S45" s="2367"/>
    </row>
    <row r="46" spans="1:20" ht="34.5" customHeight="1">
      <c r="A46" s="2383"/>
      <c r="B46" s="2368"/>
      <c r="C46" s="2368"/>
      <c r="D46" s="2368"/>
      <c r="E46" s="2367" t="s">
        <v>1696</v>
      </c>
      <c r="F46" s="2375"/>
      <c r="G46" s="2375"/>
      <c r="H46" s="2375"/>
      <c r="I46" s="2375"/>
      <c r="J46" s="2370" t="s">
        <v>1697</v>
      </c>
      <c r="K46" s="2371"/>
      <c r="L46" s="2372"/>
      <c r="M46" s="2373" t="s">
        <v>1698</v>
      </c>
      <c r="N46" s="2374"/>
      <c r="O46" s="2366" t="s">
        <v>1699</v>
      </c>
      <c r="P46" s="2366"/>
      <c r="Q46" s="2366"/>
      <c r="R46" s="2364" t="s">
        <v>1700</v>
      </c>
      <c r="S46" s="2365"/>
    </row>
    <row r="47" spans="1:20" ht="12.75" customHeight="1">
      <c r="A47" s="1497"/>
      <c r="C47" s="2361" t="s">
        <v>1708</v>
      </c>
      <c r="D47" s="2361"/>
      <c r="E47" s="2361"/>
      <c r="F47" s="2361"/>
      <c r="G47" s="2361"/>
      <c r="H47" s="2361"/>
      <c r="I47" s="2361"/>
      <c r="J47" s="2361"/>
      <c r="K47" s="2361"/>
      <c r="L47" s="2361"/>
      <c r="M47" s="2361"/>
      <c r="N47" s="2361"/>
      <c r="O47" s="2361"/>
      <c r="P47" s="2361"/>
      <c r="Q47" s="2361"/>
      <c r="R47" s="2361"/>
      <c r="S47" s="2361"/>
      <c r="T47" s="2361"/>
    </row>
    <row r="48" spans="1:20" ht="12.75" customHeight="1">
      <c r="C48" s="2361"/>
      <c r="D48" s="2361"/>
      <c r="E48" s="2361"/>
      <c r="F48" s="2361"/>
      <c r="G48" s="2361"/>
      <c r="H48" s="2361"/>
      <c r="I48" s="2361"/>
      <c r="J48" s="2361"/>
      <c r="K48" s="2361"/>
      <c r="L48" s="2361"/>
      <c r="M48" s="2361"/>
      <c r="N48" s="2361"/>
      <c r="O48" s="2361"/>
      <c r="P48" s="2361"/>
      <c r="Q48" s="2361"/>
      <c r="R48" s="2361"/>
      <c r="S48" s="2361"/>
      <c r="T48" s="2361"/>
    </row>
    <row r="49" spans="1:20" ht="8.25" customHeight="1">
      <c r="C49" s="2361"/>
      <c r="D49" s="2361"/>
      <c r="E49" s="2361"/>
      <c r="F49" s="2361"/>
      <c r="G49" s="2361"/>
      <c r="H49" s="2361"/>
      <c r="I49" s="2361"/>
      <c r="J49" s="2361"/>
      <c r="K49" s="2361"/>
      <c r="L49" s="2361"/>
      <c r="M49" s="2361"/>
      <c r="N49" s="2361"/>
      <c r="O49" s="2361"/>
      <c r="P49" s="2361"/>
      <c r="Q49" s="2361"/>
      <c r="R49" s="2361"/>
      <c r="S49" s="2361"/>
      <c r="T49" s="2361"/>
    </row>
    <row r="50" spans="1:20" ht="5.0999999999999996" customHeight="1">
      <c r="C50" s="2361"/>
      <c r="D50" s="2361"/>
      <c r="E50" s="2361"/>
      <c r="F50" s="2361"/>
      <c r="G50" s="2361"/>
      <c r="H50" s="2361"/>
      <c r="I50" s="2361"/>
      <c r="J50" s="2361"/>
      <c r="K50" s="2361"/>
      <c r="L50" s="2361"/>
      <c r="M50" s="2361"/>
      <c r="N50" s="2361"/>
      <c r="O50" s="2361"/>
      <c r="P50" s="2361"/>
      <c r="Q50" s="2361"/>
      <c r="R50" s="2361"/>
      <c r="S50" s="2361"/>
      <c r="T50" s="2361"/>
    </row>
    <row r="51" spans="1:20" ht="12.75" customHeight="1">
      <c r="C51" s="2362" t="s">
        <v>1709</v>
      </c>
      <c r="D51" s="2362"/>
      <c r="E51" s="2362"/>
      <c r="F51" s="2362"/>
      <c r="G51" s="2362"/>
      <c r="H51" s="2362"/>
      <c r="I51" s="2362"/>
      <c r="J51" s="2362"/>
      <c r="K51" s="2362"/>
      <c r="L51" s="2362"/>
      <c r="M51" s="2362"/>
      <c r="N51" s="2362"/>
      <c r="O51" s="2362"/>
      <c r="P51" s="2362"/>
      <c r="Q51" s="2362"/>
      <c r="R51" s="2362"/>
      <c r="S51" s="2362"/>
      <c r="T51" s="2362"/>
    </row>
    <row r="52" spans="1:20" ht="12.75" customHeight="1">
      <c r="B52" s="1498"/>
    </row>
    <row r="53" spans="1:20" ht="12.75" customHeight="1">
      <c r="A53" s="2363" t="s">
        <v>1710</v>
      </c>
      <c r="B53" s="2363"/>
      <c r="C53" s="2363"/>
      <c r="D53" s="2363"/>
      <c r="E53" s="2363"/>
      <c r="F53" s="2363"/>
      <c r="G53" s="2363"/>
      <c r="H53" s="2363"/>
      <c r="I53" s="2363"/>
      <c r="J53" s="2363"/>
      <c r="K53" s="2363"/>
      <c r="L53" s="2363"/>
      <c r="M53" s="2363"/>
      <c r="N53" s="2363"/>
      <c r="O53" s="2363"/>
      <c r="P53" s="2363"/>
      <c r="Q53" s="2363"/>
      <c r="R53" s="2363"/>
      <c r="S53" s="2363"/>
      <c r="T53" s="2363"/>
    </row>
    <row r="54" spans="1:20" ht="3.75" customHeight="1">
      <c r="C54" s="1499"/>
      <c r="D54" s="1499"/>
      <c r="E54" s="1499"/>
      <c r="F54" s="1499"/>
      <c r="G54" s="1499"/>
      <c r="H54" s="1499"/>
      <c r="I54" s="1499"/>
      <c r="J54" s="1499"/>
      <c r="K54" s="1499"/>
      <c r="L54" s="1499"/>
      <c r="M54" s="1499"/>
      <c r="N54" s="1499"/>
      <c r="O54" s="1499"/>
      <c r="P54" s="1499"/>
      <c r="Q54" s="1499"/>
      <c r="R54" s="1499"/>
      <c r="S54" s="1499"/>
      <c r="T54" s="1499"/>
    </row>
    <row r="55" spans="1:20" ht="18.75" customHeight="1">
      <c r="A55" s="1499"/>
      <c r="B55" s="1500" t="s">
        <v>1711</v>
      </c>
      <c r="C55" s="1501"/>
      <c r="D55" s="1502"/>
      <c r="E55" s="1502"/>
      <c r="F55" s="1502"/>
      <c r="G55" s="1502"/>
      <c r="H55" s="1502"/>
      <c r="I55" s="1502"/>
      <c r="J55" s="1502"/>
      <c r="K55" s="1502"/>
      <c r="L55" s="1502"/>
      <c r="M55" s="1502"/>
      <c r="N55" s="1502"/>
      <c r="O55" s="1502"/>
      <c r="P55" s="1502"/>
      <c r="Q55" s="1502"/>
      <c r="R55" s="1502"/>
      <c r="S55" s="1503"/>
      <c r="T55" s="1499"/>
    </row>
    <row r="56" spans="1:20" ht="18.75" customHeight="1">
      <c r="A56" s="1499"/>
      <c r="B56" s="1504"/>
      <c r="C56" s="1505"/>
      <c r="D56" s="1506"/>
      <c r="E56" s="1506"/>
      <c r="F56" s="1506"/>
      <c r="G56" s="1506"/>
      <c r="H56" s="1506"/>
      <c r="I56" s="1506"/>
      <c r="J56" s="1506"/>
      <c r="K56" s="1506"/>
      <c r="L56" s="1506"/>
      <c r="M56" s="1506"/>
      <c r="N56" s="1506"/>
      <c r="O56" s="1506"/>
      <c r="P56" s="1506"/>
      <c r="Q56" s="1506"/>
      <c r="R56" s="1506"/>
      <c r="S56" s="1507"/>
      <c r="T56" s="1499"/>
    </row>
    <row r="57" spans="1:20" ht="18.75" customHeight="1">
      <c r="B57" s="1500" t="s">
        <v>1712</v>
      </c>
      <c r="C57" s="1501"/>
      <c r="D57" s="1502"/>
      <c r="E57" s="1502"/>
      <c r="F57" s="1502"/>
      <c r="G57" s="1502"/>
      <c r="H57" s="1502"/>
      <c r="I57" s="1502"/>
      <c r="J57" s="1502"/>
      <c r="K57" s="1502"/>
      <c r="L57" s="1502"/>
      <c r="M57" s="1502"/>
      <c r="N57" s="1502"/>
      <c r="O57" s="1502"/>
      <c r="P57" s="1502"/>
      <c r="Q57" s="1502"/>
      <c r="R57" s="1502"/>
      <c r="S57" s="1503"/>
      <c r="T57" s="1499"/>
    </row>
    <row r="58" spans="1:20" ht="18.75" customHeight="1">
      <c r="A58" s="1499"/>
      <c r="B58" s="1508"/>
      <c r="C58" s="1506"/>
      <c r="D58" s="1506"/>
      <c r="E58" s="1506"/>
      <c r="F58" s="1506"/>
      <c r="G58" s="1506"/>
      <c r="H58" s="1506"/>
      <c r="I58" s="1506"/>
      <c r="J58" s="1506"/>
      <c r="K58" s="1506"/>
      <c r="L58" s="1506"/>
      <c r="M58" s="1506"/>
      <c r="N58" s="1506"/>
      <c r="O58" s="1506"/>
      <c r="P58" s="1506"/>
      <c r="Q58" s="1506"/>
      <c r="R58" s="1506"/>
      <c r="S58" s="1507"/>
      <c r="T58" s="1499"/>
    </row>
    <row r="59" spans="1:20" ht="6.75" customHeight="1">
      <c r="A59" s="1509"/>
      <c r="B59" s="1509"/>
      <c r="C59" s="1509"/>
      <c r="D59" s="1509"/>
      <c r="E59" s="1509"/>
      <c r="F59" s="1509"/>
      <c r="G59" s="1509"/>
      <c r="H59" s="1509"/>
      <c r="I59" s="1509"/>
      <c r="J59" s="1509"/>
      <c r="K59" s="1509"/>
      <c r="L59" s="1509"/>
      <c r="M59" s="1509"/>
      <c r="N59" s="1509"/>
      <c r="O59" s="1509"/>
      <c r="P59" s="1509"/>
      <c r="Q59" s="1509"/>
      <c r="R59" s="1509"/>
      <c r="S59" s="1509"/>
      <c r="T59" s="1509"/>
    </row>
    <row r="60" spans="1:20" ht="12.75" customHeight="1">
      <c r="A60" s="2363" t="s">
        <v>1713</v>
      </c>
      <c r="B60" s="2363"/>
      <c r="C60" s="2363"/>
      <c r="D60" s="2363"/>
      <c r="E60" s="2363"/>
      <c r="F60" s="2363"/>
      <c r="G60" s="2363"/>
      <c r="H60" s="2363"/>
      <c r="I60" s="2363"/>
      <c r="J60" s="2363"/>
      <c r="K60" s="2363"/>
      <c r="L60" s="2363"/>
      <c r="M60" s="2363"/>
      <c r="N60" s="2363"/>
      <c r="O60" s="2363"/>
      <c r="P60" s="2363"/>
      <c r="Q60" s="2363"/>
      <c r="R60" s="2363"/>
      <c r="S60" s="2363"/>
      <c r="T60" s="2363"/>
    </row>
    <row r="61" spans="1:20" ht="6.75" customHeight="1"/>
    <row r="62" spans="1:20" ht="12.75" customHeight="1">
      <c r="B62" s="1510" t="s">
        <v>1714</v>
      </c>
      <c r="C62" s="1511"/>
      <c r="D62" s="1512"/>
      <c r="E62" s="1513"/>
      <c r="F62" s="1513"/>
      <c r="G62" s="1512"/>
      <c r="H62" s="1512"/>
      <c r="I62" s="1512"/>
      <c r="J62" s="1514"/>
      <c r="K62" s="1511" t="s">
        <v>1715</v>
      </c>
      <c r="L62" s="1513"/>
      <c r="M62" s="1515"/>
      <c r="N62" s="1516"/>
      <c r="O62" s="1517"/>
      <c r="P62" s="1515"/>
      <c r="Q62" s="1518"/>
      <c r="R62" s="1518"/>
      <c r="S62" s="1519"/>
      <c r="T62" s="1497"/>
    </row>
    <row r="63" spans="1:20" ht="8.25" customHeight="1">
      <c r="I63" s="1520"/>
      <c r="J63" s="1520"/>
      <c r="K63" s="1520"/>
      <c r="L63" s="1520"/>
      <c r="M63" s="1520"/>
      <c r="N63" s="1520"/>
      <c r="O63" s="1520"/>
      <c r="P63" s="1520"/>
      <c r="Q63" s="1520"/>
      <c r="R63" s="1520"/>
    </row>
    <row r="64" spans="1:20" ht="15" customHeight="1">
      <c r="B64" s="1521"/>
      <c r="C64" s="1521"/>
      <c r="D64" s="1521"/>
      <c r="E64" s="1521"/>
      <c r="I64" s="2355" t="s">
        <v>242</v>
      </c>
      <c r="J64" s="2356"/>
      <c r="K64" s="2356"/>
      <c r="L64" s="2357"/>
      <c r="M64" s="2358" t="s">
        <v>648</v>
      </c>
      <c r="N64" s="2359"/>
      <c r="O64" s="2360" t="s">
        <v>1174</v>
      </c>
      <c r="P64" s="2360"/>
      <c r="Q64" s="2360"/>
      <c r="R64" s="2360"/>
      <c r="S64" s="2360"/>
    </row>
    <row r="65" spans="2:19" s="1527" customFormat="1" ht="15.75" customHeight="1">
      <c r="B65" s="1522" t="s">
        <v>1682</v>
      </c>
      <c r="C65" s="1523"/>
      <c r="D65" s="1523"/>
      <c r="E65" s="1523"/>
      <c r="F65" s="1523"/>
      <c r="G65" s="1523"/>
      <c r="H65" s="1523"/>
      <c r="I65" s="1524"/>
      <c r="J65" s="1525"/>
      <c r="K65" s="1525"/>
      <c r="L65" s="1526"/>
      <c r="M65" s="1524"/>
      <c r="N65" s="1526"/>
      <c r="O65" s="2354"/>
      <c r="P65" s="2354"/>
      <c r="Q65" s="2354"/>
      <c r="R65" s="2354"/>
      <c r="S65" s="2354"/>
    </row>
    <row r="66" spans="2:19" s="1499" customFormat="1" ht="15.75" customHeight="1">
      <c r="B66" s="1528" t="s">
        <v>1683</v>
      </c>
      <c r="C66" s="1529"/>
      <c r="D66" s="1529"/>
      <c r="E66" s="1529"/>
      <c r="F66" s="1529"/>
      <c r="G66" s="1529"/>
      <c r="H66" s="1529"/>
      <c r="I66" s="1524"/>
      <c r="J66" s="1525"/>
      <c r="K66" s="1525"/>
      <c r="L66" s="1526"/>
      <c r="M66" s="1524"/>
      <c r="N66" s="1526"/>
      <c r="O66" s="2354"/>
      <c r="P66" s="2354"/>
      <c r="Q66" s="2354"/>
      <c r="R66" s="2354"/>
      <c r="S66" s="2354"/>
    </row>
    <row r="67" spans="2:19" s="1499" customFormat="1" ht="15.75" customHeight="1">
      <c r="B67" s="1530" t="s">
        <v>1518</v>
      </c>
      <c r="C67" s="1531"/>
      <c r="D67" s="1531"/>
      <c r="E67" s="1531"/>
      <c r="F67" s="1531"/>
      <c r="G67" s="1531"/>
      <c r="H67" s="1531"/>
      <c r="I67" s="1532"/>
      <c r="J67" s="1533"/>
      <c r="K67" s="1533"/>
      <c r="L67" s="1534"/>
      <c r="M67" s="1524"/>
      <c r="N67" s="1526"/>
      <c r="O67" s="2354"/>
      <c r="P67" s="2354"/>
      <c r="Q67" s="2354"/>
      <c r="R67" s="2354"/>
      <c r="S67" s="2354"/>
    </row>
    <row r="68" spans="2:19" s="1499" customFormat="1" ht="15.75" customHeight="1">
      <c r="B68" s="1535" t="s">
        <v>1716</v>
      </c>
      <c r="C68" s="1535"/>
      <c r="D68" s="1535"/>
      <c r="I68" s="2355" t="s">
        <v>242</v>
      </c>
      <c r="J68" s="2356"/>
      <c r="K68" s="2356"/>
      <c r="L68" s="2357"/>
      <c r="M68" s="2358" t="s">
        <v>648</v>
      </c>
      <c r="N68" s="2359"/>
      <c r="O68" s="2360" t="s">
        <v>1174</v>
      </c>
      <c r="P68" s="2360"/>
      <c r="Q68" s="2360"/>
      <c r="R68" s="2360"/>
      <c r="S68" s="2360"/>
    </row>
    <row r="69" spans="2:19" ht="15.75" customHeight="1">
      <c r="B69" s="1536" t="s">
        <v>1717</v>
      </c>
      <c r="C69" s="1515"/>
      <c r="D69" s="1515"/>
      <c r="E69" s="1515"/>
      <c r="F69" s="1515"/>
      <c r="G69" s="1515"/>
      <c r="H69" s="1537"/>
      <c r="I69" s="1524"/>
      <c r="J69" s="1525"/>
      <c r="K69" s="1525"/>
      <c r="L69" s="1526"/>
      <c r="M69" s="1524"/>
      <c r="N69" s="1526"/>
      <c r="O69" s="2354"/>
      <c r="P69" s="2354"/>
      <c r="Q69" s="2354"/>
      <c r="R69" s="2354"/>
      <c r="S69" s="2354"/>
    </row>
    <row r="70" spans="2:19" ht="15.75" customHeight="1">
      <c r="B70" s="1536" t="s">
        <v>1718</v>
      </c>
      <c r="C70" s="1515"/>
      <c r="D70" s="1515"/>
      <c r="E70" s="1515"/>
      <c r="F70" s="1515"/>
      <c r="G70" s="1515"/>
      <c r="H70" s="1537"/>
      <c r="I70" s="1524"/>
      <c r="J70" s="1525"/>
      <c r="K70" s="1525"/>
      <c r="L70" s="1526"/>
      <c r="M70" s="1524"/>
      <c r="N70" s="1526"/>
      <c r="O70" s="2354"/>
      <c r="P70" s="2354"/>
      <c r="Q70" s="2354"/>
      <c r="R70" s="2354"/>
      <c r="S70" s="2354"/>
    </row>
    <row r="71" spans="2:19" ht="15.75" customHeight="1">
      <c r="B71" s="1536" t="s">
        <v>1719</v>
      </c>
      <c r="C71" s="1515"/>
      <c r="D71" s="1515"/>
      <c r="E71" s="1515"/>
      <c r="F71" s="1515"/>
      <c r="G71" s="1515"/>
      <c r="H71" s="1537"/>
      <c r="I71" s="1524"/>
      <c r="J71" s="1525"/>
      <c r="K71" s="1525"/>
      <c r="L71" s="1526"/>
      <c r="M71" s="1524"/>
      <c r="N71" s="1526"/>
      <c r="O71" s="2354"/>
      <c r="P71" s="2354"/>
      <c r="Q71" s="2354"/>
      <c r="R71" s="2354"/>
      <c r="S71" s="2354"/>
    </row>
    <row r="72" spans="2:19" ht="15.75" customHeight="1">
      <c r="B72" s="1536" t="s">
        <v>1720</v>
      </c>
      <c r="C72" s="1515"/>
      <c r="D72" s="1515"/>
      <c r="E72" s="1515"/>
      <c r="F72" s="1515"/>
      <c r="G72" s="1515"/>
      <c r="H72" s="1537"/>
      <c r="I72" s="1524"/>
      <c r="J72" s="1525"/>
      <c r="K72" s="1525"/>
      <c r="L72" s="1526"/>
      <c r="M72" s="1524"/>
      <c r="N72" s="1526"/>
      <c r="O72" s="2354"/>
      <c r="P72" s="2354"/>
      <c r="Q72" s="2354"/>
      <c r="R72" s="2354"/>
      <c r="S72" s="2354"/>
    </row>
    <row r="73" spans="2:19" ht="15.75" customHeight="1">
      <c r="B73" s="1536" t="s">
        <v>1721</v>
      </c>
      <c r="C73" s="1515"/>
      <c r="D73" s="1515"/>
      <c r="E73" s="1515"/>
      <c r="F73" s="1515"/>
      <c r="G73" s="1515"/>
      <c r="H73" s="1537"/>
      <c r="I73" s="1532"/>
      <c r="J73" s="1533"/>
      <c r="K73" s="1533"/>
      <c r="L73" s="1534"/>
      <c r="M73" s="1524"/>
      <c r="N73" s="1526"/>
      <c r="O73" s="2354"/>
      <c r="P73" s="2354"/>
      <c r="Q73" s="2354"/>
      <c r="R73" s="2354"/>
      <c r="S73" s="2354"/>
    </row>
    <row r="74" spans="2:19" ht="12.75" hidden="1" customHeight="1"/>
    <row r="75" spans="2:19" ht="12.75" hidden="1" customHeight="1"/>
    <row r="76" spans="2:19" ht="12.75" hidden="1" customHeight="1"/>
    <row r="77" spans="2:19" ht="12.75" hidden="1" customHeight="1"/>
    <row r="78" spans="2:19" ht="12.75" hidden="1" customHeight="1"/>
    <row r="79" spans="2:19" ht="12.75" hidden="1" customHeight="1"/>
    <row r="80" spans="2:19"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12.75" hidden="1" customHeight="1"/>
    <row r="101" ht="12.75" hidden="1" customHeight="1"/>
    <row r="102" ht="12.75" hidden="1" customHeight="1"/>
    <row r="103" ht="12.75" hidden="1" customHeight="1"/>
    <row r="104" ht="12.75" hidden="1" customHeight="1"/>
    <row r="105" ht="12.75" hidden="1" customHeight="1"/>
    <row r="106" ht="12.75" hidden="1" customHeight="1"/>
    <row r="107" ht="12.75" hidden="1" customHeight="1"/>
    <row r="108" ht="12.75" hidden="1" customHeight="1"/>
    <row r="109" ht="12.75" hidden="1" customHeight="1"/>
    <row r="110" ht="12.75" hidden="1" customHeight="1"/>
    <row r="111" ht="12.75" hidden="1" customHeight="1"/>
    <row r="112"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row r="121" ht="12.75" hidden="1" customHeight="1"/>
    <row r="122" ht="12.75" hidden="1" customHeight="1"/>
    <row r="123" ht="12.75" hidden="1" customHeight="1"/>
    <row r="124" ht="12.75" hidden="1" customHeight="1"/>
    <row r="125" ht="12.75" hidden="1" customHeight="1"/>
    <row r="126" ht="12.75" hidden="1" customHeight="1"/>
    <row r="127" ht="12.75" hidden="1" customHeight="1"/>
    <row r="128" ht="12.75" hidden="1" customHeight="1"/>
    <row r="129" ht="12.75" hidden="1" customHeight="1"/>
    <row r="130" ht="12.75" hidden="1" customHeight="1"/>
    <row r="131" ht="12.75" hidden="1" customHeight="1"/>
    <row r="132" ht="12.75" hidden="1" customHeight="1"/>
    <row r="133" ht="12.75" hidden="1" customHeight="1"/>
    <row r="134" ht="12.75" hidden="1" customHeight="1"/>
    <row r="135" ht="12.75" hidden="1" customHeight="1"/>
    <row r="136" ht="12.75" hidden="1" customHeight="1"/>
    <row r="137" ht="12.75" hidden="1" customHeight="1"/>
    <row r="138" ht="12.75" hidden="1" customHeight="1"/>
    <row r="139" ht="12.75" hidden="1" customHeight="1"/>
    <row r="140" ht="12.75" hidden="1" customHeight="1"/>
    <row r="141" ht="12.75" hidden="1" customHeight="1"/>
    <row r="142" ht="12.75" hidden="1" customHeight="1"/>
    <row r="143" ht="12.75" hidden="1" customHeight="1"/>
    <row r="144" ht="12.75" hidden="1" customHeight="1"/>
    <row r="145" ht="12.75" hidden="1" customHeight="1"/>
    <row r="146" ht="12.75" hidden="1" customHeight="1"/>
    <row r="147" ht="12.75" hidden="1" customHeight="1"/>
    <row r="148" ht="12.75" hidden="1" customHeight="1"/>
    <row r="149" ht="12.75" hidden="1" customHeight="1"/>
    <row r="150" ht="12.75" hidden="1" customHeight="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row r="215"/>
  </sheetData>
  <mergeCells count="93">
    <mergeCell ref="R34:S36"/>
    <mergeCell ref="A1:D2"/>
    <mergeCell ref="E1:T2"/>
    <mergeCell ref="A4:T4"/>
    <mergeCell ref="A20:T20"/>
    <mergeCell ref="A28:T28"/>
    <mergeCell ref="A30:B32"/>
    <mergeCell ref="C30:T32"/>
    <mergeCell ref="B34:D36"/>
    <mergeCell ref="E34:I36"/>
    <mergeCell ref="J34:L36"/>
    <mergeCell ref="M34:N36"/>
    <mergeCell ref="O34:Q36"/>
    <mergeCell ref="A37:A41"/>
    <mergeCell ref="B37:D37"/>
    <mergeCell ref="E37:I37"/>
    <mergeCell ref="J37:L37"/>
    <mergeCell ref="M37:N37"/>
    <mergeCell ref="B39:D39"/>
    <mergeCell ref="E39:I39"/>
    <mergeCell ref="J39:L39"/>
    <mergeCell ref="M39:N39"/>
    <mergeCell ref="R37:S37"/>
    <mergeCell ref="B38:D38"/>
    <mergeCell ref="E38:I38"/>
    <mergeCell ref="J38:L38"/>
    <mergeCell ref="M38:N38"/>
    <mergeCell ref="O38:Q38"/>
    <mergeCell ref="R38:S38"/>
    <mergeCell ref="O37:Q37"/>
    <mergeCell ref="R41:S41"/>
    <mergeCell ref="O39:Q39"/>
    <mergeCell ref="R39:S39"/>
    <mergeCell ref="B40:D40"/>
    <mergeCell ref="E40:I40"/>
    <mergeCell ref="J40:L40"/>
    <mergeCell ref="M40:N40"/>
    <mergeCell ref="O40:Q40"/>
    <mergeCell ref="R40:S40"/>
    <mergeCell ref="B41:D41"/>
    <mergeCell ref="E41:I41"/>
    <mergeCell ref="J41:L41"/>
    <mergeCell ref="M41:N41"/>
    <mergeCell ref="O41:Q41"/>
    <mergeCell ref="A42:A46"/>
    <mergeCell ref="B42:D42"/>
    <mergeCell ref="E42:I42"/>
    <mergeCell ref="J42:L42"/>
    <mergeCell ref="M42:N42"/>
    <mergeCell ref="B44:D44"/>
    <mergeCell ref="E44:I44"/>
    <mergeCell ref="J44:L44"/>
    <mergeCell ref="M44:N44"/>
    <mergeCell ref="R42:S42"/>
    <mergeCell ref="B43:D43"/>
    <mergeCell ref="E43:I43"/>
    <mergeCell ref="J43:L43"/>
    <mergeCell ref="M43:N43"/>
    <mergeCell ref="O43:Q43"/>
    <mergeCell ref="R43:S43"/>
    <mergeCell ref="O42:Q42"/>
    <mergeCell ref="R46:S46"/>
    <mergeCell ref="O44:Q44"/>
    <mergeCell ref="R44:S44"/>
    <mergeCell ref="B45:D45"/>
    <mergeCell ref="E45:I45"/>
    <mergeCell ref="J45:L45"/>
    <mergeCell ref="M45:N45"/>
    <mergeCell ref="O45:Q45"/>
    <mergeCell ref="R45:S45"/>
    <mergeCell ref="B46:D46"/>
    <mergeCell ref="E46:I46"/>
    <mergeCell ref="J46:L46"/>
    <mergeCell ref="M46:N46"/>
    <mergeCell ref="O46:Q46"/>
    <mergeCell ref="C47:T50"/>
    <mergeCell ref="C51:T51"/>
    <mergeCell ref="A53:T53"/>
    <mergeCell ref="A60:T60"/>
    <mergeCell ref="I64:L64"/>
    <mergeCell ref="M64:N64"/>
    <mergeCell ref="O64:S64"/>
    <mergeCell ref="O65:S65"/>
    <mergeCell ref="O66:S66"/>
    <mergeCell ref="O67:S67"/>
    <mergeCell ref="I68:L68"/>
    <mergeCell ref="M68:N68"/>
    <mergeCell ref="O68:S68"/>
    <mergeCell ref="O69:S69"/>
    <mergeCell ref="O70:S70"/>
    <mergeCell ref="O71:S71"/>
    <mergeCell ref="O72:S72"/>
    <mergeCell ref="O73:S73"/>
  </mergeCells>
  <pageMargins left="0.25" right="0.25" top="0.75" bottom="0.75" header="0.3" footer="0.3"/>
  <pageSetup paperSize="9" orientation="portrait" r:id="rId1"/>
  <colBreaks count="1" manualBreakCount="1">
    <brk id="21" max="107"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61">
    <pageSetUpPr fitToPage="1"/>
  </sheetPr>
  <dimension ref="A1:H45"/>
  <sheetViews>
    <sheetView showGridLines="0" view="pageBreakPreview" topLeftCell="A16" zoomScaleNormal="100" zoomScaleSheetLayoutView="100" workbookViewId="0">
      <selection activeCell="B27" sqref="B27"/>
    </sheetView>
  </sheetViews>
  <sheetFormatPr baseColWidth="10" defaultRowHeight="12.75"/>
  <cols>
    <col min="1" max="1" width="15.7109375" style="21" customWidth="1"/>
    <col min="2" max="6" width="11.7109375" style="21" customWidth="1"/>
  </cols>
  <sheetData>
    <row r="1" spans="1:8" ht="23.25">
      <c r="A1" s="114"/>
      <c r="B1" s="1747" t="s">
        <v>455</v>
      </c>
      <c r="C1" s="1747"/>
      <c r="D1" s="1747"/>
      <c r="E1" s="1747"/>
      <c r="H1" s="684">
        <v>6</v>
      </c>
    </row>
    <row r="15" spans="1:8" ht="95.25" customHeight="1"/>
    <row r="19" spans="2:5" ht="23.25">
      <c r="B19" s="1327" t="s">
        <v>326</v>
      </c>
      <c r="C19" s="685"/>
      <c r="D19" s="115"/>
      <c r="E19" s="115"/>
    </row>
    <row r="21" spans="2:5">
      <c r="B21" s="39" t="s">
        <v>1070</v>
      </c>
    </row>
    <row r="22" spans="2:5">
      <c r="B22" s="39" t="s">
        <v>1071</v>
      </c>
    </row>
    <row r="23" spans="2:5">
      <c r="B23" s="39" t="s">
        <v>244</v>
      </c>
    </row>
    <row r="24" spans="2:5">
      <c r="B24" s="39" t="s">
        <v>916</v>
      </c>
    </row>
    <row r="25" spans="2:5">
      <c r="B25" s="39" t="s">
        <v>1519</v>
      </c>
    </row>
    <row r="26" spans="2:5">
      <c r="B26" s="39" t="s">
        <v>712</v>
      </c>
    </row>
    <row r="27" spans="2:5">
      <c r="B27" s="1538" t="s">
        <v>1723</v>
      </c>
    </row>
    <row r="30" spans="2:5">
      <c r="B30" s="39"/>
    </row>
    <row r="31" spans="2:5">
      <c r="B31" s="39"/>
    </row>
    <row r="44" spans="2:2">
      <c r="B44" s="18"/>
    </row>
    <row r="45" spans="2:2">
      <c r="B45"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42">
    <tabColor indexed="42"/>
    <pageSetUpPr fitToPage="1"/>
  </sheetPr>
  <dimension ref="A1:M67"/>
  <sheetViews>
    <sheetView showGridLines="0" view="pageBreakPreview" zoomScale="70" zoomScaleNormal="80" zoomScaleSheetLayoutView="70" workbookViewId="0">
      <selection activeCell="H13" sqref="H13:K13"/>
    </sheetView>
  </sheetViews>
  <sheetFormatPr baseColWidth="10" defaultColWidth="11.42578125" defaultRowHeight="12.75"/>
  <cols>
    <col min="1" max="1" width="15" style="945" customWidth="1"/>
    <col min="2" max="2" width="16.85546875" style="945" bestFit="1" customWidth="1"/>
    <col min="3" max="16384" width="11.42578125" style="945"/>
  </cols>
  <sheetData>
    <row r="1" spans="1:11" ht="40.5" customHeight="1">
      <c r="A1" s="2456" t="s">
        <v>713</v>
      </c>
      <c r="B1" s="2457"/>
      <c r="C1" s="2457"/>
      <c r="D1" s="2457"/>
      <c r="E1" s="2457"/>
      <c r="F1" s="2457"/>
      <c r="G1" s="2457"/>
      <c r="H1" s="2457"/>
      <c r="I1" s="2457"/>
      <c r="J1" s="2457"/>
      <c r="K1" s="2457"/>
    </row>
    <row r="2" spans="1:11" ht="68.25" customHeight="1"/>
    <row r="3" spans="1:11" ht="22.5" customHeight="1">
      <c r="A3" s="984" t="s">
        <v>798</v>
      </c>
      <c r="B3" s="2447" t="s">
        <v>1168</v>
      </c>
      <c r="C3" s="2447"/>
      <c r="D3" s="946"/>
      <c r="E3" s="946"/>
      <c r="F3" s="984" t="s">
        <v>801</v>
      </c>
      <c r="G3" s="1064" t="s">
        <v>1168</v>
      </c>
      <c r="H3" s="946"/>
      <c r="I3" s="946"/>
      <c r="J3" s="946"/>
      <c r="K3" s="946"/>
    </row>
    <row r="4" spans="1:11" ht="22.5" customHeight="1">
      <c r="A4" s="984" t="s">
        <v>802</v>
      </c>
      <c r="B4" s="2447" t="s">
        <v>1168</v>
      </c>
      <c r="C4" s="2447"/>
      <c r="D4" s="2447"/>
      <c r="E4" s="2447"/>
      <c r="F4" s="2447"/>
      <c r="G4" s="2447"/>
      <c r="H4" s="2447"/>
      <c r="I4" s="2447"/>
      <c r="J4" s="2447"/>
      <c r="K4" s="2447"/>
    </row>
    <row r="6" spans="1:11" ht="15.75">
      <c r="A6" s="2463" t="s">
        <v>714</v>
      </c>
      <c r="B6" s="2463"/>
      <c r="C6" s="2463"/>
      <c r="D6" s="2463"/>
      <c r="E6" s="2463"/>
      <c r="F6" s="2463"/>
      <c r="G6" s="2463"/>
      <c r="H6" s="2463"/>
      <c r="I6" s="2463"/>
      <c r="J6" s="2463"/>
      <c r="K6" s="2463"/>
    </row>
    <row r="7" spans="1:11" ht="15.75">
      <c r="A7" s="2463" t="s">
        <v>1520</v>
      </c>
      <c r="B7" s="2463"/>
      <c r="C7" s="2463"/>
      <c r="D7" s="2463"/>
      <c r="E7" s="2463"/>
      <c r="F7" s="2463"/>
      <c r="G7" s="2463"/>
      <c r="H7" s="2463"/>
      <c r="I7" s="2463"/>
      <c r="J7" s="2463"/>
      <c r="K7" s="2463"/>
    </row>
    <row r="8" spans="1:11" ht="15.75">
      <c r="A8" s="1328"/>
      <c r="B8" s="1328"/>
      <c r="C8" s="1328"/>
      <c r="D8" s="1328"/>
      <c r="E8" s="1328"/>
      <c r="F8" s="1328"/>
      <c r="G8" s="1328"/>
      <c r="H8" s="1328"/>
      <c r="I8" s="1328"/>
      <c r="J8" s="1328"/>
      <c r="K8" s="1328"/>
    </row>
    <row r="9" spans="1:11" ht="30" customHeight="1">
      <c r="A9" s="1617" t="s">
        <v>715</v>
      </c>
      <c r="B9" s="1611"/>
      <c r="C9" s="1611"/>
      <c r="D9" s="1611" t="s">
        <v>716</v>
      </c>
      <c r="E9" s="1611"/>
      <c r="F9" s="1611"/>
      <c r="G9" s="1611"/>
      <c r="H9" s="1611" t="s">
        <v>717</v>
      </c>
      <c r="I9" s="1611"/>
      <c r="J9" s="1611"/>
      <c r="K9" s="1611"/>
    </row>
    <row r="10" spans="1:11" s="947" customFormat="1" ht="30" customHeight="1">
      <c r="A10" s="2448"/>
      <c r="B10" s="2448"/>
      <c r="C10" s="2448"/>
      <c r="D10" s="2448"/>
      <c r="E10" s="2448"/>
      <c r="F10" s="2448"/>
      <c r="G10" s="2448"/>
      <c r="H10" s="2448"/>
      <c r="I10" s="2448"/>
      <c r="J10" s="2448"/>
      <c r="K10" s="2448"/>
    </row>
    <row r="11" spans="1:11" s="947" customFormat="1" ht="30" customHeight="1">
      <c r="A11" s="2446"/>
      <c r="B11" s="2446"/>
      <c r="C11" s="2446"/>
      <c r="D11" s="2446"/>
      <c r="E11" s="2446"/>
      <c r="F11" s="2446"/>
      <c r="G11" s="2446"/>
      <c r="H11" s="2446"/>
      <c r="I11" s="2446"/>
      <c r="J11" s="2446"/>
      <c r="K11" s="2446"/>
    </row>
    <row r="12" spans="1:11" s="947" customFormat="1" ht="30" customHeight="1">
      <c r="A12" s="2446"/>
      <c r="B12" s="2446"/>
      <c r="C12" s="2446"/>
      <c r="D12" s="2446"/>
      <c r="E12" s="2446"/>
      <c r="F12" s="2446"/>
      <c r="G12" s="2446"/>
      <c r="H12" s="2446"/>
      <c r="I12" s="2446"/>
      <c r="J12" s="2446"/>
      <c r="K12" s="2446"/>
    </row>
    <row r="13" spans="1:11" s="947" customFormat="1" ht="30" customHeight="1">
      <c r="A13" s="2446"/>
      <c r="B13" s="2446"/>
      <c r="C13" s="2446"/>
      <c r="D13" s="2446"/>
      <c r="E13" s="2446"/>
      <c r="F13" s="2446"/>
      <c r="G13" s="2446"/>
      <c r="H13" s="2446"/>
      <c r="I13" s="2446"/>
      <c r="J13" s="2446"/>
      <c r="K13" s="2446"/>
    </row>
    <row r="14" spans="1:11" s="947" customFormat="1" ht="30" customHeight="1">
      <c r="A14" s="2446"/>
      <c r="B14" s="2446"/>
      <c r="C14" s="2446"/>
      <c r="D14" s="2446"/>
      <c r="E14" s="2446"/>
      <c r="F14" s="2446"/>
      <c r="G14" s="2446"/>
      <c r="H14" s="2446"/>
      <c r="I14" s="2446"/>
      <c r="J14" s="2446"/>
      <c r="K14" s="2446"/>
    </row>
    <row r="15" spans="1:11" s="947" customFormat="1" ht="30" customHeight="1">
      <c r="A15" s="2446"/>
      <c r="B15" s="2446"/>
      <c r="C15" s="2446"/>
      <c r="D15" s="2446"/>
      <c r="E15" s="2446"/>
      <c r="F15" s="2446"/>
      <c r="G15" s="2446"/>
      <c r="H15" s="2446"/>
      <c r="I15" s="2446"/>
      <c r="J15" s="2446"/>
      <c r="K15" s="2446"/>
    </row>
    <row r="16" spans="1:11" s="947" customFormat="1" ht="30" customHeight="1">
      <c r="A16" s="2446"/>
      <c r="B16" s="2446"/>
      <c r="C16" s="2446"/>
      <c r="D16" s="2446"/>
      <c r="E16" s="2446"/>
      <c r="F16" s="2446"/>
      <c r="G16" s="2446"/>
      <c r="H16" s="2446"/>
      <c r="I16" s="2446"/>
      <c r="J16" s="2446"/>
      <c r="K16" s="2446"/>
    </row>
    <row r="17" spans="1:13" s="947" customFormat="1" ht="30" customHeight="1">
      <c r="A17" s="2446"/>
      <c r="B17" s="2446"/>
      <c r="C17" s="2446"/>
      <c r="D17" s="2446"/>
      <c r="E17" s="2446"/>
      <c r="F17" s="2446"/>
      <c r="G17" s="2446"/>
      <c r="H17" s="2446"/>
      <c r="I17" s="2446"/>
      <c r="J17" s="2446"/>
      <c r="K17" s="2446"/>
    </row>
    <row r="18" spans="1:13" s="947" customFormat="1" ht="30" customHeight="1">
      <c r="A18" s="2446"/>
      <c r="B18" s="2446"/>
      <c r="C18" s="2446"/>
      <c r="D18" s="2446"/>
      <c r="E18" s="2446"/>
      <c r="F18" s="2446"/>
      <c r="G18" s="2446"/>
      <c r="H18" s="2446"/>
      <c r="I18" s="2446"/>
      <c r="J18" s="2446"/>
      <c r="K18" s="2446"/>
    </row>
    <row r="19" spans="1:13" s="947" customFormat="1" ht="30" customHeight="1">
      <c r="A19" s="2446"/>
      <c r="B19" s="2446"/>
      <c r="C19" s="2446"/>
      <c r="D19" s="2446"/>
      <c r="E19" s="2446"/>
      <c r="F19" s="2446"/>
      <c r="G19" s="2446"/>
      <c r="H19" s="2446"/>
      <c r="I19" s="2446"/>
      <c r="J19" s="2446"/>
      <c r="K19" s="2446"/>
    </row>
    <row r="20" spans="1:13" s="947" customFormat="1" ht="30" customHeight="1">
      <c r="A20" s="2446"/>
      <c r="B20" s="2446"/>
      <c r="C20" s="2446"/>
      <c r="D20" s="2446"/>
      <c r="E20" s="2446"/>
      <c r="F20" s="2446"/>
      <c r="G20" s="2446"/>
      <c r="H20" s="2446"/>
      <c r="I20" s="2446"/>
      <c r="J20" s="2446"/>
      <c r="K20" s="2446"/>
    </row>
    <row r="21" spans="1:13" s="947" customFormat="1" ht="30" customHeight="1">
      <c r="A21" s="2462"/>
      <c r="B21" s="2462"/>
      <c r="C21" s="2462"/>
      <c r="D21" s="2462"/>
      <c r="E21" s="2462"/>
      <c r="F21" s="2462"/>
      <c r="G21" s="2462"/>
      <c r="H21" s="2462"/>
      <c r="I21" s="2462"/>
      <c r="J21" s="2462"/>
      <c r="K21" s="2462"/>
    </row>
    <row r="22" spans="1:13" s="947" customFormat="1" ht="76.5" customHeight="1">
      <c r="A22" s="968" t="s">
        <v>718</v>
      </c>
    </row>
    <row r="23" spans="1:13" s="947" customFormat="1" ht="18">
      <c r="A23" s="948" t="s">
        <v>719</v>
      </c>
      <c r="B23" s="967"/>
      <c r="C23" s="965"/>
    </row>
    <row r="24" spans="1:13" s="947" customFormat="1" ht="18">
      <c r="A24" s="948"/>
      <c r="B24" s="967"/>
      <c r="C24" s="965"/>
    </row>
    <row r="25" spans="1:13" s="969" customFormat="1" ht="30" customHeight="1">
      <c r="A25" s="1617" t="s">
        <v>720</v>
      </c>
      <c r="B25" s="1617"/>
      <c r="C25" s="1617"/>
      <c r="D25" s="1617"/>
      <c r="E25" s="1617"/>
      <c r="F25" s="1617"/>
      <c r="G25" s="1617" t="s">
        <v>721</v>
      </c>
      <c r="H25" s="1617"/>
      <c r="I25" s="1617"/>
      <c r="J25" s="1617"/>
      <c r="K25" s="1617"/>
    </row>
    <row r="26" spans="1:13" s="1329" customFormat="1" ht="30" customHeight="1">
      <c r="A26" s="2460" t="s">
        <v>722</v>
      </c>
      <c r="B26" s="2460"/>
      <c r="C26" s="2460"/>
      <c r="D26" s="2460"/>
      <c r="E26" s="2460"/>
      <c r="F26" s="2460"/>
      <c r="G26" s="2461">
        <v>15</v>
      </c>
      <c r="H26" s="2461"/>
      <c r="I26" s="2461"/>
      <c r="J26" s="2461"/>
      <c r="K26" s="2461"/>
    </row>
    <row r="27" spans="1:13" s="1329" customFormat="1" ht="30" customHeight="1">
      <c r="A27" s="2449" t="s">
        <v>723</v>
      </c>
      <c r="B27" s="2449"/>
      <c r="C27" s="2449"/>
      <c r="D27" s="2449"/>
      <c r="E27" s="2449"/>
      <c r="F27" s="2449"/>
      <c r="G27" s="2458">
        <v>18</v>
      </c>
      <c r="H27" s="2458"/>
      <c r="I27" s="2458"/>
      <c r="J27" s="2458"/>
      <c r="K27" s="2458"/>
      <c r="M27" s="1102"/>
    </row>
    <row r="28" spans="1:13" s="1329" customFormat="1" ht="30" customHeight="1">
      <c r="A28" s="2449" t="s">
        <v>724</v>
      </c>
      <c r="B28" s="2449"/>
      <c r="C28" s="2449"/>
      <c r="D28" s="2449"/>
      <c r="E28" s="2449"/>
      <c r="F28" s="2449"/>
      <c r="G28" s="2458">
        <v>112</v>
      </c>
      <c r="H28" s="2458"/>
      <c r="I28" s="2458"/>
      <c r="J28" s="2458"/>
      <c r="K28" s="2458"/>
    </row>
    <row r="29" spans="1:13" s="1329" customFormat="1" ht="30" customHeight="1">
      <c r="A29" s="2449" t="s">
        <v>725</v>
      </c>
      <c r="B29" s="2449"/>
      <c r="C29" s="2449"/>
      <c r="D29" s="2449"/>
      <c r="E29" s="2449"/>
      <c r="F29" s="2449"/>
      <c r="G29" s="2458">
        <v>17</v>
      </c>
      <c r="H29" s="2458"/>
      <c r="I29" s="2458"/>
      <c r="J29" s="2458"/>
      <c r="K29" s="2458"/>
      <c r="M29" s="1102"/>
    </row>
    <row r="30" spans="1:13" s="1329" customFormat="1" ht="30" customHeight="1">
      <c r="A30" s="2459" t="s">
        <v>726</v>
      </c>
      <c r="B30" s="2459"/>
      <c r="C30" s="2459"/>
      <c r="D30" s="2459"/>
      <c r="E30" s="2459"/>
      <c r="F30" s="2459"/>
      <c r="G30" s="2458"/>
      <c r="H30" s="2458"/>
      <c r="I30" s="2458"/>
      <c r="J30" s="2458"/>
      <c r="K30" s="2458"/>
    </row>
    <row r="31" spans="1:13" s="1329" customFormat="1" ht="30" customHeight="1">
      <c r="A31" s="2449" t="s">
        <v>727</v>
      </c>
      <c r="B31" s="2449"/>
      <c r="C31" s="2449"/>
      <c r="D31" s="2449"/>
      <c r="E31" s="2449"/>
      <c r="F31" s="2449"/>
      <c r="G31" s="2450" t="s">
        <v>1168</v>
      </c>
      <c r="H31" s="2451"/>
      <c r="I31" s="2451"/>
      <c r="J31" s="2451"/>
      <c r="K31" s="2452"/>
    </row>
    <row r="32" spans="1:13" s="1329" customFormat="1" ht="30" customHeight="1">
      <c r="A32" s="2453"/>
      <c r="B32" s="2453"/>
      <c r="C32" s="2453"/>
      <c r="D32" s="2453"/>
      <c r="E32" s="2453"/>
      <c r="F32" s="2453"/>
      <c r="K32" s="1330"/>
    </row>
    <row r="33" spans="1:13" s="1329" customFormat="1" ht="30" customHeight="1">
      <c r="A33" s="2454"/>
      <c r="B33" s="2454"/>
      <c r="C33" s="2454"/>
      <c r="D33" s="2454"/>
      <c r="E33" s="2454"/>
      <c r="F33" s="2454"/>
      <c r="G33" s="2455"/>
      <c r="H33" s="2455"/>
      <c r="I33" s="2455"/>
      <c r="J33" s="2455"/>
      <c r="K33" s="2455"/>
      <c r="M33" s="1102"/>
    </row>
    <row r="34" spans="1:13" ht="18">
      <c r="A34" s="1331"/>
      <c r="B34" s="1332"/>
      <c r="C34" s="964"/>
      <c r="J34" s="968"/>
    </row>
    <row r="35" spans="1:13" ht="40.5" customHeight="1">
      <c r="A35" s="2456" t="s">
        <v>713</v>
      </c>
      <c r="B35" s="2457"/>
      <c r="C35" s="2457"/>
      <c r="D35" s="2457"/>
      <c r="E35" s="2457"/>
      <c r="F35" s="2457"/>
      <c r="G35" s="2457"/>
      <c r="H35" s="2457"/>
      <c r="I35" s="2457"/>
      <c r="J35" s="2457"/>
      <c r="K35" s="2457"/>
    </row>
    <row r="37" spans="1:13" ht="68.25" customHeight="1"/>
    <row r="38" spans="1:13" ht="22.5" customHeight="1">
      <c r="A38" s="984" t="s">
        <v>798</v>
      </c>
      <c r="B38" s="2447" t="s">
        <v>1168</v>
      </c>
      <c r="C38" s="2447"/>
      <c r="D38" s="946"/>
      <c r="E38" s="946"/>
      <c r="F38" s="984" t="s">
        <v>801</v>
      </c>
      <c r="G38" s="1064" t="s">
        <v>1168</v>
      </c>
      <c r="H38" s="946"/>
      <c r="I38" s="946"/>
      <c r="J38" s="946"/>
      <c r="K38" s="946"/>
    </row>
    <row r="39" spans="1:13" ht="22.5" customHeight="1">
      <c r="A39" s="984" t="s">
        <v>802</v>
      </c>
      <c r="B39" s="2447" t="s">
        <v>1168</v>
      </c>
      <c r="C39" s="2447"/>
      <c r="D39" s="2447"/>
      <c r="E39" s="2447"/>
      <c r="F39" s="2447"/>
      <c r="G39" s="2447"/>
      <c r="H39" s="2447"/>
      <c r="I39" s="2447"/>
      <c r="J39" s="2447"/>
      <c r="K39" s="2447"/>
    </row>
    <row r="41" spans="1:13" ht="30" customHeight="1">
      <c r="A41" s="1617" t="s">
        <v>1569</v>
      </c>
      <c r="B41" s="1611"/>
      <c r="C41" s="1611"/>
      <c r="D41" s="1611" t="s">
        <v>1177</v>
      </c>
      <c r="E41" s="1611"/>
      <c r="F41" s="1611"/>
      <c r="G41" s="1611"/>
      <c r="H41" s="1611" t="s">
        <v>1172</v>
      </c>
      <c r="I41" s="1611"/>
      <c r="J41" s="1611"/>
      <c r="K41" s="1611"/>
    </row>
    <row r="42" spans="1:13" s="947" customFormat="1" ht="30" customHeight="1">
      <c r="A42" s="2448"/>
      <c r="B42" s="2448"/>
      <c r="C42" s="2448"/>
      <c r="D42" s="2448"/>
      <c r="E42" s="2448"/>
      <c r="F42" s="2448"/>
      <c r="G42" s="2448"/>
      <c r="H42" s="2448"/>
      <c r="I42" s="2448"/>
      <c r="J42" s="2448"/>
      <c r="K42" s="2448"/>
    </row>
    <row r="43" spans="1:13" s="947" customFormat="1" ht="30" customHeight="1">
      <c r="A43" s="2446"/>
      <c r="B43" s="2446"/>
      <c r="C43" s="2446"/>
      <c r="D43" s="2446"/>
      <c r="E43" s="2446"/>
      <c r="F43" s="2446"/>
      <c r="G43" s="2446"/>
      <c r="H43" s="2446"/>
      <c r="I43" s="2446"/>
      <c r="J43" s="2446"/>
      <c r="K43" s="2446"/>
    </row>
    <row r="44" spans="1:13" s="947" customFormat="1" ht="30" customHeight="1">
      <c r="A44" s="2446"/>
      <c r="B44" s="2446"/>
      <c r="C44" s="2446"/>
      <c r="D44" s="2446"/>
      <c r="E44" s="2446"/>
      <c r="F44" s="2446"/>
      <c r="G44" s="2446"/>
      <c r="H44" s="2446"/>
      <c r="I44" s="2446"/>
      <c r="J44" s="2446"/>
      <c r="K44" s="2446"/>
    </row>
    <row r="45" spans="1:13" s="947" customFormat="1" ht="30" customHeight="1">
      <c r="A45" s="2446"/>
      <c r="B45" s="2446"/>
      <c r="C45" s="2446"/>
      <c r="D45" s="2446"/>
      <c r="E45" s="2446"/>
      <c r="F45" s="2446"/>
      <c r="G45" s="2446"/>
      <c r="H45" s="2446"/>
      <c r="I45" s="2446"/>
      <c r="J45" s="2446"/>
      <c r="K45" s="2446"/>
    </row>
    <row r="46" spans="1:13" s="947" customFormat="1" ht="30" customHeight="1">
      <c r="A46" s="2446"/>
      <c r="B46" s="2446"/>
      <c r="C46" s="2446"/>
      <c r="D46" s="2446"/>
      <c r="E46" s="2446"/>
      <c r="F46" s="2446"/>
      <c r="G46" s="2446"/>
      <c r="H46" s="2446"/>
      <c r="I46" s="2446"/>
      <c r="J46" s="2446"/>
      <c r="K46" s="2446"/>
    </row>
    <row r="47" spans="1:13" ht="30" customHeight="1">
      <c r="A47" s="2446"/>
      <c r="B47" s="2446"/>
      <c r="C47" s="2446"/>
      <c r="D47" s="2446"/>
      <c r="E47" s="2446"/>
      <c r="F47" s="2446"/>
      <c r="G47" s="2446"/>
      <c r="H47" s="2446"/>
      <c r="I47" s="2446"/>
      <c r="J47" s="2446"/>
      <c r="K47" s="2446"/>
    </row>
    <row r="48" spans="1:13" ht="30" customHeight="1">
      <c r="A48" s="2446"/>
      <c r="B48" s="2446"/>
      <c r="C48" s="2446"/>
      <c r="D48" s="2446"/>
      <c r="E48" s="2446"/>
      <c r="F48" s="2446"/>
      <c r="G48" s="2446"/>
      <c r="H48" s="2446"/>
      <c r="I48" s="2446"/>
      <c r="J48" s="2446"/>
      <c r="K48" s="2446"/>
    </row>
    <row r="49" spans="1:11" ht="30" customHeight="1">
      <c r="A49" s="2446"/>
      <c r="B49" s="2446"/>
      <c r="C49" s="2446"/>
      <c r="D49" s="2446"/>
      <c r="E49" s="2446"/>
      <c r="F49" s="2446"/>
      <c r="G49" s="2446"/>
      <c r="H49" s="2446"/>
      <c r="I49" s="2446"/>
      <c r="J49" s="2446"/>
      <c r="K49" s="2446"/>
    </row>
    <row r="50" spans="1:11" ht="30" customHeight="1">
      <c r="A50" s="2446"/>
      <c r="B50" s="2446"/>
      <c r="C50" s="2446"/>
      <c r="D50" s="2446"/>
      <c r="E50" s="2446"/>
      <c r="F50" s="2446"/>
      <c r="G50" s="2446"/>
      <c r="H50" s="2446"/>
      <c r="I50" s="2446"/>
      <c r="J50" s="2446"/>
      <c r="K50" s="2446"/>
    </row>
    <row r="51" spans="1:11" ht="30" customHeight="1">
      <c r="A51" s="2446"/>
      <c r="B51" s="2446"/>
      <c r="C51" s="2446"/>
      <c r="D51" s="2446"/>
      <c r="E51" s="2446"/>
      <c r="F51" s="2446"/>
      <c r="G51" s="2446"/>
      <c r="H51" s="2446"/>
      <c r="I51" s="2446"/>
      <c r="J51" s="2446"/>
      <c r="K51" s="2446"/>
    </row>
    <row r="52" spans="1:11" ht="30" customHeight="1">
      <c r="A52" s="2446"/>
      <c r="B52" s="2446"/>
      <c r="C52" s="2446"/>
      <c r="D52" s="2446"/>
      <c r="E52" s="2446"/>
      <c r="F52" s="2446"/>
      <c r="G52" s="2446"/>
      <c r="H52" s="2446"/>
      <c r="I52" s="2446"/>
      <c r="J52" s="2446"/>
      <c r="K52" s="2446"/>
    </row>
    <row r="53" spans="1:11" ht="30" customHeight="1">
      <c r="A53" s="2446"/>
      <c r="B53" s="2446"/>
      <c r="C53" s="2446"/>
      <c r="D53" s="2446"/>
      <c r="E53" s="2446"/>
      <c r="F53" s="2446"/>
      <c r="G53" s="2446"/>
      <c r="H53" s="2446"/>
      <c r="I53" s="2446"/>
      <c r="J53" s="2446"/>
      <c r="K53" s="2446"/>
    </row>
    <row r="54" spans="1:11" ht="30" customHeight="1">
      <c r="A54" s="2446"/>
      <c r="B54" s="2446"/>
      <c r="C54" s="2446"/>
      <c r="D54" s="2446"/>
      <c r="E54" s="2446"/>
      <c r="F54" s="2446"/>
      <c r="G54" s="2446"/>
      <c r="H54" s="2446"/>
      <c r="I54" s="2446"/>
      <c r="J54" s="2446"/>
      <c r="K54" s="2446"/>
    </row>
    <row r="55" spans="1:11" ht="30" customHeight="1">
      <c r="A55" s="2446"/>
      <c r="B55" s="2446"/>
      <c r="C55" s="2446"/>
      <c r="D55" s="2446"/>
      <c r="E55" s="2446"/>
      <c r="F55" s="2446"/>
      <c r="G55" s="2446"/>
      <c r="H55" s="2446"/>
      <c r="I55" s="2446"/>
      <c r="J55" s="2446"/>
      <c r="K55" s="2446"/>
    </row>
    <row r="56" spans="1:11" ht="30" customHeight="1">
      <c r="A56" s="2446"/>
      <c r="B56" s="2446"/>
      <c r="C56" s="2446"/>
      <c r="D56" s="2446"/>
      <c r="E56" s="2446"/>
      <c r="F56" s="2446"/>
      <c r="G56" s="2446"/>
      <c r="H56" s="2446"/>
      <c r="I56" s="2446"/>
      <c r="J56" s="2446"/>
      <c r="K56" s="2446"/>
    </row>
    <row r="57" spans="1:11" ht="30" customHeight="1">
      <c r="A57" s="2446"/>
      <c r="B57" s="2446"/>
      <c r="C57" s="2446"/>
      <c r="D57" s="2446"/>
      <c r="E57" s="2446"/>
      <c r="F57" s="2446"/>
      <c r="G57" s="2446"/>
      <c r="H57" s="2446"/>
      <c r="I57" s="2446"/>
      <c r="J57" s="2446"/>
      <c r="K57" s="2446"/>
    </row>
    <row r="58" spans="1:11" ht="30" customHeight="1">
      <c r="A58" s="2446"/>
      <c r="B58" s="2446"/>
      <c r="C58" s="2446"/>
      <c r="D58" s="2446"/>
      <c r="E58" s="2446"/>
      <c r="F58" s="2446"/>
      <c r="G58" s="2446"/>
      <c r="H58" s="2446"/>
      <c r="I58" s="2446"/>
      <c r="J58" s="2446"/>
      <c r="K58" s="2446"/>
    </row>
    <row r="59" spans="1:11" ht="30" customHeight="1">
      <c r="A59" s="2446"/>
      <c r="B59" s="2446"/>
      <c r="C59" s="2446"/>
      <c r="D59" s="2446"/>
      <c r="E59" s="2446"/>
      <c r="F59" s="2446"/>
      <c r="G59" s="2446"/>
      <c r="H59" s="2446"/>
      <c r="I59" s="2446"/>
      <c r="J59" s="2446"/>
      <c r="K59" s="2446"/>
    </row>
    <row r="60" spans="1:11" ht="30" customHeight="1">
      <c r="A60" s="2446"/>
      <c r="B60" s="2446"/>
      <c r="C60" s="2446"/>
      <c r="D60" s="2446"/>
      <c r="E60" s="2446"/>
      <c r="F60" s="2446"/>
      <c r="G60" s="2446"/>
      <c r="H60" s="2446"/>
      <c r="I60" s="2446"/>
      <c r="J60" s="2446"/>
      <c r="K60" s="2446"/>
    </row>
    <row r="61" spans="1:11" ht="30" customHeight="1">
      <c r="A61" s="2446"/>
      <c r="B61" s="2446"/>
      <c r="C61" s="2446"/>
      <c r="D61" s="2446"/>
      <c r="E61" s="2446"/>
      <c r="F61" s="2446"/>
      <c r="G61" s="2446"/>
      <c r="H61" s="2446"/>
      <c r="I61" s="2446"/>
      <c r="J61" s="2446"/>
      <c r="K61" s="2446"/>
    </row>
    <row r="62" spans="1:11" ht="30" customHeight="1">
      <c r="A62" s="2446"/>
      <c r="B62" s="2446"/>
      <c r="C62" s="2446"/>
      <c r="D62" s="2446"/>
      <c r="E62" s="2446"/>
      <c r="F62" s="2446"/>
      <c r="G62" s="2446"/>
      <c r="H62" s="2446"/>
      <c r="I62" s="2446"/>
      <c r="J62" s="2446"/>
      <c r="K62" s="2446"/>
    </row>
    <row r="63" spans="1:11" ht="30" customHeight="1">
      <c r="A63" s="2446"/>
      <c r="B63" s="2446"/>
      <c r="C63" s="2446"/>
      <c r="D63" s="2446"/>
      <c r="E63" s="2446"/>
      <c r="F63" s="2446"/>
      <c r="G63" s="2446"/>
      <c r="H63" s="2446"/>
      <c r="I63" s="2446"/>
      <c r="J63" s="2446"/>
      <c r="K63" s="2446"/>
    </row>
    <row r="64" spans="1:11" ht="30" customHeight="1">
      <c r="A64" s="2446"/>
      <c r="B64" s="2446"/>
      <c r="C64" s="2446"/>
      <c r="D64" s="2446"/>
      <c r="E64" s="2446"/>
      <c r="F64" s="2446"/>
      <c r="G64" s="2446"/>
      <c r="H64" s="2446"/>
      <c r="I64" s="2446"/>
      <c r="J64" s="2446"/>
      <c r="K64" s="2446"/>
    </row>
    <row r="65" spans="1:11" ht="30" customHeight="1">
      <c r="A65" s="2446"/>
      <c r="B65" s="2446"/>
      <c r="C65" s="2446"/>
      <c r="D65" s="2446"/>
      <c r="E65" s="2446"/>
      <c r="F65" s="2446"/>
      <c r="G65" s="2446"/>
      <c r="H65" s="2446"/>
      <c r="I65" s="2446"/>
      <c r="J65" s="2446"/>
      <c r="K65" s="2446"/>
    </row>
    <row r="66" spans="1:11" ht="30" customHeight="1">
      <c r="A66" s="2446"/>
      <c r="B66" s="2446"/>
      <c r="C66" s="2446"/>
      <c r="D66" s="2446"/>
      <c r="E66" s="2446"/>
      <c r="F66" s="2446"/>
      <c r="G66" s="2446"/>
      <c r="H66" s="2446"/>
      <c r="I66" s="2446"/>
      <c r="J66" s="2446"/>
      <c r="K66" s="2446"/>
    </row>
    <row r="67" spans="1:11" ht="30" customHeight="1">
      <c r="A67" s="2446"/>
      <c r="B67" s="2446"/>
      <c r="C67" s="2446"/>
      <c r="D67" s="2446"/>
      <c r="E67" s="2446"/>
      <c r="F67" s="2446"/>
      <c r="G67" s="2446"/>
      <c r="H67" s="2446"/>
      <c r="I67" s="2446"/>
      <c r="J67" s="2446"/>
      <c r="K67" s="2446"/>
    </row>
  </sheetData>
  <mergeCells count="145">
    <mergeCell ref="A10:C10"/>
    <mergeCell ref="D10:G10"/>
    <mergeCell ref="H10:K10"/>
    <mergeCell ref="A11:C11"/>
    <mergeCell ref="D11:G11"/>
    <mergeCell ref="H11:K11"/>
    <mergeCell ref="A1:K1"/>
    <mergeCell ref="B3:C3"/>
    <mergeCell ref="B4:K4"/>
    <mergeCell ref="A6:K6"/>
    <mergeCell ref="A7:K7"/>
    <mergeCell ref="A9:C9"/>
    <mergeCell ref="D9:G9"/>
    <mergeCell ref="H9:K9"/>
    <mergeCell ref="A14:C14"/>
    <mergeCell ref="D14:G14"/>
    <mergeCell ref="H14:K14"/>
    <mergeCell ref="A15:C15"/>
    <mergeCell ref="D15:G15"/>
    <mergeCell ref="H15:K15"/>
    <mergeCell ref="A12:C12"/>
    <mergeCell ref="D12:G12"/>
    <mergeCell ref="H12:K12"/>
    <mergeCell ref="A13:C13"/>
    <mergeCell ref="D13:G13"/>
    <mergeCell ref="H13:K13"/>
    <mergeCell ref="A18:C18"/>
    <mergeCell ref="D18:G18"/>
    <mergeCell ref="H18:K18"/>
    <mergeCell ref="A19:C19"/>
    <mergeCell ref="D19:G19"/>
    <mergeCell ref="H19:K19"/>
    <mergeCell ref="A16:C16"/>
    <mergeCell ref="D16:G16"/>
    <mergeCell ref="H16:K16"/>
    <mergeCell ref="A17:C17"/>
    <mergeCell ref="D17:G17"/>
    <mergeCell ref="H17:K17"/>
    <mergeCell ref="A25:F25"/>
    <mergeCell ref="G25:K25"/>
    <mergeCell ref="A26:F26"/>
    <mergeCell ref="G26:K26"/>
    <mergeCell ref="A27:F27"/>
    <mergeCell ref="G27:K27"/>
    <mergeCell ref="A20:C20"/>
    <mergeCell ref="D20:G20"/>
    <mergeCell ref="H20:K20"/>
    <mergeCell ref="A21:C21"/>
    <mergeCell ref="D21:G21"/>
    <mergeCell ref="H21:K21"/>
    <mergeCell ref="A31:F31"/>
    <mergeCell ref="G31:K31"/>
    <mergeCell ref="A32:F32"/>
    <mergeCell ref="A33:F33"/>
    <mergeCell ref="G33:K33"/>
    <mergeCell ref="A35:K35"/>
    <mergeCell ref="A28:F28"/>
    <mergeCell ref="G28:K28"/>
    <mergeCell ref="A29:F29"/>
    <mergeCell ref="G29:K29"/>
    <mergeCell ref="A30:F30"/>
    <mergeCell ref="G30:K30"/>
    <mergeCell ref="A43:C43"/>
    <mergeCell ref="D43:G43"/>
    <mergeCell ref="H43:K43"/>
    <mergeCell ref="A44:C44"/>
    <mergeCell ref="D44:G44"/>
    <mergeCell ref="H44:K44"/>
    <mergeCell ref="B38:C38"/>
    <mergeCell ref="B39:K39"/>
    <mergeCell ref="A41:C41"/>
    <mergeCell ref="D41:G41"/>
    <mergeCell ref="H41:K41"/>
    <mergeCell ref="A42:C42"/>
    <mergeCell ref="D42:G42"/>
    <mergeCell ref="H42:K42"/>
    <mergeCell ref="A47:C47"/>
    <mergeCell ref="D47:G47"/>
    <mergeCell ref="H47:K47"/>
    <mergeCell ref="A48:C48"/>
    <mergeCell ref="D48:G48"/>
    <mergeCell ref="H48:K48"/>
    <mergeCell ref="A45:C45"/>
    <mergeCell ref="D45:G45"/>
    <mergeCell ref="H45:K45"/>
    <mergeCell ref="A46:C46"/>
    <mergeCell ref="D46:G46"/>
    <mergeCell ref="H46:K46"/>
    <mergeCell ref="A51:C51"/>
    <mergeCell ref="D51:G51"/>
    <mergeCell ref="H51:K51"/>
    <mergeCell ref="A52:C52"/>
    <mergeCell ref="D52:G52"/>
    <mergeCell ref="H52:K52"/>
    <mergeCell ref="A49:C49"/>
    <mergeCell ref="D49:G49"/>
    <mergeCell ref="H49:K49"/>
    <mergeCell ref="A50:C50"/>
    <mergeCell ref="D50:G50"/>
    <mergeCell ref="H50:K50"/>
    <mergeCell ref="A55:C55"/>
    <mergeCell ref="D55:G55"/>
    <mergeCell ref="H55:K55"/>
    <mergeCell ref="A56:C56"/>
    <mergeCell ref="D56:G56"/>
    <mergeCell ref="H56:K56"/>
    <mergeCell ref="A53:C53"/>
    <mergeCell ref="D53:G53"/>
    <mergeCell ref="H53:K53"/>
    <mergeCell ref="A54:C54"/>
    <mergeCell ref="D54:G54"/>
    <mergeCell ref="H54:K54"/>
    <mergeCell ref="A59:C59"/>
    <mergeCell ref="D59:G59"/>
    <mergeCell ref="H59:K59"/>
    <mergeCell ref="A60:C60"/>
    <mergeCell ref="D60:G60"/>
    <mergeCell ref="H60:K60"/>
    <mergeCell ref="A57:C57"/>
    <mergeCell ref="D57:G57"/>
    <mergeCell ref="H57:K57"/>
    <mergeCell ref="A58:C58"/>
    <mergeCell ref="D58:G58"/>
    <mergeCell ref="H58:K58"/>
    <mergeCell ref="A63:C63"/>
    <mergeCell ref="D63:G63"/>
    <mergeCell ref="H63:K63"/>
    <mergeCell ref="A64:C64"/>
    <mergeCell ref="D64:G64"/>
    <mergeCell ref="H64:K64"/>
    <mergeCell ref="A61:C61"/>
    <mergeCell ref="D61:G61"/>
    <mergeCell ref="H61:K61"/>
    <mergeCell ref="A62:C62"/>
    <mergeCell ref="D62:G62"/>
    <mergeCell ref="H62:K62"/>
    <mergeCell ref="A67:C67"/>
    <mergeCell ref="D67:G67"/>
    <mergeCell ref="H67:K67"/>
    <mergeCell ref="A65:C65"/>
    <mergeCell ref="D65:G65"/>
    <mergeCell ref="H65:K65"/>
    <mergeCell ref="A66:C66"/>
    <mergeCell ref="D66:G66"/>
    <mergeCell ref="H66:K66"/>
  </mergeCells>
  <printOptions horizontalCentered="1"/>
  <pageMargins left="0" right="0" top="0.59055118110236227" bottom="0.39370078740157483" header="0" footer="0"/>
  <pageSetup paperSize="9" scale="76" fitToHeight="0" orientation="portrait" blackAndWhite="1" r:id="rId1"/>
  <headerFooter alignWithMargins="0">
    <oddFooter>&amp;L&amp;8Edité le &amp;D&amp;C&amp;P/&amp;N</oddFooter>
  </headerFooter>
  <rowBreaks count="1" manualBreakCount="1">
    <brk id="34" max="10"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G125"/>
  <sheetViews>
    <sheetView showGridLines="0" view="pageBreakPreview" zoomScale="130" zoomScaleNormal="85" zoomScaleSheetLayoutView="130" workbookViewId="0">
      <selection activeCell="I13" sqref="I13"/>
    </sheetView>
  </sheetViews>
  <sheetFormatPr baseColWidth="10" defaultColWidth="11.5703125" defaultRowHeight="12.75"/>
  <cols>
    <col min="1" max="1" width="33.140625" style="1214" customWidth="1"/>
    <col min="2" max="2" width="15.42578125" style="1214" customWidth="1"/>
    <col min="3" max="3" width="10.85546875" style="1214" customWidth="1"/>
    <col min="4" max="4" width="18.5703125" style="1214" customWidth="1"/>
    <col min="5" max="5" width="21.5703125" style="1214" customWidth="1"/>
    <col min="6" max="6" width="15.42578125" style="1214" customWidth="1"/>
    <col min="7" max="7" width="24.140625" style="1214" customWidth="1"/>
    <col min="8" max="8" width="1.5703125" style="1214" customWidth="1"/>
    <col min="9" max="16384" width="11.5703125" style="1214"/>
  </cols>
  <sheetData>
    <row r="1" spans="1:7" ht="17.45" customHeight="1">
      <c r="A1" s="1402"/>
      <c r="B1" s="2494" t="s">
        <v>1604</v>
      </c>
      <c r="C1" s="2494"/>
      <c r="D1" s="2494"/>
      <c r="E1" s="2494"/>
      <c r="F1" s="1403"/>
      <c r="G1" s="1402"/>
    </row>
    <row r="2" spans="1:7" ht="14.45" customHeight="1">
      <c r="A2" s="1402"/>
      <c r="B2" s="2494"/>
      <c r="C2" s="2494"/>
      <c r="D2" s="2494"/>
      <c r="E2" s="2494"/>
      <c r="F2" s="1403"/>
      <c r="G2" s="1402"/>
    </row>
    <row r="3" spans="1:7" ht="14.45" customHeight="1">
      <c r="A3" s="1399"/>
      <c r="B3" s="2495" t="s">
        <v>1605</v>
      </c>
      <c r="C3" s="2495"/>
      <c r="D3" s="2495"/>
      <c r="E3" s="2495"/>
      <c r="F3" s="1404"/>
    </row>
    <row r="4" spans="1:7" ht="18" customHeight="1">
      <c r="B4" s="1405"/>
      <c r="D4" s="1324"/>
    </row>
    <row r="5" spans="1:7" ht="20.100000000000001" customHeight="1">
      <c r="B5" s="1405"/>
      <c r="D5" s="1324"/>
    </row>
    <row r="6" spans="1:7" ht="13.5" customHeight="1">
      <c r="B6" s="1405"/>
      <c r="C6" s="1406"/>
      <c r="D6" s="2496"/>
      <c r="E6" s="2496"/>
      <c r="F6" s="2496"/>
      <c r="G6" s="2497"/>
    </row>
    <row r="7" spans="1:7" ht="15.95" customHeight="1">
      <c r="A7" s="1407" t="s">
        <v>1606</v>
      </c>
      <c r="B7" s="1408"/>
      <c r="C7" s="1409"/>
      <c r="D7" s="1410"/>
    </row>
    <row r="8" spans="1:7" ht="2.25" customHeight="1">
      <c r="A8" s="1411"/>
      <c r="D8" s="1399"/>
    </row>
    <row r="9" spans="1:7" ht="25.5">
      <c r="A9" s="1407" t="s">
        <v>1607</v>
      </c>
      <c r="B9" s="1408"/>
      <c r="C9" s="1412"/>
    </row>
    <row r="10" spans="1:7" ht="3" customHeight="1">
      <c r="A10" s="1411"/>
    </row>
    <row r="11" spans="1:7" ht="15.75" customHeight="1">
      <c r="A11" s="2468" t="s">
        <v>1608</v>
      </c>
      <c r="B11" s="2468"/>
      <c r="C11" s="2468"/>
      <c r="D11" s="2488" t="s">
        <v>1609</v>
      </c>
      <c r="E11" s="2489"/>
      <c r="F11" s="2498" t="s">
        <v>1610</v>
      </c>
      <c r="G11" s="2490"/>
    </row>
    <row r="12" spans="1:7" ht="22.5" customHeight="1">
      <c r="A12" s="1413" t="s">
        <v>1566</v>
      </c>
      <c r="B12" s="2484"/>
      <c r="C12" s="2484"/>
      <c r="D12" s="1413" t="s">
        <v>1566</v>
      </c>
      <c r="E12" s="1414"/>
      <c r="F12" s="1415" t="s">
        <v>1566</v>
      </c>
      <c r="G12" s="1416"/>
    </row>
    <row r="13" spans="1:7" ht="22.5" customHeight="1">
      <c r="A13" s="1413" t="s">
        <v>1611</v>
      </c>
      <c r="B13" s="2484"/>
      <c r="C13" s="2484"/>
      <c r="D13" s="1413" t="s">
        <v>281</v>
      </c>
      <c r="E13" s="1414"/>
      <c r="F13" s="1415" t="s">
        <v>281</v>
      </c>
      <c r="G13" s="1416"/>
    </row>
    <row r="14" spans="1:7" ht="22.5" customHeight="1">
      <c r="A14" s="1413" t="s">
        <v>1612</v>
      </c>
      <c r="B14" s="2484"/>
      <c r="C14" s="2484"/>
      <c r="D14" s="1413" t="s">
        <v>1612</v>
      </c>
      <c r="E14" s="1414"/>
      <c r="F14" s="1413" t="s">
        <v>1612</v>
      </c>
      <c r="G14" s="1416"/>
    </row>
    <row r="15" spans="1:7" ht="22.5" customHeight="1">
      <c r="A15" s="1413" t="s">
        <v>1613</v>
      </c>
      <c r="B15" s="2484"/>
      <c r="C15" s="2484"/>
      <c r="D15" s="1413" t="s">
        <v>1613</v>
      </c>
      <c r="E15" s="1414"/>
      <c r="F15" s="1415" t="s">
        <v>1613</v>
      </c>
      <c r="G15" s="1416"/>
    </row>
    <row r="16" spans="1:7" ht="21.75" customHeight="1">
      <c r="A16" s="1413" t="s">
        <v>1614</v>
      </c>
      <c r="B16" s="2484"/>
      <c r="C16" s="2484"/>
      <c r="D16" s="1413" t="s">
        <v>1615</v>
      </c>
      <c r="E16" s="1414"/>
      <c r="F16" s="1415" t="s">
        <v>1615</v>
      </c>
      <c r="G16" s="1416"/>
    </row>
    <row r="17" spans="1:7" ht="65.25" customHeight="1">
      <c r="A17" s="1413" t="s">
        <v>1616</v>
      </c>
      <c r="B17" s="2484"/>
      <c r="C17" s="2484"/>
      <c r="D17" s="2484"/>
      <c r="E17" s="2484"/>
      <c r="F17" s="2484"/>
      <c r="G17" s="2484"/>
    </row>
    <row r="18" spans="1:7" ht="22.5" customHeight="1">
      <c r="A18" s="2482" t="s">
        <v>1617</v>
      </c>
      <c r="B18" s="2484"/>
      <c r="C18" s="2484"/>
      <c r="D18" s="2484"/>
      <c r="E18" s="2484"/>
      <c r="F18" s="2484"/>
      <c r="G18" s="2484"/>
    </row>
    <row r="19" spans="1:7" ht="22.5" customHeight="1">
      <c r="A19" s="2483"/>
      <c r="B19" s="2484"/>
      <c r="C19" s="2484"/>
      <c r="D19" s="2484"/>
      <c r="E19" s="2484"/>
      <c r="F19" s="2484"/>
      <c r="G19" s="2484"/>
    </row>
    <row r="20" spans="1:7" ht="22.5" customHeight="1">
      <c r="A20" s="1413" t="s">
        <v>1080</v>
      </c>
      <c r="B20" s="2484"/>
      <c r="C20" s="2484"/>
      <c r="D20" s="1417" t="s">
        <v>1353</v>
      </c>
      <c r="E20" s="2484"/>
      <c r="F20" s="2484"/>
      <c r="G20" s="2484"/>
    </row>
    <row r="21" spans="1:7" ht="15.6" customHeight="1"/>
    <row r="22" spans="1:7" ht="37.5" customHeight="1">
      <c r="A22" s="2485" t="s">
        <v>1552</v>
      </c>
      <c r="B22" s="2486"/>
      <c r="C22" s="2486"/>
      <c r="D22" s="2485" t="s">
        <v>1553</v>
      </c>
      <c r="E22" s="2486"/>
      <c r="F22" s="2486"/>
      <c r="G22" s="2487"/>
    </row>
    <row r="23" spans="1:7" ht="20.100000000000001" customHeight="1">
      <c r="A23" s="1418"/>
      <c r="B23" s="1419"/>
      <c r="C23" s="1419"/>
      <c r="D23" s="1420" t="s">
        <v>1618</v>
      </c>
      <c r="E23" s="1421" t="s">
        <v>1619</v>
      </c>
      <c r="F23" s="969" t="s">
        <v>1620</v>
      </c>
      <c r="G23" s="1422"/>
    </row>
    <row r="24" spans="1:7" ht="17.45" customHeight="1">
      <c r="A24" s="1410"/>
      <c r="B24" s="1423"/>
      <c r="C24" s="1423"/>
      <c r="D24" s="1424" t="s">
        <v>1554</v>
      </c>
      <c r="E24" s="1425" t="s">
        <v>1621</v>
      </c>
      <c r="F24" s="1399" t="s">
        <v>1554</v>
      </c>
      <c r="G24" s="1426"/>
    </row>
    <row r="25" spans="1:7" ht="20.100000000000001" customHeight="1">
      <c r="A25" s="1418"/>
      <c r="B25" s="1419"/>
      <c r="C25" s="1419"/>
      <c r="D25" s="1424" t="s">
        <v>1557</v>
      </c>
      <c r="E25" s="1425" t="s">
        <v>1622</v>
      </c>
      <c r="F25" s="1399" t="s">
        <v>1557</v>
      </c>
      <c r="G25" s="1422"/>
    </row>
    <row r="26" spans="1:7" ht="17.45" customHeight="1">
      <c r="A26" s="1410"/>
      <c r="B26" s="1423"/>
      <c r="C26" s="1423"/>
      <c r="D26" s="1424" t="s">
        <v>1558</v>
      </c>
      <c r="E26" s="1425" t="s">
        <v>1623</v>
      </c>
      <c r="F26" s="1399" t="s">
        <v>1558</v>
      </c>
      <c r="G26" s="1426"/>
    </row>
    <row r="27" spans="1:7" ht="20.100000000000001" customHeight="1">
      <c r="A27" s="1418"/>
      <c r="B27" s="1419"/>
      <c r="C27" s="1419"/>
      <c r="D27" s="1424" t="s">
        <v>1560</v>
      </c>
      <c r="E27" s="1425" t="s">
        <v>1624</v>
      </c>
      <c r="F27" s="1399" t="s">
        <v>1560</v>
      </c>
      <c r="G27" s="1422"/>
    </row>
    <row r="28" spans="1:7" ht="17.45" customHeight="1">
      <c r="A28" s="1410"/>
      <c r="B28" s="1423"/>
      <c r="C28" s="1423"/>
      <c r="D28" s="1424" t="s">
        <v>1561</v>
      </c>
      <c r="E28" s="1425" t="s">
        <v>1625</v>
      </c>
      <c r="F28" s="1399" t="s">
        <v>1561</v>
      </c>
      <c r="G28" s="1426"/>
    </row>
    <row r="29" spans="1:7" ht="20.100000000000001" customHeight="1">
      <c r="A29" s="1418"/>
      <c r="B29" s="1419"/>
      <c r="C29" s="1419"/>
      <c r="D29" s="1424" t="s">
        <v>1562</v>
      </c>
      <c r="E29" s="1425" t="s">
        <v>1626</v>
      </c>
      <c r="F29" s="1399" t="s">
        <v>1562</v>
      </c>
      <c r="G29" s="1422"/>
    </row>
    <row r="30" spans="1:7" ht="17.45" customHeight="1">
      <c r="A30" s="1410"/>
      <c r="B30" s="1423"/>
      <c r="C30" s="1423"/>
      <c r="D30" s="1424" t="s">
        <v>1555</v>
      </c>
      <c r="E30" s="1425" t="s">
        <v>1627</v>
      </c>
      <c r="F30" s="1399" t="s">
        <v>1555</v>
      </c>
      <c r="G30" s="1426"/>
    </row>
    <row r="31" spans="1:7" ht="20.100000000000001" customHeight="1">
      <c r="A31" s="1418"/>
      <c r="B31" s="1419"/>
      <c r="C31" s="1419"/>
      <c r="D31" s="1424" t="s">
        <v>1556</v>
      </c>
      <c r="E31" s="1425" t="s">
        <v>1628</v>
      </c>
      <c r="F31" s="1399" t="s">
        <v>1556</v>
      </c>
      <c r="G31" s="1422"/>
    </row>
    <row r="32" spans="1:7" ht="20.100000000000001" customHeight="1">
      <c r="A32" s="1418"/>
      <c r="B32" s="1419"/>
      <c r="C32" s="1419"/>
      <c r="D32" s="1424" t="s">
        <v>1559</v>
      </c>
      <c r="E32" s="1425" t="s">
        <v>1629</v>
      </c>
      <c r="F32" s="1399" t="s">
        <v>1559</v>
      </c>
      <c r="G32" s="1422"/>
    </row>
    <row r="33" spans="1:7" ht="17.45" customHeight="1" thickBot="1">
      <c r="A33" s="1427"/>
      <c r="B33" s="1428"/>
      <c r="C33" s="1428"/>
      <c r="D33" s="1429" t="s">
        <v>1563</v>
      </c>
      <c r="E33" s="1430" t="s">
        <v>1630</v>
      </c>
      <c r="F33" s="1431" t="s">
        <v>1563</v>
      </c>
      <c r="G33" s="1432"/>
    </row>
    <row r="34" spans="1:7" ht="15.6" customHeight="1">
      <c r="A34" s="2488" t="s">
        <v>1631</v>
      </c>
      <c r="B34" s="2489"/>
      <c r="C34" s="2489"/>
      <c r="D34" s="2489"/>
      <c r="E34" s="2489"/>
      <c r="F34" s="2489"/>
      <c r="G34" s="2490"/>
    </row>
    <row r="35" spans="1:7" ht="80.25" customHeight="1">
      <c r="A35" s="1417" t="s">
        <v>1632</v>
      </c>
      <c r="B35" s="2025"/>
      <c r="C35" s="2026"/>
      <c r="D35" s="2026"/>
      <c r="E35" s="2026"/>
      <c r="F35" s="2026"/>
      <c r="G35" s="2027"/>
    </row>
    <row r="36" spans="1:7" ht="80.25" customHeight="1">
      <c r="A36" s="1417" t="s">
        <v>1633</v>
      </c>
      <c r="B36" s="2491"/>
      <c r="C36" s="2492"/>
      <c r="D36" s="2492"/>
      <c r="E36" s="2492"/>
      <c r="F36" s="2492"/>
      <c r="G36" s="2493"/>
    </row>
    <row r="37" spans="1:7" ht="80.25" customHeight="1">
      <c r="A37" s="1417" t="s">
        <v>1634</v>
      </c>
      <c r="B37" s="2025"/>
      <c r="C37" s="2026"/>
      <c r="D37" s="2026"/>
      <c r="E37" s="2026"/>
      <c r="F37" s="2026"/>
      <c r="G37" s="2027"/>
    </row>
    <row r="38" spans="1:7" ht="15.6" customHeight="1">
      <c r="A38" s="1424"/>
      <c r="B38" s="1399"/>
      <c r="C38" s="1399"/>
    </row>
    <row r="39" spans="1:7">
      <c r="A39" s="2488" t="s">
        <v>1564</v>
      </c>
      <c r="B39" s="2489"/>
      <c r="C39" s="2489"/>
      <c r="D39" s="2489"/>
      <c r="E39" s="2489"/>
      <c r="F39" s="2489"/>
      <c r="G39" s="2490"/>
    </row>
    <row r="40" spans="1:7" ht="28.5" customHeight="1">
      <c r="A40" s="1433" t="s">
        <v>1635</v>
      </c>
      <c r="B40" s="2475" t="s">
        <v>1636</v>
      </c>
      <c r="C40" s="2477"/>
      <c r="D40" s="2475" t="s">
        <v>1637</v>
      </c>
      <c r="E40" s="2476"/>
      <c r="F40" s="2476"/>
      <c r="G40" s="2477"/>
    </row>
    <row r="41" spans="1:7" ht="28.5" customHeight="1">
      <c r="A41" s="1433" t="s">
        <v>1638</v>
      </c>
      <c r="B41" s="2475" t="s">
        <v>1639</v>
      </c>
      <c r="C41" s="2476"/>
      <c r="D41" s="2477"/>
      <c r="E41" s="2478" t="s">
        <v>1565</v>
      </c>
      <c r="F41" s="2479"/>
      <c r="G41" s="2480"/>
    </row>
    <row r="42" spans="1:7">
      <c r="A42" s="2481"/>
      <c r="B42" s="2479"/>
      <c r="C42" s="2479"/>
      <c r="D42" s="2479"/>
      <c r="E42" s="2479"/>
      <c r="F42" s="2479"/>
      <c r="G42" s="2479"/>
    </row>
    <row r="43" spans="1:7" ht="25.5" customHeight="1">
      <c r="A43" s="2470" t="s">
        <v>1640</v>
      </c>
      <c r="B43" s="2470"/>
      <c r="C43" s="2467" t="s">
        <v>1641</v>
      </c>
      <c r="D43" s="2471" t="s">
        <v>1642</v>
      </c>
      <c r="E43" s="2472"/>
      <c r="F43" s="2472"/>
      <c r="G43" s="2472"/>
    </row>
    <row r="44" spans="1:7">
      <c r="A44" s="2470"/>
      <c r="B44" s="2470"/>
      <c r="C44" s="2467"/>
      <c r="D44" s="2472"/>
      <c r="E44" s="2472"/>
      <c r="F44" s="2472"/>
      <c r="G44" s="2472"/>
    </row>
    <row r="45" spans="1:7" ht="21.6" customHeight="1">
      <c r="A45" s="2470" t="s">
        <v>1643</v>
      </c>
      <c r="B45" s="2470"/>
      <c r="C45" s="2467" t="s">
        <v>1641</v>
      </c>
      <c r="D45" s="2471" t="s">
        <v>1644</v>
      </c>
      <c r="E45" s="2472"/>
      <c r="F45" s="2472"/>
      <c r="G45" s="2472"/>
    </row>
    <row r="46" spans="1:7">
      <c r="A46" s="2470"/>
      <c r="B46" s="2470"/>
      <c r="C46" s="2467"/>
      <c r="D46" s="2472"/>
      <c r="E46" s="2472"/>
      <c r="F46" s="2472"/>
      <c r="G46" s="2472"/>
    </row>
    <row r="48" spans="1:7">
      <c r="A48" s="2473"/>
      <c r="B48" s="2473"/>
      <c r="C48" s="2473"/>
      <c r="D48" s="2473"/>
      <c r="E48" s="2473"/>
      <c r="F48" s="2473"/>
      <c r="G48" s="2473"/>
    </row>
    <row r="49" spans="1:7">
      <c r="A49" s="2474"/>
      <c r="B49" s="2474"/>
      <c r="C49" s="2474"/>
      <c r="D49" s="2474"/>
      <c r="E49" s="2474"/>
      <c r="F49" s="2474"/>
      <c r="G49" s="2474"/>
    </row>
    <row r="50" spans="1:7" ht="19.5" customHeight="1">
      <c r="A50" s="2468" t="s">
        <v>1645</v>
      </c>
      <c r="B50" s="2468"/>
      <c r="C50" s="2468"/>
      <c r="D50" s="2468"/>
      <c r="E50" s="2468"/>
      <c r="F50" s="2468"/>
      <c r="G50" s="2468"/>
    </row>
    <row r="52" spans="1:7" ht="31.5" customHeight="1">
      <c r="A52" s="1434" t="s">
        <v>1646</v>
      </c>
      <c r="B52" s="2469" t="s">
        <v>1647</v>
      </c>
      <c r="C52" s="2469"/>
      <c r="D52" s="2469"/>
      <c r="E52" s="2469"/>
      <c r="F52" s="2469"/>
      <c r="G52" s="2469"/>
    </row>
    <row r="53" spans="1:7" ht="12.6" customHeight="1">
      <c r="A53" s="1435"/>
      <c r="B53" s="1436"/>
      <c r="C53" s="1436"/>
      <c r="D53" s="1436"/>
      <c r="E53" s="1436"/>
      <c r="F53" s="1436"/>
      <c r="G53" s="1437"/>
    </row>
    <row r="54" spans="1:7" ht="12.6" customHeight="1">
      <c r="A54" s="1215"/>
      <c r="B54" s="1399"/>
      <c r="C54" s="1399"/>
      <c r="D54" s="1399"/>
      <c r="E54" s="1399"/>
      <c r="F54" s="1399"/>
      <c r="G54" s="1400"/>
    </row>
    <row r="55" spans="1:7" ht="12.6" customHeight="1">
      <c r="A55" s="1215"/>
      <c r="B55" s="1399"/>
      <c r="C55" s="1399"/>
      <c r="D55" s="1399"/>
      <c r="E55" s="1399"/>
      <c r="F55" s="1399"/>
      <c r="G55" s="1400"/>
    </row>
    <row r="56" spans="1:7" ht="12.6" customHeight="1">
      <c r="A56" s="1215"/>
      <c r="B56" s="1399"/>
      <c r="C56" s="1399"/>
      <c r="D56" s="1399"/>
      <c r="E56" s="1399"/>
      <c r="F56" s="1399"/>
      <c r="G56" s="1400"/>
    </row>
    <row r="57" spans="1:7" ht="12.6" customHeight="1">
      <c r="A57" s="1215"/>
      <c r="B57" s="1399"/>
      <c r="C57" s="1399"/>
      <c r="D57" s="1399"/>
      <c r="E57" s="1399"/>
      <c r="F57" s="1399"/>
      <c r="G57" s="1400"/>
    </row>
    <row r="58" spans="1:7" ht="12.6" customHeight="1">
      <c r="A58" s="1215"/>
      <c r="B58" s="1399"/>
      <c r="C58" s="1399"/>
      <c r="D58" s="1399"/>
      <c r="E58" s="1399"/>
      <c r="F58" s="1399"/>
      <c r="G58" s="1400"/>
    </row>
    <row r="59" spans="1:7" ht="12.6" customHeight="1">
      <c r="A59" s="1438"/>
      <c r="B59" s="1439"/>
      <c r="C59" s="1439"/>
      <c r="D59" s="1439"/>
      <c r="E59" s="1439"/>
      <c r="F59" s="1439"/>
      <c r="G59" s="1440"/>
    </row>
    <row r="60" spans="1:7" ht="36" customHeight="1">
      <c r="A60" s="1434" t="s">
        <v>1648</v>
      </c>
      <c r="B60" s="2469" t="s">
        <v>1649</v>
      </c>
      <c r="C60" s="2469"/>
      <c r="D60" s="2469"/>
      <c r="E60" s="2469"/>
      <c r="F60" s="2469"/>
      <c r="G60" s="2469"/>
    </row>
    <row r="61" spans="1:7" ht="11.25" customHeight="1">
      <c r="A61" s="1435"/>
      <c r="B61" s="1441"/>
      <c r="C61" s="1441"/>
      <c r="D61" s="1441"/>
      <c r="E61" s="1441"/>
      <c r="F61" s="1441"/>
      <c r="G61" s="1442"/>
    </row>
    <row r="62" spans="1:7" ht="11.25" customHeight="1">
      <c r="A62" s="1215"/>
      <c r="G62" s="1443"/>
    </row>
    <row r="63" spans="1:7" ht="11.25" customHeight="1">
      <c r="A63" s="1215"/>
      <c r="G63" s="1443"/>
    </row>
    <row r="64" spans="1:7" ht="11.25" customHeight="1">
      <c r="A64" s="1215"/>
      <c r="G64" s="1443"/>
    </row>
    <row r="65" spans="1:7">
      <c r="A65" s="1215"/>
      <c r="G65" s="1443"/>
    </row>
    <row r="66" spans="1:7" ht="12.6" customHeight="1">
      <c r="A66" s="1215"/>
      <c r="G66" s="1443"/>
    </row>
    <row r="67" spans="1:7" ht="12.6" customHeight="1">
      <c r="A67" s="1438"/>
      <c r="B67" s="1406"/>
      <c r="C67" s="1406"/>
      <c r="D67" s="1406"/>
      <c r="E67" s="1406"/>
      <c r="F67" s="1406"/>
      <c r="G67" s="1444"/>
    </row>
    <row r="68" spans="1:7" ht="43.5" customHeight="1">
      <c r="A68" s="1434" t="s">
        <v>1650</v>
      </c>
      <c r="B68" s="2469" t="s">
        <v>1651</v>
      </c>
      <c r="C68" s="2469"/>
      <c r="D68" s="2469"/>
      <c r="E68" s="2469"/>
      <c r="F68" s="2469"/>
      <c r="G68" s="2469"/>
    </row>
    <row r="69" spans="1:7" ht="12.6" customHeight="1">
      <c r="A69" s="1435"/>
      <c r="B69" s="1441"/>
      <c r="C69" s="1441"/>
      <c r="D69" s="1441"/>
      <c r="E69" s="1441"/>
      <c r="F69" s="1441"/>
      <c r="G69" s="1442"/>
    </row>
    <row r="70" spans="1:7" ht="12.6" customHeight="1">
      <c r="A70" s="1215"/>
      <c r="G70" s="1443"/>
    </row>
    <row r="71" spans="1:7" ht="12.6" customHeight="1">
      <c r="A71" s="1215"/>
      <c r="G71" s="1443"/>
    </row>
    <row r="72" spans="1:7" ht="12.6" customHeight="1">
      <c r="A72" s="1215"/>
      <c r="G72" s="1443"/>
    </row>
    <row r="73" spans="1:7" ht="12.6" customHeight="1">
      <c r="A73" s="1215"/>
      <c r="G73" s="1443"/>
    </row>
    <row r="74" spans="1:7" ht="12.6" customHeight="1">
      <c r="A74" s="1215"/>
      <c r="G74" s="1443"/>
    </row>
    <row r="75" spans="1:7" ht="12.6" customHeight="1">
      <c r="A75" s="1438"/>
      <c r="B75" s="1406"/>
      <c r="C75" s="1406"/>
      <c r="D75" s="1406"/>
      <c r="E75" s="1406"/>
      <c r="F75" s="1406"/>
      <c r="G75" s="1444"/>
    </row>
    <row r="76" spans="1:7" ht="51" customHeight="1">
      <c r="A76" s="1434" t="s">
        <v>1652</v>
      </c>
      <c r="B76" s="2469" t="s">
        <v>1653</v>
      </c>
      <c r="C76" s="2469"/>
      <c r="D76" s="2469"/>
      <c r="E76" s="2469"/>
      <c r="F76" s="2469"/>
      <c r="G76" s="2469"/>
    </row>
    <row r="77" spans="1:7" ht="12.6" customHeight="1">
      <c r="A77" s="1435"/>
      <c r="B77" s="1441"/>
      <c r="C77" s="1441"/>
      <c r="D77" s="1441"/>
      <c r="E77" s="1441"/>
      <c r="F77" s="1441"/>
      <c r="G77" s="1442"/>
    </row>
    <row r="78" spans="1:7" ht="12.6" customHeight="1">
      <c r="A78" s="1215"/>
      <c r="G78" s="1443"/>
    </row>
    <row r="79" spans="1:7" ht="12.6" customHeight="1">
      <c r="A79" s="1215"/>
      <c r="G79" s="1443"/>
    </row>
    <row r="80" spans="1:7" ht="12.6" customHeight="1">
      <c r="A80" s="1215"/>
      <c r="G80" s="1443"/>
    </row>
    <row r="81" spans="1:7" ht="12.6" customHeight="1">
      <c r="A81" s="1215"/>
      <c r="G81" s="1443"/>
    </row>
    <row r="82" spans="1:7" ht="12.6" customHeight="1">
      <c r="A82" s="1215"/>
      <c r="G82" s="1443"/>
    </row>
    <row r="83" spans="1:7" ht="12.6" customHeight="1">
      <c r="A83" s="1438"/>
      <c r="B83" s="1406"/>
      <c r="C83" s="1406"/>
      <c r="D83" s="1406"/>
      <c r="E83" s="1406"/>
      <c r="F83" s="1406"/>
      <c r="G83" s="1444"/>
    </row>
    <row r="84" spans="1:7" ht="45" customHeight="1">
      <c r="A84" s="1434" t="s">
        <v>1654</v>
      </c>
      <c r="B84" s="2469" t="s">
        <v>1655</v>
      </c>
      <c r="C84" s="2469"/>
      <c r="D84" s="2469"/>
      <c r="E84" s="2469"/>
      <c r="F84" s="2469"/>
      <c r="G84" s="2469"/>
    </row>
    <row r="85" spans="1:7" ht="12.6" customHeight="1">
      <c r="A85" s="1435"/>
      <c r="B85" s="1436"/>
      <c r="C85" s="1441"/>
      <c r="D85" s="1441"/>
      <c r="E85" s="1441"/>
      <c r="F85" s="1441"/>
      <c r="G85" s="1442"/>
    </row>
    <row r="86" spans="1:7" ht="12.6" customHeight="1">
      <c r="A86" s="1215"/>
      <c r="B86" s="1399"/>
      <c r="G86" s="1443"/>
    </row>
    <row r="87" spans="1:7" ht="12.6" customHeight="1">
      <c r="A87" s="1215"/>
      <c r="B87" s="1399"/>
      <c r="G87" s="1443"/>
    </row>
    <row r="88" spans="1:7" ht="12.6" customHeight="1">
      <c r="A88" s="1215"/>
      <c r="B88" s="1399"/>
      <c r="G88" s="1443"/>
    </row>
    <row r="89" spans="1:7" ht="12.6" customHeight="1">
      <c r="A89" s="1215"/>
      <c r="G89" s="1443"/>
    </row>
    <row r="90" spans="1:7" ht="12.6" customHeight="1">
      <c r="A90" s="1215"/>
      <c r="G90" s="1443"/>
    </row>
    <row r="91" spans="1:7" ht="12.6" customHeight="1">
      <c r="A91" s="1215"/>
      <c r="G91" s="1443"/>
    </row>
    <row r="92" spans="1:7" ht="30.75" customHeight="1">
      <c r="A92" s="1434" t="s">
        <v>1656</v>
      </c>
      <c r="B92" s="2469" t="s">
        <v>1657</v>
      </c>
      <c r="C92" s="2469"/>
      <c r="D92" s="2469"/>
      <c r="E92" s="2469"/>
      <c r="F92" s="2469"/>
      <c r="G92" s="2469"/>
    </row>
    <row r="93" spans="1:7" ht="12.6" customHeight="1">
      <c r="A93" s="1435"/>
      <c r="B93" s="1436"/>
      <c r="C93" s="1441"/>
      <c r="D93" s="1441"/>
      <c r="E93" s="1441"/>
      <c r="F93" s="1441"/>
      <c r="G93" s="1442"/>
    </row>
    <row r="94" spans="1:7" ht="12.6" customHeight="1">
      <c r="A94" s="1215"/>
      <c r="G94" s="1443"/>
    </row>
    <row r="95" spans="1:7" ht="12.6" customHeight="1">
      <c r="A95" s="1215"/>
      <c r="G95" s="1443"/>
    </row>
    <row r="96" spans="1:7" ht="12.6" customHeight="1">
      <c r="A96" s="1215"/>
      <c r="G96" s="1443"/>
    </row>
    <row r="97" spans="1:7" ht="12.6" customHeight="1">
      <c r="A97" s="1215"/>
      <c r="G97" s="1443"/>
    </row>
    <row r="98" spans="1:7" ht="12.6" customHeight="1">
      <c r="A98" s="1215"/>
      <c r="G98" s="1443"/>
    </row>
    <row r="99" spans="1:7" ht="12.6" customHeight="1">
      <c r="A99" s="1438"/>
      <c r="B99" s="1406"/>
      <c r="C99" s="1406"/>
      <c r="D99" s="1406"/>
      <c r="E99" s="1406"/>
      <c r="F99" s="1406"/>
      <c r="G99" s="1444"/>
    </row>
    <row r="100" spans="1:7" ht="12.6" customHeight="1"/>
    <row r="101" spans="1:7" ht="19.5" customHeight="1">
      <c r="A101" s="2468" t="s">
        <v>1658</v>
      </c>
      <c r="B101" s="2468"/>
      <c r="C101" s="2468"/>
      <c r="D101" s="2468"/>
      <c r="E101" s="2468"/>
      <c r="F101" s="2468"/>
      <c r="G101" s="2468"/>
    </row>
    <row r="102" spans="1:7" ht="12.6" customHeight="1">
      <c r="A102" s="2467" t="s">
        <v>1659</v>
      </c>
      <c r="B102" s="2467"/>
      <c r="C102" s="2467"/>
      <c r="D102" s="2467"/>
      <c r="E102" s="2467"/>
      <c r="F102" s="2467"/>
      <c r="G102" s="2467"/>
    </row>
    <row r="103" spans="1:7" ht="12.6" customHeight="1">
      <c r="A103" s="1445" t="s">
        <v>1660</v>
      </c>
      <c r="B103" s="1446"/>
      <c r="C103" s="1446"/>
      <c r="D103" s="1446"/>
      <c r="E103" s="1446"/>
      <c r="F103" s="1446"/>
      <c r="G103" s="1446"/>
    </row>
    <row r="104" spans="1:7" ht="12.6" customHeight="1">
      <c r="A104" s="1435"/>
      <c r="B104" s="1441"/>
      <c r="C104" s="1441"/>
      <c r="D104" s="1441"/>
      <c r="E104" s="1441"/>
      <c r="F104" s="1441"/>
      <c r="G104" s="1442"/>
    </row>
    <row r="105" spans="1:7" ht="12.6" customHeight="1">
      <c r="A105" s="1215"/>
      <c r="G105" s="1443"/>
    </row>
    <row r="106" spans="1:7" ht="12.6" customHeight="1">
      <c r="A106" s="1215"/>
      <c r="G106" s="1443"/>
    </row>
    <row r="107" spans="1:7">
      <c r="A107" s="1215"/>
      <c r="G107" s="1443"/>
    </row>
    <row r="108" spans="1:7">
      <c r="A108" s="1438"/>
      <c r="B108" s="1406"/>
      <c r="C108" s="1406"/>
      <c r="D108" s="1406"/>
      <c r="E108" s="1406"/>
      <c r="F108" s="1406"/>
      <c r="G108" s="1444"/>
    </row>
    <row r="109" spans="1:7">
      <c r="A109" s="1445" t="s">
        <v>1661</v>
      </c>
      <c r="B109" s="1446"/>
      <c r="C109" s="1446"/>
      <c r="D109" s="1446"/>
      <c r="E109" s="1446"/>
      <c r="F109" s="1446"/>
      <c r="G109" s="1446"/>
    </row>
    <row r="110" spans="1:7">
      <c r="A110" s="1435"/>
      <c r="B110" s="1441"/>
      <c r="C110" s="1441"/>
      <c r="D110" s="1441"/>
      <c r="E110" s="1441"/>
      <c r="F110" s="1441"/>
      <c r="G110" s="1442"/>
    </row>
    <row r="111" spans="1:7">
      <c r="A111" s="1215"/>
      <c r="G111" s="1443"/>
    </row>
    <row r="112" spans="1:7">
      <c r="A112" s="1215"/>
      <c r="G112" s="1443"/>
    </row>
    <row r="113" spans="1:7">
      <c r="A113" s="1215"/>
      <c r="G113" s="1443"/>
    </row>
    <row r="114" spans="1:7">
      <c r="A114" s="1438"/>
      <c r="B114" s="1406"/>
      <c r="C114" s="1406"/>
      <c r="D114" s="1406"/>
      <c r="E114" s="1406"/>
      <c r="F114" s="1406"/>
      <c r="G114" s="1444"/>
    </row>
    <row r="115" spans="1:7">
      <c r="A115" s="1445" t="s">
        <v>1662</v>
      </c>
      <c r="B115" s="1446"/>
      <c r="C115" s="1446"/>
      <c r="D115" s="1446"/>
      <c r="E115" s="1446"/>
      <c r="F115" s="1446"/>
      <c r="G115" s="1446"/>
    </row>
    <row r="116" spans="1:7">
      <c r="A116" s="1435"/>
      <c r="B116" s="1441"/>
      <c r="C116" s="1441"/>
      <c r="D116" s="1441"/>
      <c r="E116" s="1441"/>
      <c r="F116" s="1441"/>
      <c r="G116" s="1442"/>
    </row>
    <row r="117" spans="1:7">
      <c r="A117" s="1215"/>
      <c r="G117" s="1443"/>
    </row>
    <row r="118" spans="1:7">
      <c r="A118" s="1215"/>
      <c r="G118" s="1443"/>
    </row>
    <row r="119" spans="1:7">
      <c r="A119" s="1215"/>
      <c r="G119" s="1443"/>
    </row>
    <row r="120" spans="1:7">
      <c r="A120" s="1438"/>
      <c r="B120" s="1406"/>
      <c r="C120" s="1406"/>
      <c r="D120" s="1406"/>
      <c r="E120" s="1406"/>
      <c r="F120" s="1406"/>
      <c r="G120" s="1444"/>
    </row>
    <row r="121" spans="1:7" ht="19.5" customHeight="1">
      <c r="A121" s="2468" t="s">
        <v>1663</v>
      </c>
      <c r="B121" s="2468"/>
      <c r="C121" s="2468"/>
      <c r="D121" s="2468"/>
      <c r="E121" s="2468"/>
      <c r="F121" s="2468"/>
      <c r="G121" s="2468"/>
    </row>
    <row r="122" spans="1:7" ht="23.25" customHeight="1">
      <c r="A122" s="2464" t="s">
        <v>1664</v>
      </c>
      <c r="B122" s="2465"/>
      <c r="C122" s="2466"/>
      <c r="D122" s="2469" t="s">
        <v>1636</v>
      </c>
      <c r="E122" s="2469"/>
      <c r="F122" s="2469"/>
      <c r="G122" s="2469"/>
    </row>
    <row r="123" spans="1:7" ht="23.25" customHeight="1">
      <c r="A123" s="2464" t="s">
        <v>1665</v>
      </c>
      <c r="B123" s="2465"/>
      <c r="C123" s="2466"/>
      <c r="D123" s="2469" t="s">
        <v>1636</v>
      </c>
      <c r="E123" s="2469"/>
      <c r="F123" s="2469"/>
      <c r="G123" s="2469"/>
    </row>
    <row r="124" spans="1:7" ht="23.25" customHeight="1">
      <c r="A124" s="2464" t="s">
        <v>1666</v>
      </c>
      <c r="B124" s="2465"/>
      <c r="C124" s="2466"/>
      <c r="D124" s="1416"/>
      <c r="E124" s="1447" t="s">
        <v>1667</v>
      </c>
      <c r="F124" s="1447"/>
      <c r="G124" s="1416"/>
    </row>
    <row r="125" spans="1:7" ht="12.75" customHeight="1"/>
  </sheetData>
  <mergeCells count="50">
    <mergeCell ref="B17:G17"/>
    <mergeCell ref="B1:E2"/>
    <mergeCell ref="B3:E3"/>
    <mergeCell ref="D6:G6"/>
    <mergeCell ref="A11:C11"/>
    <mergeCell ref="D11:E11"/>
    <mergeCell ref="F11:G11"/>
    <mergeCell ref="B12:C12"/>
    <mergeCell ref="B13:C13"/>
    <mergeCell ref="B14:C14"/>
    <mergeCell ref="B15:C15"/>
    <mergeCell ref="B16:C16"/>
    <mergeCell ref="B40:C40"/>
    <mergeCell ref="D40:G40"/>
    <mergeCell ref="A18:A19"/>
    <mergeCell ref="B18:G19"/>
    <mergeCell ref="B20:C20"/>
    <mergeCell ref="E20:G20"/>
    <mergeCell ref="A22:C22"/>
    <mergeCell ref="D22:G22"/>
    <mergeCell ref="A34:G34"/>
    <mergeCell ref="B35:G35"/>
    <mergeCell ref="B36:G36"/>
    <mergeCell ref="B37:G37"/>
    <mergeCell ref="A39:G39"/>
    <mergeCell ref="B41:D41"/>
    <mergeCell ref="E41:G41"/>
    <mergeCell ref="A42:G42"/>
    <mergeCell ref="A43:B44"/>
    <mergeCell ref="C43:C44"/>
    <mergeCell ref="D43:G44"/>
    <mergeCell ref="A101:G101"/>
    <mergeCell ref="A45:B46"/>
    <mergeCell ref="C45:C46"/>
    <mergeCell ref="D45:G46"/>
    <mergeCell ref="A48:G49"/>
    <mergeCell ref="A50:G50"/>
    <mergeCell ref="B52:G52"/>
    <mergeCell ref="B60:G60"/>
    <mergeCell ref="B68:G68"/>
    <mergeCell ref="B76:G76"/>
    <mergeCell ref="B84:G84"/>
    <mergeCell ref="B92:G92"/>
    <mergeCell ref="A124:C124"/>
    <mergeCell ref="A102:G102"/>
    <mergeCell ref="A121:G121"/>
    <mergeCell ref="A122:C122"/>
    <mergeCell ref="D122:G122"/>
    <mergeCell ref="A123:C123"/>
    <mergeCell ref="D123:G123"/>
  </mergeCells>
  <printOptions horizontalCentered="1" verticalCentered="1"/>
  <pageMargins left="0.11811023622047245" right="0.11811023622047245" top="0.19685039370078741" bottom="0.19685039370078741" header="0.31496062992125984" footer="0.31496062992125984"/>
  <pageSetup paperSize="9" scale="67" orientation="portrait" horizontalDpi="4294967295" verticalDpi="4294967295" r:id="rId1"/>
  <rowBreaks count="1" manualBreakCount="1">
    <brk id="49" max="6"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Feuil104">
    <tabColor indexed="42"/>
    <pageSetUpPr fitToPage="1"/>
  </sheetPr>
  <dimension ref="A1:H43"/>
  <sheetViews>
    <sheetView showGridLines="0" view="pageBreakPreview" zoomScaleNormal="100" zoomScaleSheetLayoutView="100" workbookViewId="0">
      <selection activeCell="A38" sqref="A38"/>
    </sheetView>
  </sheetViews>
  <sheetFormatPr baseColWidth="10" defaultColWidth="12.28515625" defaultRowHeight="12.75"/>
  <cols>
    <col min="1" max="2" width="12.28515625" style="116" customWidth="1"/>
    <col min="3" max="3" width="4.140625" style="116" customWidth="1"/>
    <col min="4" max="4" width="12.28515625" style="116" customWidth="1"/>
    <col min="5" max="5" width="10.42578125" style="116" customWidth="1"/>
    <col min="6" max="6" width="12.28515625" style="116" customWidth="1"/>
    <col min="7" max="7" width="17.28515625" style="116" customWidth="1"/>
    <col min="8" max="8" width="16.5703125" style="116" customWidth="1"/>
    <col min="9" max="16384" width="12.28515625" style="116"/>
  </cols>
  <sheetData>
    <row r="1" spans="1:8" ht="43.5" customHeight="1" thickBot="1">
      <c r="A1" s="490"/>
      <c r="B1" s="2501" t="s">
        <v>288</v>
      </c>
      <c r="C1" s="2501"/>
      <c r="D1" s="2501"/>
      <c r="E1" s="2501"/>
      <c r="F1" s="2501"/>
      <c r="G1" s="2501"/>
      <c r="H1" s="2502"/>
    </row>
    <row r="2" spans="1:8" ht="21.95" customHeight="1" thickTop="1">
      <c r="A2" s="2512" t="s">
        <v>1521</v>
      </c>
      <c r="B2" s="2513"/>
      <c r="C2" s="2513"/>
      <c r="D2" s="2513"/>
      <c r="E2" s="2513"/>
      <c r="F2" s="2513"/>
      <c r="G2" s="2513"/>
      <c r="H2" s="147"/>
    </row>
    <row r="3" spans="1:8">
      <c r="A3" s="489"/>
      <c r="H3" s="147"/>
    </row>
    <row r="4" spans="1:8" ht="45.95" customHeight="1">
      <c r="A4" s="2514" t="s">
        <v>289</v>
      </c>
      <c r="B4" s="2515"/>
      <c r="C4" s="2515"/>
      <c r="D4" s="2503"/>
      <c r="E4" s="2503"/>
      <c r="F4" s="2503"/>
      <c r="G4" s="2499" t="s">
        <v>1524</v>
      </c>
      <c r="H4" s="2500"/>
    </row>
    <row r="5" spans="1:8" ht="48" customHeight="1">
      <c r="A5" s="2514" t="s">
        <v>787</v>
      </c>
      <c r="B5" s="2515"/>
      <c r="C5" s="2515"/>
      <c r="D5" s="2503"/>
      <c r="E5" s="2503"/>
      <c r="F5" s="2503"/>
      <c r="G5" s="2508" t="s">
        <v>1525</v>
      </c>
      <c r="H5" s="2509"/>
    </row>
    <row r="6" spans="1:8" ht="21" customHeight="1">
      <c r="A6" s="2514" t="s">
        <v>290</v>
      </c>
      <c r="B6" s="2515"/>
      <c r="C6" s="2515"/>
      <c r="D6" s="2503"/>
      <c r="E6" s="2503"/>
      <c r="F6" s="2503"/>
      <c r="G6" s="2510" t="s">
        <v>914</v>
      </c>
      <c r="H6" s="2511"/>
    </row>
    <row r="7" spans="1:8">
      <c r="A7" s="489"/>
      <c r="H7" s="147"/>
    </row>
    <row r="8" spans="1:8" ht="21.95" customHeight="1">
      <c r="A8" s="2504" t="s">
        <v>773</v>
      </c>
      <c r="B8" s="2505"/>
      <c r="C8" s="2505"/>
      <c r="D8" s="2505"/>
      <c r="E8" s="2505"/>
      <c r="F8" s="2505"/>
      <c r="G8" s="2505"/>
      <c r="H8" s="147"/>
    </row>
    <row r="9" spans="1:8">
      <c r="A9" s="489"/>
      <c r="H9" s="147"/>
    </row>
    <row r="10" spans="1:8">
      <c r="A10" s="2506" t="s">
        <v>291</v>
      </c>
      <c r="B10" s="2507"/>
      <c r="C10" s="491"/>
      <c r="D10" s="491"/>
      <c r="E10" s="491"/>
      <c r="F10" s="148"/>
      <c r="H10" s="147"/>
    </row>
    <row r="11" spans="1:8">
      <c r="A11" s="489"/>
      <c r="F11" s="336"/>
      <c r="G11" s="492" t="s">
        <v>1522</v>
      </c>
      <c r="H11" s="488"/>
    </row>
    <row r="12" spans="1:8">
      <c r="A12" s="493"/>
      <c r="B12" s="150"/>
      <c r="C12" s="150"/>
      <c r="D12" s="150"/>
      <c r="E12" s="150"/>
      <c r="F12" s="494"/>
      <c r="H12" s="147"/>
    </row>
    <row r="13" spans="1:8">
      <c r="A13" s="493"/>
      <c r="B13" s="150"/>
      <c r="C13" s="150"/>
      <c r="D13" s="150"/>
      <c r="E13" s="150"/>
      <c r="F13" s="494"/>
      <c r="G13" s="492" t="s">
        <v>1523</v>
      </c>
      <c r="H13" s="488"/>
    </row>
    <row r="14" spans="1:8">
      <c r="A14" s="493"/>
      <c r="B14" s="150"/>
      <c r="C14" s="150"/>
      <c r="D14" s="150"/>
      <c r="E14" s="150"/>
      <c r="F14" s="494"/>
      <c r="H14" s="147"/>
    </row>
    <row r="15" spans="1:8">
      <c r="A15" s="493"/>
      <c r="B15" s="150"/>
      <c r="C15" s="150"/>
      <c r="D15" s="150"/>
      <c r="E15" s="150"/>
      <c r="F15" s="494"/>
      <c r="G15" s="492" t="s">
        <v>292</v>
      </c>
      <c r="H15" s="147"/>
    </row>
    <row r="16" spans="1:8">
      <c r="A16" s="493"/>
      <c r="B16" s="150"/>
      <c r="C16" s="150"/>
      <c r="D16" s="150"/>
      <c r="E16" s="150"/>
      <c r="F16" s="494"/>
      <c r="G16" s="495"/>
      <c r="H16" s="488"/>
    </row>
    <row r="17" spans="1:8">
      <c r="A17" s="493"/>
      <c r="B17" s="150"/>
      <c r="C17" s="150"/>
      <c r="D17" s="150"/>
      <c r="E17" s="150"/>
      <c r="F17" s="494"/>
      <c r="H17" s="147"/>
    </row>
    <row r="18" spans="1:8">
      <c r="A18" s="493"/>
      <c r="B18" s="150"/>
      <c r="C18" s="150"/>
      <c r="D18" s="150"/>
      <c r="E18" s="150"/>
      <c r="F18" s="494"/>
      <c r="G18" s="492" t="s">
        <v>293</v>
      </c>
      <c r="H18" s="147"/>
    </row>
    <row r="19" spans="1:8">
      <c r="A19" s="493"/>
      <c r="B19" s="150"/>
      <c r="C19" s="150"/>
      <c r="D19" s="150"/>
      <c r="E19" s="150"/>
      <c r="F19" s="494"/>
      <c r="G19" s="495"/>
      <c r="H19" s="1286"/>
    </row>
    <row r="20" spans="1:8">
      <c r="A20" s="493"/>
      <c r="B20" s="150"/>
      <c r="C20" s="150"/>
      <c r="D20" s="150"/>
      <c r="E20" s="150"/>
      <c r="F20" s="494"/>
      <c r="H20" s="496"/>
    </row>
    <row r="21" spans="1:8">
      <c r="A21" s="493"/>
      <c r="B21" s="150"/>
      <c r="C21" s="150"/>
      <c r="D21" s="150"/>
      <c r="E21" s="150"/>
      <c r="F21" s="494"/>
      <c r="H21" s="147"/>
    </row>
    <row r="22" spans="1:8">
      <c r="A22" s="493"/>
      <c r="B22" s="150"/>
      <c r="C22" s="150"/>
      <c r="D22" s="150"/>
      <c r="E22" s="150"/>
      <c r="F22" s="494"/>
      <c r="H22" s="147"/>
    </row>
    <row r="23" spans="1:8">
      <c r="A23" s="497"/>
      <c r="B23" s="498"/>
      <c r="C23" s="498"/>
      <c r="D23" s="498"/>
      <c r="E23" s="498"/>
      <c r="F23" s="499"/>
      <c r="H23" s="147"/>
    </row>
    <row r="24" spans="1:8">
      <c r="A24" s="500"/>
      <c r="B24" s="341"/>
      <c r="C24" s="341"/>
      <c r="D24" s="341"/>
      <c r="E24" s="341"/>
      <c r="F24" s="149"/>
      <c r="H24" s="147"/>
    </row>
    <row r="25" spans="1:8">
      <c r="A25" s="489"/>
      <c r="H25" s="147"/>
    </row>
    <row r="26" spans="1:8" ht="21.95" customHeight="1">
      <c r="A26" s="2504" t="s">
        <v>294</v>
      </c>
      <c r="B26" s="2505"/>
      <c r="C26" s="2505"/>
      <c r="D26" s="2505"/>
      <c r="E26" s="2505"/>
      <c r="F26" s="2505"/>
      <c r="G26" s="2505"/>
      <c r="H26" s="147"/>
    </row>
    <row r="27" spans="1:8">
      <c r="A27" s="489"/>
      <c r="H27" s="147"/>
    </row>
    <row r="28" spans="1:8" ht="15">
      <c r="A28" s="501" t="s">
        <v>774</v>
      </c>
      <c r="G28" s="433" t="s">
        <v>775</v>
      </c>
      <c r="H28" s="502" t="s">
        <v>600</v>
      </c>
    </row>
    <row r="29" spans="1:8">
      <c r="A29" s="489"/>
      <c r="H29" s="147"/>
    </row>
    <row r="30" spans="1:8" ht="18" customHeight="1">
      <c r="A30" s="1298" t="s">
        <v>1530</v>
      </c>
      <c r="H30" s="147"/>
    </row>
    <row r="31" spans="1:8" ht="21" customHeight="1">
      <c r="A31" s="1298" t="s">
        <v>1526</v>
      </c>
      <c r="H31" s="147"/>
    </row>
    <row r="32" spans="1:8" ht="21" customHeight="1">
      <c r="A32" s="1298" t="s">
        <v>776</v>
      </c>
      <c r="H32" s="147"/>
    </row>
    <row r="33" spans="1:8" ht="21" customHeight="1">
      <c r="A33" s="1298" t="s">
        <v>1527</v>
      </c>
      <c r="H33" s="147"/>
    </row>
    <row r="34" spans="1:8" ht="21" customHeight="1">
      <c r="A34" s="1298" t="s">
        <v>777</v>
      </c>
      <c r="H34" s="147"/>
    </row>
    <row r="35" spans="1:8" ht="21" customHeight="1">
      <c r="A35" s="1298" t="s">
        <v>778</v>
      </c>
      <c r="H35" s="147"/>
    </row>
    <row r="36" spans="1:8" ht="21" customHeight="1">
      <c r="A36" s="1298" t="s">
        <v>779</v>
      </c>
      <c r="H36" s="147"/>
    </row>
    <row r="37" spans="1:8" ht="21" customHeight="1">
      <c r="A37" s="1298" t="s">
        <v>1532</v>
      </c>
      <c r="H37" s="147"/>
    </row>
    <row r="38" spans="1:8" ht="21" customHeight="1">
      <c r="A38" s="1298" t="s">
        <v>1528</v>
      </c>
      <c r="H38" s="147"/>
    </row>
    <row r="39" spans="1:8">
      <c r="A39" s="489"/>
      <c r="H39" s="147"/>
    </row>
    <row r="40" spans="1:8" ht="9.9499999999999993" customHeight="1">
      <c r="A40" s="489"/>
      <c r="H40" s="147"/>
    </row>
    <row r="41" spans="1:8">
      <c r="A41" s="503"/>
      <c r="B41" s="2517" t="s">
        <v>1529</v>
      </c>
      <c r="C41" s="2503"/>
      <c r="D41" s="2503"/>
      <c r="E41" s="2503"/>
      <c r="F41" s="2517" t="s">
        <v>1531</v>
      </c>
      <c r="G41" s="2517"/>
      <c r="H41" s="2518"/>
    </row>
    <row r="42" spans="1:8" ht="20.100000000000001" customHeight="1" thickBot="1">
      <c r="A42" s="1299" t="s">
        <v>648</v>
      </c>
      <c r="B42" s="2503"/>
      <c r="C42" s="2503"/>
      <c r="D42" s="2503"/>
      <c r="E42" s="2503"/>
      <c r="F42" s="2503"/>
      <c r="G42" s="2503"/>
      <c r="H42" s="2519"/>
    </row>
    <row r="43" spans="1:8" ht="27" customHeight="1" thickBot="1">
      <c r="A43" s="1299" t="s">
        <v>1174</v>
      </c>
      <c r="B43" s="2516"/>
      <c r="C43" s="2516"/>
      <c r="D43" s="2516"/>
      <c r="E43" s="2516"/>
      <c r="F43" s="2516"/>
      <c r="G43" s="2516"/>
      <c r="H43" s="2520"/>
    </row>
  </sheetData>
  <mergeCells count="20">
    <mergeCell ref="B43:E43"/>
    <mergeCell ref="F41:H41"/>
    <mergeCell ref="F42:H42"/>
    <mergeCell ref="F43:H43"/>
    <mergeCell ref="B41:E41"/>
    <mergeCell ref="G4:H4"/>
    <mergeCell ref="B1:H1"/>
    <mergeCell ref="B42:E42"/>
    <mergeCell ref="A8:G8"/>
    <mergeCell ref="A10:B10"/>
    <mergeCell ref="A26:G26"/>
    <mergeCell ref="G5:H5"/>
    <mergeCell ref="G6:H6"/>
    <mergeCell ref="A2:G2"/>
    <mergeCell ref="A4:C4"/>
    <mergeCell ref="D4:F4"/>
    <mergeCell ref="D5:F5"/>
    <mergeCell ref="D6:F6"/>
    <mergeCell ref="A5:C5"/>
    <mergeCell ref="A6:C6"/>
  </mergeCells>
  <phoneticPr fontId="75" type="noConversion"/>
  <printOptions horizontalCentered="1" verticalCentered="1"/>
  <pageMargins left="0" right="0" top="0" bottom="0.39370078740157483" header="0" footer="0"/>
  <pageSetup paperSize="9" orientation="portrait" horizontalDpi="4294967292" verticalDpi="4294967292" r:id="rId1"/>
  <headerFooter alignWithMargins="0">
    <oddFooter>&amp;LEdité le &amp;D&amp;C&amp;P/&amp;N</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Feuil105">
    <tabColor indexed="42"/>
    <pageSetUpPr fitToPage="1"/>
  </sheetPr>
  <dimension ref="A1:AA34"/>
  <sheetViews>
    <sheetView showGridLines="0" view="pageBreakPreview" zoomScaleNormal="100" zoomScaleSheetLayoutView="100" workbookViewId="0">
      <selection activeCell="C11" sqref="C11"/>
    </sheetView>
  </sheetViews>
  <sheetFormatPr baseColWidth="10" defaultColWidth="11.42578125" defaultRowHeight="12.75"/>
  <cols>
    <col min="1" max="1" width="8.7109375" style="22" customWidth="1"/>
    <col min="2" max="3" width="10.7109375" style="22" customWidth="1"/>
    <col min="4" max="14" width="4.28515625" style="22" customWidth="1"/>
    <col min="15" max="15" width="4.7109375" style="22" customWidth="1"/>
    <col min="16" max="17" width="4.28515625" style="22" customWidth="1"/>
    <col min="18" max="18" width="4.85546875" style="22" customWidth="1"/>
    <col min="19" max="20" width="4.7109375" style="22" customWidth="1"/>
    <col min="21" max="25" width="4.28515625" style="22" customWidth="1"/>
    <col min="26" max="26" width="4.5703125" style="22" customWidth="1"/>
    <col min="27" max="27" width="4.42578125" style="22" customWidth="1"/>
    <col min="28" max="16384" width="11.42578125" style="22"/>
  </cols>
  <sheetData>
    <row r="1" spans="1:27" ht="23.25" customHeight="1">
      <c r="A1" s="2536"/>
      <c r="B1" s="2537"/>
      <c r="C1" s="2532" t="s">
        <v>0</v>
      </c>
      <c r="D1" s="2532"/>
      <c r="E1" s="2532"/>
      <c r="F1" s="2532"/>
      <c r="G1" s="2532"/>
      <c r="H1" s="2532"/>
      <c r="I1" s="2532"/>
      <c r="J1" s="2532"/>
      <c r="K1" s="2532"/>
      <c r="L1" s="2532"/>
      <c r="M1" s="2532"/>
      <c r="N1" s="2532"/>
      <c r="O1" s="2532"/>
      <c r="P1" s="2532"/>
      <c r="Q1" s="2532"/>
      <c r="R1" s="2532"/>
      <c r="S1" s="2532"/>
      <c r="T1" s="2532"/>
      <c r="U1" s="2532"/>
      <c r="V1" s="2532"/>
      <c r="W1" s="2532"/>
      <c r="X1" s="2532"/>
      <c r="Y1" s="2532"/>
      <c r="Z1" s="2532"/>
      <c r="AA1" s="2533"/>
    </row>
    <row r="2" spans="1:27" ht="25.5" customHeight="1" thickBot="1">
      <c r="A2" s="2538"/>
      <c r="B2" s="2539"/>
      <c r="C2" s="2534"/>
      <c r="D2" s="2534"/>
      <c r="E2" s="2534"/>
      <c r="F2" s="2534"/>
      <c r="G2" s="2534"/>
      <c r="H2" s="2534"/>
      <c r="I2" s="2534"/>
      <c r="J2" s="2534"/>
      <c r="K2" s="2534"/>
      <c r="L2" s="2534"/>
      <c r="M2" s="2534"/>
      <c r="N2" s="2534"/>
      <c r="O2" s="2534"/>
      <c r="P2" s="2534"/>
      <c r="Q2" s="2534"/>
      <c r="R2" s="2534"/>
      <c r="S2" s="2534"/>
      <c r="T2" s="2534"/>
      <c r="U2" s="2534"/>
      <c r="V2" s="2534"/>
      <c r="W2" s="2534"/>
      <c r="X2" s="2534"/>
      <c r="Y2" s="2534"/>
      <c r="Z2" s="2534"/>
      <c r="AA2" s="2535"/>
    </row>
    <row r="3" spans="1:27" ht="17.850000000000001" customHeight="1" thickTop="1" thickBot="1">
      <c r="A3" s="504"/>
      <c r="B3" s="505"/>
      <c r="C3" s="505"/>
      <c r="D3" s="505"/>
      <c r="E3" s="505"/>
      <c r="F3" s="120"/>
      <c r="G3" s="120"/>
      <c r="H3" s="120"/>
      <c r="I3" s="120"/>
      <c r="J3" s="120"/>
      <c r="K3" s="120"/>
      <c r="L3" s="120"/>
      <c r="M3" s="120"/>
      <c r="N3" s="120"/>
      <c r="O3" s="120"/>
      <c r="P3" s="120"/>
      <c r="Q3" s="120"/>
      <c r="R3" s="120"/>
      <c r="S3" s="120"/>
      <c r="T3" s="120"/>
      <c r="U3" s="120"/>
      <c r="V3" s="506"/>
      <c r="W3" s="506"/>
      <c r="X3" s="506"/>
      <c r="Y3" s="507"/>
      <c r="Z3" s="507"/>
      <c r="AA3" s="508"/>
    </row>
    <row r="4" spans="1:27" ht="17.850000000000001" customHeight="1">
      <c r="A4" s="2524" t="str">
        <f>"Chantier : " &amp; IF(ISBLANK(oeOTP),"",oeOTP)</f>
        <v xml:space="preserve">Chantier : </v>
      </c>
      <c r="B4" s="2525"/>
      <c r="C4" s="2525"/>
      <c r="D4" s="2540" t="s">
        <v>1</v>
      </c>
      <c r="E4" s="2540"/>
      <c r="F4" s="2540"/>
      <c r="G4" s="2540"/>
      <c r="H4" s="2540"/>
      <c r="I4" s="2540"/>
      <c r="J4" s="2540"/>
      <c r="K4" s="2540"/>
      <c r="L4" s="2542" t="s">
        <v>301</v>
      </c>
      <c r="M4" s="2542"/>
      <c r="N4" s="2542"/>
      <c r="O4" s="2542"/>
      <c r="P4" s="2542"/>
      <c r="Q4" s="2542"/>
      <c r="R4" s="2542"/>
      <c r="S4" s="2542"/>
      <c r="T4" s="2542"/>
      <c r="U4" s="2540" t="s">
        <v>302</v>
      </c>
      <c r="V4" s="2540"/>
      <c r="W4" s="2540"/>
      <c r="X4" s="2540"/>
      <c r="Y4" s="2540"/>
      <c r="Z4" s="2540"/>
      <c r="AA4" s="2541"/>
    </row>
    <row r="5" spans="1:27" ht="17.850000000000001" customHeight="1" thickBot="1">
      <c r="A5" s="2521" t="s">
        <v>316</v>
      </c>
      <c r="B5" s="2522"/>
      <c r="C5" s="2522"/>
      <c r="D5" s="2522"/>
      <c r="E5" s="2522"/>
      <c r="F5" s="2522"/>
      <c r="G5" s="2522"/>
      <c r="H5" s="2522"/>
      <c r="I5" s="2522"/>
      <c r="J5" s="2522"/>
      <c r="K5" s="2522"/>
      <c r="L5" s="2522"/>
      <c r="M5" s="2522"/>
      <c r="N5" s="2522"/>
      <c r="O5" s="2522"/>
      <c r="P5" s="2522"/>
      <c r="Q5" s="2522"/>
      <c r="R5" s="2522"/>
      <c r="S5" s="2522"/>
      <c r="T5" s="2522"/>
      <c r="U5" s="2522"/>
      <c r="V5" s="2522"/>
      <c r="W5" s="2522"/>
      <c r="X5" s="2522"/>
      <c r="Y5" s="2522"/>
      <c r="Z5" s="2522"/>
      <c r="AA5" s="2523"/>
    </row>
    <row r="6" spans="1:27">
      <c r="A6" s="509"/>
      <c r="B6" s="510"/>
      <c r="C6" s="511"/>
      <c r="D6" s="2545" t="s">
        <v>317</v>
      </c>
      <c r="E6" s="2546"/>
      <c r="F6" s="2546"/>
      <c r="G6" s="2546"/>
      <c r="H6" s="2546"/>
      <c r="I6" s="2546"/>
      <c r="J6" s="2546"/>
      <c r="K6" s="2546"/>
      <c r="L6" s="2546"/>
      <c r="M6" s="2546"/>
      <c r="N6" s="2546"/>
      <c r="O6" s="2546"/>
      <c r="P6" s="2546"/>
      <c r="Q6" s="2546"/>
      <c r="R6" s="2546"/>
      <c r="S6" s="2546"/>
      <c r="T6" s="2546"/>
      <c r="U6" s="2546"/>
      <c r="V6" s="2546"/>
      <c r="W6" s="2546"/>
      <c r="X6" s="2546"/>
      <c r="Y6" s="2546"/>
      <c r="Z6" s="2546"/>
      <c r="AA6" s="2547"/>
    </row>
    <row r="7" spans="1:27" ht="13.5" thickBot="1">
      <c r="A7" s="512"/>
      <c r="B7" s="513"/>
      <c r="C7" s="514"/>
      <c r="D7" s="2548"/>
      <c r="E7" s="2549"/>
      <c r="F7" s="2549"/>
      <c r="G7" s="2549"/>
      <c r="H7" s="2549"/>
      <c r="I7" s="2549"/>
      <c r="J7" s="2549"/>
      <c r="K7" s="2549"/>
      <c r="L7" s="2549"/>
      <c r="M7" s="2549"/>
      <c r="N7" s="2549"/>
      <c r="O7" s="2549"/>
      <c r="P7" s="2549"/>
      <c r="Q7" s="2549"/>
      <c r="R7" s="2549"/>
      <c r="S7" s="2549"/>
      <c r="T7" s="2549"/>
      <c r="U7" s="2549"/>
      <c r="V7" s="2549"/>
      <c r="W7" s="2549"/>
      <c r="X7" s="2549"/>
      <c r="Y7" s="2549"/>
      <c r="Z7" s="2549"/>
      <c r="AA7" s="2550"/>
    </row>
    <row r="8" spans="1:27">
      <c r="A8" s="512"/>
      <c r="B8" s="513"/>
      <c r="C8" s="513"/>
      <c r="D8" s="2528" t="s">
        <v>303</v>
      </c>
      <c r="E8" s="2526"/>
      <c r="F8" s="2526" t="s">
        <v>304</v>
      </c>
      <c r="G8" s="2526"/>
      <c r="H8" s="2526" t="s">
        <v>305</v>
      </c>
      <c r="I8" s="2526"/>
      <c r="J8" s="2526" t="s">
        <v>306</v>
      </c>
      <c r="K8" s="2526"/>
      <c r="L8" s="2526" t="s">
        <v>307</v>
      </c>
      <c r="M8" s="2526"/>
      <c r="N8" s="2526" t="s">
        <v>308</v>
      </c>
      <c r="O8" s="2526"/>
      <c r="P8" s="2526" t="s">
        <v>309</v>
      </c>
      <c r="Q8" s="2526"/>
      <c r="R8" s="2526" t="s">
        <v>310</v>
      </c>
      <c r="S8" s="2526"/>
      <c r="T8" s="2526" t="s">
        <v>311</v>
      </c>
      <c r="U8" s="2526"/>
      <c r="V8" s="2526" t="s">
        <v>312</v>
      </c>
      <c r="W8" s="2526"/>
      <c r="X8" s="2526" t="s">
        <v>599</v>
      </c>
      <c r="Y8" s="2526"/>
      <c r="Z8" s="2526" t="s">
        <v>313</v>
      </c>
      <c r="AA8" s="2551"/>
    </row>
    <row r="9" spans="1:27" ht="21.75" customHeight="1" thickBot="1">
      <c r="A9" s="2530" t="s">
        <v>648</v>
      </c>
      <c r="B9" s="2543" t="s">
        <v>242</v>
      </c>
      <c r="C9" s="2543" t="s">
        <v>1533</v>
      </c>
      <c r="D9" s="2529"/>
      <c r="E9" s="2527"/>
      <c r="F9" s="2527"/>
      <c r="G9" s="2527"/>
      <c r="H9" s="2527"/>
      <c r="I9" s="2527"/>
      <c r="J9" s="2527"/>
      <c r="K9" s="2527"/>
      <c r="L9" s="2527"/>
      <c r="M9" s="2527"/>
      <c r="N9" s="2527"/>
      <c r="O9" s="2527"/>
      <c r="P9" s="2527"/>
      <c r="Q9" s="2527"/>
      <c r="R9" s="2527"/>
      <c r="S9" s="2527"/>
      <c r="T9" s="2527"/>
      <c r="U9" s="2527"/>
      <c r="V9" s="2527"/>
      <c r="W9" s="2527"/>
      <c r="X9" s="2527"/>
      <c r="Y9" s="2527"/>
      <c r="Z9" s="2527"/>
      <c r="AA9" s="2552"/>
    </row>
    <row r="10" spans="1:27">
      <c r="A10" s="2531"/>
      <c r="B10" s="2544"/>
      <c r="C10" s="2544"/>
      <c r="D10" s="1300" t="s">
        <v>314</v>
      </c>
      <c r="E10" s="1301" t="s">
        <v>315</v>
      </c>
      <c r="F10" s="1301" t="s">
        <v>314</v>
      </c>
      <c r="G10" s="1301" t="s">
        <v>315</v>
      </c>
      <c r="H10" s="1301" t="s">
        <v>314</v>
      </c>
      <c r="I10" s="1301" t="s">
        <v>315</v>
      </c>
      <c r="J10" s="1301" t="s">
        <v>314</v>
      </c>
      <c r="K10" s="1301" t="s">
        <v>315</v>
      </c>
      <c r="L10" s="1301" t="s">
        <v>314</v>
      </c>
      <c r="M10" s="1301" t="s">
        <v>315</v>
      </c>
      <c r="N10" s="1301" t="s">
        <v>314</v>
      </c>
      <c r="O10" s="1301" t="s">
        <v>315</v>
      </c>
      <c r="P10" s="1301" t="s">
        <v>314</v>
      </c>
      <c r="Q10" s="1301" t="s">
        <v>315</v>
      </c>
      <c r="R10" s="1301" t="s">
        <v>314</v>
      </c>
      <c r="S10" s="1301" t="s">
        <v>315</v>
      </c>
      <c r="T10" s="1301" t="s">
        <v>314</v>
      </c>
      <c r="U10" s="1301" t="s">
        <v>315</v>
      </c>
      <c r="V10" s="1301" t="s">
        <v>314</v>
      </c>
      <c r="W10" s="1301" t="s">
        <v>315</v>
      </c>
      <c r="X10" s="1301" t="s">
        <v>314</v>
      </c>
      <c r="Y10" s="1301" t="s">
        <v>315</v>
      </c>
      <c r="Z10" s="1301" t="s">
        <v>314</v>
      </c>
      <c r="AA10" s="1302" t="s">
        <v>315</v>
      </c>
    </row>
    <row r="11" spans="1:27" ht="15.95" customHeight="1">
      <c r="A11" s="515"/>
      <c r="B11" s="245"/>
      <c r="C11" s="516"/>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517"/>
    </row>
    <row r="12" spans="1:27" ht="15.95" customHeight="1">
      <c r="A12" s="515"/>
      <c r="B12" s="245"/>
      <c r="C12" s="516"/>
      <c r="D12" s="245"/>
      <c r="E12" s="245"/>
      <c r="F12" s="245"/>
      <c r="G12" s="245"/>
      <c r="H12" s="245"/>
      <c r="I12" s="245"/>
      <c r="J12" s="245"/>
      <c r="K12" s="245"/>
      <c r="L12" s="245"/>
      <c r="M12" s="245"/>
      <c r="N12" s="245"/>
      <c r="O12" s="245"/>
      <c r="P12" s="245"/>
      <c r="Q12" s="245"/>
      <c r="R12" s="245"/>
      <c r="S12" s="245"/>
      <c r="T12" s="245"/>
      <c r="U12" s="245"/>
      <c r="V12" s="245"/>
      <c r="W12" s="245"/>
      <c r="X12" s="245"/>
      <c r="Y12" s="245"/>
      <c r="Z12" s="245"/>
      <c r="AA12" s="517"/>
    </row>
    <row r="13" spans="1:27" ht="15.95" customHeight="1">
      <c r="A13" s="515"/>
      <c r="B13" s="245"/>
      <c r="C13" s="516"/>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517"/>
    </row>
    <row r="14" spans="1:27" ht="15.95" customHeight="1">
      <c r="A14" s="515"/>
      <c r="B14" s="245"/>
      <c r="C14" s="516"/>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517"/>
    </row>
    <row r="15" spans="1:27" ht="15.95" customHeight="1">
      <c r="A15" s="515"/>
      <c r="B15" s="245"/>
      <c r="C15" s="516"/>
      <c r="D15" s="245"/>
      <c r="E15" s="245"/>
      <c r="F15" s="245"/>
      <c r="G15" s="245"/>
      <c r="H15" s="245"/>
      <c r="I15" s="245"/>
      <c r="J15" s="245"/>
      <c r="K15" s="245"/>
      <c r="L15" s="245"/>
      <c r="M15" s="245"/>
      <c r="N15" s="245"/>
      <c r="O15" s="245"/>
      <c r="P15" s="245"/>
      <c r="Q15" s="245"/>
      <c r="R15" s="245"/>
      <c r="S15" s="245"/>
      <c r="T15" s="245"/>
      <c r="U15" s="245"/>
      <c r="V15" s="245"/>
      <c r="W15" s="245"/>
      <c r="X15" s="245"/>
      <c r="Y15" s="245"/>
      <c r="Z15" s="245"/>
      <c r="AA15" s="517"/>
    </row>
    <row r="16" spans="1:27" ht="15.95" customHeight="1">
      <c r="A16" s="515"/>
      <c r="B16" s="245"/>
      <c r="C16" s="516"/>
      <c r="D16" s="245"/>
      <c r="E16" s="245"/>
      <c r="F16" s="245"/>
      <c r="G16" s="245"/>
      <c r="H16" s="245"/>
      <c r="I16" s="245"/>
      <c r="J16" s="245"/>
      <c r="K16" s="245"/>
      <c r="L16" s="245"/>
      <c r="M16" s="245"/>
      <c r="N16" s="245"/>
      <c r="O16" s="245"/>
      <c r="P16" s="245"/>
      <c r="Q16" s="245"/>
      <c r="R16" s="245"/>
      <c r="S16" s="245"/>
      <c r="T16" s="245"/>
      <c r="U16" s="245"/>
      <c r="V16" s="245"/>
      <c r="W16" s="245"/>
      <c r="X16" s="245"/>
      <c r="Y16" s="245"/>
      <c r="Z16" s="245"/>
      <c r="AA16" s="517"/>
    </row>
    <row r="17" spans="1:27" ht="15.95" customHeight="1">
      <c r="A17" s="515"/>
      <c r="B17" s="245"/>
      <c r="C17" s="516"/>
      <c r="D17" s="245"/>
      <c r="E17" s="245"/>
      <c r="F17" s="245"/>
      <c r="G17" s="245"/>
      <c r="H17" s="245"/>
      <c r="I17" s="245"/>
      <c r="J17" s="245"/>
      <c r="K17" s="245"/>
      <c r="L17" s="245"/>
      <c r="M17" s="245"/>
      <c r="N17" s="245"/>
      <c r="O17" s="245"/>
      <c r="P17" s="245"/>
      <c r="Q17" s="245"/>
      <c r="R17" s="245"/>
      <c r="S17" s="245"/>
      <c r="T17" s="245"/>
      <c r="U17" s="245"/>
      <c r="V17" s="245"/>
      <c r="W17" s="245"/>
      <c r="X17" s="245"/>
      <c r="Y17" s="245"/>
      <c r="Z17" s="245"/>
      <c r="AA17" s="517"/>
    </row>
    <row r="18" spans="1:27" ht="15.95" customHeight="1">
      <c r="A18" s="515"/>
      <c r="B18" s="245"/>
      <c r="C18" s="516"/>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517"/>
    </row>
    <row r="19" spans="1:27" ht="15.95" customHeight="1">
      <c r="A19" s="515"/>
      <c r="B19" s="245"/>
      <c r="C19" s="516"/>
      <c r="D19" s="245"/>
      <c r="E19" s="245"/>
      <c r="F19" s="245"/>
      <c r="G19" s="245"/>
      <c r="H19" s="245"/>
      <c r="I19" s="245"/>
      <c r="J19" s="245"/>
      <c r="K19" s="245"/>
      <c r="L19" s="245"/>
      <c r="M19" s="245"/>
      <c r="N19" s="245"/>
      <c r="O19" s="245"/>
      <c r="P19" s="245"/>
      <c r="Q19" s="245"/>
      <c r="R19" s="245"/>
      <c r="S19" s="245"/>
      <c r="T19" s="245"/>
      <c r="U19" s="245"/>
      <c r="V19" s="245"/>
      <c r="W19" s="245"/>
      <c r="X19" s="245"/>
      <c r="Y19" s="245"/>
      <c r="Z19" s="245"/>
      <c r="AA19" s="517"/>
    </row>
    <row r="20" spans="1:27" ht="15.95" customHeight="1">
      <c r="A20" s="515"/>
      <c r="B20" s="245"/>
      <c r="C20" s="516"/>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517"/>
    </row>
    <row r="21" spans="1:27" ht="15.95" customHeight="1">
      <c r="A21" s="515"/>
      <c r="B21" s="245"/>
      <c r="C21" s="516"/>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517"/>
    </row>
    <row r="22" spans="1:27" ht="15.95" customHeight="1">
      <c r="A22" s="515"/>
      <c r="B22" s="245"/>
      <c r="C22" s="516"/>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517"/>
    </row>
    <row r="23" spans="1:27" ht="15.95" customHeight="1">
      <c r="A23" s="515"/>
      <c r="B23" s="245"/>
      <c r="C23" s="516"/>
      <c r="D23" s="245"/>
      <c r="E23" s="245"/>
      <c r="F23" s="245"/>
      <c r="G23" s="245"/>
      <c r="H23" s="245"/>
      <c r="I23" s="245"/>
      <c r="J23" s="245"/>
      <c r="K23" s="245"/>
      <c r="L23" s="245"/>
      <c r="M23" s="245"/>
      <c r="N23" s="245"/>
      <c r="O23" s="245"/>
      <c r="P23" s="245"/>
      <c r="Q23" s="245"/>
      <c r="R23" s="245"/>
      <c r="S23" s="245"/>
      <c r="T23" s="245"/>
      <c r="U23" s="245"/>
      <c r="V23" s="245"/>
      <c r="W23" s="245"/>
      <c r="X23" s="245"/>
      <c r="Y23" s="245"/>
      <c r="Z23" s="245"/>
      <c r="AA23" s="517"/>
    </row>
    <row r="24" spans="1:27" ht="15.95" customHeight="1">
      <c r="A24" s="515"/>
      <c r="B24" s="245"/>
      <c r="C24" s="516"/>
      <c r="D24" s="245"/>
      <c r="E24" s="245"/>
      <c r="F24" s="245"/>
      <c r="G24" s="245"/>
      <c r="H24" s="245"/>
      <c r="I24" s="245"/>
      <c r="J24" s="245"/>
      <c r="K24" s="245"/>
      <c r="L24" s="245"/>
      <c r="M24" s="245"/>
      <c r="N24" s="245"/>
      <c r="O24" s="245"/>
      <c r="P24" s="245"/>
      <c r="Q24" s="245"/>
      <c r="R24" s="245"/>
      <c r="S24" s="245"/>
      <c r="T24" s="245"/>
      <c r="U24" s="245"/>
      <c r="V24" s="245"/>
      <c r="W24" s="245"/>
      <c r="X24" s="245"/>
      <c r="Y24" s="245"/>
      <c r="Z24" s="245"/>
      <c r="AA24" s="517"/>
    </row>
    <row r="25" spans="1:27" ht="15.95" customHeight="1">
      <c r="A25" s="515"/>
      <c r="B25" s="245"/>
      <c r="C25" s="516"/>
      <c r="D25" s="245"/>
      <c r="E25" s="245"/>
      <c r="F25" s="245"/>
      <c r="G25" s="245"/>
      <c r="H25" s="245"/>
      <c r="I25" s="245"/>
      <c r="J25" s="245"/>
      <c r="K25" s="245"/>
      <c r="L25" s="245"/>
      <c r="M25" s="245"/>
      <c r="N25" s="245"/>
      <c r="O25" s="245"/>
      <c r="P25" s="245"/>
      <c r="Q25" s="245"/>
      <c r="R25" s="245"/>
      <c r="S25" s="245"/>
      <c r="T25" s="245"/>
      <c r="U25" s="245"/>
      <c r="V25" s="245"/>
      <c r="W25" s="245"/>
      <c r="X25" s="245"/>
      <c r="Y25" s="245"/>
      <c r="Z25" s="245"/>
      <c r="AA25" s="517"/>
    </row>
    <row r="26" spans="1:27" ht="15.95" customHeight="1">
      <c r="A26" s="515"/>
      <c r="B26" s="245"/>
      <c r="C26" s="516"/>
      <c r="D26" s="245"/>
      <c r="E26" s="245"/>
      <c r="F26" s="245"/>
      <c r="G26" s="245"/>
      <c r="H26" s="245"/>
      <c r="I26" s="245"/>
      <c r="J26" s="245"/>
      <c r="K26" s="245"/>
      <c r="L26" s="245"/>
      <c r="M26" s="245"/>
      <c r="N26" s="245"/>
      <c r="O26" s="245"/>
      <c r="P26" s="245"/>
      <c r="Q26" s="245"/>
      <c r="R26" s="245"/>
      <c r="S26" s="245"/>
      <c r="T26" s="245"/>
      <c r="U26" s="245"/>
      <c r="V26" s="245"/>
      <c r="W26" s="245"/>
      <c r="X26" s="245"/>
      <c r="Y26" s="245"/>
      <c r="Z26" s="245"/>
      <c r="AA26" s="517"/>
    </row>
    <row r="27" spans="1:27" ht="15.95" customHeight="1">
      <c r="A27" s="515"/>
      <c r="B27" s="245"/>
      <c r="C27" s="516"/>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517"/>
    </row>
    <row r="28" spans="1:27" ht="15.95" customHeight="1">
      <c r="A28" s="515"/>
      <c r="B28" s="245"/>
      <c r="C28" s="516"/>
      <c r="D28" s="245"/>
      <c r="E28" s="245"/>
      <c r="F28" s="245"/>
      <c r="G28" s="245"/>
      <c r="H28" s="245"/>
      <c r="I28" s="245"/>
      <c r="J28" s="245"/>
      <c r="K28" s="245"/>
      <c r="L28" s="245"/>
      <c r="M28" s="245"/>
      <c r="N28" s="245"/>
      <c r="O28" s="245"/>
      <c r="P28" s="245"/>
      <c r="Q28" s="245"/>
      <c r="R28" s="245"/>
      <c r="S28" s="245"/>
      <c r="T28" s="245"/>
      <c r="U28" s="245"/>
      <c r="V28" s="245"/>
      <c r="W28" s="245"/>
      <c r="X28" s="245"/>
      <c r="Y28" s="245"/>
      <c r="Z28" s="245"/>
      <c r="AA28" s="517"/>
    </row>
    <row r="29" spans="1:27" ht="15.95" customHeight="1">
      <c r="A29" s="515"/>
      <c r="B29" s="245"/>
      <c r="C29" s="516"/>
      <c r="D29" s="245"/>
      <c r="E29" s="245"/>
      <c r="F29" s="245"/>
      <c r="G29" s="245"/>
      <c r="H29" s="245"/>
      <c r="I29" s="245"/>
      <c r="J29" s="245"/>
      <c r="K29" s="245"/>
      <c r="L29" s="245"/>
      <c r="M29" s="245"/>
      <c r="N29" s="245"/>
      <c r="O29" s="245"/>
      <c r="P29" s="245"/>
      <c r="Q29" s="245"/>
      <c r="R29" s="245"/>
      <c r="S29" s="245"/>
      <c r="T29" s="245"/>
      <c r="U29" s="245"/>
      <c r="V29" s="245"/>
      <c r="W29" s="245"/>
      <c r="X29" s="245"/>
      <c r="Y29" s="245"/>
      <c r="Z29" s="245"/>
      <c r="AA29" s="517"/>
    </row>
    <row r="30" spans="1:27" ht="15.95" customHeight="1">
      <c r="A30" s="515"/>
      <c r="B30" s="245"/>
      <c r="C30" s="516"/>
      <c r="D30" s="245"/>
      <c r="E30" s="245"/>
      <c r="F30" s="245"/>
      <c r="G30" s="245"/>
      <c r="H30" s="245"/>
      <c r="I30" s="245"/>
      <c r="J30" s="245"/>
      <c r="K30" s="245"/>
      <c r="L30" s="245"/>
      <c r="M30" s="245"/>
      <c r="N30" s="245"/>
      <c r="O30" s="245"/>
      <c r="P30" s="245"/>
      <c r="Q30" s="245"/>
      <c r="R30" s="245"/>
      <c r="S30" s="245"/>
      <c r="T30" s="245"/>
      <c r="U30" s="245"/>
      <c r="V30" s="245"/>
      <c r="W30" s="245"/>
      <c r="X30" s="245"/>
      <c r="Y30" s="245"/>
      <c r="Z30" s="245"/>
      <c r="AA30" s="517"/>
    </row>
    <row r="31" spans="1:27" ht="15.95" customHeight="1">
      <c r="A31" s="515"/>
      <c r="B31" s="245"/>
      <c r="C31" s="516"/>
      <c r="D31" s="245"/>
      <c r="E31" s="245"/>
      <c r="F31" s="245"/>
      <c r="G31" s="245"/>
      <c r="H31" s="245"/>
      <c r="I31" s="245"/>
      <c r="J31" s="245"/>
      <c r="K31" s="245"/>
      <c r="L31" s="245"/>
      <c r="M31" s="245"/>
      <c r="N31" s="245"/>
      <c r="O31" s="245"/>
      <c r="P31" s="245"/>
      <c r="Q31" s="245"/>
      <c r="R31" s="245"/>
      <c r="S31" s="245"/>
      <c r="T31" s="245"/>
      <c r="U31" s="245"/>
      <c r="V31" s="245"/>
      <c r="W31" s="245"/>
      <c r="X31" s="245"/>
      <c r="Y31" s="245"/>
      <c r="Z31" s="245"/>
      <c r="AA31" s="517"/>
    </row>
    <row r="32" spans="1:27" ht="15.95" customHeight="1">
      <c r="A32" s="515"/>
      <c r="B32" s="245"/>
      <c r="C32" s="516"/>
      <c r="D32" s="245"/>
      <c r="E32" s="245"/>
      <c r="F32" s="245"/>
      <c r="G32" s="245"/>
      <c r="H32" s="245"/>
      <c r="I32" s="245"/>
      <c r="J32" s="245"/>
      <c r="K32" s="245"/>
      <c r="L32" s="245"/>
      <c r="M32" s="245"/>
      <c r="N32" s="245"/>
      <c r="O32" s="245"/>
      <c r="P32" s="245"/>
      <c r="Q32" s="245"/>
      <c r="R32" s="245"/>
      <c r="S32" s="245"/>
      <c r="T32" s="245"/>
      <c r="U32" s="245"/>
      <c r="V32" s="245"/>
      <c r="W32" s="245"/>
      <c r="X32" s="245"/>
      <c r="Y32" s="245"/>
      <c r="Z32" s="245"/>
      <c r="AA32" s="517"/>
    </row>
    <row r="33" spans="1:27" ht="15.95" customHeight="1">
      <c r="A33" s="515"/>
      <c r="B33" s="245"/>
      <c r="C33" s="516"/>
      <c r="D33" s="245"/>
      <c r="E33" s="245"/>
      <c r="F33" s="245"/>
      <c r="G33" s="245"/>
      <c r="H33" s="245"/>
      <c r="I33" s="245"/>
      <c r="J33" s="245"/>
      <c r="K33" s="245"/>
      <c r="L33" s="245"/>
      <c r="M33" s="245"/>
      <c r="N33" s="245"/>
      <c r="O33" s="245"/>
      <c r="P33" s="245"/>
      <c r="Q33" s="245"/>
      <c r="R33" s="245"/>
      <c r="S33" s="245"/>
      <c r="T33" s="245"/>
      <c r="U33" s="245"/>
      <c r="V33" s="245"/>
      <c r="W33" s="245"/>
      <c r="X33" s="245"/>
      <c r="Y33" s="245"/>
      <c r="Z33" s="245"/>
      <c r="AA33" s="517"/>
    </row>
    <row r="34" spans="1:27" ht="15.95" customHeight="1" thickBot="1">
      <c r="A34" s="518"/>
      <c r="B34" s="519"/>
      <c r="C34" s="520"/>
      <c r="D34" s="519"/>
      <c r="E34" s="519"/>
      <c r="F34" s="519"/>
      <c r="G34" s="519"/>
      <c r="H34" s="519"/>
      <c r="I34" s="519"/>
      <c r="J34" s="519"/>
      <c r="K34" s="519"/>
      <c r="L34" s="519"/>
      <c r="M34" s="519"/>
      <c r="N34" s="519"/>
      <c r="O34" s="519"/>
      <c r="P34" s="519"/>
      <c r="Q34" s="519"/>
      <c r="R34" s="519"/>
      <c r="S34" s="519"/>
      <c r="T34" s="519"/>
      <c r="U34" s="519"/>
      <c r="V34" s="519"/>
      <c r="W34" s="519"/>
      <c r="X34" s="519"/>
      <c r="Y34" s="519"/>
      <c r="Z34" s="519"/>
      <c r="AA34" s="521"/>
    </row>
  </sheetData>
  <mergeCells count="23">
    <mergeCell ref="L8:M9"/>
    <mergeCell ref="N8:O9"/>
    <mergeCell ref="C1:AA2"/>
    <mergeCell ref="A1:B2"/>
    <mergeCell ref="U4:AA4"/>
    <mergeCell ref="L4:T4"/>
    <mergeCell ref="D4:K4"/>
    <mergeCell ref="A5:AA5"/>
    <mergeCell ref="A4:C4"/>
    <mergeCell ref="P8:Q9"/>
    <mergeCell ref="R8:S9"/>
    <mergeCell ref="D8:E9"/>
    <mergeCell ref="F8:G9"/>
    <mergeCell ref="H8:I9"/>
    <mergeCell ref="J8:K9"/>
    <mergeCell ref="A9:A10"/>
    <mergeCell ref="B9:B10"/>
    <mergeCell ref="C9:C10"/>
    <mergeCell ref="D6:AA7"/>
    <mergeCell ref="T8:U9"/>
    <mergeCell ref="V8:W9"/>
    <mergeCell ref="X8:Y9"/>
    <mergeCell ref="Z8:AA9"/>
  </mergeCells>
  <phoneticPr fontId="0" type="noConversion"/>
  <printOptions horizontalCentered="1" verticalCentered="1"/>
  <pageMargins left="0" right="0" top="0" bottom="0.39370078740157483" header="0" footer="0"/>
  <pageSetup paperSize="9" orientation="landscape" horizontalDpi="360" verticalDpi="360" r:id="rId1"/>
  <headerFooter alignWithMargins="0">
    <oddFooter>&amp;LEdité le &amp;D&amp;C&amp;P/&amp;N</oddFooter>
  </headerFooter>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B17B-182C-482F-9F0B-37601C19B1F8}">
  <dimension ref="A1:N34"/>
  <sheetViews>
    <sheetView showGridLines="0" view="pageBreakPreview" zoomScaleNormal="130" zoomScaleSheetLayoutView="100" workbookViewId="0">
      <selection activeCell="F9" sqref="F9:H9"/>
    </sheetView>
  </sheetViews>
  <sheetFormatPr baseColWidth="10" defaultColWidth="11.42578125" defaultRowHeight="15"/>
  <cols>
    <col min="1" max="1" width="13.140625" style="1544" customWidth="1"/>
    <col min="2" max="2" width="25.28515625" style="1544" customWidth="1"/>
    <col min="3" max="3" width="24" style="1544" customWidth="1"/>
    <col min="4" max="4" width="23.5703125" style="1544" customWidth="1"/>
    <col min="5" max="5" width="24.42578125" style="1544" customWidth="1"/>
    <col min="6" max="6" width="17" style="1544" customWidth="1"/>
    <col min="7" max="7" width="29.7109375" style="1544" customWidth="1"/>
    <col min="8" max="8" width="33.5703125" style="1544" customWidth="1"/>
    <col min="9" max="9" width="11.7109375" style="1543" customWidth="1"/>
    <col min="10" max="10" width="15.7109375" style="1544" customWidth="1"/>
    <col min="11" max="11" width="32.5703125" style="1544" customWidth="1"/>
    <col min="12" max="13" width="63.140625" style="1544" customWidth="1"/>
    <col min="14" max="16384" width="11.42578125" style="1544"/>
  </cols>
  <sheetData>
    <row r="1" spans="1:9" ht="45.75" customHeight="1">
      <c r="A1" s="1542"/>
      <c r="B1" s="2559" t="s">
        <v>1729</v>
      </c>
      <c r="C1" s="2560"/>
      <c r="D1" s="2560"/>
      <c r="E1" s="2560"/>
      <c r="F1" s="2560"/>
      <c r="G1" s="2561"/>
      <c r="H1" s="2560"/>
    </row>
    <row r="2" spans="1:9" ht="11.25" customHeight="1">
      <c r="A2" s="1545"/>
      <c r="B2" s="1546"/>
      <c r="C2" s="1547"/>
      <c r="D2" s="1547"/>
      <c r="E2" s="1547"/>
      <c r="F2" s="1547"/>
      <c r="G2" s="1547"/>
      <c r="H2" s="1548"/>
    </row>
    <row r="3" spans="1:9" ht="22.5" customHeight="1">
      <c r="A3" s="2562" t="s">
        <v>1730</v>
      </c>
      <c r="B3" s="2563"/>
      <c r="C3" s="2564"/>
      <c r="D3" s="2564"/>
      <c r="E3" s="1549" t="s">
        <v>917</v>
      </c>
      <c r="F3" s="1550"/>
      <c r="G3" s="1549" t="s">
        <v>1566</v>
      </c>
      <c r="H3" s="1550"/>
    </row>
    <row r="4" spans="1:9">
      <c r="A4" s="1551"/>
      <c r="B4" s="1551"/>
      <c r="C4" s="1551"/>
      <c r="D4" s="1551"/>
      <c r="E4" s="1551"/>
      <c r="F4" s="1551"/>
      <c r="G4" s="1551"/>
      <c r="H4" s="1552"/>
    </row>
    <row r="5" spans="1:9" ht="22.5" customHeight="1">
      <c r="A5" s="1549" t="s">
        <v>1176</v>
      </c>
      <c r="B5" s="1553"/>
      <c r="C5" s="1549" t="s">
        <v>644</v>
      </c>
      <c r="D5" s="1554"/>
      <c r="E5" s="1549" t="s">
        <v>652</v>
      </c>
      <c r="F5" s="2565"/>
      <c r="G5" s="2565"/>
      <c r="H5" s="2565"/>
    </row>
    <row r="6" spans="1:9" ht="22.5" customHeight="1">
      <c r="A6" s="1549" t="s">
        <v>1731</v>
      </c>
      <c r="B6" s="2566"/>
      <c r="C6" s="2567"/>
      <c r="D6" s="2567"/>
      <c r="E6" s="2567"/>
      <c r="F6" s="2567"/>
      <c r="G6" s="2567"/>
      <c r="H6" s="2568"/>
      <c r="I6" s="1544"/>
    </row>
    <row r="7" spans="1:9">
      <c r="A7" s="1555"/>
      <c r="B7" s="1555"/>
      <c r="C7" s="1555"/>
      <c r="D7" s="1555"/>
      <c r="E7" s="1555"/>
      <c r="F7" s="1555"/>
      <c r="G7" s="1555"/>
      <c r="H7" s="1556"/>
      <c r="I7" s="1544"/>
    </row>
    <row r="8" spans="1:9" ht="33.75" customHeight="1">
      <c r="A8" s="2553" t="s">
        <v>1732</v>
      </c>
      <c r="B8" s="1557" t="s">
        <v>1733</v>
      </c>
      <c r="C8" s="1557" t="s">
        <v>1734</v>
      </c>
      <c r="D8" s="1557" t="s">
        <v>1735</v>
      </c>
      <c r="E8" s="1557" t="s">
        <v>1736</v>
      </c>
      <c r="F8" s="2555" t="s">
        <v>1737</v>
      </c>
      <c r="G8" s="2555"/>
      <c r="H8" s="1557" t="s">
        <v>1738</v>
      </c>
      <c r="I8" s="1544"/>
    </row>
    <row r="9" spans="1:9" ht="33.75" customHeight="1">
      <c r="A9" s="2554"/>
      <c r="B9" s="1557" t="s">
        <v>1739</v>
      </c>
      <c r="C9" s="1557" t="s">
        <v>1740</v>
      </c>
      <c r="D9" s="1557" t="s">
        <v>1741</v>
      </c>
      <c r="E9" s="1557" t="s">
        <v>1742</v>
      </c>
      <c r="F9" s="2556" t="s">
        <v>1743</v>
      </c>
      <c r="G9" s="2557"/>
      <c r="H9" s="2558"/>
      <c r="I9" s="1544"/>
    </row>
    <row r="10" spans="1:9">
      <c r="A10" s="1551"/>
      <c r="B10" s="1551"/>
      <c r="C10" s="1551"/>
      <c r="D10" s="1551"/>
      <c r="E10" s="1551"/>
      <c r="F10" s="1551"/>
      <c r="G10" s="1551"/>
      <c r="H10" s="1552"/>
    </row>
    <row r="11" spans="1:9" ht="58.5" customHeight="1">
      <c r="A11" s="1558" t="s">
        <v>648</v>
      </c>
      <c r="B11" s="1558" t="s">
        <v>1744</v>
      </c>
      <c r="C11" s="1559" t="s">
        <v>1745</v>
      </c>
      <c r="D11" s="1559" t="s">
        <v>1746</v>
      </c>
      <c r="E11" s="1559" t="s">
        <v>1747</v>
      </c>
      <c r="F11" s="1560" t="s">
        <v>1748</v>
      </c>
      <c r="G11" s="1559" t="s">
        <v>1749</v>
      </c>
      <c r="H11" s="1561" t="s">
        <v>1750</v>
      </c>
      <c r="I11" s="1544"/>
    </row>
    <row r="12" spans="1:9" ht="33.75" customHeight="1">
      <c r="A12" s="1562"/>
      <c r="B12" s="1563" t="s">
        <v>1751</v>
      </c>
      <c r="C12" s="1562"/>
      <c r="D12" s="1562"/>
      <c r="E12" s="1562"/>
      <c r="F12" s="1562"/>
      <c r="G12" s="1564"/>
      <c r="H12" s="1562"/>
      <c r="I12" s="1565"/>
    </row>
    <row r="13" spans="1:9" ht="33.75" customHeight="1">
      <c r="A13" s="1562"/>
      <c r="B13" s="1562"/>
      <c r="C13" s="1562"/>
      <c r="D13" s="1562"/>
      <c r="E13" s="1562"/>
      <c r="F13" s="1562"/>
      <c r="G13" s="1564"/>
      <c r="H13" s="1562"/>
    </row>
    <row r="14" spans="1:9" ht="33.75" customHeight="1">
      <c r="A14" s="1562"/>
      <c r="B14" s="1562"/>
      <c r="C14" s="1562"/>
      <c r="D14" s="1562"/>
      <c r="E14" s="1562"/>
      <c r="F14" s="1562"/>
      <c r="G14" s="1564"/>
      <c r="H14" s="1562"/>
    </row>
    <row r="15" spans="1:9" ht="33.75" customHeight="1">
      <c r="A15" s="1562"/>
      <c r="B15" s="1562"/>
      <c r="C15" s="1562"/>
      <c r="D15" s="1562"/>
      <c r="E15" s="1562"/>
      <c r="F15" s="1562"/>
      <c r="G15" s="1564"/>
      <c r="H15" s="1562"/>
    </row>
    <row r="16" spans="1:9" ht="33.75" customHeight="1">
      <c r="A16" s="1562"/>
      <c r="B16" s="1562"/>
      <c r="C16" s="1562"/>
      <c r="D16" s="1562"/>
      <c r="E16" s="1562"/>
      <c r="F16" s="1562"/>
      <c r="G16" s="1564"/>
      <c r="H16" s="1562"/>
    </row>
    <row r="17" spans="1:14" ht="33.75" customHeight="1">
      <c r="A17" s="1562"/>
      <c r="B17" s="1562"/>
      <c r="C17" s="1562"/>
      <c r="D17" s="1562"/>
      <c r="E17" s="1562"/>
      <c r="F17" s="1562"/>
      <c r="G17" s="1564"/>
      <c r="H17" s="1562"/>
    </row>
    <row r="18" spans="1:14" ht="33.75" customHeight="1">
      <c r="A18" s="1562"/>
      <c r="B18" s="1562"/>
      <c r="C18" s="1562"/>
      <c r="D18" s="1562"/>
      <c r="E18" s="1562"/>
      <c r="F18" s="1562"/>
      <c r="G18" s="1564"/>
      <c r="H18" s="1562"/>
    </row>
    <row r="19" spans="1:14" ht="33.75" customHeight="1">
      <c r="A19" s="1562"/>
      <c r="B19" s="1562"/>
      <c r="C19" s="1562"/>
      <c r="D19" s="1562"/>
      <c r="E19" s="1562"/>
      <c r="F19" s="1562"/>
      <c r="G19" s="1564"/>
      <c r="H19" s="1562"/>
    </row>
    <row r="20" spans="1:14" ht="33.75" customHeight="1">
      <c r="A20" s="1562"/>
      <c r="B20" s="1562"/>
      <c r="C20" s="1562"/>
      <c r="D20" s="1562"/>
      <c r="E20" s="1562"/>
      <c r="F20" s="1562"/>
      <c r="G20" s="1564"/>
      <c r="H20" s="1562"/>
    </row>
    <row r="21" spans="1:14" ht="33.75" customHeight="1">
      <c r="A21" s="1562"/>
      <c r="B21" s="1562"/>
      <c r="C21" s="1562"/>
      <c r="D21" s="1562"/>
      <c r="E21" s="1562"/>
      <c r="F21" s="1562"/>
      <c r="G21" s="1564"/>
      <c r="H21" s="1562"/>
    </row>
    <row r="22" spans="1:14" ht="48.75" customHeight="1">
      <c r="I22" s="2559"/>
      <c r="J22" s="2559"/>
      <c r="K22" s="2559" t="s">
        <v>1752</v>
      </c>
      <c r="L22" s="2559"/>
      <c r="M22" s="2559"/>
      <c r="N22" s="1566"/>
    </row>
    <row r="23" spans="1:14" s="1567" customFormat="1" ht="22.5" customHeight="1">
      <c r="I23" s="2569" t="s">
        <v>648</v>
      </c>
      <c r="J23" s="2570"/>
      <c r="K23" s="1568" t="s">
        <v>1753</v>
      </c>
      <c r="L23" s="1568" t="s">
        <v>1754</v>
      </c>
      <c r="M23" s="1568" t="s">
        <v>1755</v>
      </c>
    </row>
    <row r="24" spans="1:14" ht="93.75" customHeight="1">
      <c r="I24" s="1568" t="s">
        <v>1147</v>
      </c>
      <c r="J24" s="1569"/>
      <c r="K24" s="2571"/>
      <c r="L24" s="2571" t="s">
        <v>622</v>
      </c>
      <c r="M24" s="2571"/>
    </row>
    <row r="25" spans="1:14" ht="93.75" customHeight="1">
      <c r="I25" s="1568" t="s">
        <v>1148</v>
      </c>
      <c r="J25" s="1569"/>
      <c r="K25" s="2571"/>
      <c r="L25" s="2571"/>
      <c r="M25" s="2571"/>
    </row>
    <row r="26" spans="1:14" ht="93.75" customHeight="1">
      <c r="H26" s="1565"/>
      <c r="I26" s="1568" t="s">
        <v>1147</v>
      </c>
      <c r="J26" s="1569"/>
      <c r="K26" s="2571"/>
      <c r="L26" s="2571"/>
      <c r="M26" s="2571"/>
    </row>
    <row r="27" spans="1:14" ht="93.75" customHeight="1">
      <c r="I27" s="1568" t="s">
        <v>1148</v>
      </c>
      <c r="J27" s="1569"/>
      <c r="K27" s="2571"/>
      <c r="L27" s="2571"/>
      <c r="M27" s="2571"/>
    </row>
    <row r="28" spans="1:14" ht="93.75" customHeight="1">
      <c r="I28" s="1568" t="s">
        <v>1147</v>
      </c>
      <c r="J28" s="1569"/>
      <c r="K28" s="2571"/>
      <c r="L28" s="2571"/>
      <c r="M28" s="2571"/>
    </row>
    <row r="29" spans="1:14" ht="93.75" customHeight="1">
      <c r="I29" s="1568" t="s">
        <v>1148</v>
      </c>
      <c r="J29" s="1569"/>
      <c r="K29" s="2571"/>
      <c r="L29" s="2571"/>
      <c r="M29" s="2571"/>
    </row>
    <row r="30" spans="1:14" ht="93.75" customHeight="1">
      <c r="I30" s="1568" t="s">
        <v>1147</v>
      </c>
      <c r="J30" s="1569"/>
      <c r="K30" s="2571"/>
      <c r="L30" s="2571"/>
      <c r="M30" s="2571"/>
    </row>
    <row r="31" spans="1:14" ht="93.75" customHeight="1">
      <c r="I31" s="1568" t="s">
        <v>1148</v>
      </c>
      <c r="J31" s="1569"/>
      <c r="K31" s="2571"/>
      <c r="L31" s="2571"/>
      <c r="M31" s="2571"/>
    </row>
    <row r="32" spans="1:14" ht="97.5" customHeight="1"/>
    <row r="33" ht="97.5" customHeight="1"/>
    <row r="34" ht="97.5" customHeight="1"/>
  </sheetData>
  <mergeCells count="23">
    <mergeCell ref="K30:K31"/>
    <mergeCell ref="L30:L31"/>
    <mergeCell ref="M30:M31"/>
    <mergeCell ref="K26:K27"/>
    <mergeCell ref="L26:L27"/>
    <mergeCell ref="M26:M27"/>
    <mergeCell ref="K28:K29"/>
    <mergeCell ref="L28:L29"/>
    <mergeCell ref="M28:M29"/>
    <mergeCell ref="I22:J22"/>
    <mergeCell ref="K22:M22"/>
    <mergeCell ref="I23:J23"/>
    <mergeCell ref="K24:K25"/>
    <mergeCell ref="L24:L25"/>
    <mergeCell ref="M24:M25"/>
    <mergeCell ref="A8:A9"/>
    <mergeCell ref="F8:G8"/>
    <mergeCell ref="F9:H9"/>
    <mergeCell ref="B1:H1"/>
    <mergeCell ref="A3:B3"/>
    <mergeCell ref="C3:D3"/>
    <mergeCell ref="F5:H5"/>
    <mergeCell ref="B6:H6"/>
  </mergeCells>
  <printOptions horizontalCentered="1" verticalCentered="1"/>
  <pageMargins left="0.59055118110236227" right="0.59055118110236227" top="0.39370078740157483" bottom="0.39370078740157483" header="0.31496062992125984" footer="0.31496062992125984"/>
  <pageSetup paperSize="9" scale="69" orientation="landscape" verticalDpi="300" r:id="rId1"/>
  <rowBreaks count="2" manualBreakCount="2">
    <brk id="21" max="12" man="1"/>
    <brk id="34"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449985" r:id="rId4" name="Check Box 1">
              <controlPr defaultSize="0" autoFill="0" autoLine="0" autoPict="0">
                <anchor moveWithCells="1">
                  <from>
                    <xdr:col>3</xdr:col>
                    <xdr:colOff>0</xdr:colOff>
                    <xdr:row>7</xdr:row>
                    <xdr:rowOff>190500</xdr:rowOff>
                  </from>
                  <to>
                    <xdr:col>3</xdr:col>
                    <xdr:colOff>771525</xdr:colOff>
                    <xdr:row>8</xdr:row>
                    <xdr:rowOff>0</xdr:rowOff>
                  </to>
                </anchor>
              </controlPr>
            </control>
          </mc:Choice>
        </mc:AlternateContent>
        <mc:AlternateContent xmlns:mc="http://schemas.openxmlformats.org/markup-compatibility/2006">
          <mc:Choice Requires="x14">
            <control shapeId="1449986" r:id="rId5" name="Check Box 2">
              <controlPr defaultSize="0" autoFill="0" autoLine="0" autoPict="0">
                <anchor moveWithCells="1">
                  <from>
                    <xdr:col>4</xdr:col>
                    <xdr:colOff>590550</xdr:colOff>
                    <xdr:row>11</xdr:row>
                    <xdr:rowOff>95250</xdr:rowOff>
                  </from>
                  <to>
                    <xdr:col>4</xdr:col>
                    <xdr:colOff>1314450</xdr:colOff>
                    <xdr:row>11</xdr:row>
                    <xdr:rowOff>333375</xdr:rowOff>
                  </to>
                </anchor>
              </controlPr>
            </control>
          </mc:Choice>
        </mc:AlternateContent>
        <mc:AlternateContent xmlns:mc="http://schemas.openxmlformats.org/markup-compatibility/2006">
          <mc:Choice Requires="x14">
            <control shapeId="1449987" r:id="rId6" name="Check Box 3">
              <controlPr defaultSize="0" autoFill="0" autoLine="0" autoPict="0">
                <anchor moveWithCells="1">
                  <from>
                    <xdr:col>2</xdr:col>
                    <xdr:colOff>9525</xdr:colOff>
                    <xdr:row>10</xdr:row>
                    <xdr:rowOff>838200</xdr:rowOff>
                  </from>
                  <to>
                    <xdr:col>2</xdr:col>
                    <xdr:colOff>904875</xdr:colOff>
                    <xdr:row>11</xdr:row>
                    <xdr:rowOff>238125</xdr:rowOff>
                  </to>
                </anchor>
              </controlPr>
            </control>
          </mc:Choice>
        </mc:AlternateContent>
        <mc:AlternateContent xmlns:mc="http://schemas.openxmlformats.org/markup-compatibility/2006">
          <mc:Choice Requires="x14">
            <control shapeId="1449988" r:id="rId7" name="Check Box 4">
              <controlPr defaultSize="0" autoFill="0" autoLine="0" autoPict="0">
                <anchor moveWithCells="1">
                  <from>
                    <xdr:col>2</xdr:col>
                    <xdr:colOff>9525</xdr:colOff>
                    <xdr:row>11</xdr:row>
                    <xdr:rowOff>180975</xdr:rowOff>
                  </from>
                  <to>
                    <xdr:col>2</xdr:col>
                    <xdr:colOff>1238250</xdr:colOff>
                    <xdr:row>11</xdr:row>
                    <xdr:rowOff>419100</xdr:rowOff>
                  </to>
                </anchor>
              </controlPr>
            </control>
          </mc:Choice>
        </mc:AlternateContent>
        <mc:AlternateContent xmlns:mc="http://schemas.openxmlformats.org/markup-compatibility/2006">
          <mc:Choice Requires="x14">
            <control shapeId="1449989" r:id="rId8" name="Check Box 5">
              <controlPr defaultSize="0" autoFill="0" autoLine="0" autoPict="0">
                <anchor moveWithCells="1">
                  <from>
                    <xdr:col>2</xdr:col>
                    <xdr:colOff>9525</xdr:colOff>
                    <xdr:row>12</xdr:row>
                    <xdr:rowOff>9525</xdr:rowOff>
                  </from>
                  <to>
                    <xdr:col>2</xdr:col>
                    <xdr:colOff>904875</xdr:colOff>
                    <xdr:row>12</xdr:row>
                    <xdr:rowOff>247650</xdr:rowOff>
                  </to>
                </anchor>
              </controlPr>
            </control>
          </mc:Choice>
        </mc:AlternateContent>
        <mc:AlternateContent xmlns:mc="http://schemas.openxmlformats.org/markup-compatibility/2006">
          <mc:Choice Requires="x14">
            <control shapeId="1449990" r:id="rId9" name="Check Box 6">
              <controlPr defaultSize="0" autoFill="0" autoLine="0" autoPict="0">
                <anchor moveWithCells="1">
                  <from>
                    <xdr:col>2</xdr:col>
                    <xdr:colOff>9525</xdr:colOff>
                    <xdr:row>12</xdr:row>
                    <xdr:rowOff>200025</xdr:rowOff>
                  </from>
                  <to>
                    <xdr:col>2</xdr:col>
                    <xdr:colOff>1238250</xdr:colOff>
                    <xdr:row>13</xdr:row>
                    <xdr:rowOff>9525</xdr:rowOff>
                  </to>
                </anchor>
              </controlPr>
            </control>
          </mc:Choice>
        </mc:AlternateContent>
        <mc:AlternateContent xmlns:mc="http://schemas.openxmlformats.org/markup-compatibility/2006">
          <mc:Choice Requires="x14">
            <control shapeId="1449991" r:id="rId10" name="Check Box 7">
              <controlPr defaultSize="0" autoFill="0" autoLine="0" autoPict="0">
                <anchor moveWithCells="1">
                  <from>
                    <xdr:col>2</xdr:col>
                    <xdr:colOff>9525</xdr:colOff>
                    <xdr:row>13</xdr:row>
                    <xdr:rowOff>0</xdr:rowOff>
                  </from>
                  <to>
                    <xdr:col>2</xdr:col>
                    <xdr:colOff>904875</xdr:colOff>
                    <xdr:row>13</xdr:row>
                    <xdr:rowOff>238125</xdr:rowOff>
                  </to>
                </anchor>
              </controlPr>
            </control>
          </mc:Choice>
        </mc:AlternateContent>
        <mc:AlternateContent xmlns:mc="http://schemas.openxmlformats.org/markup-compatibility/2006">
          <mc:Choice Requires="x14">
            <control shapeId="1449992" r:id="rId11" name="Check Box 8">
              <controlPr defaultSize="0" autoFill="0" autoLine="0" autoPict="0">
                <anchor moveWithCells="1">
                  <from>
                    <xdr:col>2</xdr:col>
                    <xdr:colOff>9525</xdr:colOff>
                    <xdr:row>13</xdr:row>
                    <xdr:rowOff>190500</xdr:rowOff>
                  </from>
                  <to>
                    <xdr:col>2</xdr:col>
                    <xdr:colOff>1238250</xdr:colOff>
                    <xdr:row>14</xdr:row>
                    <xdr:rowOff>0</xdr:rowOff>
                  </to>
                </anchor>
              </controlPr>
            </control>
          </mc:Choice>
        </mc:AlternateContent>
        <mc:AlternateContent xmlns:mc="http://schemas.openxmlformats.org/markup-compatibility/2006">
          <mc:Choice Requires="x14">
            <control shapeId="1449993" r:id="rId12" name="Check Box 9">
              <controlPr defaultSize="0" autoFill="0" autoLine="0" autoPict="0">
                <anchor moveWithCells="1">
                  <from>
                    <xdr:col>2</xdr:col>
                    <xdr:colOff>9525</xdr:colOff>
                    <xdr:row>14</xdr:row>
                    <xdr:rowOff>0</xdr:rowOff>
                  </from>
                  <to>
                    <xdr:col>2</xdr:col>
                    <xdr:colOff>904875</xdr:colOff>
                    <xdr:row>14</xdr:row>
                    <xdr:rowOff>238125</xdr:rowOff>
                  </to>
                </anchor>
              </controlPr>
            </control>
          </mc:Choice>
        </mc:AlternateContent>
        <mc:AlternateContent xmlns:mc="http://schemas.openxmlformats.org/markup-compatibility/2006">
          <mc:Choice Requires="x14">
            <control shapeId="1449994" r:id="rId13" name="Check Box 10">
              <controlPr defaultSize="0" autoFill="0" autoLine="0" autoPict="0">
                <anchor moveWithCells="1">
                  <from>
                    <xdr:col>2</xdr:col>
                    <xdr:colOff>9525</xdr:colOff>
                    <xdr:row>14</xdr:row>
                    <xdr:rowOff>190500</xdr:rowOff>
                  </from>
                  <to>
                    <xdr:col>2</xdr:col>
                    <xdr:colOff>1238250</xdr:colOff>
                    <xdr:row>15</xdr:row>
                    <xdr:rowOff>0</xdr:rowOff>
                  </to>
                </anchor>
              </controlPr>
            </control>
          </mc:Choice>
        </mc:AlternateContent>
        <mc:AlternateContent xmlns:mc="http://schemas.openxmlformats.org/markup-compatibility/2006">
          <mc:Choice Requires="x14">
            <control shapeId="1449995" r:id="rId14" name="Check Box 11">
              <controlPr defaultSize="0" autoFill="0" autoLine="0" autoPict="0">
                <anchor moveWithCells="1">
                  <from>
                    <xdr:col>2</xdr:col>
                    <xdr:colOff>9525</xdr:colOff>
                    <xdr:row>15</xdr:row>
                    <xdr:rowOff>0</xdr:rowOff>
                  </from>
                  <to>
                    <xdr:col>2</xdr:col>
                    <xdr:colOff>904875</xdr:colOff>
                    <xdr:row>15</xdr:row>
                    <xdr:rowOff>238125</xdr:rowOff>
                  </to>
                </anchor>
              </controlPr>
            </control>
          </mc:Choice>
        </mc:AlternateContent>
        <mc:AlternateContent xmlns:mc="http://schemas.openxmlformats.org/markup-compatibility/2006">
          <mc:Choice Requires="x14">
            <control shapeId="1449996" r:id="rId15" name="Check Box 12">
              <controlPr defaultSize="0" autoFill="0" autoLine="0" autoPict="0">
                <anchor moveWithCells="1">
                  <from>
                    <xdr:col>2</xdr:col>
                    <xdr:colOff>9525</xdr:colOff>
                    <xdr:row>15</xdr:row>
                    <xdr:rowOff>190500</xdr:rowOff>
                  </from>
                  <to>
                    <xdr:col>2</xdr:col>
                    <xdr:colOff>1238250</xdr:colOff>
                    <xdr:row>16</xdr:row>
                    <xdr:rowOff>0</xdr:rowOff>
                  </to>
                </anchor>
              </controlPr>
            </control>
          </mc:Choice>
        </mc:AlternateContent>
        <mc:AlternateContent xmlns:mc="http://schemas.openxmlformats.org/markup-compatibility/2006">
          <mc:Choice Requires="x14">
            <control shapeId="1449997" r:id="rId16" name="Check Box 13">
              <controlPr defaultSize="0" autoFill="0" autoLine="0" autoPict="0">
                <anchor moveWithCells="1">
                  <from>
                    <xdr:col>2</xdr:col>
                    <xdr:colOff>9525</xdr:colOff>
                    <xdr:row>16</xdr:row>
                    <xdr:rowOff>0</xdr:rowOff>
                  </from>
                  <to>
                    <xdr:col>2</xdr:col>
                    <xdr:colOff>904875</xdr:colOff>
                    <xdr:row>16</xdr:row>
                    <xdr:rowOff>238125</xdr:rowOff>
                  </to>
                </anchor>
              </controlPr>
            </control>
          </mc:Choice>
        </mc:AlternateContent>
        <mc:AlternateContent xmlns:mc="http://schemas.openxmlformats.org/markup-compatibility/2006">
          <mc:Choice Requires="x14">
            <control shapeId="1449998" r:id="rId17" name="Check Box 14">
              <controlPr defaultSize="0" autoFill="0" autoLine="0" autoPict="0">
                <anchor moveWithCells="1">
                  <from>
                    <xdr:col>2</xdr:col>
                    <xdr:colOff>9525</xdr:colOff>
                    <xdr:row>16</xdr:row>
                    <xdr:rowOff>190500</xdr:rowOff>
                  </from>
                  <to>
                    <xdr:col>2</xdr:col>
                    <xdr:colOff>1238250</xdr:colOff>
                    <xdr:row>17</xdr:row>
                    <xdr:rowOff>0</xdr:rowOff>
                  </to>
                </anchor>
              </controlPr>
            </control>
          </mc:Choice>
        </mc:AlternateContent>
        <mc:AlternateContent xmlns:mc="http://schemas.openxmlformats.org/markup-compatibility/2006">
          <mc:Choice Requires="x14">
            <control shapeId="1449999" r:id="rId18" name="Check Box 15">
              <controlPr defaultSize="0" autoFill="0" autoLine="0" autoPict="0">
                <anchor moveWithCells="1">
                  <from>
                    <xdr:col>2</xdr:col>
                    <xdr:colOff>9525</xdr:colOff>
                    <xdr:row>17</xdr:row>
                    <xdr:rowOff>0</xdr:rowOff>
                  </from>
                  <to>
                    <xdr:col>2</xdr:col>
                    <xdr:colOff>904875</xdr:colOff>
                    <xdr:row>17</xdr:row>
                    <xdr:rowOff>238125</xdr:rowOff>
                  </to>
                </anchor>
              </controlPr>
            </control>
          </mc:Choice>
        </mc:AlternateContent>
        <mc:AlternateContent xmlns:mc="http://schemas.openxmlformats.org/markup-compatibility/2006">
          <mc:Choice Requires="x14">
            <control shapeId="1450000" r:id="rId19" name="Check Box 16">
              <controlPr defaultSize="0" autoFill="0" autoLine="0" autoPict="0">
                <anchor moveWithCells="1">
                  <from>
                    <xdr:col>2</xdr:col>
                    <xdr:colOff>9525</xdr:colOff>
                    <xdr:row>17</xdr:row>
                    <xdr:rowOff>190500</xdr:rowOff>
                  </from>
                  <to>
                    <xdr:col>2</xdr:col>
                    <xdr:colOff>1238250</xdr:colOff>
                    <xdr:row>18</xdr:row>
                    <xdr:rowOff>0</xdr:rowOff>
                  </to>
                </anchor>
              </controlPr>
            </control>
          </mc:Choice>
        </mc:AlternateContent>
        <mc:AlternateContent xmlns:mc="http://schemas.openxmlformats.org/markup-compatibility/2006">
          <mc:Choice Requires="x14">
            <control shapeId="1450001" r:id="rId20" name="Check Box 17">
              <controlPr defaultSize="0" autoFill="0" autoLine="0" autoPict="0">
                <anchor moveWithCells="1">
                  <from>
                    <xdr:col>2</xdr:col>
                    <xdr:colOff>9525</xdr:colOff>
                    <xdr:row>18</xdr:row>
                    <xdr:rowOff>0</xdr:rowOff>
                  </from>
                  <to>
                    <xdr:col>2</xdr:col>
                    <xdr:colOff>904875</xdr:colOff>
                    <xdr:row>18</xdr:row>
                    <xdr:rowOff>238125</xdr:rowOff>
                  </to>
                </anchor>
              </controlPr>
            </control>
          </mc:Choice>
        </mc:AlternateContent>
        <mc:AlternateContent xmlns:mc="http://schemas.openxmlformats.org/markup-compatibility/2006">
          <mc:Choice Requires="x14">
            <control shapeId="1450002" r:id="rId21" name="Check Box 18">
              <controlPr defaultSize="0" autoFill="0" autoLine="0" autoPict="0">
                <anchor moveWithCells="1">
                  <from>
                    <xdr:col>2</xdr:col>
                    <xdr:colOff>9525</xdr:colOff>
                    <xdr:row>18</xdr:row>
                    <xdr:rowOff>190500</xdr:rowOff>
                  </from>
                  <to>
                    <xdr:col>2</xdr:col>
                    <xdr:colOff>1238250</xdr:colOff>
                    <xdr:row>19</xdr:row>
                    <xdr:rowOff>0</xdr:rowOff>
                  </to>
                </anchor>
              </controlPr>
            </control>
          </mc:Choice>
        </mc:AlternateContent>
        <mc:AlternateContent xmlns:mc="http://schemas.openxmlformats.org/markup-compatibility/2006">
          <mc:Choice Requires="x14">
            <control shapeId="1450003" r:id="rId22" name="Check Box 19">
              <controlPr defaultSize="0" autoFill="0" autoLine="0" autoPict="0">
                <anchor moveWithCells="1">
                  <from>
                    <xdr:col>2</xdr:col>
                    <xdr:colOff>9525</xdr:colOff>
                    <xdr:row>19</xdr:row>
                    <xdr:rowOff>0</xdr:rowOff>
                  </from>
                  <to>
                    <xdr:col>2</xdr:col>
                    <xdr:colOff>904875</xdr:colOff>
                    <xdr:row>19</xdr:row>
                    <xdr:rowOff>238125</xdr:rowOff>
                  </to>
                </anchor>
              </controlPr>
            </control>
          </mc:Choice>
        </mc:AlternateContent>
        <mc:AlternateContent xmlns:mc="http://schemas.openxmlformats.org/markup-compatibility/2006">
          <mc:Choice Requires="x14">
            <control shapeId="1450004" r:id="rId23" name="Check Box 20">
              <controlPr defaultSize="0" autoFill="0" autoLine="0" autoPict="0">
                <anchor moveWithCells="1">
                  <from>
                    <xdr:col>2</xdr:col>
                    <xdr:colOff>9525</xdr:colOff>
                    <xdr:row>19</xdr:row>
                    <xdr:rowOff>190500</xdr:rowOff>
                  </from>
                  <to>
                    <xdr:col>2</xdr:col>
                    <xdr:colOff>1238250</xdr:colOff>
                    <xdr:row>20</xdr:row>
                    <xdr:rowOff>0</xdr:rowOff>
                  </to>
                </anchor>
              </controlPr>
            </control>
          </mc:Choice>
        </mc:AlternateContent>
        <mc:AlternateContent xmlns:mc="http://schemas.openxmlformats.org/markup-compatibility/2006">
          <mc:Choice Requires="x14">
            <control shapeId="1450005" r:id="rId24" name="Check Box 21">
              <controlPr defaultSize="0" autoFill="0" autoLine="0" autoPict="0">
                <anchor moveWithCells="1">
                  <from>
                    <xdr:col>2</xdr:col>
                    <xdr:colOff>9525</xdr:colOff>
                    <xdr:row>19</xdr:row>
                    <xdr:rowOff>419100</xdr:rowOff>
                  </from>
                  <to>
                    <xdr:col>2</xdr:col>
                    <xdr:colOff>904875</xdr:colOff>
                    <xdr:row>20</xdr:row>
                    <xdr:rowOff>228600</xdr:rowOff>
                  </to>
                </anchor>
              </controlPr>
            </control>
          </mc:Choice>
        </mc:AlternateContent>
        <mc:AlternateContent xmlns:mc="http://schemas.openxmlformats.org/markup-compatibility/2006">
          <mc:Choice Requires="x14">
            <control shapeId="1450006" r:id="rId25" name="Check Box 22">
              <controlPr defaultSize="0" autoFill="0" autoLine="0" autoPict="0">
                <anchor moveWithCells="1">
                  <from>
                    <xdr:col>2</xdr:col>
                    <xdr:colOff>9525</xdr:colOff>
                    <xdr:row>20</xdr:row>
                    <xdr:rowOff>180975</xdr:rowOff>
                  </from>
                  <to>
                    <xdr:col>2</xdr:col>
                    <xdr:colOff>1238250</xdr:colOff>
                    <xdr:row>20</xdr:row>
                    <xdr:rowOff>419100</xdr:rowOff>
                  </to>
                </anchor>
              </controlPr>
            </control>
          </mc:Choice>
        </mc:AlternateContent>
        <mc:AlternateContent xmlns:mc="http://schemas.openxmlformats.org/markup-compatibility/2006">
          <mc:Choice Requires="x14">
            <control shapeId="1450007" r:id="rId26" name="Check Box 23">
              <controlPr defaultSize="0" autoFill="0" autoLine="0" autoPict="0">
                <anchor moveWithCells="1">
                  <from>
                    <xdr:col>3</xdr:col>
                    <xdr:colOff>9525</xdr:colOff>
                    <xdr:row>11</xdr:row>
                    <xdr:rowOff>0</xdr:rowOff>
                  </from>
                  <to>
                    <xdr:col>3</xdr:col>
                    <xdr:colOff>904875</xdr:colOff>
                    <xdr:row>11</xdr:row>
                    <xdr:rowOff>238125</xdr:rowOff>
                  </to>
                </anchor>
              </controlPr>
            </control>
          </mc:Choice>
        </mc:AlternateContent>
        <mc:AlternateContent xmlns:mc="http://schemas.openxmlformats.org/markup-compatibility/2006">
          <mc:Choice Requires="x14">
            <control shapeId="1450008" r:id="rId27" name="Check Box 24">
              <controlPr defaultSize="0" autoFill="0" autoLine="0" autoPict="0">
                <anchor moveWithCells="1">
                  <from>
                    <xdr:col>3</xdr:col>
                    <xdr:colOff>9525</xdr:colOff>
                    <xdr:row>11</xdr:row>
                    <xdr:rowOff>190500</xdr:rowOff>
                  </from>
                  <to>
                    <xdr:col>3</xdr:col>
                    <xdr:colOff>1238250</xdr:colOff>
                    <xdr:row>12</xdr:row>
                    <xdr:rowOff>0</xdr:rowOff>
                  </to>
                </anchor>
              </controlPr>
            </control>
          </mc:Choice>
        </mc:AlternateContent>
        <mc:AlternateContent xmlns:mc="http://schemas.openxmlformats.org/markup-compatibility/2006">
          <mc:Choice Requires="x14">
            <control shapeId="1450009" r:id="rId28" name="Check Box 25">
              <controlPr defaultSize="0" autoFill="0" autoLine="0" autoPict="0">
                <anchor moveWithCells="1">
                  <from>
                    <xdr:col>3</xdr:col>
                    <xdr:colOff>9525</xdr:colOff>
                    <xdr:row>12</xdr:row>
                    <xdr:rowOff>0</xdr:rowOff>
                  </from>
                  <to>
                    <xdr:col>3</xdr:col>
                    <xdr:colOff>904875</xdr:colOff>
                    <xdr:row>12</xdr:row>
                    <xdr:rowOff>238125</xdr:rowOff>
                  </to>
                </anchor>
              </controlPr>
            </control>
          </mc:Choice>
        </mc:AlternateContent>
        <mc:AlternateContent xmlns:mc="http://schemas.openxmlformats.org/markup-compatibility/2006">
          <mc:Choice Requires="x14">
            <control shapeId="1450010" r:id="rId29" name="Check Box 26">
              <controlPr defaultSize="0" autoFill="0" autoLine="0" autoPict="0">
                <anchor moveWithCells="1">
                  <from>
                    <xdr:col>3</xdr:col>
                    <xdr:colOff>9525</xdr:colOff>
                    <xdr:row>12</xdr:row>
                    <xdr:rowOff>190500</xdr:rowOff>
                  </from>
                  <to>
                    <xdr:col>3</xdr:col>
                    <xdr:colOff>1238250</xdr:colOff>
                    <xdr:row>13</xdr:row>
                    <xdr:rowOff>0</xdr:rowOff>
                  </to>
                </anchor>
              </controlPr>
            </control>
          </mc:Choice>
        </mc:AlternateContent>
        <mc:AlternateContent xmlns:mc="http://schemas.openxmlformats.org/markup-compatibility/2006">
          <mc:Choice Requires="x14">
            <control shapeId="1450011" r:id="rId30" name="Check Box 27">
              <controlPr defaultSize="0" autoFill="0" autoLine="0" autoPict="0">
                <anchor moveWithCells="1">
                  <from>
                    <xdr:col>3</xdr:col>
                    <xdr:colOff>9525</xdr:colOff>
                    <xdr:row>13</xdr:row>
                    <xdr:rowOff>0</xdr:rowOff>
                  </from>
                  <to>
                    <xdr:col>3</xdr:col>
                    <xdr:colOff>904875</xdr:colOff>
                    <xdr:row>13</xdr:row>
                    <xdr:rowOff>238125</xdr:rowOff>
                  </to>
                </anchor>
              </controlPr>
            </control>
          </mc:Choice>
        </mc:AlternateContent>
        <mc:AlternateContent xmlns:mc="http://schemas.openxmlformats.org/markup-compatibility/2006">
          <mc:Choice Requires="x14">
            <control shapeId="1450012" r:id="rId31" name="Check Box 28">
              <controlPr defaultSize="0" autoFill="0" autoLine="0" autoPict="0">
                <anchor moveWithCells="1">
                  <from>
                    <xdr:col>3</xdr:col>
                    <xdr:colOff>9525</xdr:colOff>
                    <xdr:row>13</xdr:row>
                    <xdr:rowOff>190500</xdr:rowOff>
                  </from>
                  <to>
                    <xdr:col>3</xdr:col>
                    <xdr:colOff>1238250</xdr:colOff>
                    <xdr:row>14</xdr:row>
                    <xdr:rowOff>0</xdr:rowOff>
                  </to>
                </anchor>
              </controlPr>
            </control>
          </mc:Choice>
        </mc:AlternateContent>
        <mc:AlternateContent xmlns:mc="http://schemas.openxmlformats.org/markup-compatibility/2006">
          <mc:Choice Requires="x14">
            <control shapeId="1450013" r:id="rId32" name="Check Box 29">
              <controlPr defaultSize="0" autoFill="0" autoLine="0" autoPict="0">
                <anchor moveWithCells="1">
                  <from>
                    <xdr:col>3</xdr:col>
                    <xdr:colOff>9525</xdr:colOff>
                    <xdr:row>14</xdr:row>
                    <xdr:rowOff>0</xdr:rowOff>
                  </from>
                  <to>
                    <xdr:col>3</xdr:col>
                    <xdr:colOff>904875</xdr:colOff>
                    <xdr:row>14</xdr:row>
                    <xdr:rowOff>238125</xdr:rowOff>
                  </to>
                </anchor>
              </controlPr>
            </control>
          </mc:Choice>
        </mc:AlternateContent>
        <mc:AlternateContent xmlns:mc="http://schemas.openxmlformats.org/markup-compatibility/2006">
          <mc:Choice Requires="x14">
            <control shapeId="1450014" r:id="rId33" name="Check Box 30">
              <controlPr defaultSize="0" autoFill="0" autoLine="0" autoPict="0">
                <anchor moveWithCells="1">
                  <from>
                    <xdr:col>3</xdr:col>
                    <xdr:colOff>9525</xdr:colOff>
                    <xdr:row>14</xdr:row>
                    <xdr:rowOff>190500</xdr:rowOff>
                  </from>
                  <to>
                    <xdr:col>3</xdr:col>
                    <xdr:colOff>1238250</xdr:colOff>
                    <xdr:row>15</xdr:row>
                    <xdr:rowOff>0</xdr:rowOff>
                  </to>
                </anchor>
              </controlPr>
            </control>
          </mc:Choice>
        </mc:AlternateContent>
        <mc:AlternateContent xmlns:mc="http://schemas.openxmlformats.org/markup-compatibility/2006">
          <mc:Choice Requires="x14">
            <control shapeId="1450015" r:id="rId34" name="Check Box 31">
              <controlPr defaultSize="0" autoFill="0" autoLine="0" autoPict="0">
                <anchor moveWithCells="1">
                  <from>
                    <xdr:col>3</xdr:col>
                    <xdr:colOff>9525</xdr:colOff>
                    <xdr:row>15</xdr:row>
                    <xdr:rowOff>0</xdr:rowOff>
                  </from>
                  <to>
                    <xdr:col>3</xdr:col>
                    <xdr:colOff>904875</xdr:colOff>
                    <xdr:row>15</xdr:row>
                    <xdr:rowOff>238125</xdr:rowOff>
                  </to>
                </anchor>
              </controlPr>
            </control>
          </mc:Choice>
        </mc:AlternateContent>
        <mc:AlternateContent xmlns:mc="http://schemas.openxmlformats.org/markup-compatibility/2006">
          <mc:Choice Requires="x14">
            <control shapeId="1450016" r:id="rId35" name="Check Box 32">
              <controlPr defaultSize="0" autoFill="0" autoLine="0" autoPict="0">
                <anchor moveWithCells="1">
                  <from>
                    <xdr:col>3</xdr:col>
                    <xdr:colOff>9525</xdr:colOff>
                    <xdr:row>15</xdr:row>
                    <xdr:rowOff>190500</xdr:rowOff>
                  </from>
                  <to>
                    <xdr:col>3</xdr:col>
                    <xdr:colOff>1238250</xdr:colOff>
                    <xdr:row>16</xdr:row>
                    <xdr:rowOff>0</xdr:rowOff>
                  </to>
                </anchor>
              </controlPr>
            </control>
          </mc:Choice>
        </mc:AlternateContent>
        <mc:AlternateContent xmlns:mc="http://schemas.openxmlformats.org/markup-compatibility/2006">
          <mc:Choice Requires="x14">
            <control shapeId="1450017" r:id="rId36" name="Check Box 33">
              <controlPr defaultSize="0" autoFill="0" autoLine="0" autoPict="0">
                <anchor moveWithCells="1">
                  <from>
                    <xdr:col>3</xdr:col>
                    <xdr:colOff>9525</xdr:colOff>
                    <xdr:row>16</xdr:row>
                    <xdr:rowOff>0</xdr:rowOff>
                  </from>
                  <to>
                    <xdr:col>3</xdr:col>
                    <xdr:colOff>904875</xdr:colOff>
                    <xdr:row>16</xdr:row>
                    <xdr:rowOff>238125</xdr:rowOff>
                  </to>
                </anchor>
              </controlPr>
            </control>
          </mc:Choice>
        </mc:AlternateContent>
        <mc:AlternateContent xmlns:mc="http://schemas.openxmlformats.org/markup-compatibility/2006">
          <mc:Choice Requires="x14">
            <control shapeId="1450018" r:id="rId37" name="Check Box 34">
              <controlPr defaultSize="0" autoFill="0" autoLine="0" autoPict="0">
                <anchor moveWithCells="1">
                  <from>
                    <xdr:col>3</xdr:col>
                    <xdr:colOff>9525</xdr:colOff>
                    <xdr:row>16</xdr:row>
                    <xdr:rowOff>190500</xdr:rowOff>
                  </from>
                  <to>
                    <xdr:col>3</xdr:col>
                    <xdr:colOff>1238250</xdr:colOff>
                    <xdr:row>17</xdr:row>
                    <xdr:rowOff>0</xdr:rowOff>
                  </to>
                </anchor>
              </controlPr>
            </control>
          </mc:Choice>
        </mc:AlternateContent>
        <mc:AlternateContent xmlns:mc="http://schemas.openxmlformats.org/markup-compatibility/2006">
          <mc:Choice Requires="x14">
            <control shapeId="1450019" r:id="rId38" name="Check Box 35">
              <controlPr defaultSize="0" autoFill="0" autoLine="0" autoPict="0">
                <anchor moveWithCells="1">
                  <from>
                    <xdr:col>3</xdr:col>
                    <xdr:colOff>9525</xdr:colOff>
                    <xdr:row>17</xdr:row>
                    <xdr:rowOff>0</xdr:rowOff>
                  </from>
                  <to>
                    <xdr:col>3</xdr:col>
                    <xdr:colOff>904875</xdr:colOff>
                    <xdr:row>17</xdr:row>
                    <xdr:rowOff>238125</xdr:rowOff>
                  </to>
                </anchor>
              </controlPr>
            </control>
          </mc:Choice>
        </mc:AlternateContent>
        <mc:AlternateContent xmlns:mc="http://schemas.openxmlformats.org/markup-compatibility/2006">
          <mc:Choice Requires="x14">
            <control shapeId="1450020" r:id="rId39" name="Check Box 36">
              <controlPr defaultSize="0" autoFill="0" autoLine="0" autoPict="0">
                <anchor moveWithCells="1">
                  <from>
                    <xdr:col>3</xdr:col>
                    <xdr:colOff>9525</xdr:colOff>
                    <xdr:row>17</xdr:row>
                    <xdr:rowOff>190500</xdr:rowOff>
                  </from>
                  <to>
                    <xdr:col>3</xdr:col>
                    <xdr:colOff>1238250</xdr:colOff>
                    <xdr:row>18</xdr:row>
                    <xdr:rowOff>0</xdr:rowOff>
                  </to>
                </anchor>
              </controlPr>
            </control>
          </mc:Choice>
        </mc:AlternateContent>
        <mc:AlternateContent xmlns:mc="http://schemas.openxmlformats.org/markup-compatibility/2006">
          <mc:Choice Requires="x14">
            <control shapeId="1450021" r:id="rId40" name="Check Box 37">
              <controlPr defaultSize="0" autoFill="0" autoLine="0" autoPict="0">
                <anchor moveWithCells="1">
                  <from>
                    <xdr:col>3</xdr:col>
                    <xdr:colOff>9525</xdr:colOff>
                    <xdr:row>18</xdr:row>
                    <xdr:rowOff>0</xdr:rowOff>
                  </from>
                  <to>
                    <xdr:col>3</xdr:col>
                    <xdr:colOff>904875</xdr:colOff>
                    <xdr:row>18</xdr:row>
                    <xdr:rowOff>238125</xdr:rowOff>
                  </to>
                </anchor>
              </controlPr>
            </control>
          </mc:Choice>
        </mc:AlternateContent>
        <mc:AlternateContent xmlns:mc="http://schemas.openxmlformats.org/markup-compatibility/2006">
          <mc:Choice Requires="x14">
            <control shapeId="1450022" r:id="rId41" name="Check Box 38">
              <controlPr defaultSize="0" autoFill="0" autoLine="0" autoPict="0">
                <anchor moveWithCells="1">
                  <from>
                    <xdr:col>3</xdr:col>
                    <xdr:colOff>9525</xdr:colOff>
                    <xdr:row>18</xdr:row>
                    <xdr:rowOff>190500</xdr:rowOff>
                  </from>
                  <to>
                    <xdr:col>3</xdr:col>
                    <xdr:colOff>1238250</xdr:colOff>
                    <xdr:row>19</xdr:row>
                    <xdr:rowOff>0</xdr:rowOff>
                  </to>
                </anchor>
              </controlPr>
            </control>
          </mc:Choice>
        </mc:AlternateContent>
        <mc:AlternateContent xmlns:mc="http://schemas.openxmlformats.org/markup-compatibility/2006">
          <mc:Choice Requires="x14">
            <control shapeId="1450023" r:id="rId42" name="Check Box 39">
              <controlPr defaultSize="0" autoFill="0" autoLine="0" autoPict="0">
                <anchor moveWithCells="1">
                  <from>
                    <xdr:col>3</xdr:col>
                    <xdr:colOff>9525</xdr:colOff>
                    <xdr:row>19</xdr:row>
                    <xdr:rowOff>0</xdr:rowOff>
                  </from>
                  <to>
                    <xdr:col>3</xdr:col>
                    <xdr:colOff>904875</xdr:colOff>
                    <xdr:row>19</xdr:row>
                    <xdr:rowOff>238125</xdr:rowOff>
                  </to>
                </anchor>
              </controlPr>
            </control>
          </mc:Choice>
        </mc:AlternateContent>
        <mc:AlternateContent xmlns:mc="http://schemas.openxmlformats.org/markup-compatibility/2006">
          <mc:Choice Requires="x14">
            <control shapeId="1450024" r:id="rId43" name="Check Box 40">
              <controlPr defaultSize="0" autoFill="0" autoLine="0" autoPict="0">
                <anchor moveWithCells="1">
                  <from>
                    <xdr:col>3</xdr:col>
                    <xdr:colOff>9525</xdr:colOff>
                    <xdr:row>19</xdr:row>
                    <xdr:rowOff>190500</xdr:rowOff>
                  </from>
                  <to>
                    <xdr:col>3</xdr:col>
                    <xdr:colOff>1238250</xdr:colOff>
                    <xdr:row>20</xdr:row>
                    <xdr:rowOff>0</xdr:rowOff>
                  </to>
                </anchor>
              </controlPr>
            </control>
          </mc:Choice>
        </mc:AlternateContent>
        <mc:AlternateContent xmlns:mc="http://schemas.openxmlformats.org/markup-compatibility/2006">
          <mc:Choice Requires="x14">
            <control shapeId="1450025" r:id="rId44" name="Check Box 41">
              <controlPr defaultSize="0" autoFill="0" autoLine="0" autoPict="0">
                <anchor moveWithCells="1">
                  <from>
                    <xdr:col>3</xdr:col>
                    <xdr:colOff>9525</xdr:colOff>
                    <xdr:row>20</xdr:row>
                    <xdr:rowOff>0</xdr:rowOff>
                  </from>
                  <to>
                    <xdr:col>3</xdr:col>
                    <xdr:colOff>904875</xdr:colOff>
                    <xdr:row>20</xdr:row>
                    <xdr:rowOff>238125</xdr:rowOff>
                  </to>
                </anchor>
              </controlPr>
            </control>
          </mc:Choice>
        </mc:AlternateContent>
        <mc:AlternateContent xmlns:mc="http://schemas.openxmlformats.org/markup-compatibility/2006">
          <mc:Choice Requires="x14">
            <control shapeId="1450026" r:id="rId45" name="Check Box 42">
              <controlPr defaultSize="0" autoFill="0" autoLine="0" autoPict="0">
                <anchor moveWithCells="1">
                  <from>
                    <xdr:col>3</xdr:col>
                    <xdr:colOff>9525</xdr:colOff>
                    <xdr:row>20</xdr:row>
                    <xdr:rowOff>190500</xdr:rowOff>
                  </from>
                  <to>
                    <xdr:col>3</xdr:col>
                    <xdr:colOff>1238250</xdr:colOff>
                    <xdr:row>21</xdr:row>
                    <xdr:rowOff>0</xdr:rowOff>
                  </to>
                </anchor>
              </controlPr>
            </control>
          </mc:Choice>
        </mc:AlternateContent>
        <mc:AlternateContent xmlns:mc="http://schemas.openxmlformats.org/markup-compatibility/2006">
          <mc:Choice Requires="x14">
            <control shapeId="1450027" r:id="rId46" name="Check Box 43">
              <controlPr defaultSize="0" autoFill="0" autoLine="0" autoPict="0">
                <anchor moveWithCells="1">
                  <from>
                    <xdr:col>5</xdr:col>
                    <xdr:colOff>9525</xdr:colOff>
                    <xdr:row>11</xdr:row>
                    <xdr:rowOff>0</xdr:rowOff>
                  </from>
                  <to>
                    <xdr:col>5</xdr:col>
                    <xdr:colOff>904875</xdr:colOff>
                    <xdr:row>11</xdr:row>
                    <xdr:rowOff>238125</xdr:rowOff>
                  </to>
                </anchor>
              </controlPr>
            </control>
          </mc:Choice>
        </mc:AlternateContent>
        <mc:AlternateContent xmlns:mc="http://schemas.openxmlformats.org/markup-compatibility/2006">
          <mc:Choice Requires="x14">
            <control shapeId="1450028" r:id="rId47" name="Check Box 44">
              <controlPr defaultSize="0" autoFill="0" autoLine="0" autoPict="0">
                <anchor moveWithCells="1">
                  <from>
                    <xdr:col>5</xdr:col>
                    <xdr:colOff>9525</xdr:colOff>
                    <xdr:row>11</xdr:row>
                    <xdr:rowOff>190500</xdr:rowOff>
                  </from>
                  <to>
                    <xdr:col>6</xdr:col>
                    <xdr:colOff>104775</xdr:colOff>
                    <xdr:row>12</xdr:row>
                    <xdr:rowOff>0</xdr:rowOff>
                  </to>
                </anchor>
              </controlPr>
            </control>
          </mc:Choice>
        </mc:AlternateContent>
        <mc:AlternateContent xmlns:mc="http://schemas.openxmlformats.org/markup-compatibility/2006">
          <mc:Choice Requires="x14">
            <control shapeId="1450029" r:id="rId48" name="Check Box 45">
              <controlPr defaultSize="0" autoFill="0" autoLine="0" autoPict="0">
                <anchor moveWithCells="1">
                  <from>
                    <xdr:col>5</xdr:col>
                    <xdr:colOff>9525</xdr:colOff>
                    <xdr:row>12</xdr:row>
                    <xdr:rowOff>0</xdr:rowOff>
                  </from>
                  <to>
                    <xdr:col>5</xdr:col>
                    <xdr:colOff>904875</xdr:colOff>
                    <xdr:row>12</xdr:row>
                    <xdr:rowOff>238125</xdr:rowOff>
                  </to>
                </anchor>
              </controlPr>
            </control>
          </mc:Choice>
        </mc:AlternateContent>
        <mc:AlternateContent xmlns:mc="http://schemas.openxmlformats.org/markup-compatibility/2006">
          <mc:Choice Requires="x14">
            <control shapeId="1450030" r:id="rId49" name="Check Box 46">
              <controlPr defaultSize="0" autoFill="0" autoLine="0" autoPict="0">
                <anchor moveWithCells="1">
                  <from>
                    <xdr:col>5</xdr:col>
                    <xdr:colOff>9525</xdr:colOff>
                    <xdr:row>12</xdr:row>
                    <xdr:rowOff>190500</xdr:rowOff>
                  </from>
                  <to>
                    <xdr:col>6</xdr:col>
                    <xdr:colOff>104775</xdr:colOff>
                    <xdr:row>13</xdr:row>
                    <xdr:rowOff>0</xdr:rowOff>
                  </to>
                </anchor>
              </controlPr>
            </control>
          </mc:Choice>
        </mc:AlternateContent>
        <mc:AlternateContent xmlns:mc="http://schemas.openxmlformats.org/markup-compatibility/2006">
          <mc:Choice Requires="x14">
            <control shapeId="1450031" r:id="rId50" name="Check Box 47">
              <controlPr defaultSize="0" autoFill="0" autoLine="0" autoPict="0">
                <anchor moveWithCells="1">
                  <from>
                    <xdr:col>5</xdr:col>
                    <xdr:colOff>9525</xdr:colOff>
                    <xdr:row>13</xdr:row>
                    <xdr:rowOff>0</xdr:rowOff>
                  </from>
                  <to>
                    <xdr:col>5</xdr:col>
                    <xdr:colOff>904875</xdr:colOff>
                    <xdr:row>13</xdr:row>
                    <xdr:rowOff>238125</xdr:rowOff>
                  </to>
                </anchor>
              </controlPr>
            </control>
          </mc:Choice>
        </mc:AlternateContent>
        <mc:AlternateContent xmlns:mc="http://schemas.openxmlformats.org/markup-compatibility/2006">
          <mc:Choice Requires="x14">
            <control shapeId="1450032" r:id="rId51" name="Check Box 48">
              <controlPr defaultSize="0" autoFill="0" autoLine="0" autoPict="0">
                <anchor moveWithCells="1">
                  <from>
                    <xdr:col>5</xdr:col>
                    <xdr:colOff>9525</xdr:colOff>
                    <xdr:row>13</xdr:row>
                    <xdr:rowOff>190500</xdr:rowOff>
                  </from>
                  <to>
                    <xdr:col>6</xdr:col>
                    <xdr:colOff>104775</xdr:colOff>
                    <xdr:row>14</xdr:row>
                    <xdr:rowOff>0</xdr:rowOff>
                  </to>
                </anchor>
              </controlPr>
            </control>
          </mc:Choice>
        </mc:AlternateContent>
        <mc:AlternateContent xmlns:mc="http://schemas.openxmlformats.org/markup-compatibility/2006">
          <mc:Choice Requires="x14">
            <control shapeId="1450033" r:id="rId52" name="Check Box 49">
              <controlPr defaultSize="0" autoFill="0" autoLine="0" autoPict="0">
                <anchor moveWithCells="1">
                  <from>
                    <xdr:col>5</xdr:col>
                    <xdr:colOff>9525</xdr:colOff>
                    <xdr:row>14</xdr:row>
                    <xdr:rowOff>0</xdr:rowOff>
                  </from>
                  <to>
                    <xdr:col>5</xdr:col>
                    <xdr:colOff>904875</xdr:colOff>
                    <xdr:row>14</xdr:row>
                    <xdr:rowOff>238125</xdr:rowOff>
                  </to>
                </anchor>
              </controlPr>
            </control>
          </mc:Choice>
        </mc:AlternateContent>
        <mc:AlternateContent xmlns:mc="http://schemas.openxmlformats.org/markup-compatibility/2006">
          <mc:Choice Requires="x14">
            <control shapeId="1450034" r:id="rId53" name="Check Box 50">
              <controlPr defaultSize="0" autoFill="0" autoLine="0" autoPict="0">
                <anchor moveWithCells="1">
                  <from>
                    <xdr:col>5</xdr:col>
                    <xdr:colOff>9525</xdr:colOff>
                    <xdr:row>14</xdr:row>
                    <xdr:rowOff>190500</xdr:rowOff>
                  </from>
                  <to>
                    <xdr:col>6</xdr:col>
                    <xdr:colOff>104775</xdr:colOff>
                    <xdr:row>15</xdr:row>
                    <xdr:rowOff>0</xdr:rowOff>
                  </to>
                </anchor>
              </controlPr>
            </control>
          </mc:Choice>
        </mc:AlternateContent>
        <mc:AlternateContent xmlns:mc="http://schemas.openxmlformats.org/markup-compatibility/2006">
          <mc:Choice Requires="x14">
            <control shapeId="1450035" r:id="rId54" name="Check Box 51">
              <controlPr defaultSize="0" autoFill="0" autoLine="0" autoPict="0">
                <anchor moveWithCells="1">
                  <from>
                    <xdr:col>5</xdr:col>
                    <xdr:colOff>9525</xdr:colOff>
                    <xdr:row>15</xdr:row>
                    <xdr:rowOff>0</xdr:rowOff>
                  </from>
                  <to>
                    <xdr:col>5</xdr:col>
                    <xdr:colOff>904875</xdr:colOff>
                    <xdr:row>15</xdr:row>
                    <xdr:rowOff>238125</xdr:rowOff>
                  </to>
                </anchor>
              </controlPr>
            </control>
          </mc:Choice>
        </mc:AlternateContent>
        <mc:AlternateContent xmlns:mc="http://schemas.openxmlformats.org/markup-compatibility/2006">
          <mc:Choice Requires="x14">
            <control shapeId="1450036" r:id="rId55" name="Check Box 52">
              <controlPr defaultSize="0" autoFill="0" autoLine="0" autoPict="0">
                <anchor moveWithCells="1">
                  <from>
                    <xdr:col>5</xdr:col>
                    <xdr:colOff>9525</xdr:colOff>
                    <xdr:row>15</xdr:row>
                    <xdr:rowOff>190500</xdr:rowOff>
                  </from>
                  <to>
                    <xdr:col>6</xdr:col>
                    <xdr:colOff>104775</xdr:colOff>
                    <xdr:row>16</xdr:row>
                    <xdr:rowOff>0</xdr:rowOff>
                  </to>
                </anchor>
              </controlPr>
            </control>
          </mc:Choice>
        </mc:AlternateContent>
        <mc:AlternateContent xmlns:mc="http://schemas.openxmlformats.org/markup-compatibility/2006">
          <mc:Choice Requires="x14">
            <control shapeId="1450037" r:id="rId56" name="Check Box 53">
              <controlPr defaultSize="0" autoFill="0" autoLine="0" autoPict="0">
                <anchor moveWithCells="1">
                  <from>
                    <xdr:col>5</xdr:col>
                    <xdr:colOff>9525</xdr:colOff>
                    <xdr:row>16</xdr:row>
                    <xdr:rowOff>0</xdr:rowOff>
                  </from>
                  <to>
                    <xdr:col>5</xdr:col>
                    <xdr:colOff>904875</xdr:colOff>
                    <xdr:row>16</xdr:row>
                    <xdr:rowOff>238125</xdr:rowOff>
                  </to>
                </anchor>
              </controlPr>
            </control>
          </mc:Choice>
        </mc:AlternateContent>
        <mc:AlternateContent xmlns:mc="http://schemas.openxmlformats.org/markup-compatibility/2006">
          <mc:Choice Requires="x14">
            <control shapeId="1450038" r:id="rId57" name="Check Box 54">
              <controlPr defaultSize="0" autoFill="0" autoLine="0" autoPict="0">
                <anchor moveWithCells="1">
                  <from>
                    <xdr:col>5</xdr:col>
                    <xdr:colOff>9525</xdr:colOff>
                    <xdr:row>16</xdr:row>
                    <xdr:rowOff>190500</xdr:rowOff>
                  </from>
                  <to>
                    <xdr:col>6</xdr:col>
                    <xdr:colOff>104775</xdr:colOff>
                    <xdr:row>17</xdr:row>
                    <xdr:rowOff>0</xdr:rowOff>
                  </to>
                </anchor>
              </controlPr>
            </control>
          </mc:Choice>
        </mc:AlternateContent>
        <mc:AlternateContent xmlns:mc="http://schemas.openxmlformats.org/markup-compatibility/2006">
          <mc:Choice Requires="x14">
            <control shapeId="1450039" r:id="rId58" name="Check Box 55">
              <controlPr defaultSize="0" autoFill="0" autoLine="0" autoPict="0">
                <anchor moveWithCells="1">
                  <from>
                    <xdr:col>5</xdr:col>
                    <xdr:colOff>9525</xdr:colOff>
                    <xdr:row>17</xdr:row>
                    <xdr:rowOff>0</xdr:rowOff>
                  </from>
                  <to>
                    <xdr:col>5</xdr:col>
                    <xdr:colOff>904875</xdr:colOff>
                    <xdr:row>17</xdr:row>
                    <xdr:rowOff>238125</xdr:rowOff>
                  </to>
                </anchor>
              </controlPr>
            </control>
          </mc:Choice>
        </mc:AlternateContent>
        <mc:AlternateContent xmlns:mc="http://schemas.openxmlformats.org/markup-compatibility/2006">
          <mc:Choice Requires="x14">
            <control shapeId="1450040" r:id="rId59" name="Check Box 56">
              <controlPr defaultSize="0" autoFill="0" autoLine="0" autoPict="0">
                <anchor moveWithCells="1">
                  <from>
                    <xdr:col>5</xdr:col>
                    <xdr:colOff>9525</xdr:colOff>
                    <xdr:row>17</xdr:row>
                    <xdr:rowOff>190500</xdr:rowOff>
                  </from>
                  <to>
                    <xdr:col>6</xdr:col>
                    <xdr:colOff>104775</xdr:colOff>
                    <xdr:row>18</xdr:row>
                    <xdr:rowOff>0</xdr:rowOff>
                  </to>
                </anchor>
              </controlPr>
            </control>
          </mc:Choice>
        </mc:AlternateContent>
        <mc:AlternateContent xmlns:mc="http://schemas.openxmlformats.org/markup-compatibility/2006">
          <mc:Choice Requires="x14">
            <control shapeId="1450041" r:id="rId60" name="Check Box 57">
              <controlPr defaultSize="0" autoFill="0" autoLine="0" autoPict="0">
                <anchor moveWithCells="1">
                  <from>
                    <xdr:col>5</xdr:col>
                    <xdr:colOff>9525</xdr:colOff>
                    <xdr:row>18</xdr:row>
                    <xdr:rowOff>0</xdr:rowOff>
                  </from>
                  <to>
                    <xdr:col>5</xdr:col>
                    <xdr:colOff>904875</xdr:colOff>
                    <xdr:row>18</xdr:row>
                    <xdr:rowOff>238125</xdr:rowOff>
                  </to>
                </anchor>
              </controlPr>
            </control>
          </mc:Choice>
        </mc:AlternateContent>
        <mc:AlternateContent xmlns:mc="http://schemas.openxmlformats.org/markup-compatibility/2006">
          <mc:Choice Requires="x14">
            <control shapeId="1450042" r:id="rId61" name="Check Box 58">
              <controlPr defaultSize="0" autoFill="0" autoLine="0" autoPict="0">
                <anchor moveWithCells="1">
                  <from>
                    <xdr:col>5</xdr:col>
                    <xdr:colOff>9525</xdr:colOff>
                    <xdr:row>18</xdr:row>
                    <xdr:rowOff>190500</xdr:rowOff>
                  </from>
                  <to>
                    <xdr:col>6</xdr:col>
                    <xdr:colOff>104775</xdr:colOff>
                    <xdr:row>19</xdr:row>
                    <xdr:rowOff>0</xdr:rowOff>
                  </to>
                </anchor>
              </controlPr>
            </control>
          </mc:Choice>
        </mc:AlternateContent>
        <mc:AlternateContent xmlns:mc="http://schemas.openxmlformats.org/markup-compatibility/2006">
          <mc:Choice Requires="x14">
            <control shapeId="1450043" r:id="rId62" name="Check Box 59">
              <controlPr defaultSize="0" autoFill="0" autoLine="0" autoPict="0">
                <anchor moveWithCells="1">
                  <from>
                    <xdr:col>5</xdr:col>
                    <xdr:colOff>9525</xdr:colOff>
                    <xdr:row>19</xdr:row>
                    <xdr:rowOff>0</xdr:rowOff>
                  </from>
                  <to>
                    <xdr:col>5</xdr:col>
                    <xdr:colOff>904875</xdr:colOff>
                    <xdr:row>19</xdr:row>
                    <xdr:rowOff>238125</xdr:rowOff>
                  </to>
                </anchor>
              </controlPr>
            </control>
          </mc:Choice>
        </mc:AlternateContent>
        <mc:AlternateContent xmlns:mc="http://schemas.openxmlformats.org/markup-compatibility/2006">
          <mc:Choice Requires="x14">
            <control shapeId="1450044" r:id="rId63" name="Check Box 60">
              <controlPr defaultSize="0" autoFill="0" autoLine="0" autoPict="0">
                <anchor moveWithCells="1">
                  <from>
                    <xdr:col>5</xdr:col>
                    <xdr:colOff>9525</xdr:colOff>
                    <xdr:row>19</xdr:row>
                    <xdr:rowOff>190500</xdr:rowOff>
                  </from>
                  <to>
                    <xdr:col>6</xdr:col>
                    <xdr:colOff>104775</xdr:colOff>
                    <xdr:row>20</xdr:row>
                    <xdr:rowOff>0</xdr:rowOff>
                  </to>
                </anchor>
              </controlPr>
            </control>
          </mc:Choice>
        </mc:AlternateContent>
        <mc:AlternateContent xmlns:mc="http://schemas.openxmlformats.org/markup-compatibility/2006">
          <mc:Choice Requires="x14">
            <control shapeId="1450045" r:id="rId64" name="Check Box 61">
              <controlPr defaultSize="0" autoFill="0" autoLine="0" autoPict="0">
                <anchor moveWithCells="1">
                  <from>
                    <xdr:col>5</xdr:col>
                    <xdr:colOff>9525</xdr:colOff>
                    <xdr:row>20</xdr:row>
                    <xdr:rowOff>0</xdr:rowOff>
                  </from>
                  <to>
                    <xdr:col>5</xdr:col>
                    <xdr:colOff>904875</xdr:colOff>
                    <xdr:row>20</xdr:row>
                    <xdr:rowOff>238125</xdr:rowOff>
                  </to>
                </anchor>
              </controlPr>
            </control>
          </mc:Choice>
        </mc:AlternateContent>
        <mc:AlternateContent xmlns:mc="http://schemas.openxmlformats.org/markup-compatibility/2006">
          <mc:Choice Requires="x14">
            <control shapeId="1450046" r:id="rId65" name="Check Box 62">
              <controlPr defaultSize="0" autoFill="0" autoLine="0" autoPict="0">
                <anchor moveWithCells="1">
                  <from>
                    <xdr:col>5</xdr:col>
                    <xdr:colOff>9525</xdr:colOff>
                    <xdr:row>20</xdr:row>
                    <xdr:rowOff>190500</xdr:rowOff>
                  </from>
                  <to>
                    <xdr:col>6</xdr:col>
                    <xdr:colOff>104775</xdr:colOff>
                    <xdr:row>21</xdr:row>
                    <xdr:rowOff>0</xdr:rowOff>
                  </to>
                </anchor>
              </controlPr>
            </control>
          </mc:Choice>
        </mc:AlternateContent>
        <mc:AlternateContent xmlns:mc="http://schemas.openxmlformats.org/markup-compatibility/2006">
          <mc:Choice Requires="x14">
            <control shapeId="1450047" r:id="rId66" name="Check Box 63">
              <controlPr defaultSize="0" autoFill="0" autoLine="0" autoPict="0">
                <anchor moveWithCells="1">
                  <from>
                    <xdr:col>4</xdr:col>
                    <xdr:colOff>590550</xdr:colOff>
                    <xdr:row>12</xdr:row>
                    <xdr:rowOff>95250</xdr:rowOff>
                  </from>
                  <to>
                    <xdr:col>4</xdr:col>
                    <xdr:colOff>1314450</xdr:colOff>
                    <xdr:row>12</xdr:row>
                    <xdr:rowOff>333375</xdr:rowOff>
                  </to>
                </anchor>
              </controlPr>
            </control>
          </mc:Choice>
        </mc:AlternateContent>
        <mc:AlternateContent xmlns:mc="http://schemas.openxmlformats.org/markup-compatibility/2006">
          <mc:Choice Requires="x14">
            <control shapeId="1450048" r:id="rId67" name="Check Box 64">
              <controlPr defaultSize="0" autoFill="0" autoLine="0" autoPict="0">
                <anchor moveWithCells="1">
                  <from>
                    <xdr:col>4</xdr:col>
                    <xdr:colOff>590550</xdr:colOff>
                    <xdr:row>13</xdr:row>
                    <xdr:rowOff>95250</xdr:rowOff>
                  </from>
                  <to>
                    <xdr:col>4</xdr:col>
                    <xdr:colOff>1314450</xdr:colOff>
                    <xdr:row>13</xdr:row>
                    <xdr:rowOff>333375</xdr:rowOff>
                  </to>
                </anchor>
              </controlPr>
            </control>
          </mc:Choice>
        </mc:AlternateContent>
        <mc:AlternateContent xmlns:mc="http://schemas.openxmlformats.org/markup-compatibility/2006">
          <mc:Choice Requires="x14">
            <control shapeId="1450049" r:id="rId68" name="Check Box 65">
              <controlPr defaultSize="0" autoFill="0" autoLine="0" autoPict="0">
                <anchor moveWithCells="1">
                  <from>
                    <xdr:col>4</xdr:col>
                    <xdr:colOff>590550</xdr:colOff>
                    <xdr:row>14</xdr:row>
                    <xdr:rowOff>95250</xdr:rowOff>
                  </from>
                  <to>
                    <xdr:col>4</xdr:col>
                    <xdr:colOff>1314450</xdr:colOff>
                    <xdr:row>14</xdr:row>
                    <xdr:rowOff>333375</xdr:rowOff>
                  </to>
                </anchor>
              </controlPr>
            </control>
          </mc:Choice>
        </mc:AlternateContent>
        <mc:AlternateContent xmlns:mc="http://schemas.openxmlformats.org/markup-compatibility/2006">
          <mc:Choice Requires="x14">
            <control shapeId="1450050" r:id="rId69" name="Check Box 66">
              <controlPr defaultSize="0" autoFill="0" autoLine="0" autoPict="0">
                <anchor moveWithCells="1">
                  <from>
                    <xdr:col>4</xdr:col>
                    <xdr:colOff>590550</xdr:colOff>
                    <xdr:row>15</xdr:row>
                    <xdr:rowOff>95250</xdr:rowOff>
                  </from>
                  <to>
                    <xdr:col>4</xdr:col>
                    <xdr:colOff>1314450</xdr:colOff>
                    <xdr:row>15</xdr:row>
                    <xdr:rowOff>333375</xdr:rowOff>
                  </to>
                </anchor>
              </controlPr>
            </control>
          </mc:Choice>
        </mc:AlternateContent>
        <mc:AlternateContent xmlns:mc="http://schemas.openxmlformats.org/markup-compatibility/2006">
          <mc:Choice Requires="x14">
            <control shapeId="1450051" r:id="rId70" name="Check Box 67">
              <controlPr defaultSize="0" autoFill="0" autoLine="0" autoPict="0">
                <anchor moveWithCells="1">
                  <from>
                    <xdr:col>4</xdr:col>
                    <xdr:colOff>590550</xdr:colOff>
                    <xdr:row>16</xdr:row>
                    <xdr:rowOff>85725</xdr:rowOff>
                  </from>
                  <to>
                    <xdr:col>4</xdr:col>
                    <xdr:colOff>1314450</xdr:colOff>
                    <xdr:row>16</xdr:row>
                    <xdr:rowOff>323850</xdr:rowOff>
                  </to>
                </anchor>
              </controlPr>
            </control>
          </mc:Choice>
        </mc:AlternateContent>
        <mc:AlternateContent xmlns:mc="http://schemas.openxmlformats.org/markup-compatibility/2006">
          <mc:Choice Requires="x14">
            <control shapeId="1450052" r:id="rId71" name="Check Box 68">
              <controlPr defaultSize="0" autoFill="0" autoLine="0" autoPict="0">
                <anchor moveWithCells="1">
                  <from>
                    <xdr:col>4</xdr:col>
                    <xdr:colOff>590550</xdr:colOff>
                    <xdr:row>17</xdr:row>
                    <xdr:rowOff>85725</xdr:rowOff>
                  </from>
                  <to>
                    <xdr:col>4</xdr:col>
                    <xdr:colOff>1314450</xdr:colOff>
                    <xdr:row>17</xdr:row>
                    <xdr:rowOff>323850</xdr:rowOff>
                  </to>
                </anchor>
              </controlPr>
            </control>
          </mc:Choice>
        </mc:AlternateContent>
        <mc:AlternateContent xmlns:mc="http://schemas.openxmlformats.org/markup-compatibility/2006">
          <mc:Choice Requires="x14">
            <control shapeId="1450053" r:id="rId72" name="Check Box 69">
              <controlPr defaultSize="0" autoFill="0" autoLine="0" autoPict="0">
                <anchor moveWithCells="1">
                  <from>
                    <xdr:col>4</xdr:col>
                    <xdr:colOff>590550</xdr:colOff>
                    <xdr:row>18</xdr:row>
                    <xdr:rowOff>85725</xdr:rowOff>
                  </from>
                  <to>
                    <xdr:col>4</xdr:col>
                    <xdr:colOff>1314450</xdr:colOff>
                    <xdr:row>18</xdr:row>
                    <xdr:rowOff>323850</xdr:rowOff>
                  </to>
                </anchor>
              </controlPr>
            </control>
          </mc:Choice>
        </mc:AlternateContent>
        <mc:AlternateContent xmlns:mc="http://schemas.openxmlformats.org/markup-compatibility/2006">
          <mc:Choice Requires="x14">
            <control shapeId="1450054" r:id="rId73" name="Check Box 70">
              <controlPr defaultSize="0" autoFill="0" autoLine="0" autoPict="0">
                <anchor moveWithCells="1">
                  <from>
                    <xdr:col>4</xdr:col>
                    <xdr:colOff>590550</xdr:colOff>
                    <xdr:row>19</xdr:row>
                    <xdr:rowOff>85725</xdr:rowOff>
                  </from>
                  <to>
                    <xdr:col>4</xdr:col>
                    <xdr:colOff>1314450</xdr:colOff>
                    <xdr:row>19</xdr:row>
                    <xdr:rowOff>323850</xdr:rowOff>
                  </to>
                </anchor>
              </controlPr>
            </control>
          </mc:Choice>
        </mc:AlternateContent>
        <mc:AlternateContent xmlns:mc="http://schemas.openxmlformats.org/markup-compatibility/2006">
          <mc:Choice Requires="x14">
            <control shapeId="1450055" r:id="rId74" name="Check Box 71">
              <controlPr defaultSize="0" autoFill="0" autoLine="0" autoPict="0">
                <anchor moveWithCells="1">
                  <from>
                    <xdr:col>4</xdr:col>
                    <xdr:colOff>590550</xdr:colOff>
                    <xdr:row>20</xdr:row>
                    <xdr:rowOff>85725</xdr:rowOff>
                  </from>
                  <to>
                    <xdr:col>4</xdr:col>
                    <xdr:colOff>1314450</xdr:colOff>
                    <xdr:row>20</xdr:row>
                    <xdr:rowOff>323850</xdr:rowOff>
                  </to>
                </anchor>
              </controlPr>
            </control>
          </mc:Choice>
        </mc:AlternateContent>
        <mc:AlternateContent xmlns:mc="http://schemas.openxmlformats.org/markup-compatibility/2006">
          <mc:Choice Requires="x14">
            <control shapeId="1450056" r:id="rId75" name="Check Box 72">
              <controlPr defaultSize="0" autoFill="0" autoLine="0" autoPict="0">
                <anchor moveWithCells="1">
                  <from>
                    <xdr:col>3</xdr:col>
                    <xdr:colOff>676275</xdr:colOff>
                    <xdr:row>7</xdr:row>
                    <xdr:rowOff>190500</xdr:rowOff>
                  </from>
                  <to>
                    <xdr:col>4</xdr:col>
                    <xdr:colOff>0</xdr:colOff>
                    <xdr:row>8</xdr:row>
                    <xdr:rowOff>0</xdr:rowOff>
                  </to>
                </anchor>
              </controlPr>
            </control>
          </mc:Choice>
        </mc:AlternateContent>
        <mc:AlternateContent xmlns:mc="http://schemas.openxmlformats.org/markup-compatibility/2006">
          <mc:Choice Requires="x14">
            <control shapeId="1450057" r:id="rId76" name="Check Box 73">
              <controlPr defaultSize="0" autoFill="0" autoLine="0" autoPict="0">
                <anchor moveWithCells="1">
                  <from>
                    <xdr:col>2</xdr:col>
                    <xdr:colOff>0</xdr:colOff>
                    <xdr:row>7</xdr:row>
                    <xdr:rowOff>190500</xdr:rowOff>
                  </from>
                  <to>
                    <xdr:col>2</xdr:col>
                    <xdr:colOff>771525</xdr:colOff>
                    <xdr:row>8</xdr:row>
                    <xdr:rowOff>0</xdr:rowOff>
                  </to>
                </anchor>
              </controlPr>
            </control>
          </mc:Choice>
        </mc:AlternateContent>
        <mc:AlternateContent xmlns:mc="http://schemas.openxmlformats.org/markup-compatibility/2006">
          <mc:Choice Requires="x14">
            <control shapeId="1450058" r:id="rId77" name="Check Box 74">
              <controlPr defaultSize="0" autoFill="0" autoLine="0" autoPict="0">
                <anchor moveWithCells="1">
                  <from>
                    <xdr:col>2</xdr:col>
                    <xdr:colOff>704850</xdr:colOff>
                    <xdr:row>7</xdr:row>
                    <xdr:rowOff>190500</xdr:rowOff>
                  </from>
                  <to>
                    <xdr:col>3</xdr:col>
                    <xdr:colOff>0</xdr:colOff>
                    <xdr:row>8</xdr:row>
                    <xdr:rowOff>0</xdr:rowOff>
                  </to>
                </anchor>
              </controlPr>
            </control>
          </mc:Choice>
        </mc:AlternateContent>
        <mc:AlternateContent xmlns:mc="http://schemas.openxmlformats.org/markup-compatibility/2006">
          <mc:Choice Requires="x14">
            <control shapeId="1450059" r:id="rId78" name="Check Box 75">
              <controlPr defaultSize="0" autoFill="0" autoLine="0" autoPict="0">
                <anchor moveWithCells="1">
                  <from>
                    <xdr:col>1</xdr:col>
                    <xdr:colOff>9525</xdr:colOff>
                    <xdr:row>7</xdr:row>
                    <xdr:rowOff>190500</xdr:rowOff>
                  </from>
                  <to>
                    <xdr:col>1</xdr:col>
                    <xdr:colOff>781050</xdr:colOff>
                    <xdr:row>8</xdr:row>
                    <xdr:rowOff>0</xdr:rowOff>
                  </to>
                </anchor>
              </controlPr>
            </control>
          </mc:Choice>
        </mc:AlternateContent>
        <mc:AlternateContent xmlns:mc="http://schemas.openxmlformats.org/markup-compatibility/2006">
          <mc:Choice Requires="x14">
            <control shapeId="1450060" r:id="rId79" name="Check Box 76">
              <controlPr defaultSize="0" autoFill="0" autoLine="0" autoPict="0">
                <anchor moveWithCells="1">
                  <from>
                    <xdr:col>1</xdr:col>
                    <xdr:colOff>0</xdr:colOff>
                    <xdr:row>8</xdr:row>
                    <xdr:rowOff>190500</xdr:rowOff>
                  </from>
                  <to>
                    <xdr:col>1</xdr:col>
                    <xdr:colOff>771525</xdr:colOff>
                    <xdr:row>9</xdr:row>
                    <xdr:rowOff>0</xdr:rowOff>
                  </to>
                </anchor>
              </controlPr>
            </control>
          </mc:Choice>
        </mc:AlternateContent>
        <mc:AlternateContent xmlns:mc="http://schemas.openxmlformats.org/markup-compatibility/2006">
          <mc:Choice Requires="x14">
            <control shapeId="1450061" r:id="rId80" name="Check Box 77">
              <controlPr defaultSize="0" autoFill="0" autoLine="0" autoPict="0">
                <anchor moveWithCells="1">
                  <from>
                    <xdr:col>1</xdr:col>
                    <xdr:colOff>1685925</xdr:colOff>
                    <xdr:row>8</xdr:row>
                    <xdr:rowOff>200025</xdr:rowOff>
                  </from>
                  <to>
                    <xdr:col>2</xdr:col>
                    <xdr:colOff>771525</xdr:colOff>
                    <xdr:row>9</xdr:row>
                    <xdr:rowOff>9525</xdr:rowOff>
                  </to>
                </anchor>
              </controlPr>
            </control>
          </mc:Choice>
        </mc:AlternateContent>
        <mc:AlternateContent xmlns:mc="http://schemas.openxmlformats.org/markup-compatibility/2006">
          <mc:Choice Requires="x14">
            <control shapeId="1450062" r:id="rId81" name="Check Box 78">
              <controlPr defaultSize="0" autoFill="0" autoLine="0" autoPict="0">
                <anchor moveWithCells="1">
                  <from>
                    <xdr:col>2</xdr:col>
                    <xdr:colOff>695325</xdr:colOff>
                    <xdr:row>8</xdr:row>
                    <xdr:rowOff>200025</xdr:rowOff>
                  </from>
                  <to>
                    <xdr:col>2</xdr:col>
                    <xdr:colOff>1590675</xdr:colOff>
                    <xdr:row>9</xdr:row>
                    <xdr:rowOff>9525</xdr:rowOff>
                  </to>
                </anchor>
              </controlPr>
            </control>
          </mc:Choice>
        </mc:AlternateContent>
        <mc:AlternateContent xmlns:mc="http://schemas.openxmlformats.org/markup-compatibility/2006">
          <mc:Choice Requires="x14">
            <control shapeId="1450063" r:id="rId82" name="Check Box 79">
              <controlPr defaultSize="0" autoFill="0" autoLine="0" autoPict="0">
                <anchor moveWithCells="1">
                  <from>
                    <xdr:col>3</xdr:col>
                    <xdr:colOff>0</xdr:colOff>
                    <xdr:row>8</xdr:row>
                    <xdr:rowOff>209550</xdr:rowOff>
                  </from>
                  <to>
                    <xdr:col>3</xdr:col>
                    <xdr:colOff>771525</xdr:colOff>
                    <xdr:row>9</xdr:row>
                    <xdr:rowOff>19050</xdr:rowOff>
                  </to>
                </anchor>
              </controlPr>
            </control>
          </mc:Choice>
        </mc:AlternateContent>
        <mc:AlternateContent xmlns:mc="http://schemas.openxmlformats.org/markup-compatibility/2006">
          <mc:Choice Requires="x14">
            <control shapeId="1450064" r:id="rId83" name="Check Box 80">
              <controlPr defaultSize="0" autoFill="0" autoLine="0" autoPict="0">
                <anchor moveWithCells="1">
                  <from>
                    <xdr:col>3</xdr:col>
                    <xdr:colOff>676275</xdr:colOff>
                    <xdr:row>8</xdr:row>
                    <xdr:rowOff>209550</xdr:rowOff>
                  </from>
                  <to>
                    <xdr:col>4</xdr:col>
                    <xdr:colOff>0</xdr:colOff>
                    <xdr:row>9</xdr:row>
                    <xdr:rowOff>19050</xdr:rowOff>
                  </to>
                </anchor>
              </controlPr>
            </control>
          </mc:Choice>
        </mc:AlternateContent>
        <mc:AlternateContent xmlns:mc="http://schemas.openxmlformats.org/markup-compatibility/2006">
          <mc:Choice Requires="x14">
            <control shapeId="1450065" r:id="rId84" name="Check Box 81">
              <controlPr defaultSize="0" autoFill="0" autoLine="0" autoPict="0">
                <anchor moveWithCells="1">
                  <from>
                    <xdr:col>4</xdr:col>
                    <xdr:colOff>9525</xdr:colOff>
                    <xdr:row>8</xdr:row>
                    <xdr:rowOff>200025</xdr:rowOff>
                  </from>
                  <to>
                    <xdr:col>4</xdr:col>
                    <xdr:colOff>781050</xdr:colOff>
                    <xdr:row>9</xdr:row>
                    <xdr:rowOff>9525</xdr:rowOff>
                  </to>
                </anchor>
              </controlPr>
            </control>
          </mc:Choice>
        </mc:AlternateContent>
        <mc:AlternateContent xmlns:mc="http://schemas.openxmlformats.org/markup-compatibility/2006">
          <mc:Choice Requires="x14">
            <control shapeId="1450066" r:id="rId85" name="Check Box 82">
              <controlPr defaultSize="0" autoFill="0" autoLine="0" autoPict="0">
                <anchor moveWithCells="1">
                  <from>
                    <xdr:col>4</xdr:col>
                    <xdr:colOff>733425</xdr:colOff>
                    <xdr:row>8</xdr:row>
                    <xdr:rowOff>200025</xdr:rowOff>
                  </from>
                  <to>
                    <xdr:col>5</xdr:col>
                    <xdr:colOff>0</xdr:colOff>
                    <xdr:row>9</xdr:row>
                    <xdr:rowOff>9525</xdr:rowOff>
                  </to>
                </anchor>
              </controlPr>
            </control>
          </mc:Choice>
        </mc:AlternateContent>
        <mc:AlternateContent xmlns:mc="http://schemas.openxmlformats.org/markup-compatibility/2006">
          <mc:Choice Requires="x14">
            <control shapeId="1450067" r:id="rId86" name="Check Box 83">
              <controlPr defaultSize="0" autoFill="0" autoLine="0" autoPict="0">
                <anchor moveWithCells="1">
                  <from>
                    <xdr:col>5</xdr:col>
                    <xdr:colOff>9525</xdr:colOff>
                    <xdr:row>7</xdr:row>
                    <xdr:rowOff>190500</xdr:rowOff>
                  </from>
                  <to>
                    <xdr:col>5</xdr:col>
                    <xdr:colOff>781050</xdr:colOff>
                    <xdr:row>8</xdr:row>
                    <xdr:rowOff>0</xdr:rowOff>
                  </to>
                </anchor>
              </controlPr>
            </control>
          </mc:Choice>
        </mc:AlternateContent>
        <mc:AlternateContent xmlns:mc="http://schemas.openxmlformats.org/markup-compatibility/2006">
          <mc:Choice Requires="x14">
            <control shapeId="1450068" r:id="rId87" name="Check Box 84">
              <controlPr defaultSize="0" autoFill="0" autoLine="0" autoPict="0">
                <anchor moveWithCells="1">
                  <from>
                    <xdr:col>4</xdr:col>
                    <xdr:colOff>0</xdr:colOff>
                    <xdr:row>7</xdr:row>
                    <xdr:rowOff>190500</xdr:rowOff>
                  </from>
                  <to>
                    <xdr:col>4</xdr:col>
                    <xdr:colOff>771525</xdr:colOff>
                    <xdr:row>8</xdr:row>
                    <xdr:rowOff>0</xdr:rowOff>
                  </to>
                </anchor>
              </controlPr>
            </control>
          </mc:Choice>
        </mc:AlternateContent>
        <mc:AlternateContent xmlns:mc="http://schemas.openxmlformats.org/markup-compatibility/2006">
          <mc:Choice Requires="x14">
            <control shapeId="1450069" r:id="rId88" name="Check Box 85">
              <controlPr defaultSize="0" autoFill="0" autoLine="0" autoPict="0">
                <anchor moveWithCells="1">
                  <from>
                    <xdr:col>4</xdr:col>
                    <xdr:colOff>733425</xdr:colOff>
                    <xdr:row>7</xdr:row>
                    <xdr:rowOff>190500</xdr:rowOff>
                  </from>
                  <to>
                    <xdr:col>5</xdr:col>
                    <xdr:colOff>0</xdr:colOff>
                    <xdr:row>8</xdr:row>
                    <xdr:rowOff>0</xdr:rowOff>
                  </to>
                </anchor>
              </controlPr>
            </control>
          </mc:Choice>
        </mc:AlternateContent>
        <mc:AlternateContent xmlns:mc="http://schemas.openxmlformats.org/markup-compatibility/2006">
          <mc:Choice Requires="x14">
            <control shapeId="1450070" r:id="rId89" name="Check Box 86">
              <controlPr defaultSize="0" autoFill="0" autoLine="0" autoPict="0">
                <anchor moveWithCells="1">
                  <from>
                    <xdr:col>7</xdr:col>
                    <xdr:colOff>0</xdr:colOff>
                    <xdr:row>7</xdr:row>
                    <xdr:rowOff>190500</xdr:rowOff>
                  </from>
                  <to>
                    <xdr:col>7</xdr:col>
                    <xdr:colOff>771525</xdr:colOff>
                    <xdr:row>8</xdr:row>
                    <xdr:rowOff>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7BC4B-65CA-48EB-A258-23A838297392}">
  <dimension ref="A1:L17"/>
  <sheetViews>
    <sheetView showGridLines="0" view="pageBreakPreview" zoomScaleNormal="100" zoomScaleSheetLayoutView="100" workbookViewId="0">
      <selection activeCell="D32" sqref="D32"/>
    </sheetView>
  </sheetViews>
  <sheetFormatPr baseColWidth="10" defaultColWidth="0" defaultRowHeight="12.75" customHeight="1"/>
  <cols>
    <col min="1" max="1" width="1.5703125" style="945" customWidth="1"/>
    <col min="2" max="2" width="20.28515625" style="945" customWidth="1"/>
    <col min="3" max="3" width="15.5703125" style="945" customWidth="1"/>
    <col min="4" max="4" width="16.7109375" style="945" customWidth="1"/>
    <col min="5" max="5" width="13.5703125" style="945" customWidth="1"/>
    <col min="6" max="6" width="1.7109375" style="945" customWidth="1"/>
    <col min="7" max="7" width="11.85546875" style="945" customWidth="1"/>
    <col min="8" max="8" width="8.42578125" style="945" customWidth="1"/>
    <col min="9" max="9" width="2.28515625" style="945" customWidth="1"/>
    <col min="10" max="12" width="0" style="945" hidden="1" customWidth="1"/>
    <col min="13" max="16384" width="11.42578125" style="945" hidden="1"/>
  </cols>
  <sheetData>
    <row r="1" spans="2:8" ht="6.75" customHeight="1"/>
    <row r="2" spans="2:8" s="947" customFormat="1" ht="48" customHeight="1">
      <c r="B2" s="1325"/>
      <c r="C2" s="2572" t="s">
        <v>1724</v>
      </c>
      <c r="D2" s="2573"/>
      <c r="E2" s="2573"/>
      <c r="F2" s="2573"/>
      <c r="G2" s="2573"/>
      <c r="H2" s="2574"/>
    </row>
    <row r="3" spans="2:8" s="947" customFormat="1" ht="20.25" customHeight="1">
      <c r="B3" s="2473"/>
      <c r="C3" s="2473"/>
      <c r="D3" s="2473"/>
      <c r="E3" s="2473"/>
      <c r="F3" s="2473"/>
      <c r="G3" s="2473"/>
      <c r="H3" s="2473"/>
    </row>
    <row r="4" spans="2:8" hidden="1"/>
    <row r="5" spans="2:8" hidden="1"/>
    <row r="6" spans="2:8" hidden="1"/>
    <row r="7" spans="2:8" hidden="1"/>
    <row r="8" spans="2:8" hidden="1"/>
    <row r="9" spans="2:8" hidden="1"/>
    <row r="10" spans="2:8" ht="20.25" hidden="1">
      <c r="B10" s="1539" t="s">
        <v>1725</v>
      </c>
    </row>
    <row r="15" spans="2:8" ht="12.75" customHeight="1">
      <c r="B15" s="992"/>
      <c r="C15" s="1001"/>
      <c r="D15" s="1001"/>
      <c r="E15" s="1001"/>
      <c r="F15" s="1001"/>
      <c r="G15" s="1001"/>
      <c r="H15" s="1001"/>
    </row>
    <row r="17" spans="2:2" ht="15.75">
      <c r="B17" s="1541" t="s">
        <v>1728</v>
      </c>
    </row>
  </sheetData>
  <mergeCells count="2">
    <mergeCell ref="B3:H3"/>
    <mergeCell ref="C2:H2"/>
  </mergeCells>
  <printOptions horizontalCentered="1"/>
  <pageMargins left="0.59055118110236227" right="0.59055118110236227" top="0.59055118110236227" bottom="0.59055118110236227" header="0" footer="0"/>
  <pageSetup paperSize="9" scale="94" fitToWidth="0" orientation="portrait" r:id="rId1"/>
  <headerFooter alignWithMargins="0">
    <oddFooter>&amp;LEdité le &amp;D&amp;C&amp;P/&amp;N</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Feuil62">
    <pageSetUpPr fitToPage="1"/>
  </sheetPr>
  <dimension ref="A1:F47"/>
  <sheetViews>
    <sheetView showGridLines="0" view="pageBreakPreview" zoomScaleNormal="100" zoomScaleSheetLayoutView="100" workbookViewId="0">
      <selection activeCell="B19" sqref="B19"/>
    </sheetView>
  </sheetViews>
  <sheetFormatPr baseColWidth="10" defaultRowHeight="12.75"/>
  <cols>
    <col min="1" max="1" width="15.7109375" style="21" customWidth="1"/>
    <col min="2" max="6" width="11.7109375" style="21" customWidth="1"/>
  </cols>
  <sheetData>
    <row r="1" spans="1:6" ht="23.25">
      <c r="A1" s="114"/>
      <c r="B1" s="1747" t="s">
        <v>455</v>
      </c>
      <c r="C1" s="1747"/>
      <c r="D1" s="1747"/>
      <c r="E1" s="1747"/>
      <c r="F1" s="684">
        <v>7</v>
      </c>
    </row>
    <row r="13" spans="1:6" ht="54.75" customHeight="1"/>
    <row r="19" spans="2:5" ht="23.25">
      <c r="B19" s="1326" t="s">
        <v>861</v>
      </c>
      <c r="C19" s="685"/>
      <c r="D19" s="115"/>
      <c r="E19" s="115"/>
    </row>
    <row r="21" spans="2:5">
      <c r="B21" s="39" t="s">
        <v>1072</v>
      </c>
    </row>
    <row r="22" spans="2:5">
      <c r="B22" s="39" t="s">
        <v>862</v>
      </c>
    </row>
    <row r="23" spans="2:5">
      <c r="B23" s="39" t="s">
        <v>863</v>
      </c>
    </row>
    <row r="24" spans="2:5">
      <c r="B24" s="39"/>
    </row>
    <row r="25" spans="2:5">
      <c r="B25" s="39"/>
    </row>
    <row r="26" spans="2:5">
      <c r="B26" s="39"/>
    </row>
    <row r="27" spans="2:5">
      <c r="B27" s="39"/>
    </row>
    <row r="46" spans="2:2">
      <c r="B46" s="18"/>
    </row>
    <row r="47" spans="2:2">
      <c r="B47"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Feuil52">
    <tabColor indexed="42"/>
    <pageSetUpPr fitToPage="1"/>
  </sheetPr>
  <dimension ref="A1:N55"/>
  <sheetViews>
    <sheetView showGridLines="0" view="pageBreakPreview" zoomScaleNormal="100" workbookViewId="0">
      <selection activeCell="I17" sqref="I17"/>
    </sheetView>
  </sheetViews>
  <sheetFormatPr baseColWidth="10" defaultColWidth="11.42578125" defaultRowHeight="12.75"/>
  <cols>
    <col min="1" max="1" width="4.7109375" style="30" customWidth="1"/>
    <col min="2" max="2" width="14.140625" style="30" customWidth="1"/>
    <col min="3" max="3" width="3.28515625" style="30" customWidth="1"/>
    <col min="4" max="4" width="15.7109375" style="30" customWidth="1"/>
    <col min="5" max="5" width="7" style="30" customWidth="1"/>
    <col min="6" max="6" width="3.85546875" style="30" customWidth="1"/>
    <col min="7" max="7" width="4.5703125" style="30" customWidth="1"/>
    <col min="8" max="8" width="3.85546875" style="30" customWidth="1"/>
    <col min="9" max="9" width="15" style="30" customWidth="1"/>
    <col min="10" max="10" width="4.140625" style="30" bestFit="1" customWidth="1"/>
    <col min="11" max="11" width="2.7109375" style="30" customWidth="1"/>
    <col min="12" max="12" width="4.7109375" style="30" customWidth="1"/>
    <col min="13" max="13" width="1.28515625" style="30" customWidth="1"/>
    <col min="14" max="14" width="2.7109375" style="30" customWidth="1"/>
    <col min="15" max="16384" width="11.42578125" style="30"/>
  </cols>
  <sheetData>
    <row r="1" spans="1:14" ht="116.25" customHeight="1"/>
    <row r="2" spans="1:14">
      <c r="A2" s="130"/>
      <c r="B2" s="197"/>
      <c r="C2" s="197"/>
      <c r="D2" s="197"/>
      <c r="E2" s="197"/>
      <c r="F2" s="130"/>
      <c r="G2" s="130"/>
      <c r="H2" s="30" t="s">
        <v>264</v>
      </c>
      <c r="I2" s="30" t="s">
        <v>651</v>
      </c>
      <c r="J2" s="130" t="s">
        <v>864</v>
      </c>
      <c r="K2" s="2578" t="s">
        <v>865</v>
      </c>
      <c r="L2" s="2578"/>
      <c r="M2" s="2578"/>
    </row>
    <row r="4" spans="1:14" ht="43.5" customHeight="1">
      <c r="H4" s="130"/>
      <c r="I4" s="197"/>
      <c r="J4" s="130"/>
      <c r="K4" s="130"/>
    </row>
    <row r="5" spans="1:14">
      <c r="A5" s="197" t="s">
        <v>866</v>
      </c>
      <c r="B5" s="197"/>
      <c r="C5" s="197"/>
      <c r="D5" s="197"/>
      <c r="E5" s="197"/>
      <c r="F5" s="197"/>
      <c r="G5" s="197"/>
      <c r="H5" s="197"/>
      <c r="I5" s="197"/>
      <c r="J5" s="197"/>
      <c r="K5" s="197"/>
      <c r="L5" s="197"/>
      <c r="M5" s="197"/>
      <c r="N5" s="197"/>
    </row>
    <row r="6" spans="1:14" ht="36" customHeight="1">
      <c r="A6" s="197"/>
      <c r="B6" s="197"/>
      <c r="C6" s="197"/>
      <c r="D6" s="197"/>
      <c r="E6" s="197"/>
      <c r="F6" s="197"/>
      <c r="G6" s="197"/>
      <c r="H6" s="197"/>
      <c r="I6" s="197"/>
      <c r="J6" s="197"/>
      <c r="K6" s="197"/>
      <c r="L6" s="197"/>
      <c r="M6" s="197"/>
      <c r="N6" s="197"/>
    </row>
    <row r="7" spans="1:14" ht="45" customHeight="1">
      <c r="A7" s="2577" t="s">
        <v>1282</v>
      </c>
      <c r="B7" s="2575"/>
      <c r="C7" s="2575"/>
      <c r="D7" s="2575"/>
      <c r="E7" s="2575"/>
      <c r="F7" s="2575"/>
      <c r="G7" s="2575"/>
      <c r="H7" s="2575"/>
      <c r="I7" s="2575"/>
      <c r="J7" s="2575"/>
      <c r="K7" s="2575"/>
      <c r="L7" s="2575"/>
      <c r="M7" s="2575"/>
      <c r="N7" s="197"/>
    </row>
    <row r="8" spans="1:14" s="9" customFormat="1" ht="12.75" customHeight="1">
      <c r="A8" s="487" t="s">
        <v>1281</v>
      </c>
      <c r="B8" s="559"/>
      <c r="C8" s="733" t="str">
        <f>IF(ISBLANK(oAdresseChantier),"",oAdresseChantier)</f>
        <v/>
      </c>
      <c r="D8" s="733"/>
      <c r="E8" s="559"/>
      <c r="F8" s="18"/>
      <c r="G8" s="18"/>
      <c r="H8" s="18"/>
      <c r="I8" s="18"/>
      <c r="J8" s="18"/>
      <c r="K8" s="18"/>
      <c r="L8" s="18"/>
      <c r="M8" s="18"/>
      <c r="N8" s="18"/>
    </row>
    <row r="9" spans="1:14" s="9" customFormat="1">
      <c r="A9" s="18"/>
      <c r="B9" s="559"/>
      <c r="C9" s="733" t="str">
        <f>IF(ISBLANK(oVille),"",oVille)</f>
        <v/>
      </c>
      <c r="D9" s="733"/>
      <c r="E9" s="559"/>
      <c r="F9" s="18"/>
      <c r="G9" s="18"/>
      <c r="H9" s="18"/>
      <c r="I9" s="18"/>
      <c r="J9" s="18"/>
      <c r="K9" s="18"/>
      <c r="L9" s="18"/>
      <c r="M9" s="18"/>
      <c r="N9" s="18"/>
    </row>
    <row r="10" spans="1:14" s="9" customFormat="1">
      <c r="A10" s="487" t="s">
        <v>1280</v>
      </c>
      <c r="B10" s="559"/>
      <c r="C10" s="559"/>
      <c r="D10" s="559"/>
      <c r="E10" s="734" t="str">
        <f>IF(ISBLANK(oMOE),"",oMOE)</f>
        <v/>
      </c>
      <c r="F10" s="734"/>
      <c r="G10" s="734"/>
      <c r="H10" s="18"/>
      <c r="I10" s="18"/>
      <c r="J10" s="18"/>
      <c r="K10" s="18"/>
      <c r="L10" s="18"/>
      <c r="M10" s="18"/>
      <c r="N10" s="18"/>
    </row>
    <row r="11" spans="1:14" s="9" customFormat="1">
      <c r="A11" s="18"/>
      <c r="B11" s="559"/>
      <c r="C11" s="559"/>
      <c r="D11" s="559"/>
      <c r="E11" s="559"/>
      <c r="F11" s="18"/>
      <c r="G11" s="18"/>
      <c r="H11" s="18"/>
      <c r="I11" s="18"/>
      <c r="J11" s="18"/>
      <c r="K11" s="18"/>
      <c r="L11" s="18"/>
      <c r="M11" s="18"/>
      <c r="N11" s="18"/>
    </row>
    <row r="12" spans="1:14" s="9" customFormat="1" ht="45" customHeight="1">
      <c r="A12" s="2577" t="s">
        <v>1534</v>
      </c>
      <c r="B12" s="2575"/>
      <c r="C12" s="2575"/>
      <c r="D12" s="2575"/>
      <c r="E12" s="2575"/>
      <c r="F12" s="2575"/>
      <c r="G12" s="2575"/>
      <c r="H12" s="2575"/>
      <c r="I12" s="2575"/>
      <c r="J12" s="2575"/>
      <c r="K12" s="2575"/>
      <c r="L12" s="2575"/>
      <c r="M12" s="2575"/>
      <c r="N12" s="18"/>
    </row>
    <row r="13" spans="1:14" s="9" customFormat="1">
      <c r="A13" s="122"/>
      <c r="B13" s="18"/>
      <c r="C13" s="18"/>
      <c r="D13" s="18"/>
      <c r="E13" s="18"/>
      <c r="F13" s="18"/>
      <c r="G13" s="18"/>
      <c r="H13" s="18"/>
      <c r="I13" s="18"/>
      <c r="J13" s="18"/>
      <c r="K13" s="18"/>
      <c r="L13" s="18"/>
      <c r="M13" s="18"/>
      <c r="N13" s="18"/>
    </row>
    <row r="14" spans="1:14" s="9" customFormat="1" ht="48" customHeight="1">
      <c r="A14" s="2576" t="s">
        <v>1535</v>
      </c>
      <c r="B14" s="2137"/>
      <c r="C14" s="2137"/>
      <c r="D14" s="2137"/>
      <c r="E14" s="2137"/>
      <c r="F14" s="2137"/>
      <c r="G14" s="2137"/>
      <c r="H14" s="2137"/>
      <c r="I14" s="2137"/>
      <c r="J14" s="2137"/>
      <c r="K14" s="2137"/>
      <c r="L14" s="2137"/>
      <c r="M14" s="2137"/>
    </row>
    <row r="15" spans="1:14" s="9" customFormat="1">
      <c r="A15" s="18"/>
      <c r="B15" s="1303" t="s">
        <v>1536</v>
      </c>
      <c r="C15" s="18"/>
      <c r="D15" s="18"/>
      <c r="E15" s="18"/>
      <c r="F15" s="18"/>
      <c r="G15" s="18"/>
      <c r="H15" s="18"/>
      <c r="I15" s="18"/>
      <c r="J15" s="18"/>
      <c r="K15" s="18"/>
      <c r="L15" s="18"/>
      <c r="M15" s="18"/>
      <c r="N15" s="18"/>
    </row>
    <row r="16" spans="1:14" s="9" customFormat="1" ht="30" customHeight="1">
      <c r="A16" s="18"/>
      <c r="B16" s="2579" t="str">
        <f>IF(ISBLANK(oRespAffaire),"",oRespAffaire)</f>
        <v/>
      </c>
      <c r="C16" s="2579"/>
      <c r="D16" s="252"/>
      <c r="E16" s="524" t="s">
        <v>867</v>
      </c>
      <c r="F16" s="2579" t="str">
        <f>IF(ISBLANK(oTelRespAff),"",oTelRespAff)</f>
        <v/>
      </c>
      <c r="G16" s="2579"/>
      <c r="H16" s="2579"/>
      <c r="I16" s="18"/>
      <c r="J16" s="18"/>
      <c r="K16" s="18"/>
      <c r="L16" s="18"/>
      <c r="M16" s="18"/>
      <c r="N16" s="18"/>
    </row>
    <row r="17" spans="1:14" s="9" customFormat="1">
      <c r="A17" s="18"/>
      <c r="B17" s="1303" t="s">
        <v>1537</v>
      </c>
      <c r="C17" s="18"/>
      <c r="D17" s="18"/>
      <c r="E17" s="18"/>
      <c r="F17" s="18"/>
      <c r="G17" s="18"/>
      <c r="H17" s="18"/>
      <c r="I17" s="18"/>
      <c r="J17" s="18"/>
      <c r="K17" s="18"/>
      <c r="L17" s="18"/>
      <c r="M17" s="18"/>
      <c r="N17" s="18"/>
    </row>
    <row r="18" spans="1:14" s="9" customFormat="1" ht="30" customHeight="1">
      <c r="A18" s="18"/>
      <c r="B18" s="2579" t="str">
        <f>IF(ISBLANK(oRespChantier),"",oRespChantier)</f>
        <v/>
      </c>
      <c r="C18" s="2579"/>
      <c r="D18" s="252"/>
      <c r="E18" s="129"/>
      <c r="F18" s="18"/>
      <c r="G18" s="18"/>
      <c r="H18" s="18"/>
      <c r="I18" s="18"/>
      <c r="J18" s="18"/>
      <c r="K18" s="18"/>
      <c r="L18" s="18"/>
      <c r="M18" s="18"/>
      <c r="N18" s="18"/>
    </row>
    <row r="19" spans="1:14" ht="31.5" customHeight="1">
      <c r="A19" s="197"/>
      <c r="B19" s="197"/>
      <c r="C19" s="197"/>
      <c r="D19" s="197"/>
      <c r="E19" s="197"/>
      <c r="F19" s="197"/>
      <c r="G19" s="197"/>
      <c r="H19" s="197"/>
      <c r="I19" s="197"/>
      <c r="J19" s="197"/>
      <c r="K19" s="197"/>
      <c r="L19" s="197"/>
      <c r="M19" s="197"/>
      <c r="N19" s="197"/>
    </row>
    <row r="20" spans="1:14" ht="30" customHeight="1">
      <c r="A20" s="2575" t="s">
        <v>868</v>
      </c>
      <c r="B20" s="2575"/>
      <c r="C20" s="2575"/>
      <c r="D20" s="2575"/>
      <c r="E20" s="2575"/>
      <c r="F20" s="2575"/>
      <c r="G20" s="2575"/>
      <c r="H20" s="2575"/>
      <c r="I20" s="2575"/>
      <c r="J20" s="2575"/>
      <c r="K20" s="2575"/>
      <c r="L20" s="2575"/>
      <c r="M20" s="2575"/>
      <c r="N20" s="197"/>
    </row>
    <row r="21" spans="1:14" ht="61.5" customHeight="1">
      <c r="A21" s="197"/>
      <c r="B21" s="197"/>
      <c r="C21" s="197"/>
      <c r="D21" s="197"/>
      <c r="E21" s="197"/>
      <c r="F21" s="197"/>
      <c r="G21" s="197"/>
      <c r="H21" s="197"/>
      <c r="I21" s="197"/>
      <c r="J21" s="197"/>
      <c r="K21" s="197"/>
      <c r="L21" s="197"/>
      <c r="M21" s="197"/>
      <c r="N21" s="197"/>
    </row>
    <row r="22" spans="1:14">
      <c r="A22" s="197"/>
      <c r="B22" s="197"/>
      <c r="C22" s="197"/>
      <c r="D22" s="197"/>
      <c r="E22" s="197"/>
      <c r="F22" s="197"/>
      <c r="G22" s="197"/>
      <c r="H22" s="197"/>
      <c r="I22" s="197"/>
      <c r="J22" s="197"/>
      <c r="K22" s="197"/>
      <c r="L22" s="197"/>
      <c r="M22" s="197"/>
      <c r="N22" s="197"/>
    </row>
    <row r="23" spans="1:14">
      <c r="A23" s="197"/>
      <c r="B23" s="197"/>
      <c r="C23" s="197"/>
      <c r="D23" s="197"/>
      <c r="E23" s="197"/>
      <c r="F23" s="197"/>
      <c r="G23" s="197"/>
      <c r="H23" s="197"/>
      <c r="I23" s="197"/>
      <c r="J23" s="197"/>
      <c r="K23" s="197"/>
      <c r="L23" s="197"/>
      <c r="M23" s="197"/>
      <c r="N23" s="197"/>
    </row>
    <row r="24" spans="1:14">
      <c r="A24" s="197"/>
      <c r="B24" s="197"/>
      <c r="C24" s="197"/>
      <c r="D24" s="197"/>
      <c r="E24" s="387"/>
      <c r="F24" s="197"/>
      <c r="G24" s="197"/>
      <c r="H24" s="197"/>
      <c r="I24" s="197"/>
      <c r="J24" s="197"/>
      <c r="K24" s="197"/>
      <c r="L24" s="197"/>
      <c r="M24" s="197"/>
      <c r="N24" s="197"/>
    </row>
    <row r="25" spans="1:14">
      <c r="A25" s="197"/>
      <c r="B25" s="523"/>
      <c r="C25" s="523"/>
      <c r="D25" s="523"/>
      <c r="E25" s="523"/>
      <c r="F25" s="197"/>
      <c r="G25" s="197"/>
      <c r="H25" s="197"/>
      <c r="I25" s="197"/>
      <c r="J25" s="197"/>
      <c r="K25" s="197"/>
      <c r="L25" s="197"/>
      <c r="M25" s="197"/>
      <c r="N25" s="197"/>
    </row>
    <row r="26" spans="1:14">
      <c r="A26" s="197"/>
      <c r="B26" s="197"/>
      <c r="C26" s="197"/>
      <c r="D26" s="197"/>
      <c r="E26" s="197"/>
      <c r="F26" s="197"/>
      <c r="G26" s="197"/>
      <c r="H26" s="197"/>
      <c r="I26" s="197"/>
      <c r="J26" s="197"/>
      <c r="K26" s="197"/>
      <c r="L26" s="197"/>
      <c r="M26" s="197"/>
      <c r="N26" s="197"/>
    </row>
    <row r="27" spans="1:14">
      <c r="A27" s="197"/>
      <c r="E27" s="523"/>
      <c r="F27" s="197"/>
      <c r="G27" s="197"/>
      <c r="H27" s="197"/>
      <c r="I27" s="197"/>
      <c r="J27" s="197"/>
      <c r="K27" s="197"/>
      <c r="L27" s="197"/>
      <c r="M27" s="197"/>
      <c r="N27" s="197"/>
    </row>
    <row r="28" spans="1:14">
      <c r="A28" s="197"/>
      <c r="B28" s="197"/>
      <c r="C28" s="197"/>
      <c r="D28" s="197"/>
      <c r="E28" s="197"/>
      <c r="F28" s="197"/>
      <c r="G28" s="197"/>
      <c r="H28" s="197"/>
      <c r="I28" s="197"/>
      <c r="J28" s="197"/>
      <c r="K28" s="197"/>
      <c r="L28" s="197"/>
      <c r="M28" s="197"/>
      <c r="N28" s="197"/>
    </row>
    <row r="29" spans="1:14" ht="6.75" customHeight="1">
      <c r="A29" s="197"/>
      <c r="B29" s="197"/>
      <c r="C29" s="197"/>
      <c r="D29" s="197"/>
      <c r="E29" s="197"/>
      <c r="F29" s="197"/>
      <c r="G29" s="197"/>
      <c r="H29" s="197"/>
      <c r="I29" s="197"/>
      <c r="J29" s="197"/>
      <c r="K29" s="197"/>
      <c r="L29" s="197"/>
      <c r="M29" s="197"/>
      <c r="N29" s="197"/>
    </row>
    <row r="30" spans="1:14">
      <c r="A30" s="197"/>
      <c r="B30" s="197"/>
      <c r="C30" s="197"/>
      <c r="D30" s="197"/>
      <c r="E30" s="197"/>
      <c r="F30" s="197"/>
      <c r="G30" s="197"/>
      <c r="H30" s="197"/>
      <c r="I30" s="197"/>
      <c r="J30" s="197"/>
      <c r="K30" s="197"/>
      <c r="L30" s="197"/>
      <c r="M30" s="197"/>
      <c r="N30" s="197"/>
    </row>
    <row r="31" spans="1:14">
      <c r="A31" s="197"/>
      <c r="B31" s="197"/>
      <c r="C31" s="197"/>
      <c r="D31" s="197"/>
      <c r="E31" s="197"/>
      <c r="F31" s="197"/>
      <c r="G31" s="197"/>
      <c r="H31" s="197"/>
      <c r="I31" s="197"/>
      <c r="J31" s="197"/>
      <c r="K31" s="197"/>
      <c r="L31" s="197"/>
      <c r="M31" s="197"/>
      <c r="N31" s="197"/>
    </row>
    <row r="32" spans="1:14" ht="6.75" customHeight="1">
      <c r="A32" s="197"/>
      <c r="B32" s="197"/>
      <c r="C32" s="197"/>
      <c r="D32" s="197"/>
      <c r="E32" s="197"/>
      <c r="F32" s="197"/>
      <c r="G32" s="197"/>
      <c r="H32" s="197"/>
      <c r="I32" s="197"/>
      <c r="J32" s="197"/>
      <c r="K32" s="197"/>
      <c r="L32" s="197"/>
      <c r="M32" s="197"/>
      <c r="N32" s="197"/>
    </row>
    <row r="33" spans="1:14">
      <c r="A33" s="197"/>
      <c r="B33" s="130"/>
      <c r="C33" s="130"/>
      <c r="D33" s="130"/>
      <c r="E33" s="197"/>
      <c r="F33" s="197"/>
      <c r="G33" s="197"/>
      <c r="H33" s="197"/>
      <c r="I33" s="197"/>
      <c r="J33" s="197"/>
      <c r="K33" s="197"/>
      <c r="L33" s="197"/>
      <c r="M33" s="197"/>
      <c r="N33" s="197"/>
    </row>
    <row r="34" spans="1:14">
      <c r="A34" s="197"/>
      <c r="B34" s="197"/>
      <c r="C34" s="197"/>
      <c r="D34" s="197"/>
      <c r="E34" s="197"/>
      <c r="F34" s="197"/>
      <c r="G34" s="197"/>
      <c r="H34" s="197"/>
      <c r="I34" s="197"/>
      <c r="J34" s="197"/>
      <c r="K34" s="197"/>
      <c r="L34" s="197"/>
      <c r="M34" s="197"/>
      <c r="N34" s="197"/>
    </row>
    <row r="35" spans="1:14" ht="6.75" customHeight="1">
      <c r="A35" s="197"/>
      <c r="B35" s="197"/>
      <c r="C35" s="197"/>
      <c r="D35" s="197"/>
      <c r="E35" s="197"/>
      <c r="F35" s="197"/>
      <c r="G35" s="197"/>
      <c r="H35" s="197"/>
      <c r="I35" s="197"/>
      <c r="J35" s="197"/>
      <c r="K35" s="197"/>
      <c r="L35" s="197"/>
      <c r="M35" s="197"/>
      <c r="N35" s="197"/>
    </row>
    <row r="36" spans="1:14">
      <c r="A36" s="197"/>
      <c r="B36" s="197"/>
      <c r="C36" s="197"/>
      <c r="D36" s="197"/>
      <c r="E36" s="197"/>
      <c r="F36" s="197"/>
      <c r="G36" s="197"/>
      <c r="H36" s="197"/>
      <c r="I36" s="197"/>
      <c r="J36" s="197"/>
      <c r="K36" s="197"/>
      <c r="L36" s="197"/>
      <c r="M36" s="197"/>
      <c r="N36" s="197"/>
    </row>
    <row r="37" spans="1:14">
      <c r="A37" s="197"/>
      <c r="B37" s="197"/>
      <c r="C37" s="197"/>
      <c r="D37" s="197"/>
      <c r="E37" s="197"/>
      <c r="F37" s="197"/>
      <c r="G37" s="197"/>
      <c r="H37" s="197"/>
      <c r="I37" s="197"/>
      <c r="J37" s="197"/>
      <c r="K37" s="197"/>
      <c r="L37" s="197"/>
      <c r="M37" s="197"/>
      <c r="N37" s="197"/>
    </row>
    <row r="38" spans="1:14" ht="6.75" customHeight="1">
      <c r="A38" s="197"/>
      <c r="B38" s="197"/>
      <c r="C38" s="197"/>
      <c r="D38" s="197"/>
      <c r="E38" s="197"/>
      <c r="F38" s="197"/>
      <c r="G38" s="197"/>
      <c r="H38" s="197"/>
      <c r="I38" s="197"/>
      <c r="J38" s="197"/>
      <c r="K38" s="197"/>
      <c r="L38" s="197"/>
      <c r="M38" s="197"/>
      <c r="N38" s="197"/>
    </row>
    <row r="39" spans="1:14">
      <c r="A39" s="197"/>
      <c r="B39" s="197"/>
      <c r="C39" s="197"/>
      <c r="D39" s="197"/>
      <c r="E39" s="197"/>
      <c r="F39" s="197"/>
      <c r="G39" s="197"/>
      <c r="H39" s="197"/>
      <c r="I39" s="197"/>
      <c r="J39" s="197"/>
      <c r="K39" s="197"/>
      <c r="L39" s="197"/>
      <c r="M39" s="197"/>
      <c r="N39" s="197"/>
    </row>
    <row r="40" spans="1:14">
      <c r="A40" s="197"/>
      <c r="B40" s="197"/>
      <c r="C40" s="197"/>
      <c r="D40" s="197"/>
      <c r="E40" s="197"/>
      <c r="F40" s="197"/>
      <c r="G40" s="197"/>
      <c r="H40" s="197"/>
      <c r="I40" s="197"/>
      <c r="J40" s="197"/>
      <c r="K40" s="197"/>
      <c r="L40" s="197"/>
      <c r="M40" s="197"/>
      <c r="N40" s="197"/>
    </row>
    <row r="41" spans="1:14" ht="6.75" customHeight="1">
      <c r="A41" s="197"/>
      <c r="B41" s="197"/>
      <c r="C41" s="197"/>
      <c r="D41" s="197"/>
      <c r="E41" s="197"/>
      <c r="F41" s="197"/>
      <c r="G41" s="197"/>
      <c r="H41" s="197"/>
      <c r="I41" s="197"/>
      <c r="J41" s="197"/>
      <c r="K41" s="197"/>
      <c r="L41" s="197"/>
      <c r="M41" s="197"/>
      <c r="N41" s="197"/>
    </row>
    <row r="42" spans="1:14">
      <c r="A42" s="197"/>
      <c r="B42" s="197"/>
      <c r="C42" s="197"/>
      <c r="D42" s="197"/>
      <c r="E42" s="197"/>
      <c r="F42" s="197"/>
      <c r="G42" s="197"/>
      <c r="H42" s="197"/>
      <c r="I42" s="197"/>
      <c r="J42" s="197"/>
      <c r="K42" s="197"/>
      <c r="L42" s="197"/>
      <c r="M42" s="197"/>
      <c r="N42" s="197"/>
    </row>
    <row r="43" spans="1:14">
      <c r="A43" s="197"/>
      <c r="B43" s="197"/>
      <c r="C43" s="197"/>
      <c r="D43" s="197"/>
      <c r="E43" s="197"/>
      <c r="F43" s="197"/>
      <c r="G43" s="197"/>
      <c r="H43" s="197"/>
      <c r="I43" s="197"/>
      <c r="J43" s="197"/>
      <c r="K43" s="197"/>
      <c r="L43" s="197"/>
      <c r="M43" s="197"/>
      <c r="N43" s="197"/>
    </row>
    <row r="44" spans="1:14" ht="6.75" customHeight="1">
      <c r="A44" s="197"/>
      <c r="B44" s="197"/>
      <c r="C44" s="197"/>
      <c r="D44" s="197"/>
      <c r="E44" s="197"/>
      <c r="F44" s="197"/>
      <c r="G44" s="197"/>
      <c r="H44" s="197"/>
      <c r="I44" s="197"/>
      <c r="J44" s="197"/>
      <c r="K44" s="197"/>
      <c r="L44" s="197"/>
      <c r="M44" s="197"/>
      <c r="N44" s="197"/>
    </row>
    <row r="45" spans="1:14" ht="15.75" customHeight="1">
      <c r="A45" s="197"/>
      <c r="B45" s="197"/>
      <c r="C45" s="197"/>
      <c r="D45" s="197"/>
      <c r="E45" s="197"/>
      <c r="F45" s="197"/>
      <c r="G45" s="197"/>
      <c r="H45" s="197"/>
      <c r="I45" s="197"/>
      <c r="J45" s="197"/>
      <c r="K45" s="197"/>
      <c r="L45" s="197"/>
      <c r="M45" s="197"/>
      <c r="N45" s="197"/>
    </row>
    <row r="46" spans="1:14">
      <c r="A46" s="197"/>
      <c r="B46" s="197"/>
      <c r="C46" s="197"/>
      <c r="D46" s="197"/>
      <c r="E46" s="197"/>
      <c r="F46" s="197"/>
      <c r="G46" s="197"/>
      <c r="H46" s="197"/>
      <c r="I46" s="197"/>
      <c r="J46" s="197"/>
      <c r="K46" s="197"/>
      <c r="L46" s="197"/>
      <c r="M46" s="197"/>
      <c r="N46" s="197"/>
    </row>
    <row r="47" spans="1:14" ht="6.75" customHeight="1">
      <c r="A47" s="197"/>
      <c r="B47" s="197"/>
      <c r="C47" s="197"/>
      <c r="D47" s="197"/>
      <c r="E47" s="197"/>
      <c r="F47" s="197"/>
      <c r="G47" s="197"/>
      <c r="H47" s="197"/>
      <c r="I47" s="197"/>
      <c r="J47" s="197"/>
      <c r="K47" s="197"/>
      <c r="L47" s="197"/>
      <c r="M47" s="197"/>
      <c r="N47" s="197"/>
    </row>
    <row r="48" spans="1:14">
      <c r="A48" s="197"/>
      <c r="B48" s="197"/>
      <c r="C48" s="197"/>
      <c r="D48" s="197"/>
      <c r="E48" s="197"/>
      <c r="F48" s="197"/>
      <c r="G48" s="197"/>
      <c r="H48" s="197"/>
      <c r="I48" s="197"/>
      <c r="J48" s="197"/>
      <c r="K48" s="197"/>
      <c r="L48" s="197"/>
      <c r="M48" s="197"/>
      <c r="N48" s="197"/>
    </row>
    <row r="49" spans="1:14">
      <c r="A49" s="197"/>
      <c r="B49" s="197"/>
      <c r="C49" s="197"/>
      <c r="D49" s="197"/>
      <c r="E49" s="197"/>
      <c r="F49" s="197"/>
      <c r="G49" s="197"/>
      <c r="H49" s="197"/>
      <c r="I49" s="197"/>
      <c r="J49" s="197"/>
      <c r="K49" s="197"/>
      <c r="L49" s="197"/>
      <c r="M49" s="197"/>
      <c r="N49" s="197"/>
    </row>
    <row r="50" spans="1:14" ht="6.75" customHeight="1">
      <c r="A50" s="197"/>
      <c r="B50" s="197"/>
      <c r="C50" s="197"/>
      <c r="D50" s="197"/>
      <c r="E50" s="197"/>
      <c r="F50" s="197"/>
      <c r="G50" s="197"/>
      <c r="H50" s="197"/>
      <c r="I50" s="197"/>
      <c r="J50" s="197"/>
      <c r="K50" s="197"/>
      <c r="L50" s="197"/>
      <c r="M50" s="197"/>
      <c r="N50" s="197"/>
    </row>
    <row r="51" spans="1:14">
      <c r="A51" s="197"/>
      <c r="B51" s="197"/>
      <c r="C51" s="197"/>
      <c r="D51" s="197"/>
      <c r="E51" s="197"/>
      <c r="F51" s="197"/>
      <c r="G51" s="197"/>
      <c r="H51" s="197"/>
      <c r="I51" s="197"/>
      <c r="J51" s="197"/>
      <c r="K51" s="197"/>
      <c r="L51" s="197"/>
      <c r="M51" s="197"/>
      <c r="N51" s="197"/>
    </row>
    <row r="52" spans="1:14">
      <c r="A52" s="197"/>
      <c r="B52" s="197"/>
      <c r="C52" s="197"/>
      <c r="D52" s="197"/>
      <c r="E52" s="197"/>
      <c r="F52" s="197"/>
      <c r="G52" s="197"/>
      <c r="H52" s="197"/>
      <c r="I52" s="197"/>
      <c r="J52" s="197"/>
      <c r="K52" s="197"/>
      <c r="L52" s="197"/>
      <c r="M52" s="197"/>
      <c r="N52" s="197"/>
    </row>
    <row r="53" spans="1:14" ht="6.75" customHeight="1">
      <c r="A53" s="197"/>
      <c r="B53" s="197"/>
      <c r="C53" s="197"/>
      <c r="D53" s="197"/>
      <c r="E53" s="197"/>
      <c r="F53" s="197"/>
      <c r="G53" s="197"/>
      <c r="H53" s="197"/>
      <c r="I53" s="197"/>
      <c r="J53" s="197"/>
      <c r="K53" s="197"/>
      <c r="L53" s="197"/>
      <c r="M53" s="197"/>
      <c r="N53" s="197"/>
    </row>
    <row r="54" spans="1:14">
      <c r="A54" s="197"/>
      <c r="B54" s="197"/>
      <c r="C54" s="197"/>
      <c r="D54" s="197"/>
      <c r="E54" s="197"/>
      <c r="F54" s="197"/>
      <c r="G54" s="197"/>
      <c r="H54" s="197"/>
      <c r="I54" s="197"/>
      <c r="J54" s="197"/>
      <c r="K54" s="197"/>
      <c r="L54" s="197"/>
      <c r="N54" s="197"/>
    </row>
    <row r="55" spans="1:14">
      <c r="M55" s="197"/>
    </row>
  </sheetData>
  <mergeCells count="8">
    <mergeCell ref="A20:M20"/>
    <mergeCell ref="A14:M14"/>
    <mergeCell ref="A7:M7"/>
    <mergeCell ref="A12:M12"/>
    <mergeCell ref="K2:M2"/>
    <mergeCell ref="B16:C16"/>
    <mergeCell ref="B18:C18"/>
    <mergeCell ref="F16:H16"/>
  </mergeCells>
  <phoneticPr fontId="12" type="noConversion"/>
  <printOptions horizontalCentered="1" verticalCentered="1"/>
  <pageMargins left="0.59055118110236227" right="0.39370078740157483" top="0" bottom="0.39370078740157483" header="0" footer="0"/>
  <pageSetup paperSize="9" orientation="portrait" blackAndWhite="1" r:id="rId1"/>
  <headerFooter alignWithMargins="0">
    <oddFooter>&amp;L&amp;8Edité le &amp;D&amp;C&amp;P/&amp;N</oddFooter>
  </headerFooter>
  <rowBreaks count="1" manualBreakCount="1">
    <brk id="22" max="16383"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tabColor rgb="FFCCFFCC"/>
    <pageSetUpPr fitToPage="1"/>
  </sheetPr>
  <dimension ref="A1:J64"/>
  <sheetViews>
    <sheetView showGridLines="0" view="pageBreakPreview" zoomScaleNormal="130" zoomScaleSheetLayoutView="100" workbookViewId="0">
      <selection activeCell="A27" sqref="A27:J27"/>
    </sheetView>
  </sheetViews>
  <sheetFormatPr baseColWidth="10" defaultColWidth="11.42578125" defaultRowHeight="12.75"/>
  <cols>
    <col min="1" max="1" width="12.5703125" style="945" customWidth="1"/>
    <col min="2" max="2" width="15.140625" style="945" customWidth="1"/>
    <col min="3" max="3" width="15.28515625" style="945" customWidth="1"/>
    <col min="4" max="4" width="21" style="945" customWidth="1"/>
    <col min="5" max="5" width="8.5703125" style="945" customWidth="1"/>
    <col min="6" max="6" width="13.5703125" style="945" customWidth="1"/>
    <col min="7" max="7" width="9.140625" style="945" customWidth="1"/>
    <col min="8" max="8" width="13.7109375" style="945" customWidth="1"/>
    <col min="9" max="9" width="11.42578125" style="945"/>
    <col min="10" max="10" width="14.28515625" style="945" customWidth="1"/>
    <col min="11" max="11" width="4.5703125" style="945" customWidth="1"/>
    <col min="12" max="16384" width="11.42578125" style="945"/>
  </cols>
  <sheetData>
    <row r="1" spans="1:10" ht="41.25" customHeight="1" thickBot="1">
      <c r="A1" s="2626" t="s">
        <v>1467</v>
      </c>
      <c r="B1" s="2627"/>
      <c r="C1" s="2627"/>
      <c r="D1" s="2627"/>
      <c r="E1" s="2627"/>
      <c r="F1" s="2627"/>
      <c r="G1" s="2627"/>
      <c r="H1" s="2627"/>
      <c r="I1" s="2627"/>
      <c r="J1" s="1304" t="s">
        <v>1538</v>
      </c>
    </row>
    <row r="2" spans="1:10" ht="19.5" customHeight="1" thickBot="1">
      <c r="A2" s="2680" t="s">
        <v>1485</v>
      </c>
      <c r="B2" s="2681"/>
      <c r="C2" s="2609"/>
      <c r="D2" s="2609"/>
      <c r="E2" s="2609"/>
      <c r="F2" s="2610"/>
      <c r="G2" s="2681" t="s">
        <v>1487</v>
      </c>
      <c r="H2" s="2681"/>
      <c r="I2" s="2609"/>
      <c r="J2" s="2610"/>
    </row>
    <row r="3" spans="1:10" ht="21.75" customHeight="1" thickBot="1">
      <c r="A3" s="2680" t="s">
        <v>1486</v>
      </c>
      <c r="B3" s="2681"/>
      <c r="C3" s="2609"/>
      <c r="D3" s="2609"/>
      <c r="E3" s="2609"/>
      <c r="F3" s="2610"/>
      <c r="G3" s="2680" t="s">
        <v>1488</v>
      </c>
      <c r="H3" s="2681"/>
      <c r="I3" s="2609"/>
      <c r="J3" s="2610"/>
    </row>
    <row r="4" spans="1:10" ht="20.100000000000001" customHeight="1" thickBot="1">
      <c r="A4" s="2651" t="s">
        <v>1406</v>
      </c>
      <c r="B4" s="2651"/>
      <c r="C4" s="2651"/>
      <c r="D4" s="2651"/>
      <c r="E4" s="2651"/>
      <c r="F4" s="2651"/>
      <c r="G4" s="2651"/>
      <c r="H4" s="2651"/>
      <c r="I4" s="2651"/>
      <c r="J4" s="2651"/>
    </row>
    <row r="5" spans="1:10" ht="24.75" customHeight="1">
      <c r="A5" s="2630" t="s">
        <v>1407</v>
      </c>
      <c r="B5" s="2594"/>
      <c r="C5" s="2652"/>
      <c r="D5" s="2652"/>
      <c r="E5" s="2652"/>
      <c r="F5" s="2652"/>
      <c r="G5" s="2652"/>
      <c r="H5" s="1305" t="s">
        <v>1409</v>
      </c>
      <c r="I5" s="2594"/>
      <c r="J5" s="2595"/>
    </row>
    <row r="6" spans="1:10" ht="23.25" customHeight="1" thickBot="1">
      <c r="A6" s="2676" t="s">
        <v>1408</v>
      </c>
      <c r="B6" s="2677"/>
      <c r="C6" s="2678"/>
      <c r="D6" s="2678"/>
      <c r="E6" s="2678"/>
      <c r="F6" s="2678"/>
      <c r="G6" s="2678"/>
      <c r="H6" s="2678"/>
      <c r="I6" s="2678"/>
      <c r="J6" s="2679"/>
    </row>
    <row r="7" spans="1:10" ht="19.5" customHeight="1">
      <c r="A7" s="2672" t="s">
        <v>1410</v>
      </c>
      <c r="B7" s="2673"/>
      <c r="C7" s="2673"/>
      <c r="D7" s="2674"/>
      <c r="E7" s="2674"/>
      <c r="F7" s="2674"/>
      <c r="G7" s="2674"/>
      <c r="H7" s="2674"/>
      <c r="I7" s="2674"/>
      <c r="J7" s="2675"/>
    </row>
    <row r="8" spans="1:10" ht="18.75" customHeight="1">
      <c r="A8" s="2583" t="s">
        <v>1411</v>
      </c>
      <c r="B8" s="2584"/>
      <c r="C8" s="2664"/>
      <c r="D8" s="2664"/>
      <c r="E8" s="2664"/>
      <c r="F8" s="2584" t="s">
        <v>1412</v>
      </c>
      <c r="G8" s="2584"/>
      <c r="H8" s="2664"/>
      <c r="I8" s="2664"/>
      <c r="J8" s="2665"/>
    </row>
    <row r="9" spans="1:10" ht="18" customHeight="1">
      <c r="A9" s="2583" t="s">
        <v>1413</v>
      </c>
      <c r="B9" s="2584"/>
      <c r="C9" s="2664"/>
      <c r="D9" s="2664"/>
      <c r="E9" s="2664"/>
      <c r="F9" s="2584" t="s">
        <v>1414</v>
      </c>
      <c r="G9" s="2584"/>
      <c r="H9" s="2664"/>
      <c r="I9" s="2664"/>
      <c r="J9" s="2665"/>
    </row>
    <row r="10" spans="1:10" ht="15">
      <c r="A10" s="2666" t="s">
        <v>1415</v>
      </c>
      <c r="B10" s="2667"/>
      <c r="C10" s="2667"/>
      <c r="D10" s="2667"/>
      <c r="E10" s="2667"/>
      <c r="F10" s="2667"/>
      <c r="G10" s="2667"/>
      <c r="H10" s="2667"/>
      <c r="I10" s="2667"/>
      <c r="J10" s="2668"/>
    </row>
    <row r="11" spans="1:10" ht="19.5" customHeight="1" thickBot="1">
      <c r="A11" s="2669" t="s">
        <v>1468</v>
      </c>
      <c r="B11" s="2670"/>
      <c r="C11" s="2670"/>
      <c r="D11" s="2670"/>
      <c r="E11" s="2670"/>
      <c r="F11" s="2670" t="s">
        <v>1469</v>
      </c>
      <c r="G11" s="2670"/>
      <c r="H11" s="2670"/>
      <c r="I11" s="2670"/>
      <c r="J11" s="2671"/>
    </row>
    <row r="12" spans="1:10" ht="20.100000000000001" customHeight="1" thickBot="1">
      <c r="A12" s="2640" t="s">
        <v>1481</v>
      </c>
      <c r="B12" s="2640"/>
      <c r="C12" s="2640"/>
      <c r="D12" s="2640"/>
      <c r="E12" s="2640"/>
      <c r="F12" s="2640"/>
      <c r="G12" s="2640"/>
      <c r="H12" s="2640"/>
      <c r="I12" s="2640"/>
      <c r="J12" s="2640"/>
    </row>
    <row r="13" spans="1:10" ht="25.5" customHeight="1">
      <c r="A13" s="2630" t="s">
        <v>1416</v>
      </c>
      <c r="B13" s="2594"/>
      <c r="C13" s="2652"/>
      <c r="D13" s="2652"/>
      <c r="E13" s="2652"/>
      <c r="F13" s="2652"/>
      <c r="G13" s="2652"/>
      <c r="H13" s="2652"/>
      <c r="I13" s="2652"/>
      <c r="J13" s="2653"/>
    </row>
    <row r="14" spans="1:10" ht="15.75" thickBot="1">
      <c r="A14" s="2654" t="s">
        <v>1417</v>
      </c>
      <c r="B14" s="2655"/>
      <c r="C14" s="2655"/>
      <c r="D14" s="2655"/>
      <c r="E14" s="2655"/>
      <c r="F14" s="2655"/>
      <c r="G14" s="2655"/>
      <c r="H14" s="2655"/>
      <c r="I14" s="2655"/>
      <c r="J14" s="2656"/>
    </row>
    <row r="15" spans="1:10" ht="15.75" thickBot="1">
      <c r="A15" s="2657" t="s">
        <v>1418</v>
      </c>
      <c r="B15" s="2658"/>
      <c r="C15" s="2658"/>
      <c r="D15" s="2658"/>
      <c r="E15" s="2658"/>
      <c r="F15" s="2658"/>
      <c r="G15" s="2658"/>
      <c r="H15" s="2658"/>
      <c r="I15" s="2658"/>
      <c r="J15" s="2659"/>
    </row>
    <row r="16" spans="1:10" ht="15.75" thickBot="1">
      <c r="A16" s="2660" t="s">
        <v>1470</v>
      </c>
      <c r="B16" s="2661"/>
      <c r="C16" s="2661"/>
      <c r="D16" s="2661"/>
      <c r="E16" s="2661"/>
      <c r="F16" s="2662" t="s">
        <v>1471</v>
      </c>
      <c r="G16" s="2662"/>
      <c r="H16" s="2662"/>
      <c r="I16" s="2662"/>
      <c r="J16" s="2663"/>
    </row>
    <row r="17" spans="1:10" ht="45" customHeight="1" thickBot="1">
      <c r="A17" s="2641" t="s">
        <v>1454</v>
      </c>
      <c r="B17" s="2642"/>
      <c r="C17" s="2642"/>
      <c r="D17" s="2642"/>
      <c r="E17" s="2642"/>
      <c r="F17" s="2642"/>
      <c r="G17" s="2642"/>
      <c r="H17" s="2642"/>
      <c r="I17" s="2642"/>
      <c r="J17" s="2643"/>
    </row>
    <row r="18" spans="1:10" ht="20.100000000000001" customHeight="1" thickBot="1">
      <c r="A18" s="2640" t="s">
        <v>1420</v>
      </c>
      <c r="B18" s="2640"/>
      <c r="C18" s="2640"/>
      <c r="D18" s="2640"/>
      <c r="E18" s="2640"/>
      <c r="F18" s="2640"/>
      <c r="G18" s="2640"/>
      <c r="H18" s="2640"/>
      <c r="I18" s="2640"/>
      <c r="J18" s="2640"/>
    </row>
    <row r="19" spans="1:10" ht="18" customHeight="1" thickBot="1">
      <c r="A19" s="1306" t="s">
        <v>1472</v>
      </c>
      <c r="B19" s="1307" t="s">
        <v>1473</v>
      </c>
      <c r="C19" s="1308" t="s">
        <v>1474</v>
      </c>
      <c r="D19" s="2594" t="s">
        <v>1475</v>
      </c>
      <c r="E19" s="2644"/>
      <c r="F19" s="1307"/>
      <c r="G19" s="1307"/>
      <c r="H19" s="1307"/>
      <c r="I19" s="1307"/>
      <c r="J19" s="1309"/>
    </row>
    <row r="20" spans="1:10" ht="24.75" customHeight="1" thickBot="1">
      <c r="A20" s="1310" t="s">
        <v>1421</v>
      </c>
      <c r="E20" s="1311"/>
      <c r="F20" s="1311"/>
      <c r="G20" s="1311"/>
      <c r="H20" s="1311"/>
      <c r="I20" s="1311"/>
      <c r="J20" s="1312"/>
    </row>
    <row r="21" spans="1:10" ht="45" customHeight="1" thickBot="1">
      <c r="A21" s="2645" t="s">
        <v>1454</v>
      </c>
      <c r="B21" s="2646"/>
      <c r="C21" s="2646"/>
      <c r="D21" s="2646"/>
      <c r="E21" s="2646"/>
      <c r="F21" s="2646"/>
      <c r="G21" s="2646"/>
      <c r="H21" s="2646"/>
      <c r="I21" s="2646"/>
      <c r="J21" s="2647"/>
    </row>
    <row r="22" spans="1:10" ht="20.100000000000001" customHeight="1" thickBot="1">
      <c r="A22" s="2640" t="s">
        <v>1422</v>
      </c>
      <c r="B22" s="2640"/>
      <c r="C22" s="2640"/>
      <c r="D22" s="2640"/>
      <c r="E22" s="2640"/>
      <c r="F22" s="2640"/>
      <c r="G22" s="2640"/>
      <c r="H22" s="2640"/>
      <c r="I22" s="2640"/>
      <c r="J22" s="2640"/>
    </row>
    <row r="23" spans="1:10" ht="24.75" customHeight="1" thickBot="1">
      <c r="A23" s="2648" t="s">
        <v>1476</v>
      </c>
      <c r="B23" s="2649"/>
      <c r="C23" s="2644" t="s">
        <v>1477</v>
      </c>
      <c r="D23" s="2644"/>
      <c r="E23" s="2649" t="s">
        <v>1478</v>
      </c>
      <c r="F23" s="2649"/>
      <c r="G23" s="2649"/>
      <c r="H23" s="1307" t="s">
        <v>1479</v>
      </c>
      <c r="I23" s="2644" t="s">
        <v>1480</v>
      </c>
      <c r="J23" s="2650"/>
    </row>
    <row r="24" spans="1:10" ht="15">
      <c r="A24" s="2632" t="s">
        <v>1539</v>
      </c>
      <c r="B24" s="2633"/>
      <c r="C24" s="2633"/>
      <c r="D24" s="2633"/>
      <c r="E24" s="2633"/>
      <c r="F24" s="2633"/>
      <c r="G24" s="2633"/>
      <c r="H24" s="2633"/>
      <c r="I24" s="2633"/>
      <c r="J24" s="2634"/>
    </row>
    <row r="25" spans="1:10" ht="64.5" customHeight="1">
      <c r="A25" s="2635"/>
      <c r="B25" s="2636"/>
      <c r="C25" s="2636"/>
      <c r="D25" s="2636"/>
      <c r="E25" s="2636"/>
      <c r="F25" s="2636"/>
      <c r="G25" s="2636"/>
      <c r="H25" s="2636"/>
      <c r="I25" s="2636"/>
      <c r="J25" s="2637"/>
    </row>
    <row r="26" spans="1:10" ht="18" customHeight="1">
      <c r="A26" s="2635" t="s">
        <v>1419</v>
      </c>
      <c r="B26" s="2636"/>
      <c r="C26" s="2636"/>
      <c r="D26" s="2636"/>
      <c r="E26" s="2636"/>
      <c r="F26" s="2636"/>
      <c r="G26" s="2636"/>
      <c r="H26" s="2636"/>
      <c r="I26" s="2636"/>
      <c r="J26" s="2637"/>
    </row>
    <row r="27" spans="1:10" ht="45" customHeight="1" thickBot="1">
      <c r="A27" s="2638"/>
      <c r="B27" s="2598"/>
      <c r="C27" s="2598"/>
      <c r="D27" s="2598"/>
      <c r="E27" s="2598"/>
      <c r="F27" s="2598"/>
      <c r="G27" s="2598"/>
      <c r="H27" s="2598"/>
      <c r="I27" s="2598"/>
      <c r="J27" s="2639"/>
    </row>
    <row r="28" spans="1:10" ht="20.100000000000001" customHeight="1" thickBot="1">
      <c r="A28" s="2651" t="s">
        <v>1547</v>
      </c>
      <c r="B28" s="2651"/>
      <c r="C28" s="2609" t="s">
        <v>1548</v>
      </c>
      <c r="D28" s="2609"/>
      <c r="E28" s="2609"/>
      <c r="F28" s="1323"/>
      <c r="G28" s="2609" t="s">
        <v>1549</v>
      </c>
      <c r="H28" s="2609"/>
      <c r="I28" s="2609"/>
      <c r="J28" s="2609"/>
    </row>
    <row r="29" spans="1:10" ht="20.100000000000001" customHeight="1" thickBot="1">
      <c r="A29" s="2640" t="s">
        <v>1423</v>
      </c>
      <c r="B29" s="2640"/>
      <c r="C29" s="2640"/>
      <c r="D29" s="2640"/>
      <c r="E29" s="2640"/>
      <c r="F29" s="2640"/>
      <c r="G29" s="2640"/>
      <c r="H29" s="2640"/>
      <c r="I29" s="2640"/>
      <c r="J29" s="2640"/>
    </row>
    <row r="30" spans="1:10" ht="32.25" customHeight="1">
      <c r="A30" s="2630" t="s">
        <v>1424</v>
      </c>
      <c r="B30" s="2594"/>
      <c r="C30" s="2594"/>
      <c r="D30" s="2594"/>
      <c r="E30" s="2594"/>
      <c r="F30" s="2594"/>
      <c r="G30" s="2594"/>
      <c r="H30" s="2594"/>
      <c r="I30" s="2594"/>
      <c r="J30" s="2595"/>
    </row>
    <row r="31" spans="1:10" ht="35.25" customHeight="1" thickBot="1">
      <c r="A31" s="2628" t="s">
        <v>1425</v>
      </c>
      <c r="B31" s="2599"/>
      <c r="C31" s="2599"/>
      <c r="D31" s="2599"/>
      <c r="E31" s="2599"/>
      <c r="F31" s="2599"/>
      <c r="G31" s="2599"/>
      <c r="H31" s="2599"/>
      <c r="I31" s="2599"/>
      <c r="J31" s="2600"/>
    </row>
    <row r="32" spans="1:10" ht="15.75" thickBot="1">
      <c r="A32" s="2629" t="s">
        <v>1426</v>
      </c>
      <c r="B32" s="2629"/>
      <c r="C32" s="2629"/>
      <c r="D32" s="2629"/>
      <c r="E32" s="2629"/>
      <c r="F32" s="2629"/>
      <c r="G32" s="2629"/>
      <c r="H32" s="2629"/>
      <c r="I32" s="2629"/>
      <c r="J32" s="2629"/>
    </row>
    <row r="33" spans="1:10" ht="32.25" customHeight="1">
      <c r="A33" s="2630" t="s">
        <v>1540</v>
      </c>
      <c r="B33" s="2594"/>
      <c r="C33" s="2594"/>
      <c r="D33" s="2594"/>
      <c r="E33" s="2594"/>
      <c r="F33" s="2594"/>
      <c r="G33" s="2594"/>
      <c r="H33" s="2594"/>
      <c r="I33" s="2594"/>
      <c r="J33" s="2595"/>
    </row>
    <row r="34" spans="1:10" ht="15" customHeight="1" thickBot="1">
      <c r="A34" s="2628" t="s">
        <v>1427</v>
      </c>
      <c r="B34" s="2599"/>
      <c r="C34" s="2599"/>
      <c r="D34" s="2599"/>
      <c r="E34" s="2599"/>
      <c r="F34" s="2599"/>
      <c r="G34" s="2599"/>
      <c r="H34" s="2599"/>
      <c r="I34" s="2599"/>
      <c r="J34" s="2600"/>
    </row>
    <row r="35" spans="1:10" ht="15">
      <c r="A35" s="2631" t="s">
        <v>1428</v>
      </c>
      <c r="B35" s="2631"/>
      <c r="C35" s="2631"/>
      <c r="D35" s="2631"/>
      <c r="E35" s="2631"/>
      <c r="F35" s="2631"/>
      <c r="G35" s="2631"/>
      <c r="H35" s="2631"/>
      <c r="I35" s="2631"/>
      <c r="J35" s="2631"/>
    </row>
    <row r="36" spans="1:10" ht="18.75" customHeight="1">
      <c r="A36" s="2584" t="s">
        <v>1429</v>
      </c>
      <c r="B36" s="2584"/>
      <c r="C36" s="2584"/>
      <c r="D36" s="2584"/>
      <c r="E36" s="2584"/>
      <c r="F36" s="2584"/>
      <c r="G36" s="2584"/>
      <c r="H36" s="2584"/>
      <c r="I36" s="2584"/>
      <c r="J36" s="2584"/>
    </row>
    <row r="37" spans="1:10" ht="15.75" thickBot="1">
      <c r="A37" s="2619" t="s">
        <v>1430</v>
      </c>
      <c r="B37" s="2619"/>
      <c r="C37" s="2619"/>
      <c r="D37" s="2619"/>
      <c r="E37" s="2619"/>
      <c r="F37" s="2619"/>
      <c r="G37" s="2619"/>
      <c r="H37" s="2619"/>
      <c r="I37" s="2619"/>
      <c r="J37" s="2619"/>
    </row>
    <row r="38" spans="1:10" ht="17.25" customHeight="1" thickTop="1" thickBot="1">
      <c r="A38" s="2620" t="s">
        <v>1431</v>
      </c>
      <c r="B38" s="2621"/>
      <c r="C38" s="2621"/>
      <c r="D38" s="2621"/>
      <c r="E38" s="2621"/>
      <c r="F38" s="2620" t="s">
        <v>1453</v>
      </c>
      <c r="G38" s="2621"/>
      <c r="H38" s="2621"/>
      <c r="I38" s="2621"/>
      <c r="J38" s="2622"/>
    </row>
    <row r="39" spans="1:10" ht="76.5" customHeight="1" thickTop="1" thickBot="1">
      <c r="A39" s="2623"/>
      <c r="B39" s="2624"/>
      <c r="C39" s="2624"/>
      <c r="D39" s="2624"/>
      <c r="E39" s="2624"/>
      <c r="F39" s="2623"/>
      <c r="G39" s="2624"/>
      <c r="H39" s="2624"/>
      <c r="I39" s="2624"/>
      <c r="J39" s="2625"/>
    </row>
    <row r="40" spans="1:10" ht="13.5" thickTop="1">
      <c r="A40" s="1313"/>
      <c r="B40" s="1313"/>
      <c r="C40" s="1313"/>
      <c r="D40" s="1313"/>
      <c r="E40" s="1313"/>
      <c r="F40" s="1313"/>
      <c r="G40" s="1313"/>
      <c r="H40" s="1313"/>
      <c r="I40" s="1313"/>
      <c r="J40" s="1313"/>
    </row>
    <row r="41" spans="1:10" ht="13.5" thickBot="1"/>
    <row r="42" spans="1:10" ht="46.5" customHeight="1" thickBot="1">
      <c r="A42" s="2626" t="s">
        <v>1457</v>
      </c>
      <c r="B42" s="2627"/>
      <c r="C42" s="2627"/>
      <c r="D42" s="2627"/>
      <c r="E42" s="2627"/>
      <c r="F42" s="2627"/>
      <c r="G42" s="2627"/>
      <c r="H42" s="2627"/>
      <c r="I42" s="2627"/>
      <c r="J42" s="1314" t="str">
        <f>J1</f>
        <v>DAGRH003 Indice b</v>
      </c>
    </row>
    <row r="43" spans="1:10" ht="26.25" customHeight="1" thickBot="1">
      <c r="A43" s="2589" t="s">
        <v>1432</v>
      </c>
      <c r="B43" s="2590"/>
      <c r="C43" s="2590"/>
      <c r="D43" s="1315"/>
      <c r="E43" s="1316"/>
      <c r="F43" s="1317" t="s">
        <v>1433</v>
      </c>
      <c r="G43" s="2616"/>
      <c r="H43" s="2616"/>
      <c r="I43" s="2616"/>
      <c r="J43" s="2605"/>
    </row>
    <row r="44" spans="1:10" ht="32.25" customHeight="1" thickBot="1">
      <c r="A44" s="2589" t="s">
        <v>1434</v>
      </c>
      <c r="B44" s="2590"/>
      <c r="C44" s="2617"/>
      <c r="D44" s="2617"/>
      <c r="E44" s="2617"/>
      <c r="F44" s="2617"/>
      <c r="G44" s="2617"/>
      <c r="H44" s="2617"/>
      <c r="I44" s="2617"/>
      <c r="J44" s="2618"/>
    </row>
    <row r="45" spans="1:10" ht="24.75" customHeight="1" thickBot="1">
      <c r="A45" s="1317" t="s">
        <v>1435</v>
      </c>
      <c r="B45" s="1316"/>
      <c r="C45" s="1318" t="s">
        <v>867</v>
      </c>
      <c r="D45" s="2616"/>
      <c r="E45" s="2616"/>
      <c r="F45" s="2616"/>
      <c r="G45" s="2616"/>
      <c r="H45" s="2616"/>
      <c r="I45" s="2616"/>
      <c r="J45" s="2605"/>
    </row>
    <row r="46" spans="1:10" ht="51.75" customHeight="1" thickBot="1">
      <c r="A46" s="2586" t="s">
        <v>1436</v>
      </c>
      <c r="B46" s="2587"/>
      <c r="C46" s="2616"/>
      <c r="D46" s="2616"/>
      <c r="E46" s="2616"/>
      <c r="F46" s="2616"/>
      <c r="G46" s="2616"/>
      <c r="H46" s="2616"/>
      <c r="I46" s="2616"/>
      <c r="J46" s="2605"/>
    </row>
    <row r="47" spans="1:10" ht="24.95" customHeight="1" thickBot="1">
      <c r="A47" s="2580" t="s">
        <v>1437</v>
      </c>
      <c r="B47" s="2581"/>
      <c r="C47" s="2581"/>
      <c r="D47" s="2581"/>
      <c r="E47" s="2581"/>
      <c r="F47" s="2581"/>
      <c r="G47" s="2581"/>
      <c r="H47" s="2581"/>
      <c r="I47" s="2581"/>
      <c r="J47" s="2582"/>
    </row>
    <row r="48" spans="1:10" ht="27" customHeight="1" thickBot="1">
      <c r="A48" s="2608" t="s">
        <v>1468</v>
      </c>
      <c r="B48" s="2609"/>
      <c r="C48" s="2609"/>
      <c r="D48" s="2609"/>
      <c r="E48" s="2609" t="s">
        <v>1469</v>
      </c>
      <c r="F48" s="2609"/>
      <c r="G48" s="2609"/>
      <c r="H48" s="2609"/>
      <c r="I48" s="2609"/>
      <c r="J48" s="2610"/>
    </row>
    <row r="49" spans="1:10" ht="24.95" customHeight="1" thickBot="1">
      <c r="A49" s="2589" t="s">
        <v>1438</v>
      </c>
      <c r="B49" s="2590"/>
      <c r="C49" s="2590"/>
      <c r="D49" s="2590"/>
      <c r="E49" s="2590"/>
      <c r="F49" s="2590"/>
      <c r="G49" s="2590"/>
      <c r="H49" s="2590"/>
      <c r="I49" s="2590"/>
      <c r="J49" s="2591"/>
    </row>
    <row r="50" spans="1:10" ht="23.25" customHeight="1" thickBot="1">
      <c r="A50" s="2611" t="s">
        <v>1439</v>
      </c>
      <c r="B50" s="2612"/>
      <c r="C50" s="2613"/>
      <c r="D50" s="1319" t="s">
        <v>1440</v>
      </c>
      <c r="E50" s="2604" t="s">
        <v>1169</v>
      </c>
      <c r="F50" s="2605"/>
      <c r="G50" s="2604" t="s">
        <v>1441</v>
      </c>
      <c r="H50" s="2605"/>
      <c r="I50" s="2614" t="s">
        <v>1442</v>
      </c>
      <c r="J50" s="2615"/>
    </row>
    <row r="51" spans="1:10" ht="35.1" customHeight="1" thickBot="1">
      <c r="A51" s="2601" t="s">
        <v>1482</v>
      </c>
      <c r="B51" s="2602"/>
      <c r="C51" s="2603"/>
      <c r="D51" s="1316"/>
      <c r="E51" s="2601"/>
      <c r="F51" s="2603"/>
      <c r="G51" s="2601"/>
      <c r="H51" s="2603"/>
      <c r="I51" s="2604"/>
      <c r="J51" s="2605"/>
    </row>
    <row r="52" spans="1:10" ht="35.1" customHeight="1" thickBot="1">
      <c r="A52" s="2601" t="s">
        <v>1443</v>
      </c>
      <c r="B52" s="2602"/>
      <c r="C52" s="2603"/>
      <c r="D52" s="1316"/>
      <c r="E52" s="2601"/>
      <c r="F52" s="2603"/>
      <c r="G52" s="2601"/>
      <c r="H52" s="2603"/>
      <c r="I52" s="2604"/>
      <c r="J52" s="2605"/>
    </row>
    <row r="53" spans="1:10" ht="35.1" customHeight="1" thickBot="1">
      <c r="A53" s="2601" t="s">
        <v>1444</v>
      </c>
      <c r="B53" s="2602"/>
      <c r="C53" s="2603"/>
      <c r="D53" s="1316"/>
      <c r="E53" s="2601"/>
      <c r="F53" s="2603"/>
      <c r="G53" s="2601"/>
      <c r="H53" s="2603"/>
      <c r="I53" s="2604"/>
      <c r="J53" s="2605"/>
    </row>
    <row r="54" spans="1:10" ht="35.1" customHeight="1" thickBot="1">
      <c r="A54" s="2601" t="s">
        <v>1170</v>
      </c>
      <c r="B54" s="2602"/>
      <c r="C54" s="2603"/>
      <c r="D54" s="1316"/>
      <c r="E54" s="2601"/>
      <c r="F54" s="2603"/>
      <c r="G54" s="2601"/>
      <c r="H54" s="2603"/>
      <c r="I54" s="2606"/>
      <c r="J54" s="2607"/>
    </row>
    <row r="55" spans="1:10" ht="24.95" customHeight="1" thickBot="1">
      <c r="A55" s="2589" t="s">
        <v>1445</v>
      </c>
      <c r="B55" s="2590"/>
      <c r="C55" s="2590"/>
      <c r="D55" s="2590"/>
      <c r="E55" s="2590"/>
      <c r="F55" s="2590"/>
      <c r="G55" s="2590"/>
      <c r="H55" s="2590"/>
      <c r="I55" s="2590"/>
      <c r="J55" s="2591"/>
    </row>
    <row r="56" spans="1:10" ht="31.5" customHeight="1">
      <c r="A56" s="1320" t="s">
        <v>1455</v>
      </c>
      <c r="B56" s="2592" t="s">
        <v>1456</v>
      </c>
      <c r="C56" s="2592"/>
      <c r="D56" s="2593" t="s">
        <v>1446</v>
      </c>
      <c r="E56" s="2593"/>
      <c r="F56" s="2593"/>
      <c r="G56" s="2593"/>
      <c r="H56" s="2594" t="s">
        <v>1447</v>
      </c>
      <c r="I56" s="2594"/>
      <c r="J56" s="2595"/>
    </row>
    <row r="57" spans="1:10" ht="35.25" customHeight="1" thickBot="1">
      <c r="A57" s="2596"/>
      <c r="B57" s="2597"/>
      <c r="C57" s="2597"/>
      <c r="D57" s="2598" t="s">
        <v>1448</v>
      </c>
      <c r="E57" s="2598"/>
      <c r="F57" s="2598"/>
      <c r="G57" s="2598"/>
      <c r="H57" s="2599" t="s">
        <v>1449</v>
      </c>
      <c r="I57" s="2599"/>
      <c r="J57" s="2600"/>
    </row>
    <row r="58" spans="1:10" ht="20.25" customHeight="1">
      <c r="A58" s="2580" t="s">
        <v>1483</v>
      </c>
      <c r="B58" s="2581"/>
      <c r="C58" s="2581"/>
      <c r="D58" s="2581"/>
      <c r="E58" s="2581"/>
      <c r="F58" s="2581"/>
      <c r="G58" s="2581"/>
      <c r="H58" s="2581"/>
      <c r="I58" s="2581"/>
      <c r="J58" s="2582"/>
    </row>
    <row r="59" spans="1:10" ht="21" customHeight="1">
      <c r="A59" s="2580" t="s">
        <v>1484</v>
      </c>
      <c r="B59" s="2581"/>
      <c r="C59" s="2581"/>
      <c r="D59" s="2581"/>
      <c r="E59" s="2581"/>
      <c r="F59" s="2581"/>
      <c r="G59" s="2581"/>
      <c r="H59" s="2581"/>
      <c r="I59" s="2581"/>
      <c r="J59" s="2582"/>
    </row>
    <row r="60" spans="1:10" ht="17.25" customHeight="1" thickBot="1">
      <c r="A60" s="2583" t="s">
        <v>1450</v>
      </c>
      <c r="B60" s="2584"/>
      <c r="C60" s="2584"/>
      <c r="D60" s="2584"/>
      <c r="E60" s="2584"/>
      <c r="F60" s="2584"/>
      <c r="G60" s="2584"/>
      <c r="H60" s="2584"/>
      <c r="I60" s="2584"/>
      <c r="J60" s="2585"/>
    </row>
    <row r="61" spans="1:10" ht="109.5" customHeight="1" thickBot="1">
      <c r="A61" s="2586" t="s">
        <v>1451</v>
      </c>
      <c r="B61" s="2587"/>
      <c r="C61" s="2587"/>
      <c r="D61" s="2587"/>
      <c r="E61" s="2587"/>
      <c r="F61" s="2587"/>
      <c r="G61" s="2587"/>
      <c r="H61" s="2587"/>
      <c r="I61" s="2587"/>
      <c r="J61" s="2588"/>
    </row>
    <row r="62" spans="1:10" ht="126.75" customHeight="1" thickBot="1">
      <c r="A62" s="2586" t="s">
        <v>1452</v>
      </c>
      <c r="B62" s="2587"/>
      <c r="C62" s="2587"/>
      <c r="D62" s="2587"/>
      <c r="E62" s="2587"/>
      <c r="F62" s="2587"/>
      <c r="G62" s="2587"/>
      <c r="H62" s="2587"/>
      <c r="I62" s="2587"/>
      <c r="J62" s="2588"/>
    </row>
    <row r="63" spans="1:10">
      <c r="A63" s="1313"/>
      <c r="B63" s="1313"/>
      <c r="C63" s="1313"/>
      <c r="D63" s="1313"/>
      <c r="E63" s="1313"/>
      <c r="F63" s="1313"/>
      <c r="G63" s="1313"/>
      <c r="H63" s="1313"/>
      <c r="I63" s="1313"/>
    </row>
    <row r="64" spans="1:10">
      <c r="A64" s="1321"/>
    </row>
  </sheetData>
  <mergeCells count="109">
    <mergeCell ref="A1:I1"/>
    <mergeCell ref="A2:B2"/>
    <mergeCell ref="C2:F2"/>
    <mergeCell ref="G2:H2"/>
    <mergeCell ref="I2:J2"/>
    <mergeCell ref="A3:B3"/>
    <mergeCell ref="C3:F3"/>
    <mergeCell ref="G3:H3"/>
    <mergeCell ref="I3:J3"/>
    <mergeCell ref="A7:C7"/>
    <mergeCell ref="D7:J7"/>
    <mergeCell ref="A8:B8"/>
    <mergeCell ref="C8:E8"/>
    <mergeCell ref="F8:G8"/>
    <mergeCell ref="H8:J8"/>
    <mergeCell ref="A4:J4"/>
    <mergeCell ref="A5:B5"/>
    <mergeCell ref="C5:G5"/>
    <mergeCell ref="I5:J5"/>
    <mergeCell ref="A6:B6"/>
    <mergeCell ref="C6:J6"/>
    <mergeCell ref="A12:J12"/>
    <mergeCell ref="A13:B13"/>
    <mergeCell ref="C13:J13"/>
    <mergeCell ref="A14:J14"/>
    <mergeCell ref="A15:J15"/>
    <mergeCell ref="A16:E16"/>
    <mergeCell ref="F16:J16"/>
    <mergeCell ref="A9:B9"/>
    <mergeCell ref="C9:E9"/>
    <mergeCell ref="F9:G9"/>
    <mergeCell ref="H9:J9"/>
    <mergeCell ref="A10:J10"/>
    <mergeCell ref="A11:E11"/>
    <mergeCell ref="F11:J11"/>
    <mergeCell ref="A24:J24"/>
    <mergeCell ref="A25:J25"/>
    <mergeCell ref="A26:J26"/>
    <mergeCell ref="A27:J27"/>
    <mergeCell ref="A29:J29"/>
    <mergeCell ref="A30:J30"/>
    <mergeCell ref="A17:J17"/>
    <mergeCell ref="A18:J18"/>
    <mergeCell ref="D19:E19"/>
    <mergeCell ref="A21:J21"/>
    <mergeCell ref="A22:J22"/>
    <mergeCell ref="A23:B23"/>
    <mergeCell ref="C23:D23"/>
    <mergeCell ref="E23:G23"/>
    <mergeCell ref="I23:J23"/>
    <mergeCell ref="A28:B28"/>
    <mergeCell ref="C28:E28"/>
    <mergeCell ref="G28:J28"/>
    <mergeCell ref="A37:J37"/>
    <mergeCell ref="A38:E38"/>
    <mergeCell ref="F38:J38"/>
    <mergeCell ref="A39:E39"/>
    <mergeCell ref="F39:J39"/>
    <mergeCell ref="A42:I42"/>
    <mergeCell ref="A31:J31"/>
    <mergeCell ref="A32:J32"/>
    <mergeCell ref="A33:J33"/>
    <mergeCell ref="A34:J34"/>
    <mergeCell ref="A35:J35"/>
    <mergeCell ref="A36:C36"/>
    <mergeCell ref="D36:J36"/>
    <mergeCell ref="A47:J47"/>
    <mergeCell ref="A48:D48"/>
    <mergeCell ref="E48:J48"/>
    <mergeCell ref="A49:J49"/>
    <mergeCell ref="A50:C50"/>
    <mergeCell ref="E50:F50"/>
    <mergeCell ref="G50:H50"/>
    <mergeCell ref="I50:J50"/>
    <mergeCell ref="A43:C43"/>
    <mergeCell ref="G43:J43"/>
    <mergeCell ref="A44:B44"/>
    <mergeCell ref="C44:J44"/>
    <mergeCell ref="D45:J45"/>
    <mergeCell ref="A46:B46"/>
    <mergeCell ref="C46:J46"/>
    <mergeCell ref="A53:C53"/>
    <mergeCell ref="E53:F53"/>
    <mergeCell ref="G53:H53"/>
    <mergeCell ref="I53:J53"/>
    <mergeCell ref="A54:C54"/>
    <mergeCell ref="E54:F54"/>
    <mergeCell ref="G54:H54"/>
    <mergeCell ref="I54:J54"/>
    <mergeCell ref="A51:C51"/>
    <mergeCell ref="E51:F51"/>
    <mergeCell ref="G51:H51"/>
    <mergeCell ref="I51:J51"/>
    <mergeCell ref="A52:C52"/>
    <mergeCell ref="E52:F52"/>
    <mergeCell ref="G52:H52"/>
    <mergeCell ref="I52:J52"/>
    <mergeCell ref="A58:J58"/>
    <mergeCell ref="A59:J59"/>
    <mergeCell ref="A60:J60"/>
    <mergeCell ref="A61:J61"/>
    <mergeCell ref="A62:J62"/>
    <mergeCell ref="A55:J55"/>
    <mergeCell ref="B56:C56"/>
    <mergeCell ref="D56:G56"/>
    <mergeCell ref="H56:J56"/>
    <mergeCell ref="A57:C57"/>
    <mergeCell ref="D57:G57"/>
    <mergeCell ref="H57:J57"/>
  </mergeCells>
  <pageMargins left="0.25" right="0.25" top="0.75" bottom="0.75" header="0.3" footer="0.3"/>
  <pageSetup paperSize="9" scale="75" fitToHeight="0" orientation="portrait" r:id="rId1"/>
  <rowBreaks count="1" manualBreakCount="1">
    <brk id="40" max="9"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cc6df594-ea68-4a76-b1a1-90504efec55e" ContentTypeId="0x010100AAAAAAAABBBBCCCCDDDD000000000001" PreviousValue="false"/>
</file>

<file path=customXml/item2.xml><?xml version="1.0" encoding="utf-8"?>
<p:properties xmlns:p="http://schemas.microsoft.com/office/2006/metadata/properties" xmlns:xsi="http://www.w3.org/2001/XMLSchema-instance" xmlns:pc="http://schemas.microsoft.com/office/infopath/2007/PartnerControls">
  <documentManagement>
    <_FiralpActivite xmlns="537c2f0c-c3b0-4e5a-b5d4-e0a21f83717f">Divers</_FiralpActivite>
    <_FiralpDocumentsLies_Hidden xmlns="537c2f0c-c3b0-4e5a-b5d4-e0a21f83717f" xsi:nil="true"/>
    <_FiralpDocumentsLies_HTML xmlns="537c2f0c-c3b0-4e5a-b5d4-e0a21f83717f">&lt;a href="/EtudesTravaux/_layouts/_Firalp.GED/DocumentsLies.aspx?List=2ddae909-9965-4cc4-b7bf-c5de0358d5f6&amp;amp;ID=458" name="_Firalp.lnkDocumentsLies"&gt;0&lt;/a&gt;</_FiralpDocumentsLies_HTML>
    <_FiralpAffichageObligatoire xmlns="537c2f0c-c3b0-4e5a-b5d4-e0a21f83717f">Non</_FiralpAffichageObligatoir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ssiers chantiers" ma:contentTypeID="0x010100AAAAAAAABBBBCCCCDDDD00000000000100A43612104B43484994E478DFFEBE5164004961F5EBEA34754B930D16FDEF717FE7" ma:contentTypeVersion="16" ma:contentTypeDescription="" ma:contentTypeScope="" ma:versionID="27691affbb09e48bde47f8dde9d88798">
  <xsd:schema xmlns:xsd="http://www.w3.org/2001/XMLSchema" xmlns:xs="http://www.w3.org/2001/XMLSchema" xmlns:p="http://schemas.microsoft.com/office/2006/metadata/properties" xmlns:ns2="537c2f0c-c3b0-4e5a-b5d4-e0a21f83717f" targetNamespace="http://schemas.microsoft.com/office/2006/metadata/properties" ma:root="true" ma:fieldsID="cb2a36ad41251f9dd78f8f8f50fbfbef" ns2:_="">
    <xsd:import namespace="537c2f0c-c3b0-4e5a-b5d4-e0a21f83717f"/>
    <xsd:element name="properties">
      <xsd:complexType>
        <xsd:sequence>
          <xsd:element name="documentManagement">
            <xsd:complexType>
              <xsd:all>
                <xsd:element ref="ns2:_FiralpDocumentsLies_Hidden" minOccurs="0"/>
                <xsd:element ref="ns2:_FiralpDocumentsLies_HTML" minOccurs="0"/>
                <xsd:element ref="ns2:_FiralpActivite" minOccurs="0"/>
                <xsd:element ref="ns2:_FiralpAffichageObligatoir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7c2f0c-c3b0-4e5a-b5d4-e0a21f83717f" elementFormDefault="qualified">
    <xsd:import namespace="http://schemas.microsoft.com/office/2006/documentManagement/types"/>
    <xsd:import namespace="http://schemas.microsoft.com/office/infopath/2007/PartnerControls"/>
    <xsd:element name="_FiralpDocumentsLies_Hidden" ma:index="8" nillable="true" ma:displayName="_FiralpDocumentsLies_Hidden" ma:internalName="_FiralpDocumentsLies_Hidden" ma:readOnly="false">
      <xsd:simpleType>
        <xsd:restriction base="dms:Note">
          <xsd:maxLength value="255"/>
        </xsd:restriction>
      </xsd:simpleType>
    </xsd:element>
    <xsd:element name="_FiralpDocumentsLies_HTML" ma:index="9" nillable="true" ma:displayName="Documents liés" ma:internalName="_FiralpDocumentsLies_HTML" ma:readOnly="false">
      <xsd:simpleType>
        <xsd:restriction base="dms:Unknown"/>
      </xsd:simpleType>
    </xsd:element>
    <xsd:element name="_FiralpActivite" ma:index="10" nillable="true" ma:displayName="Activité" ma:format="Dropdown" ma:internalName="_FiralpActivite">
      <xsd:simpleType>
        <xsd:restriction base="dms:Choice">
          <xsd:enumeration value="Allégé"/>
          <xsd:enumeration value="Chauffage Urbain"/>
          <xsd:enumeration value="Divers"/>
          <xsd:enumeration value="Electricité"/>
          <xsd:enumeration value="Gaz"/>
          <xsd:enumeration value="HTB-CSE"/>
          <xsd:enumeration value="Indus Tertiaire"/>
          <xsd:enumeration value="Réseaux humides"/>
          <xsd:enumeration value="SOBECAMAT"/>
          <xsd:enumeration value="Télécom-Fibre"/>
          <xsd:enumeration value="Travaux ferroviaires"/>
          <xsd:enumeration value="VRD"/>
        </xsd:restriction>
      </xsd:simpleType>
    </xsd:element>
    <xsd:element name="_FiralpAffichageObligatoire" ma:index="11" nillable="true" ma:displayName="Affichage obligatoire" ma:default="Non" ma:format="Dropdown" ma:internalName="_FiralpAffichageObligatoire" ma:readOnly="false">
      <xsd:simpleType>
        <xsd:restriction base="dms:Choice">
          <xsd:enumeration value="Affichage obligatoire"/>
          <xsd:enumeration value="Non"/>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46F7833-4D8E-47A1-8778-4270A9511B16}">
  <ds:schemaRefs>
    <ds:schemaRef ds:uri="Microsoft.SharePoint.Taxonomy.ContentTypeSync"/>
  </ds:schemaRefs>
</ds:datastoreItem>
</file>

<file path=customXml/itemProps2.xml><?xml version="1.0" encoding="utf-8"?>
<ds:datastoreItem xmlns:ds="http://schemas.openxmlformats.org/officeDocument/2006/customXml" ds:itemID="{E87583B8-F5F0-48DB-BA17-F322E4D65C15}">
  <ds:schemaRefs>
    <ds:schemaRef ds:uri="http://schemas.microsoft.com/office/2006/metadata/properties"/>
    <ds:schemaRef ds:uri="http://schemas.microsoft.com/office/infopath/2007/PartnerControls"/>
    <ds:schemaRef ds:uri="537c2f0c-c3b0-4e5a-b5d4-e0a21f83717f"/>
  </ds:schemaRefs>
</ds:datastoreItem>
</file>

<file path=customXml/itemProps3.xml><?xml version="1.0" encoding="utf-8"?>
<ds:datastoreItem xmlns:ds="http://schemas.openxmlformats.org/officeDocument/2006/customXml" ds:itemID="{8E8A95C6-D727-49D7-BC57-4313D6C91EDC}">
  <ds:schemaRefs>
    <ds:schemaRef ds:uri="http://schemas.microsoft.com/sharepoint/v3/contenttype/forms"/>
  </ds:schemaRefs>
</ds:datastoreItem>
</file>

<file path=customXml/itemProps4.xml><?xml version="1.0" encoding="utf-8"?>
<ds:datastoreItem xmlns:ds="http://schemas.openxmlformats.org/officeDocument/2006/customXml" ds:itemID="{F2DD6058-1D8E-48BB-AC14-D8D013CE41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7c2f0c-c3b0-4e5a-b5d4-e0a21f8371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50</vt:i4>
      </vt:variant>
      <vt:variant>
        <vt:lpstr>Plages nommées</vt:lpstr>
      </vt:variant>
      <vt:variant>
        <vt:i4>60</vt:i4>
      </vt:variant>
    </vt:vector>
  </HeadingPairs>
  <TitlesOfParts>
    <vt:vector size="110" baseType="lpstr">
      <vt:lpstr>Feuil2</vt:lpstr>
      <vt:lpstr>NOTICE</vt:lpstr>
      <vt:lpstr>MISE A JOUR</vt:lpstr>
      <vt:lpstr>Impression</vt:lpstr>
      <vt:lpstr>Page de Garde</vt:lpstr>
      <vt:lpstr>Croisement réseaux</vt:lpstr>
      <vt:lpstr>Déroulage</vt:lpstr>
      <vt:lpstr>Fiche prépa</vt:lpstr>
      <vt:lpstr>Compactage</vt:lpstr>
      <vt:lpstr>1.Ch</vt:lpstr>
      <vt:lpstr>1.2.Ch</vt:lpstr>
      <vt:lpstr>1.3.Ch</vt:lpstr>
      <vt:lpstr>2.Ch</vt:lpstr>
      <vt:lpstr>3.Ch</vt:lpstr>
      <vt:lpstr>4.Ch</vt:lpstr>
      <vt:lpstr>5.Ch</vt:lpstr>
      <vt:lpstr>5.2.Ch</vt:lpstr>
      <vt:lpstr>5.6.Ch</vt:lpstr>
      <vt:lpstr>5.8.Ch</vt:lpstr>
      <vt:lpstr>5.9.Ch</vt:lpstr>
      <vt:lpstr>5.11.Ch</vt:lpstr>
      <vt:lpstr>5.12.Ch</vt:lpstr>
      <vt:lpstr>5.13.B.Ch</vt:lpstr>
      <vt:lpstr>5.14.Ch</vt:lpstr>
      <vt:lpstr>5.15.Ch</vt:lpstr>
      <vt:lpstr>5.16.Ch</vt:lpstr>
      <vt:lpstr>5.17.Ch</vt:lpstr>
      <vt:lpstr>5.18.Ch</vt:lpstr>
      <vt:lpstr>5.18.B.Ch</vt:lpstr>
      <vt:lpstr>5.19.Ch</vt:lpstr>
      <vt:lpstr>5.20.Ch</vt:lpstr>
      <vt:lpstr>5.21.Ch</vt:lpstr>
      <vt:lpstr>5.22.B.Ch</vt:lpstr>
      <vt:lpstr>5.22.D.Ch</vt:lpstr>
      <vt:lpstr>5.23.Ch</vt:lpstr>
      <vt:lpstr>5.24.Ch</vt:lpstr>
      <vt:lpstr>5.25.Ch</vt:lpstr>
      <vt:lpstr>5.58.Ch</vt:lpstr>
      <vt:lpstr>5.59.Ch</vt:lpstr>
      <vt:lpstr>5.67.Ch</vt:lpstr>
      <vt:lpstr>6.Ch</vt:lpstr>
      <vt:lpstr>6.4.Ch</vt:lpstr>
      <vt:lpstr>6.5.Ch</vt:lpstr>
      <vt:lpstr>6.7.Ch</vt:lpstr>
      <vt:lpstr>6.8.Ch</vt:lpstr>
      <vt:lpstr>6.10.Ch</vt:lpstr>
      <vt:lpstr>6.16.Ch</vt:lpstr>
      <vt:lpstr>7.Ch</vt:lpstr>
      <vt:lpstr>7.3.Ch</vt:lpstr>
      <vt:lpstr>13.6.Ch</vt:lpstr>
      <vt:lpstr>'13.6.Ch'!CaseACocher1</vt:lpstr>
      <vt:lpstr>'13.6.Ch'!CaseACocher12</vt:lpstr>
      <vt:lpstr>'13.6.Ch'!CaseACocher16</vt:lpstr>
      <vt:lpstr>'13.6.Ch'!CaseACocher2</vt:lpstr>
      <vt:lpstr>'13.6.Ch'!CaseACocher54</vt:lpstr>
      <vt:lpstr>'13.6.Ch'!CaseACocher57</vt:lpstr>
      <vt:lpstr>'13.6.Ch'!CaseACocher62</vt:lpstr>
      <vt:lpstr>'13.6.Ch'!CaseACocher65</vt:lpstr>
      <vt:lpstr>'13.6.Ch'!CaseACocher68</vt:lpstr>
      <vt:lpstr>'13.6.Ch'!CaseACocher75</vt:lpstr>
      <vt:lpstr>'13.6.Ch'!CaseACocher77</vt:lpstr>
      <vt:lpstr>'13.6.Ch'!CaseACocher78</vt:lpstr>
      <vt:lpstr>'13.6.Ch'!CaseACocher79</vt:lpstr>
      <vt:lpstr>Liste_Agences</vt:lpstr>
      <vt:lpstr>oAdresseChantier</vt:lpstr>
      <vt:lpstr>oAgence</vt:lpstr>
      <vt:lpstr>oDebut_travaux</vt:lpstr>
      <vt:lpstr>oeOTP</vt:lpstr>
      <vt:lpstr>oFinTravaux</vt:lpstr>
      <vt:lpstr>oLibelleOTP</vt:lpstr>
      <vt:lpstr>oMOE</vt:lpstr>
      <vt:lpstr>oN°MARCHE</vt:lpstr>
      <vt:lpstr>oReferenceCommande</vt:lpstr>
      <vt:lpstr>oRespAffaire</vt:lpstr>
      <vt:lpstr>oRespChantier</vt:lpstr>
      <vt:lpstr>oTelRespAff</vt:lpstr>
      <vt:lpstr>oTelRespChantier</vt:lpstr>
      <vt:lpstr>oVille</vt:lpstr>
      <vt:lpstr>'1.2.Ch'!Zone_d_impression</vt:lpstr>
      <vt:lpstr>'1.3.Ch'!Zone_d_impression</vt:lpstr>
      <vt:lpstr>'1.Ch'!Zone_d_impression</vt:lpstr>
      <vt:lpstr>'13.6.Ch'!Zone_d_impression</vt:lpstr>
      <vt:lpstr>'2.Ch'!Zone_d_impression</vt:lpstr>
      <vt:lpstr>'3.Ch'!Zone_d_impression</vt:lpstr>
      <vt:lpstr>'5.15.Ch'!Zone_d_impression</vt:lpstr>
      <vt:lpstr>'5.16.Ch'!Zone_d_impression</vt:lpstr>
      <vt:lpstr>'5.17.Ch'!Zone_d_impression</vt:lpstr>
      <vt:lpstr>'5.18.B.Ch'!Zone_d_impression</vt:lpstr>
      <vt:lpstr>'5.18.Ch'!Zone_d_impression</vt:lpstr>
      <vt:lpstr>'5.21.Ch'!Zone_d_impression</vt:lpstr>
      <vt:lpstr>'5.23.Ch'!Zone_d_impression</vt:lpstr>
      <vt:lpstr>'5.24.Ch'!Zone_d_impression</vt:lpstr>
      <vt:lpstr>'5.25.Ch'!Zone_d_impression</vt:lpstr>
      <vt:lpstr>'5.58.Ch'!Zone_d_impression</vt:lpstr>
      <vt:lpstr>'5.59.Ch'!Zone_d_impression</vt:lpstr>
      <vt:lpstr>'5.6.Ch'!Zone_d_impression</vt:lpstr>
      <vt:lpstr>'5.67.Ch'!Zone_d_impression</vt:lpstr>
      <vt:lpstr>'6.10.Ch'!Zone_d_impression</vt:lpstr>
      <vt:lpstr>'6.16.Ch'!Zone_d_impression</vt:lpstr>
      <vt:lpstr>'6.4.Ch'!Zone_d_impression</vt:lpstr>
      <vt:lpstr>'6.5.Ch'!Zone_d_impression</vt:lpstr>
      <vt:lpstr>'6.Ch'!Zone_d_impression</vt:lpstr>
      <vt:lpstr>'7.3.Ch'!Zone_d_impression</vt:lpstr>
      <vt:lpstr>'7.Ch'!Zone_d_impression</vt:lpstr>
      <vt:lpstr>Compactage!Zone_d_impression</vt:lpstr>
      <vt:lpstr>'Croisement réseaux'!Zone_d_impression</vt:lpstr>
      <vt:lpstr>Déroulage!Zone_d_impression</vt:lpstr>
      <vt:lpstr>'Fiche prépa'!Zone_d_impression</vt:lpstr>
      <vt:lpstr>Impression!Zone_d_impression</vt:lpstr>
      <vt:lpstr>'Page de Garde'!Zone_d_impression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Dossier chantier - Divers.xlsm</dc:title>
  <dc:creator>Microsoft Corporation</dc:creator>
  <cp:lastModifiedBy>CABROL Näthan</cp:lastModifiedBy>
  <cp:lastPrinted>2022-06-16T13:22:06Z</cp:lastPrinted>
  <dcterms:created xsi:type="dcterms:W3CDTF">1996-10-21T11:03:58Z</dcterms:created>
  <dcterms:modified xsi:type="dcterms:W3CDTF">2023-10-06T14:10:15Z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0x010100AAAAAAAABBBBCCCCDDDD00000000000100A43612104B43484994E478DFFEBE5164004961F5EBEA34754B930D16FDEF717FE7</vt:lpwstr>
  </property>
</Properties>
</file>